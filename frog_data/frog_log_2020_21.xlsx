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 2021" sheetId="1" r:id="rId4"/>
    <sheet state="visible" name="March 2021" sheetId="2" r:id="rId5"/>
    <sheet state="visible" name="Sheet25" sheetId="3" r:id="rId6"/>
    <sheet state="visible" name="April 2021" sheetId="4" r:id="rId7"/>
    <sheet state="visible" name="November 2020" sheetId="5" r:id="rId8"/>
    <sheet state="visible" name="December 2020" sheetId="6" r:id="rId9"/>
    <sheet state="visible" name="January 2021" sheetId="7" r:id="rId10"/>
    <sheet state="visible" name=" sunrisesunset" sheetId="8" r:id="rId11"/>
    <sheet state="visible" name="moon phases 2018" sheetId="9" r:id="rId12"/>
    <sheet state="visible" name="moon phases 2019" sheetId="10" r:id="rId13"/>
    <sheet state="visible" name="column labels" sheetId="11" r:id="rId14"/>
    <sheet state="visible" name="Legend" sheetId="12" r:id="rId15"/>
  </sheets>
  <definedNames>
    <definedName name="dec_tot_down">'December 2020'!$Z$33</definedName>
    <definedName name="apr_tot_down">#REF!</definedName>
    <definedName name="jan_tot_down">'January 2021'!$Z$33</definedName>
    <definedName name="jan_tot_hrs">'January 2021'!$J$33</definedName>
    <definedName localSheetId="3" name="mar_tot_up">'April 2021'!$AA$33</definedName>
    <definedName name="apr_tot_up">#REF!</definedName>
    <definedName name="mar_tot_down">'March 2021'!$Z$33</definedName>
    <definedName name="feb_tot_hrs">'February 2021'!$J$33</definedName>
    <definedName name="nov_tot_up">'November 2020'!$AA$33</definedName>
    <definedName name="feb_tot_down">'February 2021'!$Z$33</definedName>
    <definedName name="nov_tot_down">'November 2020'!$Z$33</definedName>
    <definedName name="mar_tot_hrs">'March 2021'!$J$33</definedName>
    <definedName name="nov_tot_hrs">'November 2020'!$J$33</definedName>
    <definedName name="MAR_F_A_DN">'March 2021'!$N$33</definedName>
    <definedName localSheetId="3" name="MAR_F_A_DN">'April 2021'!$N$33</definedName>
    <definedName localSheetId="3" name="mar_tot_hrs">'April 2021'!$J$33</definedName>
    <definedName name="jan_tot_up">'January 2021'!$AA$33</definedName>
    <definedName name="dec_tot_up">'December 2020'!$AA$33</definedName>
    <definedName name="feb_tot_up">'February 2021'!$AA$33</definedName>
    <definedName localSheetId="3" name="mar_tot_down">'April 2021'!$Z$33</definedName>
    <definedName name="mar_tot_up">'March 2021'!$AA$33</definedName>
    <definedName name="dec_tot_hrs">'December 2020'!$J$33</definedName>
  </definedNames>
  <calcPr/>
</workbook>
</file>

<file path=xl/sharedStrings.xml><?xml version="1.0" encoding="utf-8"?>
<sst xmlns="http://schemas.openxmlformats.org/spreadsheetml/2006/main" count="3294" uniqueCount="365">
  <si>
    <t>Sunset</t>
  </si>
  <si>
    <t>Civil 
Twilight</t>
  </si>
  <si>
    <t>Captain</t>
  </si>
  <si>
    <t>Monitored (Y/N)</t>
  </si>
  <si>
    <t>Start time
HH:MM</t>
  </si>
  <si>
    <t>End
 Date</t>
  </si>
  <si>
    <t>End time
HH:MM</t>
  </si>
  <si>
    <t>Hours monitored</t>
  </si>
  <si>
    <t>Team Hrs.</t>
  </si>
  <si>
    <t>Start Temp</t>
  </si>
  <si>
    <t>End Temp</t>
  </si>
  <si>
    <t>Weather</t>
  </si>
  <si>
    <t>Females assisted down</t>
  </si>
  <si>
    <t>Males assisted down</t>
  </si>
  <si>
    <t>Unassisted Females down</t>
  </si>
  <si>
    <t>Unasissted 
Males 
down</t>
  </si>
  <si>
    <t>Females 
assisted 
up</t>
  </si>
  <si>
    <t>Males assisted 
up</t>
  </si>
  <si>
    <t>Unassisted females  
up</t>
  </si>
  <si>
    <t>Unassisted males 
up</t>
  </si>
  <si>
    <t>Juveniles assisted up</t>
  </si>
  <si>
    <t>Roadkill Females</t>
  </si>
  <si>
    <t>Roadkill Males</t>
  </si>
  <si>
    <t>Roadkill
Unk</t>
  </si>
  <si>
    <t>Total 
frogs 
down</t>
  </si>
  <si>
    <t>Total 
frogs 
up</t>
  </si>
  <si>
    <t>Total Frogs Assisted Down</t>
  </si>
  <si>
    <t>Total Frogs Assisted Up</t>
  </si>
  <si>
    <t>% moon visible</t>
  </si>
  <si>
    <t>Comments</t>
  </si>
  <si>
    <t>Y</t>
  </si>
  <si>
    <t>light rain then clearing</t>
  </si>
  <si>
    <t>Ideal conditions for first two hours, but not many frogs.</t>
  </si>
  <si>
    <t>dry then heavy rain</t>
  </si>
  <si>
    <t>cold. wind blew Marina fence off. 1 PSRE female assisted down, 2 more PSRE observed on Marina</t>
  </si>
  <si>
    <t>N</t>
  </si>
  <si>
    <t>Mist then clear</t>
  </si>
  <si>
    <t>Small female down end of night--dry at the time.</t>
  </si>
  <si>
    <t>broken clouds, open sky</t>
  </si>
  <si>
    <t>y</t>
  </si>
  <si>
    <t>misty then clearing</t>
  </si>
  <si>
    <t>dry</t>
  </si>
  <si>
    <t>Cloudy, no rain</t>
  </si>
  <si>
    <t>Snow flurrries</t>
  </si>
  <si>
    <t>lots of snow</t>
  </si>
  <si>
    <t>Cloudy</t>
  </si>
  <si>
    <t>1-2 in. snow remaining</t>
  </si>
  <si>
    <t>Paverment wet</t>
  </si>
  <si>
    <t>drying</t>
  </si>
  <si>
    <t xml:space="preserve">dry pavement </t>
  </si>
  <si>
    <t>Lite rain on &amp; off</t>
  </si>
  <si>
    <t>2 tree frogs down.  Wetlands getting noisy.</t>
  </si>
  <si>
    <t>Rainy</t>
  </si>
  <si>
    <t>xx/xx/xxxx</t>
  </si>
  <si>
    <t>xxxx</t>
  </si>
  <si>
    <t>x</t>
  </si>
  <si>
    <t>Monthly Total</t>
  </si>
  <si>
    <t>Cumulative Total</t>
  </si>
  <si>
    <t>Season Total</t>
  </si>
  <si>
    <t>2019-20 Total</t>
  </si>
  <si>
    <t>2018-19 Total</t>
  </si>
  <si>
    <t>2017-18 Total</t>
  </si>
  <si>
    <t>2016-17 Total</t>
  </si>
  <si>
    <t>2015-16 Total</t>
  </si>
  <si>
    <t>2014-15 Total</t>
  </si>
  <si>
    <t>2013-14 Total</t>
  </si>
  <si>
    <t>Date</t>
  </si>
  <si>
    <t>End
Date</t>
  </si>
  <si>
    <t>Start temp</t>
  </si>
  <si>
    <t>End temp</t>
  </si>
  <si>
    <t>Unasissted Males down</t>
  </si>
  <si>
    <t>Females assisted 
up</t>
  </si>
  <si>
    <t>Roadkill 
Males</t>
  </si>
  <si>
    <t>Total
frogs 
down</t>
  </si>
  <si>
    <t>Total
frogs 
up</t>
  </si>
  <si>
    <t>Clear and dry</t>
  </si>
  <si>
    <t>Lite rain &gt;dry; wt pvmnt</t>
  </si>
  <si>
    <t>5 chorus frogs down-Much of nite was dry with wet pavement</t>
  </si>
  <si>
    <t>Wet pvmnt, sprinkles</t>
  </si>
  <si>
    <t>dry pavement</t>
  </si>
  <si>
    <t>Dry, no rain on radar</t>
  </si>
  <si>
    <t>Dry all day/night</t>
  </si>
  <si>
    <t>fair, dry</t>
  </si>
  <si>
    <t xml:space="preserve">light rain </t>
  </si>
  <si>
    <t>1 female chorus frog assisted down.</t>
  </si>
  <si>
    <t>Dry; wet pavement</t>
  </si>
  <si>
    <t>8 chorus frogs down; About half of R-L frogs came out beyond the silt fence</t>
  </si>
  <si>
    <t>dry, overcast</t>
  </si>
  <si>
    <t>dryish, sprinkles</t>
  </si>
  <si>
    <t>light rain</t>
  </si>
  <si>
    <t>1 salamander assisted up</t>
  </si>
  <si>
    <t>Dry and clear</t>
  </si>
  <si>
    <t>damp pavement</t>
  </si>
  <si>
    <t>Dry; mostly dry pavemt</t>
  </si>
  <si>
    <t>One fairly dry female RL crossing Marina Way.</t>
  </si>
  <si>
    <t>Broken clouds, dry all day</t>
  </si>
  <si>
    <t>clear,fair</t>
  </si>
  <si>
    <t>wet pavement- drying</t>
  </si>
  <si>
    <t xml:space="preserve">Clear/dry
</t>
  </si>
  <si>
    <t>Monthly total</t>
  </si>
  <si>
    <t>Dry all day/all night</t>
  </si>
  <si>
    <t>fair,dry, spring</t>
  </si>
  <si>
    <t>Dry</t>
  </si>
  <si>
    <t>Downpour ~0330. Jim checked at 0545 and found 12 PSRE and 2 salamanders as roadkill</t>
  </si>
  <si>
    <t>Dry, clear</t>
  </si>
  <si>
    <t>Dry, parital overcast</t>
  </si>
  <si>
    <t>Dry, partly cloudy</t>
  </si>
  <si>
    <t>X</t>
  </si>
  <si>
    <t>End Date</t>
  </si>
  <si>
    <t>Hours
Monitored</t>
  </si>
  <si>
    <t>Females unassisted down</t>
  </si>
  <si>
    <t>Males unassisted down</t>
  </si>
  <si>
    <t>Females assisted up</t>
  </si>
  <si>
    <t>Males assisted up</t>
  </si>
  <si>
    <t>Females unassisted up</t>
  </si>
  <si>
    <t>Males unassisted up</t>
  </si>
  <si>
    <t>Juveniles</t>
  </si>
  <si>
    <t>Roadkills female</t>
  </si>
  <si>
    <t>Roadkills male</t>
  </si>
  <si>
    <t>Roadkills unk</t>
  </si>
  <si>
    <t>Total Frogs down</t>
  </si>
  <si>
    <t>Total Frogs up</t>
  </si>
  <si>
    <t>No sign of frogs.  Wetlands still show mostly grass.</t>
  </si>
  <si>
    <t>No rain</t>
  </si>
  <si>
    <t xml:space="preserve">   </t>
  </si>
  <si>
    <t>Mostly dry day. No nite rain</t>
  </si>
  <si>
    <t xml:space="preserve"> </t>
  </si>
  <si>
    <t xml:space="preserve">  </t>
  </si>
  <si>
    <t>End 
time</t>
  </si>
  <si>
    <t>Females
assisted
up</t>
  </si>
  <si>
    <t>Males
 assisted
 up</t>
  </si>
  <si>
    <t>Roadkills
female</t>
  </si>
  <si>
    <t>Roadkills
male</t>
  </si>
  <si>
    <t>Roadkills
unk</t>
  </si>
  <si>
    <t>Dry (dry all day as well)</t>
  </si>
  <si>
    <t>wet pavement</t>
  </si>
  <si>
    <t>lite mist, wet pavement</t>
  </si>
  <si>
    <t xml:space="preserve">wet pavement </t>
  </si>
  <si>
    <t>Light Rain/wet pavement</t>
  </si>
  <si>
    <t>1 squished salamander</t>
  </si>
  <si>
    <t>light rain, showers</t>
  </si>
  <si>
    <t>No rain, wet pavement</t>
  </si>
  <si>
    <t>steady rain</t>
  </si>
  <si>
    <t>light rain/rain</t>
  </si>
  <si>
    <t>Rain then wet pavement</t>
  </si>
  <si>
    <t>1 PSRE (pseudacris regilla, Pacific tree frog)</t>
  </si>
  <si>
    <t>Wet Pavement</t>
  </si>
  <si>
    <t>Damp pavement</t>
  </si>
  <si>
    <t>Very rainy at 10pm</t>
  </si>
  <si>
    <t>too cold</t>
  </si>
  <si>
    <t>1 treefrog; 65% chance of rain late tonite</t>
  </si>
  <si>
    <t>p</t>
  </si>
  <si>
    <t>End Time
HH:MM</t>
  </si>
  <si>
    <t>Hours 
monitored</t>
  </si>
  <si>
    <t>Start Temp.</t>
  </si>
  <si>
    <t xml:space="preserve">Juveniles </t>
  </si>
  <si>
    <t>Total
frogs down</t>
  </si>
  <si>
    <t>rain, occasionally hard</t>
  </si>
  <si>
    <t>Unassisted female seen below US 30 on turnoff to Marina Way</t>
  </si>
  <si>
    <t>numbers fell way off last 45 minutes</t>
  </si>
  <si>
    <t>no precip.&gt;light rain</t>
  </si>
  <si>
    <t>light rain&gt;no rain/WP</t>
  </si>
  <si>
    <t>Philip moved 4 female and 1 male just after 6am</t>
  </si>
  <si>
    <t>light rain&gt;moderate rain</t>
  </si>
  <si>
    <t>Dry; patchy wet pavemt</t>
  </si>
  <si>
    <t>Rain predicted after midnight</t>
  </si>
  <si>
    <t>Clear skies</t>
  </si>
  <si>
    <t>dry, then rain late</t>
  </si>
  <si>
    <t>Rain all night</t>
  </si>
  <si>
    <t>1st females up!</t>
  </si>
  <si>
    <t>rain heavy and light</t>
  </si>
  <si>
    <t>lotsa frogs. 1 AMMA up, 1 PSRE female down. still a few jumping at departure. heavy rain, really warm</t>
  </si>
  <si>
    <t>wet pavement, no rain</t>
  </si>
  <si>
    <t>Trained 4 new volunteers; frogs weren't expected--too dry</t>
  </si>
  <si>
    <t>Drove through to verify conditions</t>
  </si>
  <si>
    <t>dry; patchy wet pavemt</t>
  </si>
  <si>
    <t>Dry; temp dropping</t>
  </si>
  <si>
    <t>snowing</t>
  </si>
  <si>
    <t>Cloudy, wet pavement</t>
  </si>
  <si>
    <t>20:!5</t>
  </si>
  <si>
    <t>Rainy, wet.</t>
  </si>
  <si>
    <t xml:space="preserve">light rain- rain </t>
  </si>
  <si>
    <t>ok</t>
  </si>
  <si>
    <t>2019 CIVIL TWILIGHT</t>
  </si>
  <si>
    <t>Jan.</t>
  </si>
  <si>
    <t>Feb.</t>
  </si>
  <si>
    <t>Mar.</t>
  </si>
  <si>
    <t>Apr.</t>
  </si>
  <si>
    <t>May</t>
  </si>
  <si>
    <t>June</t>
  </si>
  <si>
    <t>July</t>
  </si>
  <si>
    <t>Aug.</t>
  </si>
  <si>
    <t>Sept.</t>
  </si>
  <si>
    <t>Oct.</t>
  </si>
  <si>
    <t>Nov.</t>
  </si>
  <si>
    <t>Dec.</t>
  </si>
  <si>
    <t>Day</t>
  </si>
  <si>
    <t>Begin</t>
  </si>
  <si>
    <t>End</t>
  </si>
  <si>
    <t>2020 CIVIL TWILIGHT</t>
  </si>
  <si>
    <t>2020 SUNRISE/SUNSET</t>
  </si>
  <si>
    <t>Day    Jan.     Feb.     Mar.     Apr.     May      June     July     Aug.     Sep.     Oct.     Nov.     Dec.</t>
  </si>
  <si>
    <t>01     0.99     0.99     0.99     0.99     0.98     0.93     0.91     0.82     0.69     0.62     0.43     0.36</t>
  </si>
  <si>
    <t>02     1.00     0.96     1.00     0.96     0.95     0.88     0.85     0.74     0.59     0.51     0.32     0.25</t>
  </si>
  <si>
    <t>03     0.98     0.90     0.98     0.91     0.89     0.81     0.78     0.65     0.48     0.40     0.22     0.17</t>
  </si>
  <si>
    <t>04     0.93     0.82     0.93     0.85     0.83     0.73     0.70     0.55     0.36     0.29     0.13     0.09</t>
  </si>
  <si>
    <t>05     0.85     0.73     0.87     0.77     0.75     0.64     0.60     0.44     0.26     0.19     0.07     0.04</t>
  </si>
  <si>
    <t>06     0.77     0.63     0.79     0.68     0.66     0.54     0.50     0.33     0.16     0.11     0.02     0.01</t>
  </si>
  <si>
    <t>07     0.67     0.53     0.70     0.59     0.57     0.45     0.40     0.23     0.08     0.05     0.00     0.00</t>
  </si>
  <si>
    <t>08     0.56     0.44     0.61     0.50     0.48     0.35     0.29     0.14     0.03     0.01     0.01     0.01</t>
  </si>
  <si>
    <t>09     0.46     0.34     0.51     0.40     0.38     0.25     0.20     0.06     0.00     0.00     0.03     0.04</t>
  </si>
  <si>
    <t>10     0.36     0.26     0.42     0.31     0.29     0.16     0.11     0.02     0.01     0.02     0.08     0.09</t>
  </si>
  <si>
    <t>11     0.27     0.18     0.33     0.23     0.20     0.09     0.05     0.00     0.04     0.06     0.14     0.15</t>
  </si>
  <si>
    <t>12     0.19     0.11     0.24     0.15     0.12     0.03     0.01     0.01     0.09     0.12     0.21     0.22</t>
  </si>
  <si>
    <t>13     0.12     0.06     0.17     0.09     0.06     0.00     0.00     0.05     0.16     0.19     0.29     0.30</t>
  </si>
  <si>
    <t>14     0.07     0.02     0.10     0.04     0.02     0.00     0.02     0.12     0.25     0.28     0.38     0.39</t>
  </si>
  <si>
    <t>15     0.03     0.00     0.05     0.01     0.00     0.03     0.07     0.20     0.34     0.37     0.47     0.49</t>
  </si>
  <si>
    <t>16     0.01     0.00     0.02     0.00     0.01     0.09     0.15     0.30     0.44     0.46     0.57     0.58</t>
  </si>
  <si>
    <t>17     0.00     0.02     0.00     0.02     0.05     0.17     0.24     0.40     0.54     0.56     0.66     0.68</t>
  </si>
  <si>
    <t>18     0.01     0.06     0.01     0.07     0.11     0.27     0.34     0.50     0.63     0.65     0.75     0.77</t>
  </si>
  <si>
    <t>19     0.05     0.12     0.04     0.13     0.20     0.38     0.45     0.60     0.72     0.74     0.83     0.85</t>
  </si>
  <si>
    <t>20     0.09     0.20     0.09     0.22     0.30     0.49     0.55     0.69     0.80     0.81     0.90     0.92</t>
  </si>
  <si>
    <t>21     0.16     0.29     0.16     0.32     0.41     0.60     0.65     0.78     0.87     0.88     0.95     0.97</t>
  </si>
  <si>
    <t>22     0.24     0.39     0.25     0.44     0.52     0.70     0.75     0.85     0.93     0.94     0.99     1.00</t>
  </si>
  <si>
    <t>23     0.33     0.50     0.35     0.55     0.63     0.79     0.83     0.91     0.97     0.98     1.00     0.99</t>
  </si>
  <si>
    <t>24     0.44     0.61     0.47     0.66     0.73     0.86     0.89     0.96     0.99     1.00     0.98     0.96</t>
  </si>
  <si>
    <t>25     0.55     0.72     0.58     0.76     0.82     0.92     0.94     0.99     1.00     0.99     0.94     0.91</t>
  </si>
  <si>
    <t>26     0.65     0.82     0.69     0.85     0.89     0.97     0.98     1.00     0.98     0.97     0.88     0.82</t>
  </si>
  <si>
    <t>27     0.76     0.90     0.79     0.92     0.95     0.99     1.00     0.99     0.95     0.92     0.79     0.73</t>
  </si>
  <si>
    <t>28     0.85     0.96     0.88     0.97     0.98     1.00     1.00     0.97     0.89     0.85     0.69     0.62</t>
  </si>
  <si>
    <t>29     0.93      x        0.94     0.99     1.00     0.99     0.98     0.92     0.82     0.76     0.58     0.51</t>
  </si>
  <si>
    <t>30     0.98       x       0.98     1.00     0.99     0.96     0.94     0.86     0.72     0.65     0.47     0.40</t>
  </si>
  <si>
    <t>31     1.00       x       1.00      x        0.97       x       0.89     0.78       x       0.54      x        0.30</t>
  </si>
  <si>
    <t>01     0.09     0.20     0.09     0.23     0.31     0.48     0.53     0.66     0.77     0.79     0.89     0.92</t>
  </si>
  <si>
    <t>02     0.16     0.30     0.17     0.34     0.42     0.58     0.63     0.75     0.85     0.87     0.95     0.97</t>
  </si>
  <si>
    <t>03     0.24     0.41     0.26     0.45     0.52     0.68     0.72     0.82     0.91     0.93     0.99     1.00</t>
  </si>
  <si>
    <t>04     0.34     0.52     0.37     0.56     0.63     0.77     0.80     0.89     0.96     0.97     1.00     0.99</t>
  </si>
  <si>
    <t>05     0.45     0.63     0.48     0.67     0.73     0.85     0.87     0.94     0.99     1.00     0.98     0.96</t>
  </si>
  <si>
    <t>06     0.56     0.74     0.60     0.77     0.81     0.91     0.93     0.98     1.00     0.99     0.93     0.90</t>
  </si>
  <si>
    <t>07     0.67     0.83     0.71     0.85     0.88     0.95     0.97     1.00     0.99     0.97     0.86     0.81</t>
  </si>
  <si>
    <t>08     0.77     0.91     0.80     0.92     0.94     0.98     0.99     1.00     0.95     0.91     0.77     0.71</t>
  </si>
  <si>
    <t>09     0.86     0.96     0.88     0.96     0.98     1.00     1.00     0.97     0.89     0.84     0.67     0.61</t>
  </si>
  <si>
    <t>10     0.93     0.99     0.94     0.99     1.00     0.99     0.99     0.93     0.81     0.74     0.56     0.50</t>
  </si>
  <si>
    <t>11     0.98     1.00     0.98     1.00     1.00     0.97     0.96     0.87     0.72     0.64     0.45     0.40</t>
  </si>
  <si>
    <t>12     1.00     0.98     1.00     0.99     0.98     0.93     0.91     0.79     0.61     0.52     0.34     0.30</t>
  </si>
  <si>
    <t>13     0.99     0.94     0.99     0.96     0.95     0.87     0.84     0.69     0.49     0.41     0.25     0.21</t>
  </si>
  <si>
    <t>14     0.96     0.88     0.97     0.91     0.90     0.80     0.76     0.58     0.38     0.30     0.16     0.14</t>
  </si>
  <si>
    <t>15     0.90     0.81     0.93     0.85     0.83     0.72     0.66     0.47     0.27     0.21     0.10     0.08</t>
  </si>
  <si>
    <t>16     0.83     0.73     0.87     0.78     0.76     0.62     0.55     0.36     0.18     0.13     0.05     0.04</t>
  </si>
  <si>
    <t>17     0.74     0.64     0.80     0.70     0.67     0.52     0.44     0.25     0.10     0.07     0.01     0.01</t>
  </si>
  <si>
    <t>18     0.65     0.55     0.71     0.61     0.57     0.41     0.33     0.15     0.04     0.02     0.00     0.00</t>
  </si>
  <si>
    <t>19     0.56     0.45     0.63     0.51     0.47     0.30     0.23     0.08     0.01     0.00     0.01     0.01</t>
  </si>
  <si>
    <t>20     0.46     0.36     0.53     0.41     0.37     0.20     0.13     0.03     0.00     0.00     0.03     0.04</t>
  </si>
  <si>
    <t>21     0.37     0.27     0.44     0.31     0.26     0.12     0.06     0.00     0.01     0.03     0.07     0.08</t>
  </si>
  <si>
    <t>22     0.28     0.19     0.34     0.22     0.17     0.05     0.02     0.00     0.05     0.06     0.13     0.14</t>
  </si>
  <si>
    <t>23     0.20     0.12     0.25     0.14     0.09     0.01     0.00     0.03     0.10     0.12     0.20     0.21</t>
  </si>
  <si>
    <t>24     0.13     0.06     0.17     0.07     0.04     0.00     0.01     0.08     0.17     0.19     0.28     0.30</t>
  </si>
  <si>
    <t>25     0.07     0.02     0.10     0.02     0.01     0.02     0.05     0.15     0.25     0.26     0.37     0.39</t>
  </si>
  <si>
    <t>26     0.03     0.00     0.04     0.00     0.01     0.07     0.11     0.22     0.34     0.35     0.46     0.50</t>
  </si>
  <si>
    <t>27     0.01     0.01     0.01     0.01     0.04     0.14     0.19     0.31     0.43     0.44     0.56     0.60</t>
  </si>
  <si>
    <t>28     0.00     0.04     0.00     0.05     0.09     0.23     0.28     0.41     0.52     0.54     0.66     0.70</t>
  </si>
  <si>
    <t>29     0.02       x       0.02     0.12     0.18     0.33     0.37     0.50     0.62     0.64     0.76     0.80</t>
  </si>
  <si>
    <t>30     0.06       x       0.07     0.20     0.27     0.43     0.47     0.59     0.71     0.73     0.85     0.89</t>
  </si>
  <si>
    <t>31     0.12     x        0.14       x       0.37       x      0.57     0.69      x        0.82        x      0.95</t>
  </si>
  <si>
    <t>nov</t>
  </si>
  <si>
    <t>dec</t>
  </si>
  <si>
    <t>jan</t>
  </si>
  <si>
    <t>feb</t>
  </si>
  <si>
    <t>mar</t>
  </si>
  <si>
    <t>apr</t>
  </si>
  <si>
    <t>Start time</t>
  </si>
  <si>
    <t>End time</t>
  </si>
  <si>
    <t>Hours</t>
  </si>
  <si>
    <t>NOV_F_A_DN</t>
  </si>
  <si>
    <t>DEC_F_A_DN</t>
  </si>
  <si>
    <t>JAN_F_A_DN</t>
  </si>
  <si>
    <t>FEB_F_A_DN</t>
  </si>
  <si>
    <t>MAR_F_A_DN</t>
  </si>
  <si>
    <t>NOV_M_A_DN</t>
  </si>
  <si>
    <t>DEC_M_A_DN</t>
  </si>
  <si>
    <t>JAN_M_A_DN</t>
  </si>
  <si>
    <t>FEB_M_A_DN</t>
  </si>
  <si>
    <t>MAR_M_A_DN</t>
  </si>
  <si>
    <t>NOV_F_U_DN</t>
  </si>
  <si>
    <t>DEC_F_U_DN</t>
  </si>
  <si>
    <t>JAN_F_U_DN</t>
  </si>
  <si>
    <t>FEB_F_U_DN</t>
  </si>
  <si>
    <t>MAR_F_U_DN</t>
  </si>
  <si>
    <t>NOV_M_U_DN</t>
  </si>
  <si>
    <t>DEC_M_U_DN</t>
  </si>
  <si>
    <t>JAN_M_U_DN</t>
  </si>
  <si>
    <t>FEB_M_U_DN</t>
  </si>
  <si>
    <t>MAR_M_U_DN</t>
  </si>
  <si>
    <t>NOV_F_A_UP</t>
  </si>
  <si>
    <t>DEC_F_A_UP</t>
  </si>
  <si>
    <t>JAN_F_A_UP</t>
  </si>
  <si>
    <t>FEB_F_A_UP</t>
  </si>
  <si>
    <t>MAR_F_A_UP</t>
  </si>
  <si>
    <t>NOV_M_A_UP</t>
  </si>
  <si>
    <t>DEC_M_A_UP</t>
  </si>
  <si>
    <t>JAN_M_A_UP</t>
  </si>
  <si>
    <t>FEB_M_A_UP</t>
  </si>
  <si>
    <t>MAR_M_A_UP</t>
  </si>
  <si>
    <t>NOV_F_U_UP</t>
  </si>
  <si>
    <t>DEC_F_U_UP</t>
  </si>
  <si>
    <t>JAN_F_U_UP</t>
  </si>
  <si>
    <t>FEB_F_U_UP</t>
  </si>
  <si>
    <t>MAR_F_U_UP</t>
  </si>
  <si>
    <t>NOV_M_U_UP</t>
  </si>
  <si>
    <t>DEC_M_U_UP</t>
  </si>
  <si>
    <t>JAN_M_U_UP</t>
  </si>
  <si>
    <t>FEB_M_U_UP</t>
  </si>
  <si>
    <t>MAR_M_U_UP</t>
  </si>
  <si>
    <t>NOV_JUV</t>
  </si>
  <si>
    <t>DEC_JUV</t>
  </si>
  <si>
    <t>JAN_JUV</t>
  </si>
  <si>
    <t>FEB_JUV</t>
  </si>
  <si>
    <t>MAR_JUV</t>
  </si>
  <si>
    <t>NOV_M_ROADKILL</t>
  </si>
  <si>
    <t>DEC_M_ROADKILL</t>
  </si>
  <si>
    <t>JAN_M_ROADKILL</t>
  </si>
  <si>
    <t>FEB_M_ROADKILL</t>
  </si>
  <si>
    <t>MAR_M_ROADKILL</t>
  </si>
  <si>
    <t>NOV_F_ROADKILL</t>
  </si>
  <si>
    <t>DEC_F_ROADKILL</t>
  </si>
  <si>
    <t>JAN_F_ROADKILL</t>
  </si>
  <si>
    <t>FEB_F_ROADKILL</t>
  </si>
  <si>
    <t>MAR_F_ROADKILL</t>
  </si>
  <si>
    <t>NOV_UNK_ROADKILL</t>
  </si>
  <si>
    <t>DEC_UNK_ROADKILL</t>
  </si>
  <si>
    <t>JAN_UNK_ROADKILL</t>
  </si>
  <si>
    <t>FEB_UNK_ROADKILL</t>
  </si>
  <si>
    <t>MAR_UNK_ROADKILL</t>
  </si>
  <si>
    <t>Total Frogs Assisted</t>
  </si>
  <si>
    <t>2015/</t>
  </si>
  <si>
    <t>Rain</t>
  </si>
  <si>
    <t>Shift</t>
  </si>
  <si>
    <t>Unassisted females  up</t>
  </si>
  <si>
    <t>Unassisted males up</t>
  </si>
  <si>
    <t>Frogs down</t>
  </si>
  <si>
    <t>Frogs up</t>
  </si>
  <si>
    <t>Total assisted</t>
  </si>
  <si>
    <t>Baro Pressure</t>
  </si>
  <si>
    <t>Month</t>
  </si>
  <si>
    <t>Each month is stored in its own tab - DO NOT CHANGE</t>
  </si>
  <si>
    <t>Date of the observation - note that each month has its own tab.  DO NOT CHANGE</t>
  </si>
  <si>
    <t>Sunset (Hidden)</t>
  </si>
  <si>
    <t>This is the time when the sun sets below the horizon. This is incuded as an aid to setting the time for volunteers to assemble.  DO NOT CHANGE.</t>
  </si>
  <si>
    <t>Dark</t>
  </si>
  <si>
    <t>This is the time of the end of civil twilight - when it becomes too dark to see without artificial illumination.This is incuded as an aid to setting the time for volunteers to assemble.  DO NOT CHANGE.</t>
  </si>
  <si>
    <t>1 = Regular, 2 = Night Owl</t>
  </si>
  <si>
    <t>The captain in charge on this date.  Each captain is responsible for making his/her own daily entry.</t>
  </si>
  <si>
    <t>Enter Y if you went out to the site and N if not.</t>
  </si>
  <si>
    <t>The time of arrival on site.</t>
  </si>
  <si>
    <t>The final time of departure from the site.</t>
  </si>
  <si>
    <t>The temperature when you arrived on site OR the temperature you used to make the go/no-go decision for the evening.</t>
  </si>
  <si>
    <t>The temperature when everyone went home for the night</t>
  </si>
  <si>
    <t>The weather you used to make the go/no-go decision for the evening.</t>
  </si>
  <si>
    <t>Number of hours on site (difference of start and end times)</t>
  </si>
  <si>
    <t>Total hours on-site of all team members (including captain)</t>
  </si>
  <si>
    <t>AUTOFILL:  Number of red legged frogs (assisited and unassisted) down (to the wetlands)</t>
  </si>
  <si>
    <t>AUTOFILL:  Number of red legged frogs (assisited and unassisted) uphill  (from the wetlands)</t>
  </si>
  <si>
    <t>Notations of any special observations or circumstances and other species notied</t>
  </si>
  <si>
    <t>Barometric Pressure</t>
  </si>
  <si>
    <t>Available at http://w1.weather.gov/obhistory/KPDX.html.  Suffix + indicates rising, - indicates falling.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</si>
</sst>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h&quot;:&quot;mm"/>
    <numFmt numFmtId="165" formatCode="h&quot;:&quot;mm&quot; &quot;am/pm"/>
    <numFmt numFmtId="166" formatCode="M/d/yyyy H:mm:ss"/>
    <numFmt numFmtId="167" formatCode="m/d/yyyy"/>
    <numFmt numFmtId="168" formatCode="h:mm:ss am/pm"/>
    <numFmt numFmtId="169" formatCode="m/d"/>
  </numFmts>
  <fonts count="14">
    <font>
      <sz val="10.0"/>
      <color rgb="FF000000"/>
      <name val="Arial"/>
    </font>
    <font>
      <sz val="9.0"/>
    </font>
    <font/>
    <font>
      <sz val="11.0"/>
      <color rgb="FF000000"/>
      <name val="Inconsolata"/>
    </font>
    <font>
      <color rgb="FF000000"/>
      <name val="Arial"/>
    </font>
    <font>
      <color rgb="FF000000"/>
    </font>
    <font>
      <b/>
    </font>
    <font>
      <b/>
      <sz val="10.0"/>
      <color rgb="FF000000"/>
      <name val="Arial"/>
    </font>
    <font>
      <b/>
      <i/>
    </font>
    <font>
      <b/>
      <name val="Arial"/>
    </font>
    <font>
      <name val="Arial"/>
    </font>
    <font>
      <b/>
      <sz val="6.0"/>
    </font>
    <font>
      <b/>
      <sz val="10.0"/>
      <name val="Arial"/>
    </font>
    <font>
      <color rgb="FF000000"/>
      <name val="-webkit-standard"/>
    </font>
  </fonts>
  <fills count="3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AEAEAE"/>
        <bgColor rgb="FFAEAEAE"/>
      </patternFill>
    </fill>
    <fill>
      <patternFill patternType="solid">
        <fgColor rgb="FFA6A6A6"/>
        <bgColor rgb="FFA6A6A6"/>
      </patternFill>
    </fill>
    <fill>
      <patternFill patternType="solid">
        <fgColor rgb="FFA0A0A0"/>
        <bgColor rgb="FFA0A0A0"/>
      </patternFill>
    </fill>
    <fill>
      <patternFill patternType="solid">
        <fgColor rgb="FF9C9C9C"/>
        <bgColor rgb="FF9C9C9C"/>
      </patternFill>
    </fill>
    <fill>
      <patternFill patternType="solid">
        <fgColor rgb="FF9A9A9A"/>
        <bgColor rgb="FF9A9A9A"/>
      </patternFill>
    </fill>
    <fill>
      <patternFill patternType="solid">
        <fgColor rgb="FF999999"/>
        <bgColor rgb="FF999999"/>
      </patternFill>
    </fill>
    <fill>
      <patternFill patternType="solid">
        <fgColor rgb="FF9E9E9E"/>
        <bgColor rgb="FF9E9E9E"/>
      </patternFill>
    </fill>
    <fill>
      <patternFill patternType="solid">
        <fgColor rgb="FFA2A2A2"/>
        <bgColor rgb="FFA2A2A2"/>
      </patternFill>
    </fill>
    <fill>
      <patternFill patternType="solid">
        <fgColor rgb="FFA9A9A9"/>
        <bgColor rgb="FFA9A9A9"/>
      </patternFill>
    </fill>
    <fill>
      <patternFill patternType="solid">
        <fgColor rgb="FFB0B0B0"/>
        <bgColor rgb="FFB0B0B0"/>
      </patternFill>
    </fill>
    <fill>
      <patternFill patternType="solid">
        <fgColor rgb="FFB8B8B8"/>
        <bgColor rgb="FFB8B8B8"/>
      </patternFill>
    </fill>
    <fill>
      <patternFill patternType="solid">
        <fgColor rgb="FFC2C2C2"/>
        <bgColor rgb="FFC2C2C2"/>
      </patternFill>
    </fill>
    <fill>
      <patternFill patternType="solid">
        <fgColor rgb="FFCDCDCD"/>
        <bgColor rgb="FFCDCDCD"/>
      </patternFill>
    </fill>
    <fill>
      <patternFill patternType="solid">
        <fgColor rgb="FFD7D7D7"/>
        <bgColor rgb="FFD7D7D7"/>
      </patternFill>
    </fill>
    <fill>
      <patternFill patternType="solid">
        <fgColor rgb="FFE1E1E1"/>
        <bgColor rgb="FFE1E1E1"/>
      </patternFill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FDFDFD"/>
        <bgColor rgb="FFFDFDFD"/>
      </patternFill>
    </fill>
    <fill>
      <patternFill patternType="solid">
        <fgColor rgb="FFFCFCFC"/>
        <bgColor rgb="FFFCFCFC"/>
      </patternFill>
    </fill>
    <fill>
      <patternFill patternType="solid">
        <fgColor rgb="FFF7F7F7"/>
        <bgColor rgb="FFF7F7F7"/>
      </patternFill>
    </fill>
    <fill>
      <patternFill patternType="solid">
        <fgColor rgb="FFF0F0F0"/>
        <bgColor rgb="FFF0F0F0"/>
      </patternFill>
    </fill>
    <fill>
      <patternFill patternType="solid">
        <fgColor rgb="FFE7E7E7"/>
        <bgColor rgb="FFE7E7E7"/>
      </patternFill>
    </fill>
    <fill>
      <patternFill patternType="solid">
        <fgColor rgb="FFDDDDDD"/>
        <bgColor rgb="FFDDDDDD"/>
      </patternFill>
    </fill>
    <fill>
      <patternFill patternType="solid">
        <fgColor rgb="FFD2D2D2"/>
        <bgColor rgb="FFD2D2D2"/>
      </patternFill>
    </fill>
    <fill>
      <patternFill patternType="solid">
        <fgColor rgb="FFC6C6C6"/>
        <bgColor rgb="FFC6C6C6"/>
      </patternFill>
    </fill>
    <fill>
      <patternFill patternType="solid">
        <fgColor rgb="FFBCBCBC"/>
        <bgColor rgb="FFBCBCBC"/>
      </patternFill>
    </fill>
    <fill>
      <patternFill patternType="solid">
        <fgColor rgb="FFB3B3B3"/>
        <bgColor rgb="FFB3B3B3"/>
      </patternFill>
    </fill>
    <fill>
      <patternFill patternType="solid">
        <fgColor rgb="FFABABAB"/>
        <bgColor rgb="FFABABAB"/>
      </patternFill>
    </fill>
  </fills>
  <borders count="1">
    <border/>
  </borders>
  <cellStyleXfs count="1">
    <xf borderId="0" fillId="0" fontId="0" numFmtId="0" applyAlignment="1" applyFont="1"/>
  </cellStyleXfs>
  <cellXfs count="3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/>
    </xf>
    <xf borderId="0" fillId="2" fontId="2" numFmtId="14" xfId="0" applyAlignment="1" applyFont="1" applyNumberFormat="1">
      <alignment readingOrder="0"/>
    </xf>
    <xf borderId="0" fillId="4" fontId="2" numFmtId="0" xfId="0" applyFill="1" applyFont="1"/>
    <xf borderId="0" fillId="0" fontId="3" numFmtId="0" xfId="0" applyFont="1"/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14" xfId="0" applyAlignment="1" applyFont="1" applyNumberFormat="1">
      <alignment readingOrder="0"/>
    </xf>
    <xf borderId="0" fillId="4" fontId="0" numFmtId="4" xfId="0" applyFont="1" applyNumberFormat="1"/>
    <xf borderId="0" fillId="4" fontId="2" numFmtId="4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horizontal="right"/>
    </xf>
    <xf borderId="0" fillId="5" fontId="4" numFmtId="0" xfId="0" applyAlignment="1" applyFill="1" applyFont="1">
      <alignment horizontal="left" readingOrder="0"/>
    </xf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2" fontId="0" numFmtId="4" xfId="0" applyFont="1" applyNumberFormat="1"/>
    <xf borderId="0" fillId="0" fontId="2" numFmtId="4" xfId="0" applyAlignment="1" applyFont="1" applyNumberFormat="1">
      <alignment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5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20" xfId="0" applyFont="1" applyNumberFormat="1"/>
    <xf borderId="0" fillId="0" fontId="2" numFmtId="0" xfId="0" applyAlignment="1" applyFont="1">
      <alignment horizontal="left" readingOrder="0"/>
    </xf>
    <xf borderId="0" fillId="5" fontId="2" numFmtId="0" xfId="0" applyAlignment="1" applyFont="1">
      <alignment vertical="top"/>
    </xf>
    <xf borderId="0" fillId="2" fontId="5" numFmtId="0" xfId="0" applyAlignment="1" applyFont="1">
      <alignment readingOrder="0"/>
    </xf>
    <xf borderId="0" fillId="2" fontId="5" numFmtId="0" xfId="0" applyFont="1"/>
    <xf borderId="0" fillId="3" fontId="5" numFmtId="0" xfId="0" applyFont="1"/>
    <xf borderId="0" fillId="5" fontId="5" numFmtId="0" xfId="0" applyFont="1"/>
    <xf borderId="0" fillId="3" fontId="4" numFmtId="0" xfId="0" applyAlignment="1" applyFont="1">
      <alignment horizontal="left"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2" fontId="0" numFmtId="4" xfId="0" applyAlignment="1" applyFont="1" applyNumberFormat="1">
      <alignment horizontal="right" readingOrder="0"/>
    </xf>
    <xf borderId="0" fillId="2" fontId="0" numFmtId="4" xfId="0" applyAlignment="1" applyFont="1" applyNumberFormat="1">
      <alignment horizontal="right" readingOrder="0"/>
    </xf>
    <xf borderId="0" fillId="2" fontId="0" numFmtId="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2" fontId="2" numFmtId="4" xfId="0" applyFont="1" applyNumberFormat="1"/>
    <xf borderId="0" fillId="3" fontId="2" numFmtId="0" xfId="0" applyFont="1"/>
    <xf borderId="0" fillId="3" fontId="2" numFmtId="0" xfId="0" applyAlignment="1" applyFont="1">
      <alignment shrinkToFit="0" wrapText="1"/>
    </xf>
    <xf borderId="0" fillId="3" fontId="6" numFmtId="0" xfId="0" applyAlignment="1" applyFont="1">
      <alignment readingOrder="0"/>
    </xf>
    <xf borderId="0" fillId="2" fontId="6" numFmtId="4" xfId="0" applyFont="1" applyNumberFormat="1"/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3" fontId="6" numFmtId="0" xfId="0" applyAlignment="1" applyFont="1">
      <alignment horizontal="left" readingOrder="0"/>
    </xf>
    <xf borderId="0" fillId="3" fontId="6" numFmtId="165" xfId="0" applyFont="1" applyNumberFormat="1"/>
    <xf borderId="0" fillId="2" fontId="6" numFmtId="4" xfId="0" applyAlignment="1" applyFont="1" applyNumberFormat="1">
      <alignment readingOrder="0"/>
    </xf>
    <xf borderId="0" fillId="3" fontId="6" numFmtId="0" xfId="0" applyFont="1"/>
    <xf borderId="0" fillId="2" fontId="6" numFmtId="3" xfId="0" applyAlignment="1" applyFont="1" applyNumberFormat="1">
      <alignment readingOrder="0"/>
    </xf>
    <xf borderId="0" fillId="2" fontId="7" numFmtId="3" xfId="0" applyFont="1" applyNumberFormat="1"/>
    <xf borderId="0" fillId="3" fontId="8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6" numFmtId="1" xfId="0" applyAlignment="1" applyFont="1" applyNumberFormat="1">
      <alignment readingOrder="0"/>
    </xf>
    <xf borderId="0" fillId="3" fontId="6" numFmtId="1" xfId="0" applyFont="1" applyNumberFormat="1"/>
    <xf borderId="0" fillId="3" fontId="6" numFmtId="1" xfId="0" applyAlignment="1" applyFont="1" applyNumberFormat="1">
      <alignment readingOrder="0" vertical="top"/>
    </xf>
    <xf borderId="0" fillId="3" fontId="6" numFmtId="1" xfId="0" applyAlignment="1" applyFont="1" applyNumberFormat="1">
      <alignment horizontal="right" readingOrder="0" vertical="top"/>
    </xf>
    <xf borderId="0" fillId="3" fontId="6" numFmtId="1" xfId="0" applyAlignment="1" applyFont="1" applyNumberFormat="1">
      <alignment readingOrder="0" shrinkToFit="0" vertical="top" wrapText="1"/>
    </xf>
    <xf borderId="0" fillId="3" fontId="6" numFmtId="0" xfId="0" applyAlignment="1" applyFont="1">
      <alignment shrinkToFit="0" vertical="top" wrapText="1"/>
    </xf>
    <xf borderId="0" fillId="3" fontId="6" numFmtId="0" xfId="0" applyAlignment="1" applyFont="1">
      <alignment vertical="top"/>
    </xf>
    <xf borderId="0" fillId="3" fontId="6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vertical="top"/>
    </xf>
    <xf borderId="0" fillId="3" fontId="6" numFmtId="14" xfId="0" applyAlignment="1" applyFont="1" applyNumberFormat="1">
      <alignment readingOrder="0" vertical="top"/>
    </xf>
    <xf borderId="0" fillId="3" fontId="6" numFmtId="0" xfId="0" applyAlignment="1" applyFont="1">
      <alignment vertical="top"/>
    </xf>
    <xf borderId="0" fillId="3" fontId="6" numFmtId="0" xfId="0" applyAlignment="1" applyFont="1">
      <alignment horizontal="right" readingOrder="0" vertical="top"/>
    </xf>
    <xf borderId="0" fillId="3" fontId="6" numFmtId="4" xfId="0" applyAlignment="1" applyFont="1" applyNumberFormat="1">
      <alignment horizontal="right" readingOrder="0" vertical="top"/>
    </xf>
    <xf borderId="0" fillId="3" fontId="9" numFmtId="0" xfId="0" applyAlignment="1" applyFont="1">
      <alignment readingOrder="0" vertical="bottom"/>
    </xf>
    <xf borderId="0" fillId="0" fontId="6" numFmtId="1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46" xfId="0" applyFont="1" applyNumberFormat="1"/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5" fontId="6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166" xfId="0" applyAlignment="1" applyFont="1" applyNumberFormat="1">
      <alignment readingOrder="0"/>
    </xf>
    <xf borderId="0" fillId="3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/>
    </xf>
    <xf borderId="0" fillId="2" fontId="2" numFmtId="167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2" fontId="10" numFmtId="167" xfId="0" applyAlignment="1" applyFont="1" applyNumberFormat="1">
      <alignment horizontal="right" vertical="bottom"/>
    </xf>
    <xf borderId="0" fillId="6" fontId="10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2" fontId="10" numFmtId="14" xfId="0" applyAlignment="1" applyFont="1" applyNumberFormat="1">
      <alignment horizontal="right" vertical="bottom"/>
    </xf>
    <xf borderId="0" fillId="7" fontId="10" numFmtId="0" xfId="0" applyAlignment="1" applyFill="1" applyFont="1">
      <alignment horizontal="right" vertical="bottom"/>
    </xf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0" fillId="8" fontId="10" numFmtId="0" xfId="0" applyAlignment="1" applyFill="1" applyFont="1">
      <alignment horizontal="right" vertical="bottom"/>
    </xf>
    <xf borderId="0" fillId="5" fontId="2" numFmtId="20" xfId="0" applyAlignment="1" applyFont="1" applyNumberFormat="1">
      <alignment readingOrder="0"/>
    </xf>
    <xf borderId="0" fillId="9" fontId="10" numFmtId="0" xfId="0" applyAlignment="1" applyFill="1" applyFont="1">
      <alignment horizontal="right" vertical="bottom"/>
    </xf>
    <xf borderId="0" fillId="3" fontId="2" numFmtId="20" xfId="0" applyAlignment="1" applyFont="1" applyNumberFormat="1">
      <alignment readingOrder="0"/>
    </xf>
    <xf borderId="0" fillId="10" fontId="10" numFmtId="0" xfId="0" applyAlignment="1" applyFill="1" applyFont="1">
      <alignment horizontal="right" vertical="bottom"/>
    </xf>
    <xf borderId="0" fillId="11" fontId="10" numFmtId="0" xfId="0" applyAlignment="1" applyFill="1" applyFont="1">
      <alignment horizontal="right" vertical="bottom"/>
    </xf>
    <xf borderId="0" fillId="0" fontId="2" numFmtId="0" xfId="0" applyAlignment="1" applyFont="1">
      <alignment readingOrder="0"/>
    </xf>
    <xf borderId="0" fillId="3" fontId="2" numFmtId="164" xfId="0" applyAlignment="1" applyFont="1" applyNumberFormat="1">
      <alignment readingOrder="0"/>
    </xf>
    <xf borderId="0" fillId="12" fontId="10" numFmtId="0" xfId="0" applyAlignment="1" applyFill="1" applyFont="1">
      <alignment horizontal="right" vertical="bottom"/>
    </xf>
    <xf borderId="0" fillId="13" fontId="10" numFmtId="0" xfId="0" applyAlignment="1" applyFill="1" applyFont="1">
      <alignment horizontal="right" vertical="bottom"/>
    </xf>
    <xf borderId="0" fillId="0" fontId="2" numFmtId="0" xfId="0" applyAlignment="1" applyFont="1">
      <alignment readingOrder="0"/>
    </xf>
    <xf borderId="0" fillId="5" fontId="2" numFmtId="0" xfId="0" applyAlignment="1" applyFont="1">
      <alignment readingOrder="0" vertical="top"/>
    </xf>
    <xf borderId="0" fillId="5" fontId="2" numFmtId="164" xfId="0" applyAlignment="1" applyFont="1" applyNumberFormat="1">
      <alignment readingOrder="0" vertical="top"/>
    </xf>
    <xf borderId="0" fillId="5" fontId="2" numFmtId="0" xfId="0" applyAlignment="1" applyFont="1">
      <alignment horizontal="right" readingOrder="0" vertical="top"/>
    </xf>
    <xf borderId="0" fillId="5" fontId="2" numFmtId="0" xfId="0" applyAlignment="1" applyFont="1">
      <alignment readingOrder="0" shrinkToFit="0" vertical="top" wrapText="1"/>
    </xf>
    <xf borderId="0" fillId="14" fontId="10" numFmtId="0" xfId="0" applyAlignment="1" applyFill="1" applyFont="1">
      <alignment horizontal="right" vertical="bottom"/>
    </xf>
    <xf borderId="0" fillId="5" fontId="2" numFmtId="0" xfId="0" applyAlignment="1" applyFont="1">
      <alignment readingOrder="0" shrinkToFit="0" vertical="top" wrapText="1"/>
    </xf>
    <xf borderId="0" fillId="5" fontId="2" numFmtId="20" xfId="0" applyAlignment="1" applyFont="1" applyNumberFormat="1">
      <alignment readingOrder="0" vertical="top"/>
    </xf>
    <xf borderId="0" fillId="15" fontId="10" numFmtId="0" xfId="0" applyAlignment="1" applyFill="1" applyFont="1">
      <alignment horizontal="right" vertical="bottom"/>
    </xf>
    <xf borderId="0" fillId="16" fontId="10" numFmtId="0" xfId="0" applyAlignment="1" applyFill="1" applyFont="1">
      <alignment horizontal="right" vertical="bottom"/>
    </xf>
    <xf borderId="0" fillId="5" fontId="2" numFmtId="0" xfId="0" applyFont="1"/>
    <xf borderId="0" fillId="17" fontId="10" numFmtId="0" xfId="0" applyAlignment="1" applyFill="1" applyFont="1">
      <alignment horizontal="right" vertical="bottom"/>
    </xf>
    <xf borderId="0" fillId="18" fontId="10" numFmtId="0" xfId="0" applyAlignment="1" applyFill="1" applyFont="1">
      <alignment horizontal="right" vertical="bottom"/>
    </xf>
    <xf borderId="0" fillId="0" fontId="2" numFmtId="0" xfId="0" applyAlignment="1" applyFont="1">
      <alignment readingOrder="0" shrinkToFit="0" wrapText="1"/>
    </xf>
    <xf borderId="0" fillId="19" fontId="10" numFmtId="0" xfId="0" applyAlignment="1" applyFill="1" applyFont="1">
      <alignment horizontal="right" vertical="bottom"/>
    </xf>
    <xf borderId="0" fillId="20" fontId="10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 vertical="top"/>
    </xf>
    <xf borderId="0" fillId="2" fontId="0" numFmtId="4" xfId="0" applyAlignment="1" applyFont="1" applyNumberFormat="1">
      <alignment vertical="top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readingOrder="0" shrinkToFit="0" vertical="top" wrapText="1"/>
    </xf>
    <xf borderId="0" fillId="2" fontId="2" numFmtId="0" xfId="0" applyAlignment="1" applyFont="1">
      <alignment readingOrder="0" vertical="top"/>
    </xf>
    <xf borderId="0" fillId="2" fontId="2" numFmtId="0" xfId="0" applyAlignment="1" applyFont="1">
      <alignment vertical="top"/>
    </xf>
    <xf borderId="0" fillId="21" fontId="10" numFmtId="0" xfId="0" applyAlignment="1" applyFill="1" applyFont="1">
      <alignment horizontal="right" vertical="top"/>
    </xf>
    <xf borderId="0" fillId="3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3" fontId="2" numFmtId="0" xfId="0" applyAlignment="1" applyFont="1">
      <alignment vertical="top"/>
    </xf>
    <xf borderId="0" fillId="22" fontId="10" numFmtId="0" xfId="0" applyAlignment="1" applyFill="1" applyFont="1">
      <alignment horizontal="right" vertical="bottom"/>
    </xf>
    <xf borderId="0" fillId="23" fontId="10" numFmtId="0" xfId="0" applyAlignment="1" applyFill="1" applyFont="1">
      <alignment horizontal="right" vertical="bottom"/>
    </xf>
    <xf borderId="0" fillId="24" fontId="10" numFmtId="0" xfId="0" applyAlignment="1" applyFill="1" applyFont="1">
      <alignment horizontal="right" vertical="bottom"/>
    </xf>
    <xf borderId="0" fillId="3" fontId="10" numFmtId="0" xfId="0" applyAlignment="1" applyFont="1">
      <alignment horizontal="right" vertical="bottom"/>
    </xf>
    <xf borderId="0" fillId="25" fontId="10" numFmtId="0" xfId="0" applyAlignment="1" applyFill="1" applyFont="1">
      <alignment horizontal="right" vertical="bottom"/>
    </xf>
    <xf borderId="0" fillId="26" fontId="10" numFmtId="0" xfId="0" applyAlignment="1" applyFill="1" applyFont="1">
      <alignment horizontal="right" vertical="bottom"/>
    </xf>
    <xf borderId="0" fillId="0" fontId="5" numFmtId="0" xfId="0" applyAlignment="1" applyFont="1">
      <alignment readingOrder="0" shrinkToFit="0" vertical="center" wrapText="1"/>
    </xf>
    <xf borderId="0" fillId="27" fontId="10" numFmtId="0" xfId="0" applyAlignment="1" applyFill="1" applyFont="1">
      <alignment horizontal="right" vertical="bottom"/>
    </xf>
    <xf borderId="0" fillId="3" fontId="2" numFmtId="20" xfId="0" applyAlignment="1" applyFont="1" applyNumberFormat="1">
      <alignment horizontal="right" readingOrder="0"/>
    </xf>
    <xf borderId="0" fillId="28" fontId="10" numFmtId="0" xfId="0" applyAlignment="1" applyFill="1" applyFont="1">
      <alignment horizontal="right" vertical="bottom"/>
    </xf>
    <xf borderId="0" fillId="3" fontId="1" numFmtId="0" xfId="0" applyAlignment="1" applyFont="1">
      <alignment horizontal="left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0" fillId="29" fontId="10" numFmtId="0" xfId="0" applyAlignment="1" applyFill="1" applyFont="1">
      <alignment horizontal="right" vertical="bottom"/>
    </xf>
    <xf borderId="0" fillId="3" fontId="2" numFmtId="0" xfId="0" applyAlignment="1" applyFont="1">
      <alignment readingOrder="0" shrinkToFit="0" wrapText="1"/>
    </xf>
    <xf borderId="0" fillId="30" fontId="10" numFmtId="0" xfId="0" applyAlignment="1" applyFill="1" applyFont="1">
      <alignment horizontal="right" vertical="bottom"/>
    </xf>
    <xf borderId="0" fillId="5" fontId="2" numFmtId="4" xfId="0" applyAlignment="1" applyFont="1" applyNumberFormat="1">
      <alignment readingOrder="0"/>
    </xf>
    <xf borderId="0" fillId="31" fontId="10" numFmtId="0" xfId="0" applyAlignment="1" applyFill="1" applyFont="1">
      <alignment horizontal="right" vertical="bottom"/>
    </xf>
    <xf borderId="0" fillId="3" fontId="2" numFmtId="4" xfId="0" applyAlignment="1" applyFont="1" applyNumberFormat="1">
      <alignment readingOrder="0"/>
    </xf>
    <xf borderId="0" fillId="32" fontId="10" numFmtId="0" xfId="0" applyAlignment="1" applyFill="1" applyFont="1">
      <alignment horizontal="right" vertical="bottom"/>
    </xf>
    <xf borderId="0" fillId="33" fontId="10" numFmtId="0" xfId="0" applyAlignment="1" applyFill="1" applyFont="1">
      <alignment horizontal="right" vertical="bottom"/>
    </xf>
    <xf borderId="0" fillId="34" fontId="10" numFmtId="0" xfId="0" applyAlignment="1" applyFill="1" applyFont="1">
      <alignment horizontal="right" vertical="bottom"/>
    </xf>
    <xf borderId="0" fillId="3" fontId="11" numFmtId="0" xfId="0" applyAlignment="1" applyFont="1">
      <alignment readingOrder="0"/>
    </xf>
    <xf borderId="0" fillId="2" fontId="6" numFmtId="2" xfId="0" applyFont="1" applyNumberFormat="1"/>
    <xf borderId="0" fillId="2" fontId="5" numFmtId="3" xfId="0" applyAlignment="1" applyFont="1" applyNumberFormat="1">
      <alignment readingOrder="0"/>
    </xf>
    <xf borderId="0" fillId="2" fontId="2" numFmtId="0" xfId="0" applyAlignment="1" applyFont="1">
      <alignment readingOrder="0" shrinkToFit="0" wrapText="1"/>
    </xf>
    <xf borderId="0" fillId="2" fontId="6" numFmtId="3" xfId="0" applyFont="1" applyNumberFormat="1"/>
    <xf borderId="0" fillId="3" fontId="2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vertical="top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46" xfId="0" applyFont="1" applyNumberFormat="1"/>
    <xf borderId="0" fillId="0" fontId="2" numFmtId="4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3" fontId="6" numFmtId="3" xfId="0" applyAlignment="1" applyFont="1" applyNumberFormat="1">
      <alignment shrinkToFit="0" wrapText="1"/>
    </xf>
    <xf borderId="0" fillId="3" fontId="6" numFmtId="46" xfId="0" applyFont="1" applyNumberFormat="1"/>
    <xf borderId="0" fillId="3" fontId="6" numFmtId="4" xfId="0" applyFont="1" applyNumberFormat="1"/>
    <xf borderId="0" fillId="0" fontId="6" numFmtId="3" xfId="0" applyFont="1" applyNumberFormat="1"/>
    <xf borderId="0" fillId="0" fontId="6" numFmtId="3" xfId="0" applyAlignment="1" applyFont="1" applyNumberFormat="1">
      <alignment shrinkToFit="0" wrapText="1"/>
    </xf>
    <xf borderId="0" fillId="3" fontId="6" numFmtId="3" xfId="0" applyFont="1" applyNumberFormat="1"/>
    <xf borderId="0" fillId="3" fontId="6" numFmtId="0" xfId="0" applyAlignment="1" applyFont="1">
      <alignment shrinkToFit="0" wrapText="1"/>
    </xf>
    <xf borderId="0" fillId="3" fontId="6" numFmtId="3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3" fontId="2" numFmtId="20" xfId="0" applyAlignment="1" applyFont="1" applyNumberFormat="1">
      <alignment readingOrder="0" vertical="top"/>
    </xf>
    <xf borderId="0" fillId="3" fontId="2" numFmtId="46" xfId="0" applyAlignment="1" applyFont="1" applyNumberFormat="1">
      <alignment readingOrder="0" vertical="top"/>
    </xf>
    <xf borderId="0" fillId="0" fontId="2" numFmtId="0" xfId="0" applyAlignment="1" applyFont="1">
      <alignment horizontal="right" vertical="top"/>
    </xf>
    <xf borderId="0" fillId="3" fontId="2" numFmtId="0" xfId="0" applyAlignment="1" applyFont="1">
      <alignment vertical="top"/>
    </xf>
    <xf borderId="0" fillId="5" fontId="2" numFmtId="0" xfId="0" applyAlignment="1" applyFont="1">
      <alignment vertical="top"/>
    </xf>
    <xf borderId="0" fillId="3" fontId="2" numFmtId="164" xfId="0" applyFont="1" applyNumberFormat="1"/>
    <xf borderId="0" fillId="5" fontId="2" numFmtId="164" xfId="0" applyFont="1" applyNumberFormat="1"/>
    <xf borderId="0" fillId="3" fontId="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1"/>
    </xf>
    <xf borderId="0" fillId="3" fontId="11" numFmtId="0" xfId="0" applyAlignment="1" applyFont="1">
      <alignment readingOrder="0"/>
    </xf>
    <xf borderId="0" fillId="3" fontId="6" numFmtId="0" xfId="0" applyFont="1"/>
    <xf borderId="0" fillId="3" fontId="6" numFmtId="0" xfId="0" applyAlignment="1" applyFont="1">
      <alignment readingOrder="0"/>
    </xf>
    <xf borderId="0" fillId="3" fontId="6" numFmtId="0" xfId="0" applyAlignment="1" applyFont="1">
      <alignment horizontal="left" readingOrder="0"/>
    </xf>
    <xf borderId="0" fillId="3" fontId="6" numFmtId="165" xfId="0" applyFont="1" applyNumberFormat="1"/>
    <xf borderId="0" fillId="3" fontId="2" numFmtId="10" xfId="0" applyAlignment="1" applyFont="1" applyNumberFormat="1">
      <alignment readingOrder="0" vertical="top"/>
    </xf>
    <xf borderId="0" fillId="0" fontId="9" numFmtId="3" xfId="0" applyAlignment="1" applyFont="1" applyNumberFormat="1">
      <alignment horizontal="right" readingOrder="0" vertical="bottom"/>
    </xf>
    <xf borderId="0" fillId="3" fontId="9" numFmtId="3" xfId="0" applyAlignment="1" applyFont="1" applyNumberForma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9" numFmtId="3" xfId="0" applyAlignment="1" applyFont="1" applyNumberFormat="1">
      <alignment horizontal="right" vertical="bottom"/>
    </xf>
    <xf borderId="0" fillId="3" fontId="9" numFmtId="3" xfId="0" applyAlignment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0" fillId="3" fontId="6" numFmtId="3" xfId="0" applyAlignment="1" applyFont="1" applyNumberFormat="1">
      <alignment readingOrder="0" vertical="top"/>
    </xf>
    <xf borderId="0" fillId="0" fontId="10" numFmtId="3" xfId="0" applyAlignment="1" applyFont="1" applyNumberFormat="1">
      <alignment horizontal="right" vertical="bottom"/>
    </xf>
    <xf borderId="0" fillId="3" fontId="6" numFmtId="4" xfId="0" applyAlignment="1" applyFont="1" applyNumberFormat="1">
      <alignment horizontal="right" readingOrder="0" vertical="top"/>
    </xf>
    <xf borderId="0" fillId="3" fontId="6" numFmtId="0" xfId="0" applyAlignment="1" applyFont="1">
      <alignment horizontal="right" readingOrder="0" vertical="top"/>
    </xf>
    <xf borderId="0" fillId="3" fontId="6" numFmtId="0" xfId="0" applyAlignment="1" applyFont="1">
      <alignment readingOrder="0" shrinkToFit="0" vertical="top" wrapText="1"/>
    </xf>
    <xf borderId="0" fillId="3" fontId="6" numFmtId="0" xfId="0" applyAlignment="1" applyFont="1">
      <alignment readingOrder="0" vertical="top"/>
    </xf>
    <xf borderId="0" fillId="3" fontId="6" numFmtId="14" xfId="0" applyAlignment="1" applyFont="1" applyNumberFormat="1">
      <alignment readingOrder="0" vertical="top"/>
    </xf>
    <xf borderId="0" fillId="3" fontId="6" numFmtId="0" xfId="0" applyAlignment="1" applyFont="1">
      <alignment vertical="top"/>
    </xf>
    <xf borderId="0" fillId="3" fontId="9" numFmtId="0" xfId="0" applyAlignment="1" applyFont="1">
      <alignment readingOrder="0" vertical="bottom"/>
    </xf>
    <xf borderId="0" fillId="0" fontId="6" numFmtId="1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6" numFmtId="46" xfId="0" applyFont="1" applyNumberFormat="1"/>
    <xf borderId="0" fillId="0" fontId="6" numFmtId="4" xfId="0" applyAlignment="1" applyFont="1" applyNumberFormat="1">
      <alignment readingOrder="0"/>
    </xf>
    <xf borderId="0" fillId="0" fontId="6" numFmtId="0" xfId="0" applyAlignment="1" applyFont="1">
      <alignment readingOrder="0" shrinkToFit="0" wrapText="1"/>
    </xf>
    <xf borderId="0" fillId="5" fontId="6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46" xfId="0" applyFont="1" applyNumberFormat="1"/>
    <xf borderId="0" fillId="0" fontId="10" numFmtId="0" xfId="0" applyAlignment="1" applyFont="1">
      <alignment horizontal="right" vertical="bottom"/>
    </xf>
    <xf borderId="0" fillId="2" fontId="6" numFmtId="0" xfId="0" applyAlignment="1" applyFon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3" fontId="6" numFmtId="3" xfId="0" applyAlignment="1" applyFont="1" applyNumberFormat="1">
      <alignment shrinkToFit="0" wrapText="1"/>
    </xf>
    <xf borderId="0" fillId="3" fontId="6" numFmtId="46" xfId="0" applyFont="1" applyNumberFormat="1"/>
    <xf borderId="0" fillId="3" fontId="6" numFmtId="4" xfId="0" applyFont="1" applyNumberFormat="1"/>
    <xf borderId="0" fillId="0" fontId="6" numFmtId="3" xfId="0" applyFont="1" applyNumberFormat="1"/>
    <xf borderId="0" fillId="0" fontId="6" numFmtId="3" xfId="0" applyAlignment="1" applyFont="1" applyNumberFormat="1">
      <alignment shrinkToFit="0" wrapText="1"/>
    </xf>
    <xf borderId="0" fillId="3" fontId="6" numFmtId="3" xfId="0" applyFont="1" applyNumberFormat="1"/>
    <xf borderId="0" fillId="3" fontId="6" numFmtId="0" xfId="0" applyAlignment="1" applyFont="1">
      <alignment shrinkToFit="0" wrapText="1"/>
    </xf>
    <xf borderId="0" fillId="3" fontId="6" numFmtId="3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2" xfId="0" applyAlignment="1" applyFont="1" applyNumberFormat="1">
      <alignment readingOrder="0"/>
    </xf>
    <xf borderId="0" fillId="5" fontId="2" numFmtId="2" xfId="0" applyAlignment="1" applyFont="1" applyNumberFormat="1">
      <alignment readingOrder="0"/>
    </xf>
    <xf borderId="0" fillId="5" fontId="2" numFmtId="0" xfId="0" applyAlignment="1" applyFont="1">
      <alignment shrinkToFit="0" wrapText="1"/>
    </xf>
    <xf borderId="0" fillId="5" fontId="2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3" fontId="2" numFmtId="0" xfId="0" applyAlignment="1" applyFont="1">
      <alignment horizontal="center" readingOrder="0"/>
    </xf>
    <xf borderId="0" fillId="3" fontId="2" numFmtId="20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readingOrder="0" shrinkToFit="0" wrapText="1"/>
    </xf>
    <xf borderId="0" fillId="0" fontId="10" numFmtId="0" xfId="0" applyAlignment="1" applyFont="1">
      <alignment vertical="bottom"/>
    </xf>
    <xf borderId="0" fillId="2" fontId="3" numFmtId="3" xfId="0" applyFont="1" applyNumberFormat="1"/>
    <xf borderId="0" fillId="3" fontId="2" numFmtId="165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2" xfId="0" applyAlignment="1" applyFont="1" applyNumberFormat="1">
      <alignment readingOrder="0"/>
    </xf>
    <xf borderId="0" fillId="2" fontId="0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5" fontId="1" numFmtId="0" xfId="0" applyFont="1"/>
    <xf borderId="0" fillId="0" fontId="6" numFmtId="0" xfId="0" applyFont="1"/>
    <xf borderId="0" fillId="0" fontId="6" numFmtId="165" xfId="0" applyFont="1" applyNumberFormat="1"/>
    <xf borderId="0" fillId="2" fontId="12" numFmtId="3" xfId="0" applyAlignment="1" applyFont="1" applyNumberFormat="1">
      <alignment readingOrder="0"/>
    </xf>
    <xf borderId="0" fillId="3" fontId="6" numFmtId="3" xfId="0" applyAlignment="1" applyFont="1" applyNumberFormat="1">
      <alignment vertical="top"/>
    </xf>
    <xf borderId="0" fillId="3" fontId="6" numFmtId="3" xfId="0" applyAlignment="1" applyFont="1" applyNumberFormat="1">
      <alignment horizontal="right" vertical="top"/>
    </xf>
    <xf borderId="0" fillId="3" fontId="6" numFmtId="3" xfId="0" applyAlignment="1" applyFont="1" applyNumberFormat="1">
      <alignment shrinkToFit="0" vertical="top" wrapText="1"/>
    </xf>
    <xf borderId="0" fillId="3" fontId="6" numFmtId="3" xfId="0" applyAlignment="1" applyFont="1" applyNumberFormat="1">
      <alignment horizontal="right" readingOrder="0" vertical="top"/>
    </xf>
    <xf borderId="0" fillId="3" fontId="6" numFmtId="3" xfId="0" applyAlignment="1" applyFont="1" applyNumberFormat="1">
      <alignment readingOrder="0" shrinkToFit="0" vertical="top" wrapText="1"/>
    </xf>
    <xf borderId="0" fillId="0" fontId="2" numFmtId="165" xfId="0" applyFont="1" applyNumberFormat="1"/>
    <xf borderId="0" fillId="2" fontId="5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6" numFmtId="2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/>
    </xf>
    <xf borderId="0" fillId="0" fontId="5" numFmtId="2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2" numFmtId="168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2" numFmtId="168" xfId="0" applyAlignment="1" applyFont="1" applyNumberFormat="1">
      <alignment horizontal="righ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2" fontId="6" numFmtId="0" xfId="0" applyFont="1"/>
    <xf borderId="0" fillId="0" fontId="6" numFmtId="0" xfId="0" applyAlignment="1" applyFont="1">
      <alignment horizontal="left"/>
    </xf>
    <xf borderId="0" fillId="0" fontId="9" numFmtId="1" xfId="0" applyAlignment="1" applyFont="1" applyNumberFormat="1">
      <alignment horizontal="right" readingOrder="0" vertical="bottom"/>
    </xf>
    <xf borderId="0" fillId="3" fontId="9" numFmtId="1" xfId="0" applyAlignment="1" applyFont="1" applyNumberFormat="1">
      <alignment horizontal="right" readingOrder="0" vertical="bottom"/>
    </xf>
    <xf borderId="0" fillId="0" fontId="5" numFmtId="0" xfId="0" applyFont="1"/>
    <xf borderId="0" fillId="0" fontId="13" numFmtId="0" xfId="0" applyFont="1"/>
    <xf borderId="0" fillId="0" fontId="4" numFmtId="0" xfId="0" applyAlignment="1" applyFont="1">
      <alignment readingOrder="0"/>
    </xf>
    <xf borderId="0" fillId="3" fontId="2" numFmtId="0" xfId="0" applyAlignment="1" applyFont="1">
      <alignment horizontal="right"/>
    </xf>
    <xf borderId="0" fillId="11" fontId="5" numFmtId="0" xfId="0" applyFont="1"/>
    <xf borderId="0" fillId="21" fontId="10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/>
    </xf>
    <xf borderId="0" fillId="0" fontId="2" numFmtId="169" xfId="0" applyAlignment="1" applyFont="1" applyNumberFormat="1">
      <alignment horizontal="right" readingOrder="0"/>
    </xf>
    <xf borderId="0" fillId="3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 shrinkToFit="0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165" xfId="0" applyAlignment="1" applyFont="1" applyNumberFormat="1">
      <alignment horizontal="left" readingOrder="0"/>
    </xf>
    <xf borderId="0" fillId="3" fontId="1" numFmtId="0" xfId="0" applyAlignment="1" applyFont="1">
      <alignment horizontal="center" shrinkToFit="0" wrapText="1"/>
    </xf>
    <xf borderId="0" fillId="3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5" xfId="0" applyAlignment="1" applyFont="1" applyNumberFormat="1">
      <alignment horizontal="center" readingOrder="0"/>
    </xf>
    <xf quotePrefix="1" borderId="0" fillId="0" fontId="2" numFmtId="0" xfId="0" applyAlignment="1" applyFont="1">
      <alignment readingOrder="0"/>
    </xf>
    <xf borderId="0" fillId="0" fontId="6" numFmtId="0" xfId="0" applyAlignment="1" applyFont="1">
      <alignment horizontal="lef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</dxfs>
  <tableStyles count="6">
    <tableStyle count="3" pivot="0" name="February 2021-style">
      <tableStyleElement dxfId="1" type="headerRow"/>
      <tableStyleElement dxfId="2" type="firstRowStripe"/>
      <tableStyleElement dxfId="3" type="secondRowStripe"/>
    </tableStyle>
    <tableStyle count="3" pivot="0" name="March 2021-style">
      <tableStyleElement dxfId="1" type="headerRow"/>
      <tableStyleElement dxfId="2" type="firstRowStripe"/>
      <tableStyleElement dxfId="3" type="secondRowStripe"/>
    </tableStyle>
    <tableStyle count="3" pivot="0" name="April 2021-style">
      <tableStyleElement dxfId="1" type="headerRow"/>
      <tableStyleElement dxfId="2" type="firstRowStripe"/>
      <tableStyleElement dxfId="3" type="secondRowStripe"/>
    </tableStyle>
    <tableStyle count="3" pivot="0" name="November 2020-style">
      <tableStyleElement dxfId="1" type="headerRow"/>
      <tableStyleElement dxfId="2" type="firstRowStripe"/>
      <tableStyleElement dxfId="3" type="secondRowStripe"/>
    </tableStyle>
    <tableStyle count="3" pivot="0" name="December 2020-style">
      <tableStyleElement dxfId="1" type="headerRow"/>
      <tableStyleElement dxfId="2" type="firstRowStripe"/>
      <tableStyleElement dxfId="3" type="secondRowStripe"/>
    </tableStyle>
    <tableStyle count="3" pivot="0" name="January 202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32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February 20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Q32" displayName="Table_2" name="Table_2" id="2">
  <tableColumns count="4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</tableColumns>
  <tableStyleInfo name="March 20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BN1009" displayName="Table_3" name="Table_3" id="3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April 20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AE31" displayName="Table_4" name="Table_4" id="4">
  <tableColumns count="31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 Date" id="7"/>
    <tableColumn name="End time_x000a_HH:MM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 assisted up" id="18"/>
    <tableColumn name="Males assisted up" id="19"/>
    <tableColumn name="Females unassisted up" id="20"/>
    <tableColumn name="Males unassisted up" id="21"/>
    <tableColumn name="Juveniles" id="22"/>
    <tableColumn name="Roadkills female" id="23"/>
    <tableColumn name="Roadkills male" id="24"/>
    <tableColumn name="Roadkills 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Comments" id="31"/>
  </tableColumns>
  <tableStyleInfo name="November 2020-style" showColumnStripes="0" showFirstColumn="1" showLastColumn="1" showRowStripes="1"/>
</table>
</file>

<file path=xl/tables/table5.xml><?xml version="1.0" encoding="utf-8"?>
<table xmlns="http://schemas.openxmlformats.org/spreadsheetml/2006/main" ref="A1:AE32" displayName="Table_5" name="Table_5" id="5">
  <tableColumns count="31">
    <tableColumn name="  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_x000a_time" id="8"/>
    <tableColumn name="Hours_x000a_Monitored" id="9"/>
    <tableColumn name="Team Hrs." id="10"/>
    <tableColumn name="Start Temp" id="11"/>
    <tableColumn name="End Temp" id="12"/>
    <tableColumn name="Weather" id="13"/>
    <tableColumn name="Females assisted down" id="14"/>
    <tableColumn name="Males assisted down" id="15"/>
    <tableColumn name="Females unassisted down" id="16"/>
    <tableColumn name="Males unassisted down" id="17"/>
    <tableColumn name="Females_x000a_assisted_x000a_up" id="18"/>
    <tableColumn name="Males_x000a_ assisted_x000a_ up" id="19"/>
    <tableColumn name="Females unassisted up" id="20"/>
    <tableColumn name="Males unassisted up" id="21"/>
    <tableColumn name="Juveniles" id="22"/>
    <tableColumn name="Roadkills_x000a_female" id="23"/>
    <tableColumn name="Roadkills_x000a_male" id="24"/>
    <tableColumn name="Roadkills_x000a_unk" id="25"/>
    <tableColumn name="Total Frogs down" id="26"/>
    <tableColumn name="Total Frogs up" id="27"/>
    <tableColumn name="Total Frogs Assisted Down" id="28"/>
    <tableColumn name="Total Frogs Assisted Up" id="29"/>
    <tableColumn name="% moon visible" id="30"/>
    <tableColumn name="Comments" id="31"/>
  </tableColumns>
  <tableStyleInfo name="December 2020-style" showColumnStripes="0" showFirstColumn="1" showLastColumn="1" showRowStripes="1"/>
</table>
</file>

<file path=xl/tables/table6.xml><?xml version="1.0" encoding="utf-8"?>
<table xmlns="http://schemas.openxmlformats.org/spreadsheetml/2006/main" ref="A1:AE32" displayName="Table_6" name="Table_6" id="6">
  <tableColumns count="31">
    <tableColumn name="Date" id="1"/>
    <tableColumn name="Sunset" id="2"/>
    <tableColumn name="Civil _x000a_Twilight" id="3"/>
    <tableColumn name="Captain" id="4"/>
    <tableColumn name="Monitored (Y/N)" id="5"/>
    <tableColumn name="Start time_x000a_HH:MM" id="6"/>
    <tableColumn name="End_x000a_Date" id="7"/>
    <tableColumn name="End Time_x000a_HH:MM" id="8"/>
    <tableColumn name="Hours _x000a_monitored" id="9"/>
    <tableColumn name="Team Hrs." id="10"/>
    <tableColumn name="Start Temp." id="11"/>
    <tableColumn name="End Temp" id="12"/>
    <tableColumn name="Weather" id="13"/>
    <tableColumn name="Females assisted down" id="14"/>
    <tableColumn name="Males assisted down" id="15"/>
    <tableColumn name="Unassisted Females down" id="16"/>
    <tableColumn name="Unasissted Males down" id="17"/>
    <tableColumn name="Females _x000a_assisted _x000a_up" id="18"/>
    <tableColumn name="Males assisted _x000a_up" id="19"/>
    <tableColumn name="Unassisted females  _x000a_up" id="20"/>
    <tableColumn name="Unassisted males _x000a_up" id="21"/>
    <tableColumn name="Juveniles " id="22"/>
    <tableColumn name="Roadkill Females" id="23"/>
    <tableColumn name="Roadkill Males" id="24"/>
    <tableColumn name="Roadkill_x000a_Unk" id="25"/>
    <tableColumn name="Total_x000a_frogs down" id="26"/>
    <tableColumn name="Total_x000a_frogs _x000a_up" id="27"/>
    <tableColumn name="Total Frogs Assisted Down" id="28"/>
    <tableColumn name="Total Frogs Assisted Up" id="29"/>
    <tableColumn name="% moon visible" id="30"/>
    <tableColumn name="Comments" id="31"/>
  </tableColumns>
  <tableStyleInfo name="January 2021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13"/>
    <col customWidth="1" min="2" max="2" width="5.88"/>
    <col customWidth="1" min="3" max="3" width="9.5"/>
    <col customWidth="1" min="4" max="4" width="14.88"/>
    <col customWidth="1" min="5" max="5" width="7.75"/>
    <col customWidth="1" min="6" max="6" width="7.25"/>
    <col customWidth="1" min="7" max="8" width="7.88"/>
    <col customWidth="1" min="9" max="9" width="8.75"/>
    <col customWidth="1" min="10" max="10" width="5.63"/>
    <col customWidth="1" min="11" max="11" width="5.25"/>
    <col customWidth="1" min="12" max="12" width="6.63"/>
    <col customWidth="1" min="13" max="13" width="18.88"/>
    <col customWidth="1" min="14" max="24" width="9.0"/>
    <col customWidth="1" min="25" max="25" width="6.5"/>
    <col customWidth="1" min="26" max="26" width="8.13"/>
    <col customWidth="1" min="27" max="27" width="6.13"/>
    <col customWidth="1" min="28" max="28" width="7.75"/>
    <col customWidth="1" min="29" max="29" width="11.38"/>
    <col customWidth="1" hidden="1" min="30" max="30" width="6.0"/>
    <col customWidth="1" min="31" max="31" width="65.88"/>
  </cols>
  <sheetData>
    <row r="1" ht="52.5" customHeight="1">
      <c r="A1" s="1">
        <v>28.0</v>
      </c>
      <c r="B1" s="1" t="s">
        <v>0</v>
      </c>
      <c r="C1" s="2" t="s">
        <v>1</v>
      </c>
      <c r="D1" s="1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4" t="s">
        <v>26</v>
      </c>
      <c r="AC1" s="4" t="s">
        <v>27</v>
      </c>
      <c r="AD1" s="3" t="s">
        <v>28</v>
      </c>
      <c r="AE1" s="1" t="s">
        <v>29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>
      <c r="A2" s="6">
        <v>44228.0</v>
      </c>
      <c r="B2" s="7">
        <v>1717.0</v>
      </c>
      <c r="C2" s="7">
        <v>1748.0</v>
      </c>
      <c r="D2" s="8" t="str">
        <f>choose(weekday(A2),"Phil/Fred", "Jane/Sara", "Jim/John/Lena","Marsha/Anne","Shawn/Jenny","Jeff", "Rob/Maggie")</f>
        <v>Jane/Sara</v>
      </c>
      <c r="E2" s="9" t="s">
        <v>30</v>
      </c>
      <c r="F2" s="10">
        <v>0.7291666666666666</v>
      </c>
      <c r="G2" s="11">
        <v>44228.0</v>
      </c>
      <c r="H2" s="10">
        <v>0.8645833333333334</v>
      </c>
      <c r="I2" s="12">
        <f t="shared" ref="I2:I29" si="1">iferror(24*( DATEDIF(A2,G2,"D")+TIMEVALUE(H2)-TIMEVALUE(F2)),0)</f>
        <v>3.25</v>
      </c>
      <c r="J2" s="13">
        <v>18.5</v>
      </c>
      <c r="K2" s="9">
        <v>50.3</v>
      </c>
      <c r="L2" s="9">
        <v>46.5</v>
      </c>
      <c r="M2" s="9" t="s">
        <v>31</v>
      </c>
      <c r="N2" s="9">
        <v>1.0</v>
      </c>
      <c r="O2" s="14">
        <v>0.0</v>
      </c>
      <c r="P2" s="9">
        <v>1.0</v>
      </c>
      <c r="Q2" s="14">
        <v>0.0</v>
      </c>
      <c r="R2" s="9">
        <v>9.0</v>
      </c>
      <c r="S2" s="14">
        <v>0.0</v>
      </c>
      <c r="T2" s="14">
        <v>0.0</v>
      </c>
      <c r="U2" s="14">
        <v>0.0</v>
      </c>
      <c r="V2" s="14">
        <v>0.0</v>
      </c>
      <c r="W2" s="14">
        <v>0.0</v>
      </c>
      <c r="X2" s="14">
        <v>0.0</v>
      </c>
      <c r="Y2" s="14">
        <v>0.0</v>
      </c>
      <c r="Z2" s="9">
        <f t="shared" ref="Z2:Z7" si="2">sum(N2:Q2)</f>
        <v>2</v>
      </c>
      <c r="AA2" s="9">
        <v>0.0</v>
      </c>
      <c r="AB2" s="7">
        <f t="shared" ref="AB2:AB7" si="3">sum(N2:O2)</f>
        <v>1</v>
      </c>
      <c r="AC2" s="7">
        <f t="shared" ref="AC2:AC7" si="4">sum(R2:S2,V2)</f>
        <v>9</v>
      </c>
      <c r="AD2" s="15">
        <v>0.21</v>
      </c>
      <c r="AE2" s="16" t="s">
        <v>32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6">
        <v>44229.0</v>
      </c>
      <c r="B3" s="18">
        <v>1718.0</v>
      </c>
      <c r="C3" s="18">
        <v>1750.0</v>
      </c>
      <c r="D3" s="8" t="str">
        <f t="shared" ref="D3:D22" si="5">choose(weekday(A3),"Phil/Fred", "Jane/Sarah", "Jim/John/Lena","Marsha/Anne","Shawn/Jenny","Jeff", "Rob/Maggie")</f>
        <v>Jim/John/Lena</v>
      </c>
      <c r="E3" s="19" t="s">
        <v>30</v>
      </c>
      <c r="F3" s="20">
        <v>0.7291666666666666</v>
      </c>
      <c r="G3" s="21">
        <v>44229.0</v>
      </c>
      <c r="H3" s="22">
        <v>0.7916666666666666</v>
      </c>
      <c r="I3" s="23">
        <f t="shared" si="1"/>
        <v>1.5</v>
      </c>
      <c r="J3" s="24">
        <v>6.0</v>
      </c>
      <c r="K3" s="19">
        <v>42.6</v>
      </c>
      <c r="L3" s="19">
        <v>41.8</v>
      </c>
      <c r="M3" s="19" t="s">
        <v>33</v>
      </c>
      <c r="N3" s="25">
        <v>0.0</v>
      </c>
      <c r="O3" s="25">
        <v>0.0</v>
      </c>
      <c r="P3" s="25">
        <v>0.0</v>
      </c>
      <c r="Q3" s="25">
        <v>0.0</v>
      </c>
      <c r="R3" s="25">
        <v>0.0</v>
      </c>
      <c r="S3" s="25">
        <v>0.0</v>
      </c>
      <c r="T3" s="25">
        <v>0.0</v>
      </c>
      <c r="U3" s="25">
        <v>0.0</v>
      </c>
      <c r="V3" s="25">
        <v>0.0</v>
      </c>
      <c r="W3" s="25">
        <v>0.0</v>
      </c>
      <c r="X3" s="25">
        <v>0.0</v>
      </c>
      <c r="Y3" s="25">
        <v>0.0</v>
      </c>
      <c r="Z3" s="26">
        <f t="shared" si="2"/>
        <v>0</v>
      </c>
      <c r="AA3" s="26">
        <f t="shared" ref="AA3:AA7" si="6">sum(R3:V3)</f>
        <v>0</v>
      </c>
      <c r="AB3" s="27">
        <f t="shared" si="3"/>
        <v>0</v>
      </c>
      <c r="AC3" s="27">
        <f t="shared" si="4"/>
        <v>0</v>
      </c>
      <c r="AD3" s="15">
        <v>0.13</v>
      </c>
      <c r="AE3" s="19" t="s">
        <v>34</v>
      </c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>
      <c r="A4" s="6">
        <v>44230.0</v>
      </c>
      <c r="B4" s="18">
        <v>1720.0</v>
      </c>
      <c r="C4" s="18">
        <v>1751.0</v>
      </c>
      <c r="D4" s="8" t="str">
        <f t="shared" si="5"/>
        <v>Marsha/Anne</v>
      </c>
      <c r="E4" s="19" t="s">
        <v>35</v>
      </c>
      <c r="F4" s="29"/>
      <c r="G4" s="21">
        <v>44230.0</v>
      </c>
      <c r="H4" s="29"/>
      <c r="I4" s="23">
        <f t="shared" si="1"/>
        <v>0</v>
      </c>
      <c r="J4" s="30"/>
      <c r="K4" s="19">
        <v>41.0</v>
      </c>
      <c r="L4" s="25"/>
      <c r="M4" s="25"/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0.0</v>
      </c>
      <c r="V4" s="25">
        <v>0.0</v>
      </c>
      <c r="W4" s="25">
        <v>0.0</v>
      </c>
      <c r="X4" s="25">
        <v>0.0</v>
      </c>
      <c r="Y4" s="25">
        <v>0.0</v>
      </c>
      <c r="Z4" s="26">
        <f t="shared" si="2"/>
        <v>0</v>
      </c>
      <c r="AA4" s="26">
        <f t="shared" si="6"/>
        <v>0</v>
      </c>
      <c r="AB4" s="27">
        <f t="shared" si="3"/>
        <v>0</v>
      </c>
      <c r="AC4" s="27">
        <f t="shared" si="4"/>
        <v>0</v>
      </c>
      <c r="AD4" s="15">
        <v>0.07</v>
      </c>
      <c r="AE4" s="25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6">
        <v>44231.0</v>
      </c>
      <c r="B5" s="7">
        <v>1721.0</v>
      </c>
      <c r="C5" s="18">
        <v>1753.0</v>
      </c>
      <c r="D5" s="8" t="str">
        <f t="shared" si="5"/>
        <v>Shawn/Jenny</v>
      </c>
      <c r="E5" s="19" t="s">
        <v>30</v>
      </c>
      <c r="F5" s="20">
        <v>0.7083333333333334</v>
      </c>
      <c r="G5" s="21">
        <v>44231.0</v>
      </c>
      <c r="H5" s="22">
        <v>0.8125</v>
      </c>
      <c r="I5" s="23">
        <f t="shared" si="1"/>
        <v>2.5</v>
      </c>
      <c r="J5" s="24">
        <v>6.5</v>
      </c>
      <c r="K5" s="19">
        <v>46.0</v>
      </c>
      <c r="L5" s="19">
        <v>45.0</v>
      </c>
      <c r="M5" s="9" t="s">
        <v>36</v>
      </c>
      <c r="N5" s="9">
        <v>1.0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25">
        <v>0.0</v>
      </c>
      <c r="W5" s="25">
        <v>0.0</v>
      </c>
      <c r="X5" s="25">
        <v>0.0</v>
      </c>
      <c r="Y5" s="25">
        <v>0.0</v>
      </c>
      <c r="Z5" s="26">
        <f t="shared" si="2"/>
        <v>1</v>
      </c>
      <c r="AA5" s="26">
        <f t="shared" si="6"/>
        <v>0</v>
      </c>
      <c r="AB5" s="27">
        <f t="shared" si="3"/>
        <v>1</v>
      </c>
      <c r="AC5" s="27">
        <f t="shared" si="4"/>
        <v>0</v>
      </c>
      <c r="AD5" s="15">
        <v>0.03</v>
      </c>
      <c r="AE5" s="19" t="s">
        <v>37</v>
      </c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</row>
    <row r="6">
      <c r="A6" s="6">
        <v>44232.0</v>
      </c>
      <c r="B6" s="18">
        <v>1723.0</v>
      </c>
      <c r="C6" s="18">
        <v>1754.0</v>
      </c>
      <c r="D6" s="8" t="str">
        <f t="shared" si="5"/>
        <v>Jeff</v>
      </c>
      <c r="E6" s="19" t="s">
        <v>35</v>
      </c>
      <c r="F6" s="20">
        <v>0.7083333333333334</v>
      </c>
      <c r="G6" s="21">
        <v>44232.0</v>
      </c>
      <c r="H6" s="22">
        <v>0.7083333333333334</v>
      </c>
      <c r="I6" s="23">
        <f t="shared" si="1"/>
        <v>0</v>
      </c>
      <c r="J6" s="25"/>
      <c r="K6" s="19">
        <v>47.0</v>
      </c>
      <c r="L6" s="19">
        <v>47.0</v>
      </c>
      <c r="M6" s="19" t="s">
        <v>38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0.0</v>
      </c>
      <c r="V6" s="25">
        <v>0.0</v>
      </c>
      <c r="W6" s="25">
        <v>0.0</v>
      </c>
      <c r="X6" s="25">
        <v>0.0</v>
      </c>
      <c r="Y6" s="25">
        <v>0.0</v>
      </c>
      <c r="Z6" s="26">
        <f t="shared" si="2"/>
        <v>0</v>
      </c>
      <c r="AA6" s="26">
        <f t="shared" si="6"/>
        <v>0</v>
      </c>
      <c r="AB6" s="27">
        <f t="shared" si="3"/>
        <v>0</v>
      </c>
      <c r="AC6" s="27">
        <f t="shared" si="4"/>
        <v>0</v>
      </c>
      <c r="AD6" s="15">
        <v>0.01</v>
      </c>
      <c r="AE6" s="25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6">
        <v>44233.0</v>
      </c>
      <c r="B7" s="18">
        <v>1724.0</v>
      </c>
      <c r="C7" s="18">
        <v>1755.0</v>
      </c>
      <c r="D7" s="8" t="str">
        <f t="shared" si="5"/>
        <v>Rob/Maggie</v>
      </c>
      <c r="E7" s="19" t="s">
        <v>39</v>
      </c>
      <c r="F7" s="20">
        <v>0.71875</v>
      </c>
      <c r="G7" s="21">
        <v>44233.0</v>
      </c>
      <c r="H7" s="22">
        <v>0.78125</v>
      </c>
      <c r="I7" s="23">
        <f t="shared" si="1"/>
        <v>1.5</v>
      </c>
      <c r="J7" s="24">
        <v>2.45</v>
      </c>
      <c r="K7" s="19">
        <v>47.0</v>
      </c>
      <c r="L7" s="19">
        <v>44.0</v>
      </c>
      <c r="M7" s="19" t="s">
        <v>40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0.0</v>
      </c>
      <c r="Y7" s="25">
        <v>0.0</v>
      </c>
      <c r="Z7" s="26">
        <f t="shared" si="2"/>
        <v>0</v>
      </c>
      <c r="AA7" s="26">
        <f t="shared" si="6"/>
        <v>0</v>
      </c>
      <c r="AB7" s="27">
        <f t="shared" si="3"/>
        <v>0</v>
      </c>
      <c r="AC7" s="27">
        <f t="shared" si="4"/>
        <v>0</v>
      </c>
      <c r="AD7" s="15">
        <v>0.0</v>
      </c>
      <c r="AE7" s="1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</row>
    <row r="8">
      <c r="A8" s="6">
        <v>44234.0</v>
      </c>
      <c r="B8" s="18">
        <v>1726.0</v>
      </c>
      <c r="C8" s="18">
        <v>1757.0</v>
      </c>
      <c r="D8" s="8" t="str">
        <f t="shared" si="5"/>
        <v>Phil/Fred</v>
      </c>
      <c r="E8" s="19" t="s">
        <v>35</v>
      </c>
      <c r="F8" s="19"/>
      <c r="G8" s="21">
        <v>44234.0</v>
      </c>
      <c r="H8" s="31"/>
      <c r="I8" s="23">
        <f t="shared" si="1"/>
        <v>0</v>
      </c>
      <c r="J8" s="30"/>
      <c r="K8" s="19">
        <v>42.0</v>
      </c>
      <c r="L8" s="25"/>
      <c r="M8" s="19" t="s">
        <v>41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25">
        <v>0.0</v>
      </c>
      <c r="W8" s="25">
        <v>0.0</v>
      </c>
      <c r="X8" s="25">
        <v>0.0</v>
      </c>
      <c r="Y8" s="25">
        <v>0.0</v>
      </c>
      <c r="Z8" s="26">
        <v>2.0</v>
      </c>
      <c r="AA8" s="26">
        <v>9.0</v>
      </c>
      <c r="AB8" s="26">
        <v>2.0</v>
      </c>
      <c r="AC8" s="26">
        <v>6.0</v>
      </c>
      <c r="AD8" s="15">
        <v>0.01</v>
      </c>
      <c r="AE8" s="18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6">
        <v>44235.0</v>
      </c>
      <c r="B9" s="18">
        <v>1727.0</v>
      </c>
      <c r="C9" s="18">
        <v>1758.0</v>
      </c>
      <c r="D9" s="8" t="str">
        <f t="shared" si="5"/>
        <v>Jane/Sarah</v>
      </c>
      <c r="E9" s="19" t="s">
        <v>35</v>
      </c>
      <c r="F9" s="29"/>
      <c r="G9" s="21">
        <v>44235.0</v>
      </c>
      <c r="H9" s="29"/>
      <c r="I9" s="23">
        <f t="shared" si="1"/>
        <v>0</v>
      </c>
      <c r="J9" s="30"/>
      <c r="K9" s="19">
        <v>42.0</v>
      </c>
      <c r="L9" s="25"/>
      <c r="M9" s="19" t="s">
        <v>42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0.0</v>
      </c>
      <c r="Y9" s="25">
        <v>0.0</v>
      </c>
      <c r="Z9" s="26">
        <f t="shared" ref="Z9:Z30" si="7">sum(N9:Q9)</f>
        <v>0</v>
      </c>
      <c r="AA9" s="26">
        <f t="shared" ref="AA9:AA30" si="8">sum(R9:V9)</f>
        <v>0</v>
      </c>
      <c r="AB9" s="27">
        <f t="shared" ref="AB9:AB30" si="9">sum(N9:O9)</f>
        <v>0</v>
      </c>
      <c r="AC9" s="27">
        <f t="shared" ref="AC9:AC30" si="10">sum(R9:S9,V9)</f>
        <v>0</v>
      </c>
      <c r="AD9" s="15">
        <v>0.05</v>
      </c>
      <c r="AE9" s="25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</row>
    <row r="10">
      <c r="A10" s="6">
        <v>44236.0</v>
      </c>
      <c r="B10" s="18">
        <v>1728.0</v>
      </c>
      <c r="C10" s="18">
        <v>1759.0</v>
      </c>
      <c r="D10" s="8" t="str">
        <f t="shared" si="5"/>
        <v>Jim/John/Lena</v>
      </c>
      <c r="E10" s="19" t="s">
        <v>30</v>
      </c>
      <c r="F10" s="22">
        <v>0.7291666666666666</v>
      </c>
      <c r="G10" s="21">
        <v>44236.0</v>
      </c>
      <c r="H10" s="22">
        <v>0.75</v>
      </c>
      <c r="I10" s="23">
        <f t="shared" si="1"/>
        <v>0.5</v>
      </c>
      <c r="J10" s="24">
        <v>0.5</v>
      </c>
      <c r="K10" s="19">
        <v>37.9</v>
      </c>
      <c r="L10" s="25"/>
      <c r="M10" s="25"/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U10" s="25">
        <v>0.0</v>
      </c>
      <c r="V10" s="25">
        <v>0.0</v>
      </c>
      <c r="W10" s="25">
        <v>0.0</v>
      </c>
      <c r="X10" s="25">
        <v>0.0</v>
      </c>
      <c r="Y10" s="25">
        <v>0.0</v>
      </c>
      <c r="Z10" s="26">
        <f t="shared" si="7"/>
        <v>0</v>
      </c>
      <c r="AA10" s="26">
        <f t="shared" si="8"/>
        <v>0</v>
      </c>
      <c r="AB10" s="27">
        <f t="shared" si="9"/>
        <v>0</v>
      </c>
      <c r="AC10" s="27">
        <f t="shared" si="10"/>
        <v>0</v>
      </c>
      <c r="AD10" s="15">
        <v>0.09</v>
      </c>
      <c r="AE10" s="25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6">
        <v>44237.0</v>
      </c>
      <c r="B11" s="18">
        <v>1730.0</v>
      </c>
      <c r="C11" s="18">
        <v>1801.0</v>
      </c>
      <c r="D11" s="8" t="str">
        <f t="shared" si="5"/>
        <v>Marsha/Anne</v>
      </c>
      <c r="E11" s="19" t="s">
        <v>35</v>
      </c>
      <c r="F11" s="29"/>
      <c r="G11" s="21">
        <v>44237.0</v>
      </c>
      <c r="H11" s="29"/>
      <c r="I11" s="23">
        <f t="shared" si="1"/>
        <v>0</v>
      </c>
      <c r="J11" s="30"/>
      <c r="K11" s="25"/>
      <c r="L11" s="25"/>
      <c r="M11" s="25"/>
      <c r="N11" s="19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25">
        <v>0.0</v>
      </c>
      <c r="W11" s="25">
        <v>0.0</v>
      </c>
      <c r="X11" s="25">
        <v>0.0</v>
      </c>
      <c r="Y11" s="25">
        <v>0.0</v>
      </c>
      <c r="Z11" s="26">
        <f t="shared" si="7"/>
        <v>0</v>
      </c>
      <c r="AA11" s="26">
        <f t="shared" si="8"/>
        <v>0</v>
      </c>
      <c r="AB11" s="27">
        <f t="shared" si="9"/>
        <v>0</v>
      </c>
      <c r="AC11" s="27">
        <f t="shared" si="10"/>
        <v>0</v>
      </c>
      <c r="AD11" s="15">
        <v>0.16</v>
      </c>
      <c r="AE11" s="25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</row>
    <row r="12">
      <c r="A12" s="6">
        <v>44238.0</v>
      </c>
      <c r="B12" s="18">
        <v>1731.0</v>
      </c>
      <c r="C12" s="18">
        <v>1802.0</v>
      </c>
      <c r="D12" s="8" t="str">
        <f t="shared" si="5"/>
        <v>Shawn/Jenny</v>
      </c>
      <c r="E12" s="19" t="s">
        <v>35</v>
      </c>
      <c r="F12" s="22">
        <v>0.7083333333333334</v>
      </c>
      <c r="G12" s="21">
        <v>44238.0</v>
      </c>
      <c r="H12" s="31"/>
      <c r="I12" s="23">
        <f t="shared" si="1"/>
        <v>0</v>
      </c>
      <c r="J12" s="30"/>
      <c r="K12" s="19">
        <v>32.0</v>
      </c>
      <c r="L12" s="25"/>
      <c r="M12" s="32" t="s">
        <v>43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0.0</v>
      </c>
      <c r="U12" s="25">
        <v>0.0</v>
      </c>
      <c r="V12" s="25">
        <v>0.0</v>
      </c>
      <c r="W12" s="25">
        <v>0.0</v>
      </c>
      <c r="X12" s="25">
        <v>0.0</v>
      </c>
      <c r="Y12" s="25">
        <v>0.0</v>
      </c>
      <c r="Z12" s="26">
        <f t="shared" si="7"/>
        <v>0</v>
      </c>
      <c r="AA12" s="26">
        <f t="shared" si="8"/>
        <v>0</v>
      </c>
      <c r="AB12" s="27">
        <f t="shared" si="9"/>
        <v>0</v>
      </c>
      <c r="AC12" s="27">
        <f t="shared" si="10"/>
        <v>0</v>
      </c>
      <c r="AD12" s="15">
        <v>0.23</v>
      </c>
      <c r="AE12" s="25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6">
        <v>44239.0</v>
      </c>
      <c r="B13" s="18">
        <v>1733.0</v>
      </c>
      <c r="C13" s="18">
        <v>1804.0</v>
      </c>
      <c r="D13" s="8" t="str">
        <f t="shared" si="5"/>
        <v>Jeff</v>
      </c>
      <c r="E13" s="19" t="s">
        <v>35</v>
      </c>
      <c r="F13" s="29"/>
      <c r="G13" s="21">
        <v>44239.0</v>
      </c>
      <c r="H13" s="29"/>
      <c r="I13" s="23">
        <f t="shared" si="1"/>
        <v>0</v>
      </c>
      <c r="J13" s="30"/>
      <c r="K13" s="25"/>
      <c r="L13" s="25"/>
      <c r="M13" s="25"/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0.0</v>
      </c>
      <c r="Y13" s="25">
        <v>0.0</v>
      </c>
      <c r="Z13" s="26">
        <f t="shared" si="7"/>
        <v>0</v>
      </c>
      <c r="AA13" s="26">
        <f t="shared" si="8"/>
        <v>0</v>
      </c>
      <c r="AB13" s="27">
        <f t="shared" si="9"/>
        <v>0</v>
      </c>
      <c r="AC13" s="27">
        <f t="shared" si="10"/>
        <v>0</v>
      </c>
      <c r="AD13" s="15">
        <v>0.31</v>
      </c>
      <c r="AE13" s="25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</row>
    <row r="14">
      <c r="A14" s="6">
        <v>44240.0</v>
      </c>
      <c r="B14" s="18">
        <v>1734.0</v>
      </c>
      <c r="C14" s="18">
        <v>1805.0</v>
      </c>
      <c r="D14" s="8" t="str">
        <f t="shared" si="5"/>
        <v>Rob/Maggie</v>
      </c>
      <c r="E14" s="19" t="s">
        <v>35</v>
      </c>
      <c r="F14" s="29"/>
      <c r="G14" s="21">
        <v>44240.0</v>
      </c>
      <c r="H14" s="29"/>
      <c r="I14" s="23">
        <f t="shared" si="1"/>
        <v>0</v>
      </c>
      <c r="J14" s="30"/>
      <c r="K14" s="19">
        <v>27.0</v>
      </c>
      <c r="L14" s="25"/>
      <c r="M14" s="19" t="s">
        <v>44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0.0</v>
      </c>
      <c r="V14" s="25">
        <v>0.0</v>
      </c>
      <c r="W14" s="25">
        <v>0.0</v>
      </c>
      <c r="X14" s="25">
        <v>0.0</v>
      </c>
      <c r="Y14" s="25">
        <v>0.0</v>
      </c>
      <c r="Z14" s="26">
        <f t="shared" si="7"/>
        <v>0</v>
      </c>
      <c r="AA14" s="26">
        <f t="shared" si="8"/>
        <v>0</v>
      </c>
      <c r="AB14" s="27">
        <f t="shared" si="9"/>
        <v>0</v>
      </c>
      <c r="AC14" s="27">
        <f t="shared" si="10"/>
        <v>0</v>
      </c>
      <c r="AD14" s="15">
        <v>0.41</v>
      </c>
      <c r="AE14" s="25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6">
        <v>44241.0</v>
      </c>
      <c r="B15" s="18">
        <v>1736.0</v>
      </c>
      <c r="C15" s="18">
        <v>1806.0</v>
      </c>
      <c r="D15" s="8" t="str">
        <f t="shared" si="5"/>
        <v>Phil/Fred</v>
      </c>
      <c r="E15" s="19" t="s">
        <v>35</v>
      </c>
      <c r="F15" s="29"/>
      <c r="G15" s="21">
        <v>44241.0</v>
      </c>
      <c r="H15" s="29"/>
      <c r="I15" s="23">
        <f t="shared" si="1"/>
        <v>0</v>
      </c>
      <c r="J15" s="30"/>
      <c r="K15" s="25"/>
      <c r="L15" s="25"/>
      <c r="M15" s="25"/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25">
        <v>0.0</v>
      </c>
      <c r="X15" s="25">
        <v>0.0</v>
      </c>
      <c r="Y15" s="25">
        <v>0.0</v>
      </c>
      <c r="Z15" s="26">
        <f t="shared" si="7"/>
        <v>0</v>
      </c>
      <c r="AA15" s="26">
        <f t="shared" si="8"/>
        <v>0</v>
      </c>
      <c r="AB15" s="27">
        <f t="shared" si="9"/>
        <v>0</v>
      </c>
      <c r="AC15" s="27">
        <f t="shared" si="10"/>
        <v>0</v>
      </c>
      <c r="AD15" s="15">
        <v>0.51</v>
      </c>
      <c r="AE15" s="25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</row>
    <row r="16">
      <c r="A16" s="6">
        <v>44242.0</v>
      </c>
      <c r="B16" s="18">
        <v>1737.0</v>
      </c>
      <c r="C16" s="18">
        <v>1808.0</v>
      </c>
      <c r="D16" s="8" t="str">
        <f t="shared" si="5"/>
        <v>Jane/Sarah</v>
      </c>
      <c r="E16" s="19" t="s">
        <v>35</v>
      </c>
      <c r="F16" s="29"/>
      <c r="G16" s="21">
        <v>44242.0</v>
      </c>
      <c r="H16" s="29"/>
      <c r="I16" s="23">
        <f t="shared" si="1"/>
        <v>0</v>
      </c>
      <c r="J16" s="30"/>
      <c r="K16" s="19">
        <v>44.0</v>
      </c>
      <c r="L16" s="25"/>
      <c r="M16" s="19" t="s">
        <v>45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0.0</v>
      </c>
      <c r="V16" s="25">
        <v>0.0</v>
      </c>
      <c r="W16" s="25">
        <v>0.0</v>
      </c>
      <c r="X16" s="25">
        <v>0.0</v>
      </c>
      <c r="Y16" s="25">
        <v>0.0</v>
      </c>
      <c r="Z16" s="34">
        <f t="shared" si="7"/>
        <v>0</v>
      </c>
      <c r="AA16" s="34">
        <f t="shared" si="8"/>
        <v>0</v>
      </c>
      <c r="AB16" s="35">
        <f t="shared" si="9"/>
        <v>0</v>
      </c>
      <c r="AC16" s="35">
        <f t="shared" si="10"/>
        <v>0</v>
      </c>
      <c r="AD16" s="15">
        <v>0.61</v>
      </c>
      <c r="AE16" s="25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</row>
    <row r="17" ht="20.25" customHeight="1">
      <c r="A17" s="6">
        <v>44243.0</v>
      </c>
      <c r="B17" s="18">
        <v>1739.0</v>
      </c>
      <c r="C17" s="18">
        <v>1809.0</v>
      </c>
      <c r="D17" s="8" t="str">
        <f t="shared" si="5"/>
        <v>Jim/John/Lena</v>
      </c>
      <c r="E17" s="19" t="s">
        <v>35</v>
      </c>
      <c r="F17" s="29"/>
      <c r="G17" s="21">
        <v>44243.0</v>
      </c>
      <c r="H17" s="29"/>
      <c r="I17" s="23">
        <f t="shared" si="1"/>
        <v>0</v>
      </c>
      <c r="J17" s="30"/>
      <c r="K17" s="25"/>
      <c r="L17" s="25"/>
      <c r="M17" s="25"/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0.0</v>
      </c>
      <c r="Y17" s="25">
        <v>0.0</v>
      </c>
      <c r="Z17" s="34">
        <f t="shared" si="7"/>
        <v>0</v>
      </c>
      <c r="AA17" s="34">
        <f t="shared" si="8"/>
        <v>0</v>
      </c>
      <c r="AB17" s="35">
        <f t="shared" si="9"/>
        <v>0</v>
      </c>
      <c r="AC17" s="35">
        <f t="shared" si="10"/>
        <v>0</v>
      </c>
      <c r="AD17" s="15">
        <v>0.71</v>
      </c>
      <c r="AE17" s="25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</row>
    <row r="18">
      <c r="A18" s="6">
        <v>44244.0</v>
      </c>
      <c r="B18" s="18">
        <v>1740.0</v>
      </c>
      <c r="C18" s="18">
        <v>1810.0</v>
      </c>
      <c r="D18" s="8" t="str">
        <f t="shared" si="5"/>
        <v>Marsha/Anne</v>
      </c>
      <c r="E18" s="19" t="s">
        <v>35</v>
      </c>
      <c r="F18" s="22"/>
      <c r="G18" s="21">
        <v>44244.0</v>
      </c>
      <c r="H18" s="22"/>
      <c r="I18" s="23">
        <f t="shared" si="1"/>
        <v>0</v>
      </c>
      <c r="J18" s="30"/>
      <c r="K18" s="19"/>
      <c r="L18" s="25"/>
      <c r="M18" s="19"/>
      <c r="N18" s="25">
        <v>0.0</v>
      </c>
      <c r="O18" s="25">
        <v>0.0</v>
      </c>
      <c r="P18" s="25">
        <v>0.0</v>
      </c>
      <c r="Q18" s="25">
        <v>0.0</v>
      </c>
      <c r="R18" s="25">
        <v>0.0</v>
      </c>
      <c r="S18" s="25">
        <v>0.0</v>
      </c>
      <c r="T18" s="25">
        <v>0.0</v>
      </c>
      <c r="U18" s="25">
        <v>0.0</v>
      </c>
      <c r="V18" s="25">
        <v>0.0</v>
      </c>
      <c r="W18" s="25">
        <v>0.0</v>
      </c>
      <c r="X18" s="25">
        <v>0.0</v>
      </c>
      <c r="Y18" s="25">
        <v>0.0</v>
      </c>
      <c r="Z18" s="26">
        <f t="shared" si="7"/>
        <v>0</v>
      </c>
      <c r="AA18" s="26">
        <f t="shared" si="8"/>
        <v>0</v>
      </c>
      <c r="AB18" s="27">
        <f t="shared" si="9"/>
        <v>0</v>
      </c>
      <c r="AC18" s="27">
        <f t="shared" si="10"/>
        <v>0</v>
      </c>
      <c r="AD18" s="15">
        <v>0.8</v>
      </c>
      <c r="AE18" s="25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</row>
    <row r="19">
      <c r="A19" s="6">
        <v>44245.0</v>
      </c>
      <c r="B19" s="18">
        <v>1742.0</v>
      </c>
      <c r="C19" s="18">
        <v>1812.0</v>
      </c>
      <c r="D19" s="8" t="str">
        <f t="shared" si="5"/>
        <v>Shawn/Jenny</v>
      </c>
      <c r="E19" s="19" t="s">
        <v>30</v>
      </c>
      <c r="F19" s="20">
        <v>0.7361111111111112</v>
      </c>
      <c r="G19" s="21">
        <v>44245.0</v>
      </c>
      <c r="H19" s="22">
        <v>0.7395833333333334</v>
      </c>
      <c r="I19" s="23">
        <f t="shared" si="1"/>
        <v>0.08333333333</v>
      </c>
      <c r="J19" s="30"/>
      <c r="K19" s="19">
        <v>39.0</v>
      </c>
      <c r="L19" s="25"/>
      <c r="M19" s="38" t="s">
        <v>46</v>
      </c>
      <c r="N19" s="25">
        <v>0.0</v>
      </c>
      <c r="O19" s="25">
        <v>0.0</v>
      </c>
      <c r="P19" s="25">
        <v>0.0</v>
      </c>
      <c r="Q19" s="25">
        <v>0.0</v>
      </c>
      <c r="R19" s="25">
        <v>0.0</v>
      </c>
      <c r="S19" s="25">
        <v>0.0</v>
      </c>
      <c r="T19" s="25">
        <v>0.0</v>
      </c>
      <c r="U19" s="25">
        <v>0.0</v>
      </c>
      <c r="V19" s="25">
        <v>0.0</v>
      </c>
      <c r="W19" s="25">
        <v>0.0</v>
      </c>
      <c r="X19" s="25">
        <v>0.0</v>
      </c>
      <c r="Y19" s="25">
        <v>0.0</v>
      </c>
      <c r="Z19" s="26">
        <f t="shared" si="7"/>
        <v>0</v>
      </c>
      <c r="AA19" s="26">
        <f t="shared" si="8"/>
        <v>0</v>
      </c>
      <c r="AB19" s="27">
        <f t="shared" si="9"/>
        <v>0</v>
      </c>
      <c r="AC19" s="27">
        <f t="shared" si="10"/>
        <v>0</v>
      </c>
      <c r="AD19" s="15">
        <v>0.88</v>
      </c>
      <c r="AE19" s="25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</row>
    <row r="20">
      <c r="A20" s="6">
        <v>44246.0</v>
      </c>
      <c r="B20" s="18">
        <v>1743.0</v>
      </c>
      <c r="C20" s="18">
        <v>1813.0</v>
      </c>
      <c r="D20" s="8" t="str">
        <f t="shared" si="5"/>
        <v>Jeff</v>
      </c>
      <c r="E20" s="19" t="s">
        <v>30</v>
      </c>
      <c r="F20" s="22">
        <v>0.7708333333333334</v>
      </c>
      <c r="G20" s="21">
        <v>44246.0</v>
      </c>
      <c r="H20" s="22">
        <v>0.78125</v>
      </c>
      <c r="I20" s="23">
        <f t="shared" si="1"/>
        <v>0.25</v>
      </c>
      <c r="J20" s="24">
        <v>0.25</v>
      </c>
      <c r="K20" s="19">
        <v>42.0</v>
      </c>
      <c r="L20" s="19">
        <v>42.0</v>
      </c>
      <c r="M20" s="19" t="s">
        <v>47</v>
      </c>
      <c r="N20" s="19">
        <v>0.0</v>
      </c>
      <c r="O20" s="25">
        <v>0.0</v>
      </c>
      <c r="P20" s="25">
        <v>0.0</v>
      </c>
      <c r="Q20" s="25">
        <v>0.0</v>
      </c>
      <c r="R20" s="25">
        <v>0.0</v>
      </c>
      <c r="S20" s="25">
        <v>0.0</v>
      </c>
      <c r="T20" s="25">
        <v>0.0</v>
      </c>
      <c r="U20" s="25">
        <v>0.0</v>
      </c>
      <c r="V20" s="25">
        <v>0.0</v>
      </c>
      <c r="W20" s="25">
        <v>0.0</v>
      </c>
      <c r="X20" s="25">
        <v>0.0</v>
      </c>
      <c r="Y20" s="25">
        <v>0.0</v>
      </c>
      <c r="Z20" s="26">
        <f t="shared" si="7"/>
        <v>0</v>
      </c>
      <c r="AA20" s="26">
        <f t="shared" si="8"/>
        <v>0</v>
      </c>
      <c r="AB20" s="27">
        <f t="shared" si="9"/>
        <v>0</v>
      </c>
      <c r="AC20" s="27">
        <f t="shared" si="10"/>
        <v>0</v>
      </c>
      <c r="AD20" s="15">
        <v>0.95</v>
      </c>
      <c r="AE20" s="25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6">
        <v>44247.0</v>
      </c>
      <c r="B21" s="18">
        <v>1744.0</v>
      </c>
      <c r="C21" s="18">
        <v>1815.0</v>
      </c>
      <c r="D21" s="8" t="str">
        <f t="shared" si="5"/>
        <v>Rob/Maggie</v>
      </c>
      <c r="E21" s="19" t="s">
        <v>39</v>
      </c>
      <c r="F21" s="20">
        <v>0.23958333333333334</v>
      </c>
      <c r="G21" s="21">
        <v>44247.0</v>
      </c>
      <c r="H21" s="22">
        <v>0.2604166666666667</v>
      </c>
      <c r="I21" s="23">
        <f t="shared" si="1"/>
        <v>0.5</v>
      </c>
      <c r="J21" s="24">
        <v>0.5</v>
      </c>
      <c r="K21" s="19">
        <v>42.0</v>
      </c>
      <c r="L21" s="19">
        <v>41.0</v>
      </c>
      <c r="M21" s="19" t="s">
        <v>48</v>
      </c>
      <c r="N21" s="25">
        <v>0.0</v>
      </c>
      <c r="O21" s="25">
        <v>0.0</v>
      </c>
      <c r="P21" s="25">
        <v>0.0</v>
      </c>
      <c r="Q21" s="25">
        <v>0.0</v>
      </c>
      <c r="R21" s="25">
        <v>0.0</v>
      </c>
      <c r="S21" s="25">
        <v>0.0</v>
      </c>
      <c r="T21" s="25">
        <v>0.0</v>
      </c>
      <c r="U21" s="25">
        <v>0.0</v>
      </c>
      <c r="V21" s="25">
        <v>0.0</v>
      </c>
      <c r="W21" s="25">
        <v>0.0</v>
      </c>
      <c r="X21" s="25">
        <v>0.0</v>
      </c>
      <c r="Y21" s="25">
        <v>0.0</v>
      </c>
      <c r="Z21" s="26">
        <f t="shared" si="7"/>
        <v>0</v>
      </c>
      <c r="AA21" s="26">
        <f t="shared" si="8"/>
        <v>0</v>
      </c>
      <c r="AB21" s="27">
        <f t="shared" si="9"/>
        <v>0</v>
      </c>
      <c r="AC21" s="27">
        <f t="shared" si="10"/>
        <v>0</v>
      </c>
      <c r="AD21" s="15">
        <v>0.99</v>
      </c>
      <c r="AE21" s="25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</row>
    <row r="22">
      <c r="A22" s="6">
        <v>44248.0</v>
      </c>
      <c r="B22" s="18">
        <v>1746.0</v>
      </c>
      <c r="C22" s="18">
        <v>1816.0</v>
      </c>
      <c r="D22" s="8" t="str">
        <f t="shared" si="5"/>
        <v>Phil/Fred</v>
      </c>
      <c r="E22" s="19" t="s">
        <v>30</v>
      </c>
      <c r="F22" s="22">
        <v>0.7291666666666666</v>
      </c>
      <c r="G22" s="21">
        <v>44248.0</v>
      </c>
      <c r="H22" s="22">
        <v>0.8125</v>
      </c>
      <c r="I22" s="23">
        <f t="shared" si="1"/>
        <v>2</v>
      </c>
      <c r="J22" s="24">
        <v>2.0</v>
      </c>
      <c r="K22" s="19">
        <v>49.0</v>
      </c>
      <c r="L22" s="19">
        <v>49.0</v>
      </c>
      <c r="M22" s="19" t="s">
        <v>49</v>
      </c>
      <c r="N22" s="25">
        <v>0.0</v>
      </c>
      <c r="O22" s="25">
        <v>0.0</v>
      </c>
      <c r="P22" s="25">
        <v>0.0</v>
      </c>
      <c r="Q22" s="25">
        <v>0.0</v>
      </c>
      <c r="R22" s="25">
        <v>0.0</v>
      </c>
      <c r="S22" s="25">
        <v>0.0</v>
      </c>
      <c r="T22" s="25">
        <v>0.0</v>
      </c>
      <c r="U22" s="25">
        <v>0.0</v>
      </c>
      <c r="V22" s="25">
        <v>0.0</v>
      </c>
      <c r="W22" s="25">
        <v>0.0</v>
      </c>
      <c r="X22" s="25">
        <v>0.0</v>
      </c>
      <c r="Y22" s="25">
        <v>0.0</v>
      </c>
      <c r="Z22" s="26">
        <f t="shared" si="7"/>
        <v>0</v>
      </c>
      <c r="AA22" s="26">
        <f t="shared" si="8"/>
        <v>0</v>
      </c>
      <c r="AB22" s="27">
        <f t="shared" si="9"/>
        <v>0</v>
      </c>
      <c r="AC22" s="27">
        <f t="shared" si="10"/>
        <v>0</v>
      </c>
      <c r="AD22" s="15">
        <v>1.0</v>
      </c>
      <c r="AE22" s="25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44249.0</v>
      </c>
      <c r="B23" s="18">
        <v>1747.0</v>
      </c>
      <c r="C23" s="18">
        <v>1817.0</v>
      </c>
      <c r="D23" s="8" t="str">
        <f>choose(weekday(A23),"Phil/Fred", "Jane/Sara", "Jim/John/Lena","Marsha/Anne","Shawn/Jenny","Jeff", "Rob/Maggie")</f>
        <v>Jane/Sara</v>
      </c>
      <c r="E23" s="19" t="s">
        <v>30</v>
      </c>
      <c r="F23" s="20">
        <v>0.75</v>
      </c>
      <c r="G23" s="21">
        <v>44249.0</v>
      </c>
      <c r="H23" s="22">
        <v>0.8125</v>
      </c>
      <c r="I23" s="23">
        <f t="shared" si="1"/>
        <v>1.5</v>
      </c>
      <c r="J23" s="24">
        <v>12.0</v>
      </c>
      <c r="K23" s="19">
        <v>48.0</v>
      </c>
      <c r="L23" s="19">
        <v>45.0</v>
      </c>
      <c r="M23" s="19" t="s">
        <v>47</v>
      </c>
      <c r="N23" s="25">
        <v>0.0</v>
      </c>
      <c r="O23" s="25">
        <v>0.0</v>
      </c>
      <c r="P23" s="19">
        <v>1.0</v>
      </c>
      <c r="Q23" s="25">
        <v>0.0</v>
      </c>
      <c r="R23" s="19">
        <v>3.0</v>
      </c>
      <c r="S23" s="25">
        <v>0.0</v>
      </c>
      <c r="T23" s="25">
        <v>0.0</v>
      </c>
      <c r="U23" s="25">
        <v>0.0</v>
      </c>
      <c r="V23" s="25">
        <v>0.0</v>
      </c>
      <c r="W23" s="25">
        <v>0.0</v>
      </c>
      <c r="X23" s="25">
        <v>0.0</v>
      </c>
      <c r="Y23" s="25">
        <v>0.0</v>
      </c>
      <c r="Z23" s="26">
        <f t="shared" si="7"/>
        <v>1</v>
      </c>
      <c r="AA23" s="26">
        <f t="shared" si="8"/>
        <v>3</v>
      </c>
      <c r="AB23" s="27">
        <f t="shared" si="9"/>
        <v>0</v>
      </c>
      <c r="AC23" s="27">
        <f t="shared" si="10"/>
        <v>3</v>
      </c>
      <c r="AD23" s="15">
        <v>0.98</v>
      </c>
      <c r="AE23" s="25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</row>
    <row r="24">
      <c r="A24" s="6">
        <v>44250.0</v>
      </c>
      <c r="B24" s="18">
        <v>1749.0</v>
      </c>
      <c r="C24" s="18">
        <v>1819.0</v>
      </c>
      <c r="D24" s="8" t="str">
        <f t="shared" ref="D24:D29" si="11">choose(weekday(A24),"Phil/Fred", "Jane/Sarah", "Jim/John/Lena","Marsha/Anne","Shawn/Jenny","Jeff", "Rob/Maggie")</f>
        <v>Jim/John/Lena</v>
      </c>
      <c r="E24" s="25"/>
      <c r="F24" s="29"/>
      <c r="G24" s="21">
        <v>44250.0</v>
      </c>
      <c r="H24" s="29"/>
      <c r="I24" s="23">
        <f t="shared" si="1"/>
        <v>0</v>
      </c>
      <c r="J24" s="30"/>
      <c r="K24" s="25"/>
      <c r="L24" s="25"/>
      <c r="M24" s="25"/>
      <c r="N24" s="25">
        <v>0.0</v>
      </c>
      <c r="O24" s="25">
        <v>0.0</v>
      </c>
      <c r="P24" s="25">
        <v>0.0</v>
      </c>
      <c r="Q24" s="25">
        <v>0.0</v>
      </c>
      <c r="R24" s="25">
        <v>0.0</v>
      </c>
      <c r="S24" s="25">
        <v>0.0</v>
      </c>
      <c r="T24" s="25">
        <v>0.0</v>
      </c>
      <c r="U24" s="25">
        <v>0.0</v>
      </c>
      <c r="V24" s="25">
        <v>0.0</v>
      </c>
      <c r="W24" s="25">
        <v>0.0</v>
      </c>
      <c r="X24" s="25">
        <v>0.0</v>
      </c>
      <c r="Y24" s="25">
        <v>0.0</v>
      </c>
      <c r="Z24" s="26">
        <f t="shared" si="7"/>
        <v>0</v>
      </c>
      <c r="AA24" s="26">
        <f t="shared" si="8"/>
        <v>0</v>
      </c>
      <c r="AB24" s="27">
        <f t="shared" si="9"/>
        <v>0</v>
      </c>
      <c r="AC24" s="27">
        <f t="shared" si="10"/>
        <v>0</v>
      </c>
      <c r="AD24" s="15">
        <v>0.93</v>
      </c>
      <c r="AE24" s="25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6">
        <v>44251.0</v>
      </c>
      <c r="B25" s="18">
        <v>1750.0</v>
      </c>
      <c r="C25" s="18">
        <v>1820.0</v>
      </c>
      <c r="D25" s="8" t="str">
        <f t="shared" si="11"/>
        <v>Marsha/Anne</v>
      </c>
      <c r="E25" s="25"/>
      <c r="F25" s="29"/>
      <c r="G25" s="21">
        <v>44251.0</v>
      </c>
      <c r="H25" s="29"/>
      <c r="I25" s="23">
        <f t="shared" si="1"/>
        <v>0</v>
      </c>
      <c r="J25" s="31"/>
      <c r="K25" s="25"/>
      <c r="L25" s="25"/>
      <c r="M25" s="25"/>
      <c r="N25" s="25">
        <v>0.0</v>
      </c>
      <c r="O25" s="25">
        <v>0.0</v>
      </c>
      <c r="P25" s="25">
        <v>0.0</v>
      </c>
      <c r="Q25" s="25">
        <v>0.0</v>
      </c>
      <c r="R25" s="25">
        <v>0.0</v>
      </c>
      <c r="S25" s="25">
        <v>0.0</v>
      </c>
      <c r="T25" s="25">
        <v>0.0</v>
      </c>
      <c r="U25" s="25">
        <v>0.0</v>
      </c>
      <c r="V25" s="25">
        <v>0.0</v>
      </c>
      <c r="W25" s="25">
        <v>0.0</v>
      </c>
      <c r="X25" s="25">
        <v>0.0</v>
      </c>
      <c r="Y25" s="25">
        <v>0.0</v>
      </c>
      <c r="Z25" s="26">
        <f t="shared" si="7"/>
        <v>0</v>
      </c>
      <c r="AA25" s="26">
        <f t="shared" si="8"/>
        <v>0</v>
      </c>
      <c r="AB25" s="27">
        <f t="shared" si="9"/>
        <v>0</v>
      </c>
      <c r="AC25" s="27">
        <f t="shared" si="10"/>
        <v>0</v>
      </c>
      <c r="AD25" s="15">
        <v>0.86</v>
      </c>
      <c r="AE25" s="25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</row>
    <row r="26">
      <c r="A26" s="6">
        <v>44252.0</v>
      </c>
      <c r="B26" s="18">
        <v>1752.0</v>
      </c>
      <c r="C26" s="18">
        <v>1821.0</v>
      </c>
      <c r="D26" s="8" t="str">
        <f t="shared" si="11"/>
        <v>Shawn/Jenny</v>
      </c>
      <c r="E26" s="19" t="s">
        <v>30</v>
      </c>
      <c r="F26" s="22">
        <v>0.7395833333333334</v>
      </c>
      <c r="G26" s="21">
        <v>44252.0</v>
      </c>
      <c r="H26" s="22">
        <v>0.8125</v>
      </c>
      <c r="I26" s="23">
        <f t="shared" si="1"/>
        <v>1.75</v>
      </c>
      <c r="J26" s="19">
        <v>12.5</v>
      </c>
      <c r="K26" s="19">
        <v>44.0</v>
      </c>
      <c r="L26" s="19">
        <v>43.0</v>
      </c>
      <c r="M26" s="19" t="s">
        <v>50</v>
      </c>
      <c r="N26" s="25">
        <v>0.0</v>
      </c>
      <c r="O26" s="25">
        <v>0.0</v>
      </c>
      <c r="P26" s="25">
        <v>0.0</v>
      </c>
      <c r="Q26" s="25">
        <v>0.0</v>
      </c>
      <c r="R26" s="25">
        <v>0.0</v>
      </c>
      <c r="S26" s="25">
        <v>0.0</v>
      </c>
      <c r="T26" s="25">
        <v>0.0</v>
      </c>
      <c r="U26" s="25">
        <v>0.0</v>
      </c>
      <c r="V26" s="25">
        <v>0.0</v>
      </c>
      <c r="W26" s="25">
        <v>0.0</v>
      </c>
      <c r="X26" s="25">
        <v>0.0</v>
      </c>
      <c r="Y26" s="25">
        <v>0.0</v>
      </c>
      <c r="Z26" s="26">
        <f t="shared" si="7"/>
        <v>0</v>
      </c>
      <c r="AA26" s="26">
        <f t="shared" si="8"/>
        <v>0</v>
      </c>
      <c r="AB26" s="27">
        <f t="shared" si="9"/>
        <v>0</v>
      </c>
      <c r="AC26" s="27">
        <f t="shared" si="10"/>
        <v>0</v>
      </c>
      <c r="AD26" s="15">
        <v>0.77</v>
      </c>
      <c r="AE26" s="19" t="s">
        <v>51</v>
      </c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44253.0</v>
      </c>
      <c r="B27" s="18">
        <v>1753.0</v>
      </c>
      <c r="C27" s="18">
        <v>1823.0</v>
      </c>
      <c r="D27" s="8" t="str">
        <f t="shared" si="11"/>
        <v>Jeff</v>
      </c>
      <c r="E27" s="19" t="s">
        <v>30</v>
      </c>
      <c r="F27" s="22">
        <v>0.7291666666666666</v>
      </c>
      <c r="G27" s="21">
        <v>44253.0</v>
      </c>
      <c r="H27" s="22">
        <v>0.7708333333333334</v>
      </c>
      <c r="I27" s="23">
        <f t="shared" si="1"/>
        <v>1</v>
      </c>
      <c r="J27" s="24">
        <v>1.0</v>
      </c>
      <c r="K27" s="19">
        <v>42.0</v>
      </c>
      <c r="L27" s="19">
        <v>40.0</v>
      </c>
      <c r="M27" s="19" t="s">
        <v>52</v>
      </c>
      <c r="N27" s="25">
        <v>0.0</v>
      </c>
      <c r="O27" s="25">
        <v>0.0</v>
      </c>
      <c r="P27" s="25">
        <v>0.0</v>
      </c>
      <c r="Q27" s="25">
        <v>0.0</v>
      </c>
      <c r="R27" s="25">
        <v>0.0</v>
      </c>
      <c r="S27" s="25">
        <v>0.0</v>
      </c>
      <c r="T27" s="25">
        <v>0.0</v>
      </c>
      <c r="U27" s="25">
        <v>0.0</v>
      </c>
      <c r="V27" s="25">
        <v>0.0</v>
      </c>
      <c r="W27" s="25">
        <v>0.0</v>
      </c>
      <c r="X27" s="25">
        <v>0.0</v>
      </c>
      <c r="Y27" s="25">
        <v>0.0</v>
      </c>
      <c r="Z27" s="26">
        <f t="shared" si="7"/>
        <v>0</v>
      </c>
      <c r="AA27" s="26">
        <f t="shared" si="8"/>
        <v>0</v>
      </c>
      <c r="AB27" s="27">
        <f t="shared" si="9"/>
        <v>0</v>
      </c>
      <c r="AC27" s="27">
        <f t="shared" si="10"/>
        <v>0</v>
      </c>
      <c r="AD27" s="15">
        <v>0.67</v>
      </c>
      <c r="AE27" s="25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</row>
    <row r="28">
      <c r="A28" s="6">
        <v>44254.0</v>
      </c>
      <c r="B28" s="18">
        <v>1754.0</v>
      </c>
      <c r="C28" s="18">
        <v>1824.0</v>
      </c>
      <c r="D28" s="8" t="str">
        <f t="shared" si="11"/>
        <v>Rob/Maggie</v>
      </c>
      <c r="E28" s="19" t="s">
        <v>35</v>
      </c>
      <c r="F28" s="29"/>
      <c r="G28" s="21">
        <v>44254.0</v>
      </c>
      <c r="H28" s="31"/>
      <c r="I28" s="23">
        <f t="shared" si="1"/>
        <v>0</v>
      </c>
      <c r="J28" s="30"/>
      <c r="K28" s="19">
        <v>44.0</v>
      </c>
      <c r="L28" s="25"/>
      <c r="M28" s="19" t="s">
        <v>41</v>
      </c>
      <c r="N28" s="25">
        <v>0.0</v>
      </c>
      <c r="O28" s="25">
        <v>0.0</v>
      </c>
      <c r="P28" s="25">
        <v>0.0</v>
      </c>
      <c r="Q28" s="25">
        <v>0.0</v>
      </c>
      <c r="R28" s="25">
        <v>0.0</v>
      </c>
      <c r="S28" s="25">
        <v>0.0</v>
      </c>
      <c r="T28" s="25">
        <v>0.0</v>
      </c>
      <c r="U28" s="25">
        <v>0.0</v>
      </c>
      <c r="V28" s="25">
        <v>0.0</v>
      </c>
      <c r="W28" s="25">
        <v>0.0</v>
      </c>
      <c r="X28" s="25">
        <v>0.0</v>
      </c>
      <c r="Y28" s="25">
        <v>0.0</v>
      </c>
      <c r="Z28" s="26">
        <f t="shared" si="7"/>
        <v>0</v>
      </c>
      <c r="AA28" s="26">
        <f t="shared" si="8"/>
        <v>0</v>
      </c>
      <c r="AB28" s="27">
        <f t="shared" si="9"/>
        <v>0</v>
      </c>
      <c r="AC28" s="27">
        <f t="shared" si="10"/>
        <v>0</v>
      </c>
      <c r="AD28" s="15">
        <v>0.56</v>
      </c>
      <c r="AE28" s="18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6">
        <v>44255.0</v>
      </c>
      <c r="B29" s="18">
        <v>1756.0</v>
      </c>
      <c r="C29" s="18">
        <v>1826.0</v>
      </c>
      <c r="D29" s="8" t="str">
        <f t="shared" si="11"/>
        <v>Phil/Fred</v>
      </c>
      <c r="E29" s="19" t="s">
        <v>35</v>
      </c>
      <c r="F29" s="29"/>
      <c r="G29" s="21">
        <v>44255.0</v>
      </c>
      <c r="H29" s="31"/>
      <c r="I29" s="23">
        <f t="shared" si="1"/>
        <v>0</v>
      </c>
      <c r="J29" s="30"/>
      <c r="K29" s="25"/>
      <c r="L29" s="25"/>
      <c r="M29" s="19" t="s">
        <v>41</v>
      </c>
      <c r="N29" s="25">
        <v>0.0</v>
      </c>
      <c r="O29" s="25">
        <v>0.0</v>
      </c>
      <c r="P29" s="25">
        <v>0.0</v>
      </c>
      <c r="Q29" s="25">
        <v>0.0</v>
      </c>
      <c r="R29" s="25">
        <v>0.0</v>
      </c>
      <c r="S29" s="25">
        <v>0.0</v>
      </c>
      <c r="T29" s="25">
        <v>0.0</v>
      </c>
      <c r="U29" s="25">
        <v>0.0</v>
      </c>
      <c r="V29" s="25">
        <v>0.0</v>
      </c>
      <c r="W29" s="25">
        <v>0.0</v>
      </c>
      <c r="X29" s="25">
        <v>0.0</v>
      </c>
      <c r="Y29" s="25">
        <v>0.0</v>
      </c>
      <c r="Z29" s="26">
        <f t="shared" si="7"/>
        <v>0</v>
      </c>
      <c r="AA29" s="26">
        <f t="shared" si="8"/>
        <v>0</v>
      </c>
      <c r="AB29" s="27">
        <f t="shared" si="9"/>
        <v>0</v>
      </c>
      <c r="AC29" s="27">
        <f t="shared" si="10"/>
        <v>0</v>
      </c>
      <c r="AD29" s="15">
        <v>0.45</v>
      </c>
      <c r="AE29" s="25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</row>
    <row r="30">
      <c r="A30" s="39" t="s">
        <v>53</v>
      </c>
      <c r="B30" s="19" t="s">
        <v>54</v>
      </c>
      <c r="C30" s="19" t="s">
        <v>54</v>
      </c>
      <c r="D30" s="40" t="s">
        <v>55</v>
      </c>
      <c r="E30" s="25" t="s">
        <v>55</v>
      </c>
      <c r="F30" s="25" t="s">
        <v>55</v>
      </c>
      <c r="G30" s="25" t="s">
        <v>53</v>
      </c>
      <c r="H30" s="31"/>
      <c r="I30" s="41" t="s">
        <v>54</v>
      </c>
      <c r="J30" s="42" t="s">
        <v>54</v>
      </c>
      <c r="K30" s="42" t="s">
        <v>54</v>
      </c>
      <c r="L30" s="42" t="s">
        <v>54</v>
      </c>
      <c r="M30" s="43" t="s">
        <v>54</v>
      </c>
      <c r="N30" s="19" t="s">
        <v>54</v>
      </c>
      <c r="O30" s="19" t="s">
        <v>54</v>
      </c>
      <c r="P30" s="19" t="s">
        <v>54</v>
      </c>
      <c r="Q30" s="19" t="s">
        <v>54</v>
      </c>
      <c r="R30" s="19" t="s">
        <v>54</v>
      </c>
      <c r="S30" s="19" t="s">
        <v>54</v>
      </c>
      <c r="T30" s="19" t="s">
        <v>54</v>
      </c>
      <c r="U30" s="19" t="s">
        <v>54</v>
      </c>
      <c r="V30" s="19" t="s">
        <v>54</v>
      </c>
      <c r="W30" s="19" t="s">
        <v>54</v>
      </c>
      <c r="X30" s="19" t="s">
        <v>54</v>
      </c>
      <c r="Y30" s="19" t="s">
        <v>54</v>
      </c>
      <c r="Z30" s="26">
        <f t="shared" si="7"/>
        <v>0</v>
      </c>
      <c r="AA30" s="26">
        <f t="shared" si="8"/>
        <v>0</v>
      </c>
      <c r="AB30" s="27">
        <f t="shared" si="9"/>
        <v>0</v>
      </c>
      <c r="AC30" s="27">
        <f t="shared" si="10"/>
        <v>0</v>
      </c>
      <c r="AD30" s="44"/>
      <c r="AE30" s="18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39" t="s">
        <v>53</v>
      </c>
      <c r="B31" s="19" t="s">
        <v>55</v>
      </c>
      <c r="C31" s="18" t="s">
        <v>55</v>
      </c>
      <c r="D31" s="40" t="s">
        <v>55</v>
      </c>
      <c r="E31" s="25" t="s">
        <v>55</v>
      </c>
      <c r="F31" s="25" t="s">
        <v>55</v>
      </c>
      <c r="G31" s="25" t="s">
        <v>53</v>
      </c>
      <c r="H31" s="18"/>
      <c r="I31" s="45"/>
      <c r="J31" s="18"/>
      <c r="K31" s="18"/>
      <c r="L31" s="18"/>
      <c r="M31" s="18"/>
      <c r="N31" s="25" t="s">
        <v>54</v>
      </c>
      <c r="O31" s="25" t="s">
        <v>54</v>
      </c>
      <c r="P31" s="25" t="s">
        <v>54</v>
      </c>
      <c r="Q31" s="25" t="s">
        <v>54</v>
      </c>
      <c r="R31" s="25" t="s">
        <v>54</v>
      </c>
      <c r="S31" s="25" t="s">
        <v>54</v>
      </c>
      <c r="T31" s="25" t="s">
        <v>54</v>
      </c>
      <c r="U31" s="25" t="s">
        <v>54</v>
      </c>
      <c r="V31" s="25" t="s">
        <v>54</v>
      </c>
      <c r="W31" s="25" t="s">
        <v>54</v>
      </c>
      <c r="X31" s="25" t="s">
        <v>54</v>
      </c>
      <c r="Y31" s="25" t="s">
        <v>54</v>
      </c>
      <c r="Z31" s="26" t="s">
        <v>54</v>
      </c>
      <c r="AA31" s="26" t="s">
        <v>54</v>
      </c>
      <c r="AB31" s="26" t="s">
        <v>54</v>
      </c>
      <c r="AC31" s="26" t="s">
        <v>54</v>
      </c>
      <c r="AD31" s="44"/>
      <c r="AE31" s="1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</row>
    <row r="32">
      <c r="A32" s="39" t="s">
        <v>53</v>
      </c>
      <c r="B32" s="19" t="s">
        <v>55</v>
      </c>
      <c r="C32" s="18" t="s">
        <v>55</v>
      </c>
      <c r="D32" s="40" t="s">
        <v>55</v>
      </c>
      <c r="E32" s="25" t="s">
        <v>55</v>
      </c>
      <c r="F32" s="25" t="s">
        <v>55</v>
      </c>
      <c r="G32" s="25" t="s">
        <v>53</v>
      </c>
      <c r="H32" s="46"/>
      <c r="I32" s="45"/>
      <c r="J32" s="46"/>
      <c r="K32" s="46"/>
      <c r="L32" s="47"/>
      <c r="M32" s="46"/>
      <c r="N32" s="19" t="s">
        <v>54</v>
      </c>
      <c r="O32" s="19" t="s">
        <v>54</v>
      </c>
      <c r="P32" s="19" t="s">
        <v>54</v>
      </c>
      <c r="Q32" s="19" t="s">
        <v>54</v>
      </c>
      <c r="R32" s="19" t="s">
        <v>54</v>
      </c>
      <c r="S32" s="19" t="s">
        <v>54</v>
      </c>
      <c r="T32" s="19" t="s">
        <v>54</v>
      </c>
      <c r="U32" s="19" t="s">
        <v>54</v>
      </c>
      <c r="V32" s="19" t="s">
        <v>54</v>
      </c>
      <c r="W32" s="19" t="s">
        <v>54</v>
      </c>
      <c r="X32" s="19" t="s">
        <v>54</v>
      </c>
      <c r="Y32" s="19" t="s">
        <v>54</v>
      </c>
      <c r="Z32" s="26" t="s">
        <v>54</v>
      </c>
      <c r="AA32" s="26" t="s">
        <v>54</v>
      </c>
      <c r="AB32" s="26" t="s">
        <v>54</v>
      </c>
      <c r="AC32" s="26" t="s">
        <v>54</v>
      </c>
      <c r="AD32" s="44"/>
      <c r="AE32" s="18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17"/>
      <c r="D33" s="17"/>
      <c r="E33" s="48" t="s">
        <v>56</v>
      </c>
      <c r="I33" s="49">
        <f>SUM(I3:I32)</f>
        <v>13.08333333</v>
      </c>
      <c r="J33" s="49">
        <f>SUM(J2:J29)</f>
        <v>62.2</v>
      </c>
      <c r="K33" s="17"/>
      <c r="L33" s="50"/>
      <c r="M33" s="51"/>
      <c r="N33" s="52">
        <f t="shared" ref="N33:AC33" si="12">SUM(N2:N30)</f>
        <v>2</v>
      </c>
      <c r="O33" s="52">
        <f t="shared" si="12"/>
        <v>0</v>
      </c>
      <c r="P33" s="52">
        <f t="shared" si="12"/>
        <v>2</v>
      </c>
      <c r="Q33" s="52">
        <f t="shared" si="12"/>
        <v>0</v>
      </c>
      <c r="R33" s="52">
        <f t="shared" si="12"/>
        <v>12</v>
      </c>
      <c r="S33" s="52">
        <f t="shared" si="12"/>
        <v>0</v>
      </c>
      <c r="T33" s="52">
        <f t="shared" si="12"/>
        <v>0</v>
      </c>
      <c r="U33" s="52">
        <f t="shared" si="12"/>
        <v>0</v>
      </c>
      <c r="V33" s="52">
        <f t="shared" si="12"/>
        <v>0</v>
      </c>
      <c r="W33" s="52">
        <f t="shared" si="12"/>
        <v>0</v>
      </c>
      <c r="X33" s="52">
        <f t="shared" si="12"/>
        <v>0</v>
      </c>
      <c r="Y33" s="52">
        <f t="shared" si="12"/>
        <v>0</v>
      </c>
      <c r="Z33" s="52">
        <f t="shared" si="12"/>
        <v>6</v>
      </c>
      <c r="AA33" s="52">
        <f t="shared" si="12"/>
        <v>12</v>
      </c>
      <c r="AB33" s="52">
        <f t="shared" si="12"/>
        <v>4</v>
      </c>
      <c r="AC33" s="52">
        <f t="shared" si="12"/>
        <v>18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17"/>
      <c r="D34" s="17"/>
      <c r="E34" s="53" t="s">
        <v>57</v>
      </c>
      <c r="F34" s="54"/>
      <c r="I34" s="55">
        <f>'November 2020'!I$33+'December 2020'!I$33+'January 2021'!I$33+'February 2021'!I$33</f>
        <v>87.38333333</v>
      </c>
      <c r="J34" s="55">
        <f>'November 2020'!J$33+'December 2020'!J$33+'January 2021'!J$33+'February 2021'!J$33</f>
        <v>377.1</v>
      </c>
      <c r="K34" s="56"/>
      <c r="L34" s="56"/>
      <c r="M34" s="56"/>
      <c r="N34" s="57">
        <f>'November 2020'!N$33+'December 2020'!N$33+'January 2021'!N$33+'February 2021'!N$33</f>
        <v>266</v>
      </c>
      <c r="O34" s="57">
        <f>'November 2020'!O$33+'December 2020'!O$33+'January 2021'!O$33+'February 2021'!O$33</f>
        <v>139</v>
      </c>
      <c r="P34" s="57">
        <f>'November 2020'!P$33+'December 2020'!P$33+'January 2021'!P$33+'February 2021'!P$33</f>
        <v>10</v>
      </c>
      <c r="Q34" s="57">
        <f>'November 2020'!Q$33+'December 2020'!Q$33+'January 2021'!Q$33+'February 2021'!Q$33</f>
        <v>0</v>
      </c>
      <c r="R34" s="57">
        <f>'November 2020'!R$33+'December 2020'!R$33+'January 2021'!R$33+'February 2021'!R$33</f>
        <v>45</v>
      </c>
      <c r="S34" s="57">
        <f>'November 2020'!S$33+'December 2020'!S$33+'January 2021'!S$33+'February 2021'!S$33</f>
        <v>3</v>
      </c>
      <c r="T34" s="57">
        <f>'November 2020'!T$33+'December 2020'!T$33+'January 2021'!T$33+'February 2021'!T$33</f>
        <v>7</v>
      </c>
      <c r="U34" s="57">
        <f>'November 2020'!U$33+'December 2020'!U$33+'January 2021'!U$33+'February 2021'!U$33</f>
        <v>0</v>
      </c>
      <c r="V34" s="57">
        <f>'November 2020'!V$33+'December 2020'!V$33+'January 2021'!V$33+'February 2021'!V$33</f>
        <v>0</v>
      </c>
      <c r="W34" s="57">
        <f>'November 2020'!W$33+'December 2020'!W$33+'January 2021'!W$33+'February 2021'!W$33</f>
        <v>0</v>
      </c>
      <c r="X34" s="57">
        <f>'November 2020'!X$33+'December 2020'!X$33+'January 2021'!X$33+'February 2021'!X$33</f>
        <v>0</v>
      </c>
      <c r="Y34" s="57">
        <f>'November 2020'!Y$33+'December 2020'!Y$33+'January 2021'!Y$33+'February 2021'!Y$33</f>
        <v>16</v>
      </c>
      <c r="Z34" s="57">
        <f>'November 2020'!Z$33+'December 2020'!Z$33+'January 2021'!Z$33+'February 2021'!Z$33</f>
        <v>417</v>
      </c>
      <c r="AA34" s="57">
        <f>'November 2020'!AA$33+'December 2020'!AA$33+'January 2021'!AA$33+'February 2021'!AA$33</f>
        <v>55</v>
      </c>
      <c r="AB34" s="58">
        <f>'November 2020'!AB33+'December 2020'!AB33+'January 2021'!AB33+'February 2021'!AB33</f>
        <v>407</v>
      </c>
      <c r="AC34" s="58">
        <f>'November 2020'!AC33+'December 2020'!AC33+'January 2021'!AC33+'February 2021'!AC33</f>
        <v>54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56"/>
      <c r="C35" s="59"/>
      <c r="D35" s="56"/>
      <c r="E35" s="53" t="s">
        <v>58</v>
      </c>
      <c r="F35" s="54"/>
      <c r="I35" s="55">
        <f>'November 2020'!I$33+'December 2020'!I$33+'January 2021'!I$33+'February 2021'!I$33+'March 2021'!I$33+'April 2021'!I$33</f>
        <v>112.6333333</v>
      </c>
      <c r="J35" s="55">
        <f>'November 2020'!J33+'December 2020'!J33+'January 2021'!J33+'February 2021'!J33+'March 2021'!J33+'April 2021'!J33</f>
        <v>474.1</v>
      </c>
      <c r="K35" s="56"/>
      <c r="L35" s="56"/>
      <c r="M35" s="56"/>
      <c r="N35" s="57">
        <f>'November 2020'!N33+'December 2020'!N33+'January 2021'!N33+'February 2021'!N33+'March 2021'!N33+'April 2021'!N33</f>
        <v>271</v>
      </c>
      <c r="O35" s="57">
        <f>'November 2020'!O33+'December 2020'!O33+'January 2021'!O33+'February 2021'!O33+'March 2021'!O33+'April 2021'!O33</f>
        <v>139</v>
      </c>
      <c r="P35" s="57">
        <f>'November 2020'!P33+'December 2020'!P33+'January 2021'!P33+'February 2021'!P33+'March 2021'!P33+'April 2021'!P33</f>
        <v>11</v>
      </c>
      <c r="Q35" s="57">
        <f>'November 2020'!Q33+'December 2020'!Q33+'January 2021'!Q33+'February 2021'!Q33+'March 2021'!Q33+'April 2021'!Q33</f>
        <v>0</v>
      </c>
      <c r="R35" s="57">
        <f>'November 2020'!R33+'December 2020'!R33+'January 2021'!R33+'February 2021'!R33+'March 2021'!R33+'April 2021'!R33</f>
        <v>147</v>
      </c>
      <c r="S35" s="57">
        <f>'November 2020'!S33+'December 2020'!S33+'January 2021'!S33+'February 2021'!S33+'March 2021'!S33+'April 2021'!S33</f>
        <v>28</v>
      </c>
      <c r="T35" s="57">
        <f>'November 2020'!T33+'December 2020'!T33+'January 2021'!T33+'February 2021'!T33+'March 2021'!T33+'April 2021'!T33</f>
        <v>8</v>
      </c>
      <c r="U35" s="57">
        <f>'November 2020'!U33+'December 2020'!U33+'January 2021'!U33+'February 2021'!U33+'March 2021'!U33+'April 2021'!U33</f>
        <v>0</v>
      </c>
      <c r="V35" s="57">
        <f>'November 2020'!V33+'December 2020'!V33+'January 2021'!V33+'February 2021'!V33+'March 2021'!V33+'April 2021'!V33</f>
        <v>10</v>
      </c>
      <c r="W35" s="57">
        <f>'November 2020'!W33+'December 2020'!W33+'January 2021'!W33+'February 2021'!W33+'March 2021'!W33+'April 2021'!W33</f>
        <v>0</v>
      </c>
      <c r="X35" s="57">
        <f>'November 2020'!X33+'December 2020'!X33+'January 2021'!X33+'February 2021'!X33+'March 2021'!X33+'April 2021'!X33</f>
        <v>0</v>
      </c>
      <c r="Y35" s="57">
        <f>'November 2020'!Y33+'December 2020'!Y33+'January 2021'!Y33+'February 2021'!Y33+'March 2021'!Y33+'April 2021'!Y33</f>
        <v>16</v>
      </c>
      <c r="Z35" s="57">
        <f>'November 2020'!Z33+'December 2020'!Z33+'January 2021'!Z33+'February 2021'!Z33+'March 2021'!Z33+'April 2021'!Z33</f>
        <v>423</v>
      </c>
      <c r="AA35" s="57">
        <f>'November 2020'!AA33+'December 2020'!AA33+'January 2021'!AA33+'February 2021'!AA33+'March 2021'!AA33+'April 2021'!AA33</f>
        <v>193</v>
      </c>
      <c r="AB35" s="57">
        <f>'November 2020'!AB33+'December 2020'!AB33+'January 2021'!AB33+'February 2021'!AB33+'March 2021'!AB33+'April 2021'!AB33</f>
        <v>412</v>
      </c>
      <c r="AC35" s="57">
        <f>'November 2020'!AC33+'December 2020'!AC33+'January 2021'!AC33+'February 2021'!AC33+'March 2021'!AC33+'April 2021'!AC33</f>
        <v>191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56"/>
      <c r="B36" s="56"/>
      <c r="C36" s="60"/>
      <c r="D36" s="56"/>
      <c r="E36" s="48" t="s">
        <v>59</v>
      </c>
      <c r="F36" s="56"/>
      <c r="G36" s="56"/>
      <c r="H36" s="56"/>
      <c r="I36" s="61"/>
      <c r="J36" s="61"/>
      <c r="K36" s="62"/>
      <c r="L36" s="62"/>
      <c r="M36" s="62"/>
      <c r="N36" s="63">
        <v>811.0</v>
      </c>
      <c r="O36" s="63">
        <v>1180.0</v>
      </c>
      <c r="P36" s="63">
        <v>13.0</v>
      </c>
      <c r="Q36" s="63">
        <v>2.0</v>
      </c>
      <c r="R36" s="63">
        <v>386.0</v>
      </c>
      <c r="S36" s="63">
        <v>89.0</v>
      </c>
      <c r="T36" s="63">
        <v>35.0</v>
      </c>
      <c r="U36" s="64">
        <v>2.0</v>
      </c>
      <c r="V36" s="64">
        <v>0.0</v>
      </c>
      <c r="W36" s="64">
        <v>9.0</v>
      </c>
      <c r="X36" s="64">
        <v>7.0</v>
      </c>
      <c r="Y36" s="65">
        <v>28.0</v>
      </c>
      <c r="Z36" s="63">
        <v>2006.0</v>
      </c>
      <c r="AA36" s="63">
        <v>512.0</v>
      </c>
      <c r="AB36" s="63">
        <v>1991.0</v>
      </c>
      <c r="AC36" s="65">
        <v>475.0</v>
      </c>
      <c r="AD36" s="66"/>
      <c r="AE36" s="66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17"/>
      <c r="BM36" s="17"/>
      <c r="BN36" s="17"/>
    </row>
    <row r="37">
      <c r="A37" s="56"/>
      <c r="B37" s="56"/>
      <c r="C37" s="56"/>
      <c r="D37" s="56"/>
      <c r="E37" s="48" t="s">
        <v>60</v>
      </c>
      <c r="F37" s="56"/>
      <c r="G37" s="56"/>
      <c r="H37" s="56"/>
      <c r="I37" s="61"/>
      <c r="J37" s="61"/>
      <c r="K37" s="62"/>
      <c r="L37" s="62"/>
      <c r="M37" s="62"/>
      <c r="N37" s="63">
        <v>90.0</v>
      </c>
      <c r="O37" s="63">
        <v>1134.0</v>
      </c>
      <c r="P37" s="63">
        <v>3.0</v>
      </c>
      <c r="Q37" s="63">
        <v>4.0</v>
      </c>
      <c r="R37" s="63">
        <v>124.0</v>
      </c>
      <c r="S37" s="63">
        <v>791.0</v>
      </c>
      <c r="T37" s="63">
        <v>6.0</v>
      </c>
      <c r="U37" s="64">
        <v>17.0</v>
      </c>
      <c r="V37" s="64">
        <v>6.0</v>
      </c>
      <c r="W37" s="64">
        <v>4.0</v>
      </c>
      <c r="X37" s="64">
        <v>24.0</v>
      </c>
      <c r="Y37" s="65">
        <v>7.0</v>
      </c>
      <c r="Z37" s="63">
        <v>1231.0</v>
      </c>
      <c r="AA37" s="63">
        <v>944.0</v>
      </c>
      <c r="AB37" s="63">
        <v>1224.0</v>
      </c>
      <c r="AC37" s="65">
        <v>921.0</v>
      </c>
      <c r="AD37" s="68"/>
      <c r="AE37" s="68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17"/>
      <c r="BM37" s="17"/>
      <c r="BN37" s="17"/>
    </row>
    <row r="38">
      <c r="A38" s="56"/>
      <c r="B38" s="56"/>
      <c r="C38" s="56"/>
      <c r="D38" s="56"/>
      <c r="E38" s="48" t="s">
        <v>61</v>
      </c>
      <c r="F38" s="56"/>
      <c r="G38" s="56"/>
      <c r="H38" s="56"/>
      <c r="I38" s="56"/>
      <c r="J38" s="56"/>
      <c r="K38" s="56"/>
      <c r="L38" s="56"/>
      <c r="M38" s="56"/>
      <c r="N38" s="70"/>
      <c r="O38" s="71"/>
      <c r="P38" s="71"/>
      <c r="Q38" s="69"/>
      <c r="R38" s="69"/>
      <c r="S38" s="69"/>
      <c r="T38" s="69"/>
      <c r="U38" s="72"/>
      <c r="V38" s="73"/>
      <c r="W38" s="72"/>
      <c r="X38" s="72"/>
      <c r="Y38" s="68"/>
      <c r="Z38" s="69">
        <v>433.0</v>
      </c>
      <c r="AA38" s="69">
        <v>297.0</v>
      </c>
      <c r="AB38" s="69"/>
      <c r="AC38" s="68"/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17"/>
      <c r="BM38" s="17"/>
      <c r="BN38" s="17"/>
    </row>
    <row r="39">
      <c r="A39" s="56"/>
      <c r="B39" s="56"/>
      <c r="C39" s="56"/>
      <c r="D39" s="56"/>
      <c r="E39" s="48" t="s">
        <v>62</v>
      </c>
      <c r="F39" s="56"/>
      <c r="G39" s="56"/>
      <c r="H39" s="56"/>
      <c r="I39" s="56"/>
      <c r="J39" s="56"/>
      <c r="K39" s="56"/>
      <c r="L39" s="56"/>
      <c r="M39" s="56"/>
      <c r="N39" s="70"/>
      <c r="O39" s="71"/>
      <c r="P39" s="71"/>
      <c r="Q39" s="69"/>
      <c r="R39" s="69"/>
      <c r="S39" s="69"/>
      <c r="T39" s="69"/>
      <c r="U39" s="72"/>
      <c r="V39" s="73"/>
      <c r="W39" s="72"/>
      <c r="X39" s="72"/>
      <c r="Y39" s="68"/>
      <c r="Z39" s="69">
        <v>834.0</v>
      </c>
      <c r="AA39" s="69">
        <v>751.0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17"/>
      <c r="BM39" s="17"/>
      <c r="BN39" s="17"/>
    </row>
    <row r="40">
      <c r="A40" s="56"/>
      <c r="B40" s="56"/>
      <c r="C40" s="56"/>
      <c r="D40" s="56"/>
      <c r="E40" s="48" t="s">
        <v>63</v>
      </c>
      <c r="F40" s="56"/>
      <c r="G40" s="56"/>
      <c r="H40" s="56"/>
      <c r="I40" s="56"/>
      <c r="J40" s="56"/>
      <c r="K40" s="56"/>
      <c r="L40" s="56"/>
      <c r="M40" s="56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688.0</v>
      </c>
      <c r="AA40" s="69">
        <v>1040.0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17"/>
      <c r="BM40" s="17"/>
      <c r="BN40" s="17"/>
    </row>
    <row r="41">
      <c r="A41" s="56"/>
      <c r="B41" s="56"/>
      <c r="C41" s="56"/>
      <c r="D41" s="74"/>
      <c r="E41" s="48" t="s">
        <v>64</v>
      </c>
      <c r="F41" s="56"/>
      <c r="G41" s="56"/>
      <c r="H41" s="56"/>
      <c r="I41" s="56"/>
      <c r="J41" s="56"/>
      <c r="K41" s="56"/>
      <c r="L41" s="56"/>
      <c r="M41" s="74"/>
      <c r="N41" s="75"/>
      <c r="O41" s="60"/>
      <c r="P41" s="60"/>
      <c r="Q41" s="76"/>
      <c r="R41" s="76"/>
      <c r="S41" s="77"/>
      <c r="T41" s="77"/>
      <c r="U41" s="78"/>
      <c r="V41" s="79"/>
      <c r="W41" s="76"/>
      <c r="X41" s="76"/>
      <c r="Y41" s="80"/>
      <c r="Z41" s="76">
        <v>695.0</v>
      </c>
      <c r="AA41" s="76">
        <v>750.0</v>
      </c>
      <c r="AB41" s="76"/>
      <c r="AC41" s="80"/>
      <c r="AD41" s="80"/>
      <c r="AE41" s="80"/>
      <c r="AF41" s="48"/>
      <c r="AG41" s="48"/>
      <c r="AH41" s="48"/>
      <c r="AI41" s="48"/>
      <c r="AJ41" s="48"/>
      <c r="AK41" s="48"/>
      <c r="AL41" s="76"/>
      <c r="AM41" s="76"/>
      <c r="AN41" s="81"/>
      <c r="AO41" s="81"/>
      <c r="AP41" s="81"/>
      <c r="AQ41" s="80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17"/>
      <c r="BM41" s="17"/>
      <c r="BN41" s="17"/>
    </row>
    <row r="42">
      <c r="A42" s="56"/>
      <c r="B42" s="56"/>
      <c r="C42" s="56"/>
      <c r="D42" s="74"/>
      <c r="E42" s="48" t="s">
        <v>65</v>
      </c>
      <c r="F42" s="56"/>
      <c r="G42" s="56"/>
      <c r="H42" s="56"/>
      <c r="I42" s="56"/>
      <c r="J42" s="56"/>
      <c r="K42" s="56"/>
      <c r="L42" s="56"/>
      <c r="M42" s="74"/>
      <c r="N42" s="75"/>
      <c r="O42" s="60"/>
      <c r="P42" s="60"/>
      <c r="Q42" s="76"/>
      <c r="R42" s="76"/>
      <c r="S42" s="77"/>
      <c r="T42" s="77"/>
      <c r="U42" s="78"/>
      <c r="V42" s="79"/>
      <c r="W42" s="76"/>
      <c r="X42" s="76"/>
      <c r="Y42" s="80"/>
      <c r="Z42" s="76">
        <v>580.0</v>
      </c>
      <c r="AA42" s="76">
        <v>572.0</v>
      </c>
      <c r="AB42" s="76"/>
      <c r="AC42" s="80"/>
      <c r="AD42" s="80"/>
      <c r="AE42" s="80"/>
      <c r="AF42" s="48"/>
      <c r="AG42" s="48"/>
      <c r="AH42" s="48"/>
      <c r="AI42" s="48"/>
      <c r="AJ42" s="48"/>
      <c r="AK42" s="48"/>
      <c r="AL42" s="76"/>
      <c r="AM42" s="76"/>
      <c r="AN42" s="81"/>
      <c r="AO42" s="81"/>
      <c r="AP42" s="81"/>
      <c r="AQ42" s="80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17"/>
      <c r="BM42" s="17"/>
      <c r="BN42" s="17"/>
    </row>
    <row r="43">
      <c r="A43" s="82"/>
      <c r="B43" s="17"/>
      <c r="C43" s="17"/>
      <c r="D43" s="17"/>
      <c r="E43" s="17"/>
      <c r="F43" s="17"/>
      <c r="G43" s="17"/>
      <c r="H43" s="17"/>
      <c r="I43" s="83"/>
      <c r="J43" s="83"/>
      <c r="K43" s="83"/>
      <c r="L43" s="83"/>
      <c r="M43" s="17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</row>
    <row r="45">
      <c r="A45" s="82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</sheetData>
  <conditionalFormatting sqref="D2:D29">
    <cfRule type="expression" dxfId="4" priority="1">
      <formula> SUM($N2:$Y2) &gt;0</formula>
    </cfRule>
  </conditionalFormatting>
  <conditionalFormatting sqref="D2:D32 H2:H32 J32:Y32">
    <cfRule type="expression" dxfId="4" priority="2">
      <formula> SUM($N2:$Y2) &gt; 0</formula>
    </cfRule>
  </conditionalFormatting>
  <conditionalFormatting sqref="AE1 AE33:AE35 AE39:AE1008">
    <cfRule type="notContainsBlanks" dxfId="5" priority="3">
      <formula>LEN(TRIM(AE1))&gt;0</formula>
    </cfRule>
  </conditionalFormatting>
  <conditionalFormatting sqref="AD2:AD32">
    <cfRule type="colorScale" priority="4">
      <colorScale>
        <cfvo type="min"/>
        <cfvo type="max"/>
        <color rgb="FF999999"/>
        <color rgb="FFFFFFFF"/>
      </colorScale>
    </cfRule>
  </conditionalFormatting>
  <conditionalFormatting sqref="B20">
    <cfRule type="notContainsBlanks" dxfId="5" priority="5">
      <formula>LEN(TRIM(B20))&gt;0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6.13"/>
    <col customWidth="1" min="3" max="3" width="6.63"/>
    <col customWidth="1" min="4" max="4" width="13.25"/>
    <col customWidth="1" min="5" max="5" width="8.5"/>
    <col customWidth="1" min="6" max="6" width="9.25"/>
    <col customWidth="1" min="7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18.0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1.63"/>
    <col customWidth="1" min="29" max="29" width="12.25"/>
    <col customWidth="1" hidden="1" min="30" max="30" width="7.0"/>
    <col customWidth="1" min="31" max="31" width="56.63"/>
  </cols>
  <sheetData>
    <row r="1">
      <c r="A1" s="2" t="s">
        <v>66</v>
      </c>
      <c r="B1" s="2" t="s">
        <v>0</v>
      </c>
      <c r="C1" s="2" t="s">
        <v>1</v>
      </c>
      <c r="D1" s="2" t="s">
        <v>2</v>
      </c>
      <c r="E1" s="4" t="s">
        <v>3</v>
      </c>
      <c r="F1" s="2" t="s">
        <v>4</v>
      </c>
      <c r="G1" s="2" t="s">
        <v>67</v>
      </c>
      <c r="H1" s="2" t="s">
        <v>6</v>
      </c>
      <c r="I1" s="4" t="s">
        <v>7</v>
      </c>
      <c r="J1" s="4" t="s">
        <v>8</v>
      </c>
      <c r="K1" s="4" t="s">
        <v>68</v>
      </c>
      <c r="L1" s="4" t="s">
        <v>69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70</v>
      </c>
      <c r="R1" s="3" t="s">
        <v>71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72</v>
      </c>
      <c r="Y1" s="3" t="s">
        <v>23</v>
      </c>
      <c r="Z1" s="4" t="s">
        <v>73</v>
      </c>
      <c r="AA1" s="4" t="s">
        <v>74</v>
      </c>
      <c r="AB1" s="4" t="s">
        <v>26</v>
      </c>
      <c r="AC1" s="4" t="s">
        <v>27</v>
      </c>
      <c r="AD1" s="3" t="s">
        <v>28</v>
      </c>
      <c r="AE1" s="4" t="s">
        <v>29</v>
      </c>
      <c r="AF1" s="84"/>
      <c r="AG1" s="84"/>
      <c r="AH1" s="84"/>
      <c r="AI1" s="84"/>
      <c r="AJ1" s="84"/>
      <c r="AK1" s="84"/>
      <c r="AL1" s="85"/>
      <c r="AM1" s="85"/>
      <c r="AN1" s="85"/>
      <c r="AO1" s="85"/>
      <c r="AP1" s="85"/>
      <c r="AQ1" s="85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</row>
    <row r="2">
      <c r="A2" s="87">
        <v>44256.0</v>
      </c>
      <c r="B2">
        <v>1759.0</v>
      </c>
      <c r="C2">
        <v>1828.0</v>
      </c>
      <c r="D2" s="8" t="str">
        <f t="shared" ref="D2:D32" si="1">choose(weekday(A2),"Phil/Fred", "Jane/Sarah", "Jim/John/Lena","Marsha/Anne","Shawn/Jenny","Jeff", "Rob/Maggie")</f>
        <v>Jane/Sarah</v>
      </c>
      <c r="E2" s="88" t="s">
        <v>35</v>
      </c>
      <c r="F2" s="89">
        <v>0.2604166666666667</v>
      </c>
      <c r="G2" s="90">
        <v>44256.0</v>
      </c>
      <c r="H2" s="89"/>
      <c r="I2" s="23">
        <f t="shared" ref="I2:I32" si="2">iferror(24*( DATEDIF(A2,G2,"D")+TIMEVALUE(H2)-TIMEVALUE(F2)),0)</f>
        <v>0</v>
      </c>
      <c r="J2" s="88"/>
      <c r="K2" s="88">
        <v>49.0</v>
      </c>
      <c r="L2" s="88"/>
      <c r="M2" s="88" t="s">
        <v>75</v>
      </c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26">
        <f t="shared" ref="Z2:Z32" si="3">sum(N2:Q2)</f>
        <v>0</v>
      </c>
      <c r="AA2" s="26">
        <f t="shared" ref="AA2:AA32" si="4">sum(R2:V2)</f>
        <v>0</v>
      </c>
      <c r="AB2" s="27">
        <f t="shared" ref="AB2:AB32" si="5">sum(N2:O2)</f>
        <v>0</v>
      </c>
      <c r="AC2" s="27">
        <f t="shared" ref="AC2:AC32" si="6">sum(R2:S2,V2)</f>
        <v>0</v>
      </c>
      <c r="AD2" s="91">
        <v>0.21</v>
      </c>
      <c r="AE2" s="92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6">
        <v>44257.0</v>
      </c>
      <c r="B3">
        <v>1800.0</v>
      </c>
      <c r="C3">
        <v>1830.0</v>
      </c>
      <c r="D3" s="8" t="str">
        <f t="shared" si="1"/>
        <v>Jim/John/Lena</v>
      </c>
      <c r="E3" s="94" t="s">
        <v>35</v>
      </c>
      <c r="F3" s="95"/>
      <c r="G3" s="96">
        <v>44257.0</v>
      </c>
      <c r="H3" s="95"/>
      <c r="I3" s="23">
        <f t="shared" si="2"/>
        <v>0</v>
      </c>
      <c r="J3" s="94"/>
      <c r="K3" s="94"/>
      <c r="L3" s="94"/>
      <c r="M3" s="94"/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26">
        <f t="shared" si="3"/>
        <v>0</v>
      </c>
      <c r="AA3" s="26">
        <f t="shared" si="4"/>
        <v>0</v>
      </c>
      <c r="AB3" s="27">
        <f t="shared" si="5"/>
        <v>0</v>
      </c>
      <c r="AC3" s="27">
        <f t="shared" si="6"/>
        <v>0</v>
      </c>
      <c r="AD3" s="97">
        <v>0.13</v>
      </c>
      <c r="AE3" s="98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>
      <c r="A4" s="6">
        <v>44258.0</v>
      </c>
      <c r="B4">
        <v>1801.0</v>
      </c>
      <c r="C4">
        <v>1831.0</v>
      </c>
      <c r="D4" s="8" t="str">
        <f t="shared" si="1"/>
        <v>Marsha/Anne</v>
      </c>
      <c r="E4" s="88" t="s">
        <v>35</v>
      </c>
      <c r="F4" s="89"/>
      <c r="G4" s="96">
        <v>44258.0</v>
      </c>
      <c r="H4" s="89"/>
      <c r="I4" s="23">
        <f t="shared" si="2"/>
        <v>0</v>
      </c>
      <c r="J4" s="88"/>
      <c r="K4" s="88"/>
      <c r="L4" s="88"/>
      <c r="M4" s="88"/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26">
        <f t="shared" si="3"/>
        <v>0</v>
      </c>
      <c r="AA4" s="26">
        <f t="shared" si="4"/>
        <v>0</v>
      </c>
      <c r="AB4" s="27">
        <f t="shared" si="5"/>
        <v>0</v>
      </c>
      <c r="AC4" s="27">
        <f t="shared" si="6"/>
        <v>0</v>
      </c>
      <c r="AD4" s="100">
        <v>0.07</v>
      </c>
      <c r="AE4" s="92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6">
        <v>44259.0</v>
      </c>
      <c r="B5">
        <v>1803.0</v>
      </c>
      <c r="C5">
        <v>1832.0</v>
      </c>
      <c r="D5" s="8" t="str">
        <f t="shared" si="1"/>
        <v>Shawn/Jenny</v>
      </c>
      <c r="E5" s="94" t="s">
        <v>30</v>
      </c>
      <c r="F5" s="101">
        <v>0.7395833333333334</v>
      </c>
      <c r="G5" s="96">
        <v>44259.0</v>
      </c>
      <c r="H5" s="101">
        <v>0.8854166666666666</v>
      </c>
      <c r="I5" s="23">
        <f t="shared" si="2"/>
        <v>3.5</v>
      </c>
      <c r="J5" s="94">
        <v>19.5</v>
      </c>
      <c r="K5" s="94">
        <v>50.0</v>
      </c>
      <c r="L5" s="94">
        <v>48.0</v>
      </c>
      <c r="M5" s="94" t="s">
        <v>76</v>
      </c>
      <c r="N5" s="88">
        <v>5.0</v>
      </c>
      <c r="O5" s="88">
        <v>0.0</v>
      </c>
      <c r="P5" s="88">
        <v>1.0</v>
      </c>
      <c r="Q5" s="88">
        <v>0.0</v>
      </c>
      <c r="R5" s="88">
        <v>73.0</v>
      </c>
      <c r="S5" s="88">
        <v>23.0</v>
      </c>
      <c r="T5" s="88">
        <v>1.0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26">
        <f t="shared" si="3"/>
        <v>6</v>
      </c>
      <c r="AA5" s="26">
        <f t="shared" si="4"/>
        <v>97</v>
      </c>
      <c r="AB5" s="27">
        <f t="shared" si="5"/>
        <v>5</v>
      </c>
      <c r="AC5" s="27">
        <f t="shared" si="6"/>
        <v>96</v>
      </c>
      <c r="AD5" s="102">
        <v>0.03</v>
      </c>
      <c r="AE5" s="98" t="s">
        <v>77</v>
      </c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</row>
    <row r="6">
      <c r="A6" s="6">
        <v>44260.0</v>
      </c>
      <c r="B6">
        <v>1804.0</v>
      </c>
      <c r="C6">
        <v>1834.0</v>
      </c>
      <c r="D6" s="8" t="str">
        <f t="shared" si="1"/>
        <v>Jeff</v>
      </c>
      <c r="E6" s="88" t="s">
        <v>30</v>
      </c>
      <c r="F6" s="103">
        <v>0.7604166666666666</v>
      </c>
      <c r="G6" s="96">
        <v>44260.0</v>
      </c>
      <c r="H6" s="89">
        <v>0.875</v>
      </c>
      <c r="I6" s="23">
        <f t="shared" si="2"/>
        <v>2.75</v>
      </c>
      <c r="J6" s="88">
        <v>14.5</v>
      </c>
      <c r="K6" s="88">
        <v>44.0</v>
      </c>
      <c r="L6" s="88">
        <v>43.0</v>
      </c>
      <c r="M6" s="92" t="s">
        <v>78</v>
      </c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26">
        <f t="shared" si="3"/>
        <v>0</v>
      </c>
      <c r="AA6" s="26">
        <f t="shared" si="4"/>
        <v>0</v>
      </c>
      <c r="AB6" s="27">
        <f t="shared" si="5"/>
        <v>0</v>
      </c>
      <c r="AC6" s="27">
        <f t="shared" si="6"/>
        <v>0</v>
      </c>
      <c r="AD6" s="104">
        <v>0.01</v>
      </c>
      <c r="AE6" s="92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6">
        <v>44261.0</v>
      </c>
      <c r="B7">
        <v>1805.0</v>
      </c>
      <c r="C7">
        <v>1835.0</v>
      </c>
      <c r="D7" s="8" t="str">
        <f t="shared" si="1"/>
        <v>Rob/Maggie</v>
      </c>
      <c r="E7" s="19" t="s">
        <v>39</v>
      </c>
      <c r="F7" s="103">
        <v>0.2604166666666667</v>
      </c>
      <c r="G7" s="96">
        <v>44261.0</v>
      </c>
      <c r="H7" s="20">
        <v>0.28125</v>
      </c>
      <c r="I7" s="23">
        <f t="shared" si="2"/>
        <v>0.5</v>
      </c>
      <c r="J7" s="94">
        <v>0.5</v>
      </c>
      <c r="K7" s="19">
        <v>44.0</v>
      </c>
      <c r="L7" s="94">
        <v>42.0</v>
      </c>
      <c r="M7" s="19" t="s">
        <v>79</v>
      </c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26">
        <f t="shared" si="3"/>
        <v>0</v>
      </c>
      <c r="AA7" s="26">
        <f t="shared" si="4"/>
        <v>0</v>
      </c>
      <c r="AB7" s="27">
        <f t="shared" si="5"/>
        <v>0</v>
      </c>
      <c r="AC7" s="27">
        <f t="shared" si="6"/>
        <v>0</v>
      </c>
      <c r="AD7" s="105">
        <v>0.0</v>
      </c>
      <c r="AE7" s="98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</row>
    <row r="8">
      <c r="A8" s="6">
        <v>44262.0</v>
      </c>
      <c r="B8" s="106">
        <v>1907.0</v>
      </c>
      <c r="C8" s="106">
        <v>1936.0</v>
      </c>
      <c r="D8" s="8" t="str">
        <f t="shared" si="1"/>
        <v>Phil/Fred</v>
      </c>
      <c r="E8" s="82" t="s">
        <v>30</v>
      </c>
      <c r="F8" s="107">
        <v>0.7604166666666666</v>
      </c>
      <c r="G8" s="96">
        <v>44262.0</v>
      </c>
      <c r="H8" s="107">
        <v>0.7916666666666666</v>
      </c>
      <c r="I8" s="23">
        <f t="shared" si="2"/>
        <v>0.75</v>
      </c>
      <c r="J8" s="82">
        <v>0.75</v>
      </c>
      <c r="K8" s="82">
        <v>47.0</v>
      </c>
      <c r="L8" s="82">
        <v>44.0</v>
      </c>
      <c r="M8" s="51" t="s">
        <v>49</v>
      </c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26">
        <f t="shared" si="3"/>
        <v>0</v>
      </c>
      <c r="AA8" s="26">
        <f t="shared" si="4"/>
        <v>0</v>
      </c>
      <c r="AB8" s="27">
        <f t="shared" si="5"/>
        <v>0</v>
      </c>
      <c r="AC8" s="27">
        <f t="shared" si="6"/>
        <v>0</v>
      </c>
      <c r="AD8" s="104">
        <v>0.01</v>
      </c>
      <c r="AE8" s="92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6">
        <v>44263.0</v>
      </c>
      <c r="B9" s="106">
        <v>1908.0</v>
      </c>
      <c r="C9" s="106">
        <v>1938.0</v>
      </c>
      <c r="D9" s="8" t="str">
        <f t="shared" si="1"/>
        <v>Jane/Sarah</v>
      </c>
      <c r="E9" s="94" t="s">
        <v>35</v>
      </c>
      <c r="F9" s="95">
        <v>0.7708333333333334</v>
      </c>
      <c r="G9" s="96">
        <v>44263.0</v>
      </c>
      <c r="H9" s="95"/>
      <c r="I9" s="23">
        <f t="shared" si="2"/>
        <v>0</v>
      </c>
      <c r="J9" s="94"/>
      <c r="K9" s="94">
        <v>46.0</v>
      </c>
      <c r="L9" s="94"/>
      <c r="M9" s="98" t="s">
        <v>80</v>
      </c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26">
        <f t="shared" si="3"/>
        <v>0</v>
      </c>
      <c r="AA9" s="26">
        <f t="shared" si="4"/>
        <v>0</v>
      </c>
      <c r="AB9" s="27">
        <f t="shared" si="5"/>
        <v>0</v>
      </c>
      <c r="AC9" s="27">
        <f t="shared" si="6"/>
        <v>0</v>
      </c>
      <c r="AD9" s="108">
        <v>0.05</v>
      </c>
      <c r="AE9" s="98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</row>
    <row r="10">
      <c r="A10" s="6">
        <v>44264.0</v>
      </c>
      <c r="B10" s="106">
        <v>1909.0</v>
      </c>
      <c r="C10" s="106">
        <v>1939.0</v>
      </c>
      <c r="D10" s="8" t="str">
        <f t="shared" si="1"/>
        <v>Jim/John/Lena</v>
      </c>
      <c r="E10" s="94"/>
      <c r="F10" s="89"/>
      <c r="G10" s="96">
        <v>44264.0</v>
      </c>
      <c r="H10" s="89"/>
      <c r="I10" s="23">
        <f t="shared" si="2"/>
        <v>0</v>
      </c>
      <c r="J10" s="88"/>
      <c r="K10" s="88"/>
      <c r="L10" s="88"/>
      <c r="M10" s="92"/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26">
        <f t="shared" si="3"/>
        <v>0</v>
      </c>
      <c r="AA10" s="26">
        <f t="shared" si="4"/>
        <v>0</v>
      </c>
      <c r="AB10" s="27">
        <f t="shared" si="5"/>
        <v>0</v>
      </c>
      <c r="AC10" s="27">
        <f t="shared" si="6"/>
        <v>0</v>
      </c>
      <c r="AD10" s="109">
        <v>0.09</v>
      </c>
      <c r="AE10" s="92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6">
        <v>44265.0</v>
      </c>
      <c r="B11" s="106">
        <v>1911.0</v>
      </c>
      <c r="C11" s="110">
        <v>1940.0</v>
      </c>
      <c r="D11" s="8" t="str">
        <f t="shared" si="1"/>
        <v>Marsha/Anne</v>
      </c>
      <c r="E11" s="94" t="s">
        <v>30</v>
      </c>
      <c r="F11" s="111">
        <v>18.1</v>
      </c>
      <c r="G11" s="96">
        <v>44265.0</v>
      </c>
      <c r="H11" s="112">
        <v>0.7916666666666666</v>
      </c>
      <c r="I11" s="23">
        <f t="shared" si="2"/>
        <v>0</v>
      </c>
      <c r="J11" s="113">
        <v>1.0</v>
      </c>
      <c r="K11" s="113">
        <v>48.0</v>
      </c>
      <c r="L11" s="113">
        <v>45.0</v>
      </c>
      <c r="M11" s="114"/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26">
        <f t="shared" si="3"/>
        <v>0</v>
      </c>
      <c r="AA11" s="26">
        <f t="shared" si="4"/>
        <v>0</v>
      </c>
      <c r="AB11" s="27">
        <f t="shared" si="5"/>
        <v>0</v>
      </c>
      <c r="AC11" s="27">
        <f t="shared" si="6"/>
        <v>0</v>
      </c>
      <c r="AD11" s="115">
        <v>0.16</v>
      </c>
      <c r="AE11" s="114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</row>
    <row r="12">
      <c r="A12" s="6">
        <v>44266.0</v>
      </c>
      <c r="B12" s="106">
        <v>1912.0</v>
      </c>
      <c r="C12" s="110">
        <v>1942.0</v>
      </c>
      <c r="D12" s="8" t="str">
        <f t="shared" si="1"/>
        <v>Shawn/Jenny</v>
      </c>
      <c r="E12" s="94" t="s">
        <v>35</v>
      </c>
      <c r="F12" s="117"/>
      <c r="G12" s="96">
        <v>44266.0</v>
      </c>
      <c r="H12" s="103">
        <v>0.7916666666666666</v>
      </c>
      <c r="I12" s="23">
        <f t="shared" si="2"/>
        <v>0</v>
      </c>
      <c r="J12" s="92"/>
      <c r="K12" s="88">
        <v>46.0</v>
      </c>
      <c r="L12" s="92"/>
      <c r="M12" s="92" t="s">
        <v>81</v>
      </c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0.0</v>
      </c>
      <c r="Y12" s="88">
        <v>0.0</v>
      </c>
      <c r="Z12" s="26">
        <f t="shared" si="3"/>
        <v>0</v>
      </c>
      <c r="AA12" s="26">
        <f t="shared" si="4"/>
        <v>0</v>
      </c>
      <c r="AB12" s="27">
        <f t="shared" si="5"/>
        <v>0</v>
      </c>
      <c r="AC12" s="27">
        <f t="shared" si="6"/>
        <v>0</v>
      </c>
      <c r="AD12" s="118">
        <v>0.23</v>
      </c>
      <c r="AE12" s="92"/>
      <c r="AF12" s="93"/>
      <c r="AG12" s="93"/>
      <c r="AH12" s="93"/>
      <c r="AI12" s="18"/>
      <c r="AJ12" s="18"/>
      <c r="AK12" s="93"/>
      <c r="AL12" s="93"/>
      <c r="AM12" s="93"/>
      <c r="AN12" s="93"/>
      <c r="AO12" s="93"/>
      <c r="AP12" s="93"/>
      <c r="AQ12" s="93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6">
        <v>44267.0</v>
      </c>
      <c r="B13" s="106">
        <v>1913.0</v>
      </c>
      <c r="C13" s="110">
        <v>1943.0</v>
      </c>
      <c r="D13" s="8" t="str">
        <f t="shared" si="1"/>
        <v>Jeff</v>
      </c>
      <c r="E13" s="94"/>
      <c r="F13" s="117"/>
      <c r="G13" s="96">
        <v>44267.0</v>
      </c>
      <c r="H13" s="95"/>
      <c r="I13" s="23">
        <f t="shared" si="2"/>
        <v>0</v>
      </c>
      <c r="J13" s="94"/>
      <c r="K13" s="94"/>
      <c r="L13" s="94"/>
      <c r="M13" s="98"/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26">
        <f t="shared" si="3"/>
        <v>0</v>
      </c>
      <c r="AA13" s="26">
        <f t="shared" si="4"/>
        <v>0</v>
      </c>
      <c r="AB13" s="27">
        <f t="shared" si="5"/>
        <v>0</v>
      </c>
      <c r="AC13" s="27">
        <f t="shared" si="6"/>
        <v>0</v>
      </c>
      <c r="AD13" s="119">
        <v>0.31</v>
      </c>
      <c r="AE13" s="98"/>
      <c r="AF13" s="99"/>
      <c r="AG13" s="99"/>
      <c r="AH13" s="99"/>
      <c r="AI13" s="120"/>
      <c r="AJ13" s="120"/>
      <c r="AK13" s="93"/>
      <c r="AL13" s="93"/>
      <c r="AM13" s="99"/>
      <c r="AN13" s="99"/>
      <c r="AO13" s="99"/>
      <c r="AP13" s="99"/>
      <c r="AQ13" s="99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</row>
    <row r="14">
      <c r="A14" s="6">
        <v>44268.0</v>
      </c>
      <c r="B14" s="106">
        <v>1914.0</v>
      </c>
      <c r="C14" s="110">
        <v>1944.0</v>
      </c>
      <c r="D14" s="8" t="str">
        <f t="shared" si="1"/>
        <v>Rob/Maggie</v>
      </c>
      <c r="E14" s="94" t="s">
        <v>35</v>
      </c>
      <c r="F14" s="117"/>
      <c r="G14" s="96">
        <v>44268.0</v>
      </c>
      <c r="H14" s="89"/>
      <c r="I14" s="23">
        <f t="shared" si="2"/>
        <v>0</v>
      </c>
      <c r="J14" s="88"/>
      <c r="K14" s="88">
        <v>45.0</v>
      </c>
      <c r="L14" s="88"/>
      <c r="M14" s="92" t="s">
        <v>82</v>
      </c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26">
        <f t="shared" si="3"/>
        <v>0</v>
      </c>
      <c r="AA14" s="26">
        <f t="shared" si="4"/>
        <v>0</v>
      </c>
      <c r="AB14" s="27">
        <f t="shared" si="5"/>
        <v>0</v>
      </c>
      <c r="AC14" s="27">
        <f t="shared" si="6"/>
        <v>0</v>
      </c>
      <c r="AD14" s="121">
        <v>0.41</v>
      </c>
      <c r="AE14" s="92"/>
      <c r="AF14" s="93"/>
      <c r="AG14" s="93"/>
      <c r="AH14" s="93"/>
      <c r="AI14" s="18"/>
      <c r="AJ14" s="18"/>
      <c r="AK14" s="93"/>
      <c r="AL14" s="93"/>
      <c r="AM14" s="93"/>
      <c r="AN14" s="93"/>
      <c r="AO14" s="93"/>
      <c r="AP14" s="93"/>
      <c r="AQ14" s="93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6">
        <v>44269.0</v>
      </c>
      <c r="B15" s="106">
        <v>1916.0</v>
      </c>
      <c r="C15" s="110">
        <v>1946.0</v>
      </c>
      <c r="D15" s="8" t="str">
        <f t="shared" si="1"/>
        <v>Phil/Fred</v>
      </c>
      <c r="E15" s="94" t="s">
        <v>30</v>
      </c>
      <c r="F15" s="117">
        <v>0.8125</v>
      </c>
      <c r="G15" s="96">
        <v>44269.0</v>
      </c>
      <c r="H15" s="95">
        <v>0.8854166666666666</v>
      </c>
      <c r="I15" s="23">
        <f t="shared" si="2"/>
        <v>1.75</v>
      </c>
      <c r="J15" s="94">
        <v>5.5</v>
      </c>
      <c r="K15" s="94">
        <v>43.5</v>
      </c>
      <c r="L15" s="94">
        <v>41.7</v>
      </c>
      <c r="M15" s="98" t="s">
        <v>83</v>
      </c>
      <c r="N15" s="88">
        <v>0.0</v>
      </c>
      <c r="O15" s="88">
        <v>0.0</v>
      </c>
      <c r="P15" s="88">
        <v>0.0</v>
      </c>
      <c r="Q15" s="88">
        <v>0.0</v>
      </c>
      <c r="R15" s="88">
        <v>4.0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26">
        <f t="shared" si="3"/>
        <v>0</v>
      </c>
      <c r="AA15" s="26">
        <f t="shared" si="4"/>
        <v>4</v>
      </c>
      <c r="AB15" s="27">
        <f t="shared" si="5"/>
        <v>0</v>
      </c>
      <c r="AC15" s="27">
        <f t="shared" si="6"/>
        <v>4</v>
      </c>
      <c r="AD15" s="122">
        <v>0.51</v>
      </c>
      <c r="AE15" s="98" t="s">
        <v>84</v>
      </c>
      <c r="AF15" s="99"/>
      <c r="AG15" s="99"/>
      <c r="AH15" s="99"/>
      <c r="AI15" s="120"/>
      <c r="AJ15" s="120"/>
      <c r="AK15" s="93"/>
      <c r="AL15" s="93"/>
      <c r="AM15" s="99"/>
      <c r="AN15" s="99"/>
      <c r="AO15" s="99"/>
      <c r="AP15" s="99"/>
      <c r="AQ15" s="99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</row>
    <row r="16">
      <c r="A16" s="6">
        <v>44270.0</v>
      </c>
      <c r="B16" s="106">
        <v>1917.0</v>
      </c>
      <c r="C16" s="110">
        <v>1947.0</v>
      </c>
      <c r="D16" s="8" t="str">
        <f t="shared" si="1"/>
        <v>Jane/Sarah</v>
      </c>
      <c r="E16" s="94" t="s">
        <v>35</v>
      </c>
      <c r="F16" s="117">
        <v>0.7708333333333334</v>
      </c>
      <c r="G16" s="96">
        <v>44270.0</v>
      </c>
      <c r="H16" s="103"/>
      <c r="I16" s="23">
        <f t="shared" si="2"/>
        <v>0</v>
      </c>
      <c r="J16" s="88"/>
      <c r="K16" s="88">
        <v>44.0</v>
      </c>
      <c r="L16" s="88"/>
      <c r="M16" s="123" t="s">
        <v>41</v>
      </c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26">
        <f t="shared" si="3"/>
        <v>0</v>
      </c>
      <c r="AA16" s="26">
        <f t="shared" si="4"/>
        <v>0</v>
      </c>
      <c r="AB16" s="27">
        <f t="shared" si="5"/>
        <v>0</v>
      </c>
      <c r="AC16" s="27">
        <f t="shared" si="6"/>
        <v>0</v>
      </c>
      <c r="AD16" s="124">
        <v>0.61</v>
      </c>
      <c r="AE16" s="92"/>
      <c r="AF16" s="47"/>
      <c r="AG16" s="47"/>
      <c r="AH16" s="47"/>
      <c r="AI16" s="18"/>
      <c r="AJ16" s="18"/>
      <c r="AK16" s="93"/>
      <c r="AL16" s="93"/>
      <c r="AM16" s="47"/>
      <c r="AN16" s="47"/>
      <c r="AO16" s="47"/>
      <c r="AP16" s="47"/>
      <c r="AQ16" s="4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6">
        <v>44271.0</v>
      </c>
      <c r="B17" s="106">
        <v>1919.0</v>
      </c>
      <c r="C17" s="110">
        <v>1948.0</v>
      </c>
      <c r="D17" s="8" t="str">
        <f t="shared" si="1"/>
        <v>Jim/John/Lena</v>
      </c>
      <c r="E17" s="94" t="s">
        <v>39</v>
      </c>
      <c r="F17" s="117">
        <v>0.7708333333333334</v>
      </c>
      <c r="G17" s="96">
        <v>44271.0</v>
      </c>
      <c r="H17" s="95">
        <v>0.8125</v>
      </c>
      <c r="I17" s="23">
        <f t="shared" si="2"/>
        <v>1</v>
      </c>
      <c r="J17" s="94"/>
      <c r="K17" s="94">
        <v>45.0</v>
      </c>
      <c r="L17" s="94"/>
      <c r="M17" s="106" t="s">
        <v>41</v>
      </c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26">
        <f t="shared" si="3"/>
        <v>0</v>
      </c>
      <c r="AA17" s="26">
        <f t="shared" si="4"/>
        <v>0</v>
      </c>
      <c r="AB17" s="27">
        <f t="shared" si="5"/>
        <v>0</v>
      </c>
      <c r="AC17" s="27">
        <f t="shared" si="6"/>
        <v>0</v>
      </c>
      <c r="AD17" s="125">
        <v>0.71</v>
      </c>
      <c r="AE17" s="98"/>
      <c r="AF17" s="99"/>
      <c r="AG17" s="99"/>
      <c r="AH17" s="99"/>
      <c r="AI17" s="120"/>
      <c r="AJ17" s="120"/>
      <c r="AK17" s="93"/>
      <c r="AL17" s="93"/>
      <c r="AM17" s="99"/>
      <c r="AN17" s="99"/>
      <c r="AO17" s="99"/>
      <c r="AP17" s="99"/>
      <c r="AQ17" s="99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</row>
    <row r="18">
      <c r="A18" s="6">
        <v>44272.0</v>
      </c>
      <c r="B18" s="106">
        <v>1920.0</v>
      </c>
      <c r="C18" s="110">
        <v>1950.0</v>
      </c>
      <c r="D18" s="8" t="str">
        <f t="shared" si="1"/>
        <v>Marsha/Anne</v>
      </c>
      <c r="E18" s="94" t="s">
        <v>35</v>
      </c>
      <c r="F18" s="117"/>
      <c r="G18" s="96">
        <v>44272.0</v>
      </c>
      <c r="H18" s="126"/>
      <c r="I18" s="127">
        <f t="shared" si="2"/>
        <v>0</v>
      </c>
      <c r="J18" s="128"/>
      <c r="K18" s="128"/>
      <c r="L18" s="128"/>
      <c r="M18" s="129"/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130">
        <f t="shared" si="3"/>
        <v>0</v>
      </c>
      <c r="AA18" s="130">
        <f t="shared" si="4"/>
        <v>0</v>
      </c>
      <c r="AB18" s="131">
        <f t="shared" si="5"/>
        <v>0</v>
      </c>
      <c r="AC18" s="131">
        <f t="shared" si="6"/>
        <v>0</v>
      </c>
      <c r="AD18" s="132">
        <v>0.8</v>
      </c>
      <c r="AE18" s="129"/>
      <c r="AF18" s="133"/>
      <c r="AG18" s="133"/>
      <c r="AH18" s="133"/>
      <c r="AI18" s="134"/>
      <c r="AJ18" s="134"/>
      <c r="AK18" s="133"/>
      <c r="AL18" s="133"/>
      <c r="AM18" s="133"/>
      <c r="AN18" s="133"/>
      <c r="AO18" s="133"/>
      <c r="AP18" s="133"/>
      <c r="AQ18" s="133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5"/>
    </row>
    <row r="19">
      <c r="A19" s="6">
        <v>44273.0</v>
      </c>
      <c r="B19" s="106">
        <v>1921.0</v>
      </c>
      <c r="C19" s="110">
        <v>1951.0</v>
      </c>
      <c r="D19" s="8" t="str">
        <f t="shared" si="1"/>
        <v>Shawn/Jenny</v>
      </c>
      <c r="E19" s="94" t="s">
        <v>30</v>
      </c>
      <c r="F19" s="117">
        <v>0.7916666666666666</v>
      </c>
      <c r="G19" s="96">
        <v>44273.0</v>
      </c>
      <c r="H19" s="95">
        <v>0.9166666666666666</v>
      </c>
      <c r="I19" s="23">
        <f t="shared" si="2"/>
        <v>3</v>
      </c>
      <c r="J19" s="94">
        <v>18.5</v>
      </c>
      <c r="K19" s="94">
        <v>47.0</v>
      </c>
      <c r="L19" s="94">
        <v>44.0</v>
      </c>
      <c r="M19" s="98" t="s">
        <v>85</v>
      </c>
      <c r="N19" s="88">
        <v>0.0</v>
      </c>
      <c r="O19" s="88">
        <v>0.0</v>
      </c>
      <c r="P19" s="88">
        <v>0.0</v>
      </c>
      <c r="Q19" s="88">
        <v>0.0</v>
      </c>
      <c r="R19" s="88">
        <v>9.0</v>
      </c>
      <c r="S19" s="88">
        <v>2.0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26">
        <f t="shared" si="3"/>
        <v>0</v>
      </c>
      <c r="AA19" s="26">
        <f t="shared" si="4"/>
        <v>11</v>
      </c>
      <c r="AB19" s="27">
        <f t="shared" si="5"/>
        <v>0</v>
      </c>
      <c r="AC19" s="27">
        <f t="shared" si="6"/>
        <v>11</v>
      </c>
      <c r="AD19" s="136">
        <v>0.88</v>
      </c>
      <c r="AE19" s="98" t="s">
        <v>86</v>
      </c>
      <c r="AF19" s="99"/>
      <c r="AG19" s="99"/>
      <c r="AH19" s="99"/>
      <c r="AI19" s="120"/>
      <c r="AJ19" s="120"/>
      <c r="AK19" s="93"/>
      <c r="AL19" s="93"/>
      <c r="AM19" s="99"/>
      <c r="AN19" s="99"/>
      <c r="AO19" s="99"/>
      <c r="AP19" s="99"/>
      <c r="AQ19" s="99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</row>
    <row r="20">
      <c r="A20" s="6">
        <v>44274.0</v>
      </c>
      <c r="B20" s="106">
        <v>1923.0</v>
      </c>
      <c r="C20" s="110">
        <v>1952.0</v>
      </c>
      <c r="D20" s="8" t="str">
        <f t="shared" si="1"/>
        <v>Jeff</v>
      </c>
      <c r="E20" s="94" t="s">
        <v>30</v>
      </c>
      <c r="F20" s="117">
        <v>0.8541666666666666</v>
      </c>
      <c r="G20" s="96">
        <v>44274.0</v>
      </c>
      <c r="H20" s="89">
        <v>0.8645833333333334</v>
      </c>
      <c r="I20" s="23">
        <f t="shared" si="2"/>
        <v>0.25</v>
      </c>
      <c r="J20" s="88">
        <v>0.25</v>
      </c>
      <c r="K20" s="88">
        <v>46.0</v>
      </c>
      <c r="L20" s="88">
        <v>46.0</v>
      </c>
      <c r="M20" s="92" t="s">
        <v>87</v>
      </c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26">
        <f t="shared" si="3"/>
        <v>0</v>
      </c>
      <c r="AA20" s="26">
        <f t="shared" si="4"/>
        <v>0</v>
      </c>
      <c r="AB20" s="27">
        <f t="shared" si="5"/>
        <v>0</v>
      </c>
      <c r="AC20" s="27">
        <f t="shared" si="6"/>
        <v>0</v>
      </c>
      <c r="AD20" s="137">
        <v>0.95</v>
      </c>
      <c r="AE20" s="92"/>
      <c r="AF20" s="93"/>
      <c r="AG20" s="93"/>
      <c r="AH20" s="93"/>
      <c r="AI20" s="18"/>
      <c r="AJ20" s="18"/>
      <c r="AK20" s="93"/>
      <c r="AL20" s="93"/>
      <c r="AM20" s="93"/>
      <c r="AN20" s="93"/>
      <c r="AO20" s="93"/>
      <c r="AP20" s="93"/>
      <c r="AQ20" s="93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6">
        <v>44275.0</v>
      </c>
      <c r="B21" s="106">
        <v>1924.0</v>
      </c>
      <c r="C21" s="110">
        <v>1954.0</v>
      </c>
      <c r="D21" s="8" t="str">
        <f t="shared" si="1"/>
        <v>Rob/Maggie</v>
      </c>
      <c r="E21" s="94" t="s">
        <v>39</v>
      </c>
      <c r="F21" s="117">
        <v>0.28125</v>
      </c>
      <c r="G21" s="96">
        <v>44275.0</v>
      </c>
      <c r="H21" s="95">
        <v>0.3541666666666667</v>
      </c>
      <c r="I21" s="23">
        <f t="shared" si="2"/>
        <v>1.75</v>
      </c>
      <c r="J21" s="94">
        <v>11.5</v>
      </c>
      <c r="K21" s="94">
        <v>47.0</v>
      </c>
      <c r="L21" s="94">
        <v>43.0</v>
      </c>
      <c r="M21" s="98" t="s">
        <v>88</v>
      </c>
      <c r="N21" s="88">
        <v>0.0</v>
      </c>
      <c r="O21" s="88">
        <v>0.0</v>
      </c>
      <c r="P21" s="88">
        <v>0.0</v>
      </c>
      <c r="Q21" s="88">
        <v>0.0</v>
      </c>
      <c r="R21" s="88">
        <v>2.0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26">
        <f t="shared" si="3"/>
        <v>0</v>
      </c>
      <c r="AA21" s="26">
        <f t="shared" si="4"/>
        <v>2</v>
      </c>
      <c r="AB21" s="27">
        <f t="shared" si="5"/>
        <v>0</v>
      </c>
      <c r="AC21" s="27">
        <f t="shared" si="6"/>
        <v>2</v>
      </c>
      <c r="AD21" s="138">
        <v>0.99</v>
      </c>
      <c r="AE21" s="98"/>
      <c r="AF21" s="99"/>
      <c r="AG21" s="99"/>
      <c r="AH21" s="99"/>
      <c r="AI21" s="120"/>
      <c r="AJ21" s="120"/>
      <c r="AK21" s="93"/>
      <c r="AL21" s="93"/>
      <c r="AM21" s="99"/>
      <c r="AN21" s="99"/>
      <c r="AO21" s="99"/>
      <c r="AP21" s="99"/>
      <c r="AQ21" s="99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</row>
    <row r="22">
      <c r="A22" s="6">
        <v>44276.0</v>
      </c>
      <c r="B22" s="110">
        <v>1925.0</v>
      </c>
      <c r="C22" s="110">
        <v>1955.0</v>
      </c>
      <c r="D22" s="8" t="str">
        <f t="shared" si="1"/>
        <v>Phil/Fred</v>
      </c>
      <c r="E22" s="94" t="s">
        <v>30</v>
      </c>
      <c r="F22" s="117">
        <v>0.8125</v>
      </c>
      <c r="G22" s="96">
        <v>44276.0</v>
      </c>
      <c r="H22" s="89">
        <v>0.9583333333333334</v>
      </c>
      <c r="I22" s="23">
        <f t="shared" si="2"/>
        <v>3.5</v>
      </c>
      <c r="J22" s="88">
        <v>17.5</v>
      </c>
      <c r="K22" s="88">
        <v>45.0</v>
      </c>
      <c r="L22" s="88">
        <v>43.0</v>
      </c>
      <c r="M22" s="92" t="s">
        <v>89</v>
      </c>
      <c r="N22" s="88">
        <v>0.0</v>
      </c>
      <c r="O22" s="88">
        <v>0.0</v>
      </c>
      <c r="P22" s="88">
        <v>0.0</v>
      </c>
      <c r="Q22" s="88">
        <v>0.0</v>
      </c>
      <c r="R22" s="88">
        <v>12.0</v>
      </c>
      <c r="S22" s="88">
        <v>0.0</v>
      </c>
      <c r="T22" s="88">
        <v>0.0</v>
      </c>
      <c r="U22" s="88">
        <v>0.0</v>
      </c>
      <c r="V22" s="88">
        <v>10.0</v>
      </c>
      <c r="W22" s="88">
        <v>0.0</v>
      </c>
      <c r="X22" s="88">
        <v>0.0</v>
      </c>
      <c r="Y22" s="88">
        <v>0.0</v>
      </c>
      <c r="Z22" s="26">
        <f t="shared" si="3"/>
        <v>0</v>
      </c>
      <c r="AA22" s="26">
        <f t="shared" si="4"/>
        <v>22</v>
      </c>
      <c r="AB22" s="27">
        <f t="shared" si="5"/>
        <v>0</v>
      </c>
      <c r="AC22" s="27">
        <f t="shared" si="6"/>
        <v>22</v>
      </c>
      <c r="AD22" s="139">
        <v>1.0</v>
      </c>
      <c r="AE22" s="92" t="s">
        <v>90</v>
      </c>
      <c r="AF22" s="93"/>
      <c r="AG22" s="93"/>
      <c r="AH22" s="93"/>
      <c r="AI22" s="18"/>
      <c r="AJ22" s="18"/>
      <c r="AK22" s="93"/>
      <c r="AL22" s="93"/>
      <c r="AM22" s="93"/>
      <c r="AN22" s="93"/>
      <c r="AO22" s="93"/>
      <c r="AP22" s="93"/>
      <c r="AQ22" s="93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44277.0</v>
      </c>
      <c r="B23" s="110">
        <v>1927.0</v>
      </c>
      <c r="C23" s="110">
        <v>1956.0</v>
      </c>
      <c r="D23" s="8" t="str">
        <f t="shared" si="1"/>
        <v>Jane/Sarah</v>
      </c>
      <c r="E23" s="94" t="s">
        <v>35</v>
      </c>
      <c r="F23" s="117">
        <v>0.8333333333333334</v>
      </c>
      <c r="G23" s="96">
        <v>44277.0</v>
      </c>
      <c r="H23" s="101"/>
      <c r="I23" s="23">
        <f t="shared" si="2"/>
        <v>0</v>
      </c>
      <c r="J23" s="94"/>
      <c r="K23" s="94">
        <v>45.0</v>
      </c>
      <c r="L23" s="94"/>
      <c r="M23" s="98" t="s">
        <v>91</v>
      </c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26">
        <f t="shared" si="3"/>
        <v>0</v>
      </c>
      <c r="AA23" s="26">
        <f t="shared" si="4"/>
        <v>0</v>
      </c>
      <c r="AB23" s="27">
        <f t="shared" si="5"/>
        <v>0</v>
      </c>
      <c r="AC23" s="27">
        <f t="shared" si="6"/>
        <v>0</v>
      </c>
      <c r="AD23" s="140">
        <v>0.98</v>
      </c>
      <c r="AE23" s="98"/>
      <c r="AF23" s="99"/>
      <c r="AG23" s="99"/>
      <c r="AH23" s="99"/>
      <c r="AI23" s="120"/>
      <c r="AJ23" s="120"/>
      <c r="AK23" s="93"/>
      <c r="AL23" s="93"/>
      <c r="AM23" s="99"/>
      <c r="AN23" s="99"/>
      <c r="AO23" s="99"/>
      <c r="AP23" s="99"/>
      <c r="AQ23" s="99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</row>
    <row r="24">
      <c r="A24" s="6">
        <v>44278.0</v>
      </c>
      <c r="B24" s="110">
        <v>1928.0</v>
      </c>
      <c r="C24" s="110">
        <v>1958.0</v>
      </c>
      <c r="D24" s="8" t="str">
        <f t="shared" si="1"/>
        <v>Jim/John/Lena</v>
      </c>
      <c r="E24" s="94" t="s">
        <v>39</v>
      </c>
      <c r="F24" s="117">
        <v>0.8125</v>
      </c>
      <c r="G24" s="96">
        <v>44278.0</v>
      </c>
      <c r="H24" s="89">
        <v>0.8541666666666666</v>
      </c>
      <c r="I24" s="23">
        <f t="shared" si="2"/>
        <v>1</v>
      </c>
      <c r="J24" s="88">
        <v>1.0</v>
      </c>
      <c r="K24" s="88">
        <v>45.0</v>
      </c>
      <c r="L24" s="88"/>
      <c r="M24" s="92" t="s">
        <v>41</v>
      </c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26">
        <f t="shared" si="3"/>
        <v>0</v>
      </c>
      <c r="AA24" s="26">
        <f t="shared" si="4"/>
        <v>0</v>
      </c>
      <c r="AB24" s="27">
        <f t="shared" si="5"/>
        <v>0</v>
      </c>
      <c r="AC24" s="27">
        <f t="shared" si="6"/>
        <v>0</v>
      </c>
      <c r="AD24" s="141">
        <v>0.93</v>
      </c>
      <c r="AE24" s="142"/>
      <c r="AF24" s="93"/>
      <c r="AG24" s="93"/>
      <c r="AH24" s="93"/>
      <c r="AI24" s="18"/>
      <c r="AJ24" s="18"/>
      <c r="AK24" s="93"/>
      <c r="AL24" s="93"/>
      <c r="AM24" s="93"/>
      <c r="AN24" s="93"/>
      <c r="AO24" s="93"/>
      <c r="AP24" s="93"/>
      <c r="AQ24" s="93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6">
        <v>44279.0</v>
      </c>
      <c r="B25" s="110">
        <v>1929.0</v>
      </c>
      <c r="C25" s="110">
        <v>1959.0</v>
      </c>
      <c r="D25" s="8" t="str">
        <f t="shared" si="1"/>
        <v>Marsha/Anne</v>
      </c>
      <c r="E25" s="94" t="s">
        <v>30</v>
      </c>
      <c r="F25" s="117">
        <v>0.7916666666666666</v>
      </c>
      <c r="G25" s="96">
        <v>44279.0</v>
      </c>
      <c r="H25" s="95">
        <v>0.8680555555555556</v>
      </c>
      <c r="I25" s="23">
        <f t="shared" si="2"/>
        <v>1.833333333</v>
      </c>
      <c r="J25" s="94"/>
      <c r="K25" s="94">
        <v>46.0</v>
      </c>
      <c r="L25" s="94">
        <v>43.7</v>
      </c>
      <c r="M25" s="98" t="s">
        <v>92</v>
      </c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26">
        <f t="shared" si="3"/>
        <v>0</v>
      </c>
      <c r="AA25" s="26">
        <f t="shared" si="4"/>
        <v>0</v>
      </c>
      <c r="AB25" s="27">
        <f t="shared" si="5"/>
        <v>0</v>
      </c>
      <c r="AC25" s="27">
        <f t="shared" si="6"/>
        <v>0</v>
      </c>
      <c r="AD25" s="143">
        <v>0.86</v>
      </c>
      <c r="AE25" s="98"/>
      <c r="AF25" s="99"/>
      <c r="AG25" s="99"/>
      <c r="AH25" s="99"/>
      <c r="AI25" s="120"/>
      <c r="AJ25" s="120"/>
      <c r="AK25" s="93"/>
      <c r="AL25" s="93"/>
      <c r="AM25" s="99"/>
      <c r="AN25" s="99"/>
      <c r="AO25" s="99"/>
      <c r="AP25" s="99"/>
      <c r="AQ25" s="99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</row>
    <row r="26">
      <c r="A26" s="6">
        <v>44280.0</v>
      </c>
      <c r="B26" s="110">
        <v>1931.0</v>
      </c>
      <c r="C26" s="110">
        <v>2000.0</v>
      </c>
      <c r="D26" s="8" t="str">
        <f t="shared" si="1"/>
        <v>Shawn/Jenny</v>
      </c>
      <c r="E26" s="94" t="s">
        <v>30</v>
      </c>
      <c r="F26" s="117">
        <v>0.8229166666666666</v>
      </c>
      <c r="G26" s="96">
        <v>44280.0</v>
      </c>
      <c r="H26" s="144">
        <v>0.8645833333333334</v>
      </c>
      <c r="I26" s="23">
        <f t="shared" si="2"/>
        <v>1</v>
      </c>
      <c r="J26" s="88">
        <v>1.0</v>
      </c>
      <c r="K26" s="88">
        <v>48.0</v>
      </c>
      <c r="L26" s="88">
        <v>46.0</v>
      </c>
      <c r="M26" s="92" t="s">
        <v>93</v>
      </c>
      <c r="N26" s="88">
        <v>0.0</v>
      </c>
      <c r="O26" s="88">
        <v>0.0</v>
      </c>
      <c r="P26" s="88">
        <v>0.0</v>
      </c>
      <c r="Q26" s="88">
        <v>0.0</v>
      </c>
      <c r="R26" s="88">
        <v>1.0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26">
        <f t="shared" si="3"/>
        <v>0</v>
      </c>
      <c r="AA26" s="26">
        <f t="shared" si="4"/>
        <v>1</v>
      </c>
      <c r="AB26" s="27">
        <f t="shared" si="5"/>
        <v>0</v>
      </c>
      <c r="AC26" s="27">
        <f t="shared" si="6"/>
        <v>1</v>
      </c>
      <c r="AD26" s="145">
        <v>0.77</v>
      </c>
      <c r="AE26" s="146" t="s">
        <v>94</v>
      </c>
      <c r="AF26" s="147"/>
      <c r="AG26" s="147"/>
      <c r="AH26" s="147"/>
      <c r="AI26" s="18"/>
      <c r="AJ26" s="18"/>
      <c r="AK26" s="93"/>
      <c r="AL26" s="93"/>
      <c r="AM26" s="147"/>
      <c r="AN26" s="148"/>
      <c r="AO26" s="148"/>
      <c r="AP26" s="148"/>
      <c r="AQ26" s="148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44281.0</v>
      </c>
      <c r="B27" s="110">
        <v>1932.0</v>
      </c>
      <c r="C27" s="110">
        <v>2002.0</v>
      </c>
      <c r="D27" s="8" t="str">
        <f t="shared" si="1"/>
        <v>Jeff</v>
      </c>
      <c r="E27" s="94" t="s">
        <v>35</v>
      </c>
      <c r="F27" s="117"/>
      <c r="G27" s="96">
        <v>44281.0</v>
      </c>
      <c r="H27" s="95"/>
      <c r="I27" s="23">
        <f t="shared" si="2"/>
        <v>0</v>
      </c>
      <c r="J27" s="94"/>
      <c r="K27" s="94"/>
      <c r="L27" s="94"/>
      <c r="M27" s="98" t="s">
        <v>95</v>
      </c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26">
        <f t="shared" si="3"/>
        <v>0</v>
      </c>
      <c r="AA27" s="26">
        <f t="shared" si="4"/>
        <v>0</v>
      </c>
      <c r="AB27" s="27">
        <f t="shared" si="5"/>
        <v>0</v>
      </c>
      <c r="AC27" s="27">
        <f t="shared" si="6"/>
        <v>0</v>
      </c>
      <c r="AD27" s="149">
        <v>0.67</v>
      </c>
      <c r="AE27" s="98"/>
      <c r="AF27" s="94"/>
      <c r="AG27" s="94"/>
      <c r="AH27" s="94"/>
      <c r="AI27" s="120"/>
      <c r="AJ27" s="120"/>
      <c r="AK27" s="93"/>
      <c r="AL27" s="93"/>
      <c r="AM27" s="94"/>
      <c r="AN27" s="94"/>
      <c r="AO27" s="94"/>
      <c r="AP27" s="94"/>
      <c r="AQ27" s="9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</row>
    <row r="28">
      <c r="A28" s="6">
        <v>44282.0</v>
      </c>
      <c r="B28" s="110">
        <v>1933.0</v>
      </c>
      <c r="C28" s="110">
        <v>2003.0</v>
      </c>
      <c r="D28" s="8" t="str">
        <f t="shared" si="1"/>
        <v>Rob/Maggie</v>
      </c>
      <c r="E28" s="94" t="s">
        <v>35</v>
      </c>
      <c r="F28" s="117"/>
      <c r="G28" s="96">
        <v>44282.0</v>
      </c>
      <c r="H28" s="95"/>
      <c r="I28" s="23">
        <f t="shared" si="2"/>
        <v>0</v>
      </c>
      <c r="J28" s="88"/>
      <c r="K28" s="88">
        <v>46.0</v>
      </c>
      <c r="L28" s="88"/>
      <c r="M28" s="150" t="s">
        <v>96</v>
      </c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26">
        <f t="shared" si="3"/>
        <v>0</v>
      </c>
      <c r="AA28" s="26">
        <f t="shared" si="4"/>
        <v>0</v>
      </c>
      <c r="AB28" s="27">
        <f t="shared" si="5"/>
        <v>0</v>
      </c>
      <c r="AC28" s="27">
        <f t="shared" si="6"/>
        <v>0</v>
      </c>
      <c r="AD28" s="151">
        <v>0.56</v>
      </c>
      <c r="AE28" s="92"/>
      <c r="AF28" s="88"/>
      <c r="AG28" s="88"/>
      <c r="AH28" s="88"/>
      <c r="AI28" s="18"/>
      <c r="AJ28" s="18"/>
      <c r="AK28" s="93"/>
      <c r="AL28" s="93"/>
      <c r="AM28" s="88"/>
      <c r="AN28" s="88"/>
      <c r="AO28" s="88"/>
      <c r="AP28" s="88"/>
      <c r="AQ28" s="92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6">
        <v>44283.0</v>
      </c>
      <c r="B29" s="110">
        <v>1934.0</v>
      </c>
      <c r="C29" s="110">
        <v>2004.0</v>
      </c>
      <c r="D29" s="8" t="str">
        <f t="shared" si="1"/>
        <v>Phil/Fred</v>
      </c>
      <c r="E29" s="94" t="s">
        <v>30</v>
      </c>
      <c r="F29" s="117">
        <v>0.8333333333333334</v>
      </c>
      <c r="G29" s="96">
        <v>44283.0</v>
      </c>
      <c r="H29" s="95">
        <v>0.8541666666666666</v>
      </c>
      <c r="I29" s="23">
        <f t="shared" si="2"/>
        <v>0.5</v>
      </c>
      <c r="J29" s="152">
        <v>0.5</v>
      </c>
      <c r="K29" s="94">
        <v>41.1</v>
      </c>
      <c r="L29" s="94">
        <v>39.2</v>
      </c>
      <c r="M29" s="98" t="s">
        <v>97</v>
      </c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26">
        <f t="shared" si="3"/>
        <v>0</v>
      </c>
      <c r="AA29" s="26">
        <f t="shared" si="4"/>
        <v>0</v>
      </c>
      <c r="AB29" s="27">
        <f t="shared" si="5"/>
        <v>0</v>
      </c>
      <c r="AC29" s="27">
        <f t="shared" si="6"/>
        <v>0</v>
      </c>
      <c r="AD29" s="153">
        <v>0.45</v>
      </c>
      <c r="AE29" s="98"/>
      <c r="AF29" s="94"/>
      <c r="AG29" s="94"/>
      <c r="AH29" s="94"/>
      <c r="AI29" s="120"/>
      <c r="AJ29" s="120"/>
      <c r="AK29" s="93"/>
      <c r="AL29" s="93"/>
      <c r="AM29" s="94"/>
      <c r="AN29" s="94"/>
      <c r="AO29" s="94"/>
      <c r="AP29" s="94"/>
      <c r="AQ29" s="9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</row>
    <row r="30" ht="16.5" customHeight="1">
      <c r="A30" s="6">
        <v>44284.0</v>
      </c>
      <c r="B30" s="110">
        <v>1936.0</v>
      </c>
      <c r="C30" s="110">
        <v>2006.0</v>
      </c>
      <c r="D30" s="8" t="str">
        <f t="shared" si="1"/>
        <v>Jane/Sarah</v>
      </c>
      <c r="E30" s="94" t="s">
        <v>35</v>
      </c>
      <c r="F30" s="117">
        <v>0.8333333333333334</v>
      </c>
      <c r="G30" s="96">
        <v>44284.0</v>
      </c>
      <c r="H30" s="89"/>
      <c r="I30" s="23">
        <f t="shared" si="2"/>
        <v>0</v>
      </c>
      <c r="J30" s="154"/>
      <c r="K30" s="88">
        <v>44.0</v>
      </c>
      <c r="L30" s="88"/>
      <c r="M30" s="92" t="s">
        <v>98</v>
      </c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26">
        <f t="shared" si="3"/>
        <v>0</v>
      </c>
      <c r="AA30" s="26">
        <f t="shared" si="4"/>
        <v>0</v>
      </c>
      <c r="AB30" s="27">
        <f t="shared" si="5"/>
        <v>0</v>
      </c>
      <c r="AC30" s="27">
        <f t="shared" si="6"/>
        <v>0</v>
      </c>
      <c r="AD30" s="155">
        <v>0.35</v>
      </c>
      <c r="AE30" s="92"/>
      <c r="AF30" s="88"/>
      <c r="AG30" s="88"/>
      <c r="AH30" s="88"/>
      <c r="AI30" s="18"/>
      <c r="AJ30" s="18"/>
      <c r="AK30" s="93"/>
      <c r="AL30" s="93"/>
      <c r="AM30" s="88"/>
      <c r="AN30" s="88"/>
      <c r="AO30" s="88"/>
      <c r="AP30" s="88"/>
      <c r="AQ30" s="92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6">
        <v>44285.0</v>
      </c>
      <c r="B31" s="110">
        <v>1937.0</v>
      </c>
      <c r="C31" s="110">
        <v>2007.0</v>
      </c>
      <c r="D31" s="8" t="str">
        <f t="shared" si="1"/>
        <v>Jim/John/Lena</v>
      </c>
      <c r="E31" s="94"/>
      <c r="F31" s="117"/>
      <c r="G31" s="96">
        <v>44285.0</v>
      </c>
      <c r="H31" s="95"/>
      <c r="I31" s="23">
        <f t="shared" si="2"/>
        <v>0</v>
      </c>
      <c r="J31" s="152"/>
      <c r="K31" s="94"/>
      <c r="L31" s="94"/>
      <c r="M31" s="98"/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26">
        <f t="shared" si="3"/>
        <v>0</v>
      </c>
      <c r="AA31" s="26">
        <f t="shared" si="4"/>
        <v>0</v>
      </c>
      <c r="AB31" s="27">
        <f t="shared" si="5"/>
        <v>0</v>
      </c>
      <c r="AC31" s="27">
        <f t="shared" si="6"/>
        <v>0</v>
      </c>
      <c r="AD31" s="156">
        <v>0.26</v>
      </c>
      <c r="AE31" s="98"/>
      <c r="AF31" s="94"/>
      <c r="AG31" s="94"/>
      <c r="AH31" s="94"/>
      <c r="AI31" s="120"/>
      <c r="AJ31" s="120"/>
      <c r="AK31" s="93"/>
      <c r="AL31" s="93"/>
      <c r="AM31" s="94"/>
      <c r="AN31" s="94"/>
      <c r="AO31" s="94"/>
      <c r="AP31" s="94"/>
      <c r="AQ31" s="9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</row>
    <row r="32">
      <c r="A32" s="6">
        <v>44286.0</v>
      </c>
      <c r="B32" s="110">
        <v>1938.0</v>
      </c>
      <c r="C32" s="110">
        <v>2008.0</v>
      </c>
      <c r="D32" s="8" t="str">
        <f t="shared" si="1"/>
        <v>Marsha/Anne</v>
      </c>
      <c r="E32" s="94"/>
      <c r="F32" s="117"/>
      <c r="G32" s="96">
        <v>44286.0</v>
      </c>
      <c r="H32" s="89"/>
      <c r="I32" s="23">
        <f t="shared" si="2"/>
        <v>0</v>
      </c>
      <c r="J32" s="154"/>
      <c r="K32" s="88"/>
      <c r="L32" s="88"/>
      <c r="M32" s="92"/>
      <c r="N32" s="88">
        <v>0.0</v>
      </c>
      <c r="O32" s="88">
        <v>0.0</v>
      </c>
      <c r="P32" s="88">
        <v>0.0</v>
      </c>
      <c r="Q32" s="88">
        <v>0.0</v>
      </c>
      <c r="R32" s="88">
        <v>0.0</v>
      </c>
      <c r="S32" s="88">
        <v>0.0</v>
      </c>
      <c r="T32" s="88">
        <v>0.0</v>
      </c>
      <c r="U32" s="88">
        <v>0.0</v>
      </c>
      <c r="V32" s="88">
        <v>0.0</v>
      </c>
      <c r="W32" s="88">
        <v>0.0</v>
      </c>
      <c r="X32" s="88">
        <v>0.0</v>
      </c>
      <c r="Y32" s="88">
        <v>0.0</v>
      </c>
      <c r="Z32" s="26">
        <f t="shared" si="3"/>
        <v>0</v>
      </c>
      <c r="AA32" s="26">
        <f t="shared" si="4"/>
        <v>0</v>
      </c>
      <c r="AB32" s="27">
        <f t="shared" si="5"/>
        <v>0</v>
      </c>
      <c r="AC32" s="27">
        <f t="shared" si="6"/>
        <v>0</v>
      </c>
      <c r="AD32" s="157">
        <v>0.18</v>
      </c>
      <c r="AE32" s="92"/>
      <c r="AF32" s="88"/>
      <c r="AG32" s="88"/>
      <c r="AH32" s="88"/>
      <c r="AI32" s="18"/>
      <c r="AJ32" s="18"/>
      <c r="AK32" s="93"/>
      <c r="AL32" s="93"/>
      <c r="AM32" s="88"/>
      <c r="AN32" s="88"/>
      <c r="AO32" s="88"/>
      <c r="AP32" s="88"/>
      <c r="AQ32" s="92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158"/>
      <c r="B33" s="158"/>
      <c r="C33" s="56"/>
      <c r="D33" s="56"/>
      <c r="E33" s="48" t="s">
        <v>99</v>
      </c>
      <c r="F33" s="56"/>
      <c r="G33" s="56"/>
      <c r="H33" s="56"/>
      <c r="I33" s="49">
        <f>SUM(I3:I32)</f>
        <v>23.08333333</v>
      </c>
      <c r="J33" s="159">
        <f>SUM(J2:J32)</f>
        <v>92</v>
      </c>
      <c r="K33" s="56"/>
      <c r="L33" s="56"/>
      <c r="M33" s="50"/>
      <c r="N33" s="27">
        <f t="shared" ref="N33:Y33" si="7">sum(N2:N32)</f>
        <v>5</v>
      </c>
      <c r="O33" s="27">
        <f t="shared" si="7"/>
        <v>0</v>
      </c>
      <c r="P33" s="27">
        <f t="shared" si="7"/>
        <v>1</v>
      </c>
      <c r="Q33" s="26">
        <f t="shared" si="7"/>
        <v>0</v>
      </c>
      <c r="R33" s="26">
        <f t="shared" si="7"/>
        <v>101</v>
      </c>
      <c r="S33" s="160">
        <f t="shared" si="7"/>
        <v>25</v>
      </c>
      <c r="T33" s="160">
        <f t="shared" si="7"/>
        <v>1</v>
      </c>
      <c r="U33" s="160">
        <f t="shared" si="7"/>
        <v>0</v>
      </c>
      <c r="V33" s="160">
        <f t="shared" si="7"/>
        <v>10</v>
      </c>
      <c r="W33" s="26">
        <f t="shared" si="7"/>
        <v>0</v>
      </c>
      <c r="X33" s="26">
        <f t="shared" si="7"/>
        <v>0</v>
      </c>
      <c r="Y33" s="161">
        <f t="shared" si="7"/>
        <v>0</v>
      </c>
      <c r="Z33" s="26">
        <f t="shared" ref="Z33:AA33" si="8">SUM(Z2:Z32)</f>
        <v>6</v>
      </c>
      <c r="AA33" s="26">
        <f t="shared" si="8"/>
        <v>137</v>
      </c>
      <c r="AB33" s="162">
        <f t="shared" ref="AB33:AC33" si="9">sum(AB2:AB32)</f>
        <v>5</v>
      </c>
      <c r="AC33" s="162">
        <f t="shared" si="9"/>
        <v>136</v>
      </c>
      <c r="AD33" s="51"/>
      <c r="AE33" s="51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51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56"/>
      <c r="C34" s="56"/>
      <c r="D34" s="56"/>
      <c r="E34" s="53" t="s">
        <v>57</v>
      </c>
      <c r="F34" s="54"/>
      <c r="I34" s="55">
        <f>'November 2020'!I$33+'December 2020'!I$33+'January 2021'!I$33+'February 2021'!I$33+'March 2021'!I$33
</f>
        <v>110.4666667</v>
      </c>
      <c r="J34" s="55">
        <f>'November 2020'!J$33+'December 2020'!J$33+'January 2021'!J$33+'February 2021'!J$33+'March 2021'!J$33
</f>
        <v>469.1</v>
      </c>
      <c r="K34" s="56"/>
      <c r="L34" s="56"/>
      <c r="M34" s="56"/>
      <c r="N34" s="57">
        <f>'November 2020'!N$33+'December 2020'!N$33+'January 2021'!N$33+'February 2021'!N$33+'March 2021'!N$33
</f>
        <v>271</v>
      </c>
      <c r="O34" s="57">
        <f>'November 2020'!O$33+'December 2020'!O$33+'January 2021'!O$33+'February 2021'!O$33+'March 2021'!O$33
</f>
        <v>139</v>
      </c>
      <c r="P34" s="57">
        <f>'November 2020'!P$33+'December 2020'!P$33+'January 2021'!P$33+'February 2021'!P$33+'March 2021'!P$33
</f>
        <v>11</v>
      </c>
      <c r="Q34" s="57">
        <f>'November 2020'!Q$33+'December 2020'!Q$33+'January 2021'!Q$33+'February 2021'!Q$33+'March 2021'!Q$33
</f>
        <v>0</v>
      </c>
      <c r="R34" s="57">
        <f>'November 2020'!R$33+'December 2020'!R$33+'January 2021'!R$33+'February 2021'!R$33+'March 2021'!R$33
</f>
        <v>146</v>
      </c>
      <c r="S34" s="57">
        <f>'November 2020'!S$33+'December 2020'!S$33+'January 2021'!S$33+'February 2021'!S$33+'March 2021'!S$33
</f>
        <v>28</v>
      </c>
      <c r="T34" s="57">
        <f>'November 2020'!T$33+'December 2020'!T$33+'January 2021'!T$33+'February 2021'!T$33+'March 2021'!T$33
</f>
        <v>8</v>
      </c>
      <c r="U34" s="57">
        <f>'November 2020'!U$33+'December 2020'!U$33+'January 2021'!U$33+'February 2021'!U$33+'March 2021'!U$33
</f>
        <v>0</v>
      </c>
      <c r="V34" s="57">
        <f>'November 2020'!V$33+'December 2020'!V$33+'January 2021'!V$33+'February 2021'!V$33+'March 2021'!V$33
</f>
        <v>10</v>
      </c>
      <c r="W34" s="57">
        <f>'November 2020'!W$33+'December 2020'!W$33+'January 2021'!W$33+'February 2021'!W$33+'March 2021'!W$33
</f>
        <v>0</v>
      </c>
      <c r="X34" s="57">
        <f>'November 2020'!X$33+'December 2020'!X$33+'January 2021'!X$33+'February 2021'!X$33+'March 2021'!X$33
</f>
        <v>0</v>
      </c>
      <c r="Y34" s="57">
        <f>'November 2020'!Y$33+'December 2020'!Y$33+'January 2021'!Y$33+'February 2021'!Y$33+'March 2021'!Y$33
</f>
        <v>16</v>
      </c>
      <c r="Z34" s="57">
        <f>'November 2020'!Z$33+'December 2020'!Z$33+'January 2021'!Z$33+'February 2021'!Z$33+'March 2021'!Z$33
</f>
        <v>423</v>
      </c>
      <c r="AA34" s="57">
        <f>'November 2020'!AA$33+'December 2020'!AA$33+'January 2021'!AA$33+'February 2021'!AA$33+'March 2021'!AA$33
</f>
        <v>192</v>
      </c>
      <c r="AB34" s="58">
        <f>'November 2020'!AB33+'December 2020'!AB33+'January 2021'!AB33+'February 2021'!AB33+'March 2021'!AB33
</f>
        <v>412</v>
      </c>
      <c r="AC34" s="58">
        <f>'November 2020'!AC33+'December 2020'!AC33+'January 2021'!AC33+'February 2021'!AC33+'March 2021'!AC33
</f>
        <v>190</v>
      </c>
      <c r="AD34" s="51"/>
      <c r="AE34" s="51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51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17"/>
      <c r="C35" s="17"/>
      <c r="D35" s="17"/>
      <c r="E35" s="53" t="s">
        <v>58</v>
      </c>
      <c r="F35" s="54"/>
      <c r="I35" s="55">
        <f>'November 2020'!I$33+'December 2020'!I$33+'January 2021'!I$33+'February 2021'!I$33+'March 2021'!I$33+'April 2021'!I$33</f>
        <v>112.6333333</v>
      </c>
      <c r="J35" s="55">
        <f>'November 2020'!J33+'December 2020'!J33+'January 2021'!J33+'February 2021'!J33+'March 2021'!J33+'April 2021'!J33</f>
        <v>474.1</v>
      </c>
      <c r="K35" s="56"/>
      <c r="L35" s="56"/>
      <c r="M35" s="56"/>
      <c r="N35" s="57">
        <f>'November 2020'!N33+'December 2020'!N33+'January 2021'!N33+'February 2021'!N33+'March 2021'!N33+'April 2021'!N33</f>
        <v>271</v>
      </c>
      <c r="O35" s="57">
        <f>'November 2020'!O33+'December 2020'!O33+'January 2021'!O33+'February 2021'!O33+'March 2021'!O33+'April 2021'!O33</f>
        <v>139</v>
      </c>
      <c r="P35" s="57">
        <f>'November 2020'!P33+'December 2020'!P33+'January 2021'!P33+'February 2021'!P33+'March 2021'!P33+'April 2021'!P33</f>
        <v>11</v>
      </c>
      <c r="Q35" s="57">
        <f>'November 2020'!Q33+'December 2020'!Q33+'January 2021'!Q33+'February 2021'!Q33+'March 2021'!Q33+'April 2021'!Q33</f>
        <v>0</v>
      </c>
      <c r="R35" s="57">
        <f>'November 2020'!R33+'December 2020'!R33+'January 2021'!R33+'February 2021'!R33+'March 2021'!R33+'April 2021'!R33</f>
        <v>147</v>
      </c>
      <c r="S35" s="57">
        <f>'November 2020'!S33+'December 2020'!S33+'January 2021'!S33+'February 2021'!S33+'March 2021'!S33+'April 2021'!S33</f>
        <v>28</v>
      </c>
      <c r="T35" s="57">
        <f>'November 2020'!T33+'December 2020'!T33+'January 2021'!T33+'February 2021'!T33+'March 2021'!T33+'April 2021'!T33</f>
        <v>8</v>
      </c>
      <c r="U35" s="57">
        <f>'November 2020'!U33+'December 2020'!U33+'January 2021'!U33+'February 2021'!U33+'March 2021'!U33+'April 2021'!U33</f>
        <v>0</v>
      </c>
      <c r="V35" s="57">
        <f>'November 2020'!V33+'December 2020'!V33+'January 2021'!V33+'February 2021'!V33+'March 2021'!V33+'April 2021'!V33</f>
        <v>10</v>
      </c>
      <c r="W35" s="57">
        <f>'November 2020'!W33+'December 2020'!W33+'January 2021'!W33+'February 2021'!W33+'March 2021'!W33+'April 2021'!W33</f>
        <v>0</v>
      </c>
      <c r="X35" s="57">
        <f>'November 2020'!X33+'December 2020'!X33+'January 2021'!X33+'February 2021'!X33+'March 2021'!X33+'April 2021'!X33</f>
        <v>0</v>
      </c>
      <c r="Y35" s="57">
        <f>'November 2020'!Y33+'December 2020'!Y33+'January 2021'!Y33+'February 2021'!Y33+'March 2021'!Y33+'April 2021'!Y33</f>
        <v>16</v>
      </c>
      <c r="Z35" s="57">
        <f>'November 2020'!Z33+'December 2020'!Z33+'January 2021'!Z33+'February 2021'!Z33+'March 2021'!Z33+'April 2021'!Z33</f>
        <v>423</v>
      </c>
      <c r="AA35" s="57">
        <f>'November 2020'!AA33+'December 2020'!AA33+'January 2021'!AA33+'February 2021'!AA33+'March 2021'!AA33+'April 2021'!AA33</f>
        <v>193</v>
      </c>
      <c r="AB35" s="57">
        <f>'November 2020'!AB33+'December 2020'!AB33+'January 2021'!AB33+'February 2021'!AB33+'March 2021'!AB33+'April 2021'!AB33</f>
        <v>412</v>
      </c>
      <c r="AC35" s="57">
        <f>'November 2020'!AC33+'December 2020'!AC33+'January 2021'!AC33+'February 2021'!AC33+'March 2021'!AC33+'April 2021'!AC33</f>
        <v>191</v>
      </c>
      <c r="AD35" s="163"/>
      <c r="AE35" s="163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3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56"/>
      <c r="B36" s="56"/>
      <c r="C36" s="56"/>
      <c r="D36" s="56"/>
      <c r="E36" s="48" t="s">
        <v>59</v>
      </c>
      <c r="F36" s="56"/>
      <c r="G36" s="56"/>
      <c r="H36" s="56"/>
      <c r="I36" s="61"/>
      <c r="J36" s="61"/>
      <c r="K36" s="62"/>
      <c r="L36" s="62"/>
      <c r="M36" s="62"/>
      <c r="N36" s="63">
        <v>811.0</v>
      </c>
      <c r="O36" s="63">
        <v>1180.0</v>
      </c>
      <c r="P36" s="63">
        <v>13.0</v>
      </c>
      <c r="Q36" s="63">
        <v>2.0</v>
      </c>
      <c r="R36" s="63">
        <v>386.0</v>
      </c>
      <c r="S36" s="63">
        <v>89.0</v>
      </c>
      <c r="T36" s="63">
        <v>35.0</v>
      </c>
      <c r="U36" s="64">
        <v>2.0</v>
      </c>
      <c r="V36" s="64">
        <v>0.0</v>
      </c>
      <c r="W36" s="64">
        <v>9.0</v>
      </c>
      <c r="X36" s="64">
        <v>7.0</v>
      </c>
      <c r="Y36" s="65">
        <v>28.0</v>
      </c>
      <c r="Z36" s="63">
        <v>2006.0</v>
      </c>
      <c r="AA36" s="63">
        <v>512.0</v>
      </c>
      <c r="AB36" s="63">
        <v>1991.0</v>
      </c>
      <c r="AC36" s="65">
        <v>475.0</v>
      </c>
      <c r="AD36" s="68"/>
      <c r="AE36" s="68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8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17"/>
      <c r="BM36" s="17"/>
      <c r="BN36" s="17"/>
    </row>
    <row r="37">
      <c r="A37" s="56"/>
      <c r="B37" s="56"/>
      <c r="C37" s="56"/>
      <c r="D37" s="56"/>
      <c r="E37" s="48" t="s">
        <v>60</v>
      </c>
      <c r="F37" s="56"/>
      <c r="G37" s="56"/>
      <c r="H37" s="56"/>
      <c r="I37" s="61"/>
      <c r="J37" s="61"/>
      <c r="K37" s="62"/>
      <c r="L37" s="62"/>
      <c r="M37" s="62"/>
      <c r="N37" s="63">
        <v>90.0</v>
      </c>
      <c r="O37" s="63">
        <v>1134.0</v>
      </c>
      <c r="P37" s="63">
        <v>3.0</v>
      </c>
      <c r="Q37" s="63">
        <v>4.0</v>
      </c>
      <c r="R37" s="63">
        <v>124.0</v>
      </c>
      <c r="S37" s="63">
        <v>791.0</v>
      </c>
      <c r="T37" s="63">
        <v>6.0</v>
      </c>
      <c r="U37" s="64">
        <v>17.0</v>
      </c>
      <c r="V37" s="64">
        <v>6.0</v>
      </c>
      <c r="W37" s="64">
        <v>4.0</v>
      </c>
      <c r="X37" s="64">
        <v>24.0</v>
      </c>
      <c r="Y37" s="65">
        <v>7.0</v>
      </c>
      <c r="Z37" s="63">
        <v>1231.0</v>
      </c>
      <c r="AA37" s="63">
        <v>944.0</v>
      </c>
      <c r="AB37" s="63">
        <v>1224.0</v>
      </c>
      <c r="AC37" s="65">
        <v>921.0</v>
      </c>
      <c r="AD37" s="68"/>
      <c r="AE37" s="68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17"/>
      <c r="BM37" s="17"/>
      <c r="BN37" s="17"/>
    </row>
    <row r="38">
      <c r="A38" s="56"/>
      <c r="B38" s="56"/>
      <c r="C38" s="56"/>
      <c r="D38" s="56"/>
      <c r="E38" s="48" t="s">
        <v>61</v>
      </c>
      <c r="F38" s="56"/>
      <c r="G38" s="56"/>
      <c r="H38" s="56"/>
      <c r="I38" s="56"/>
      <c r="J38" s="56"/>
      <c r="K38" s="56"/>
      <c r="L38" s="56"/>
      <c r="M38" s="56"/>
      <c r="N38" s="70"/>
      <c r="O38" s="71"/>
      <c r="P38" s="71"/>
      <c r="Q38" s="69"/>
      <c r="R38" s="69"/>
      <c r="S38" s="69"/>
      <c r="T38" s="69"/>
      <c r="U38" s="72"/>
      <c r="V38" s="73"/>
      <c r="W38" s="72"/>
      <c r="X38" s="72"/>
      <c r="Y38" s="68"/>
      <c r="Z38" s="69">
        <v>433.0</v>
      </c>
      <c r="AA38" s="69">
        <v>297.0</v>
      </c>
      <c r="AB38" s="69"/>
      <c r="AC38" s="68"/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17"/>
      <c r="BM38" s="17"/>
      <c r="BN38" s="17"/>
    </row>
    <row r="39">
      <c r="A39" s="56"/>
      <c r="B39" s="56"/>
      <c r="C39" s="56"/>
      <c r="D39" s="56"/>
      <c r="E39" s="48" t="s">
        <v>62</v>
      </c>
      <c r="F39" s="56"/>
      <c r="G39" s="56"/>
      <c r="H39" s="56"/>
      <c r="I39" s="56"/>
      <c r="J39" s="56"/>
      <c r="K39" s="56"/>
      <c r="L39" s="56"/>
      <c r="M39" s="56"/>
      <c r="N39" s="70"/>
      <c r="O39" s="71"/>
      <c r="P39" s="71"/>
      <c r="Q39" s="69"/>
      <c r="R39" s="69"/>
      <c r="S39" s="69"/>
      <c r="T39" s="69"/>
      <c r="U39" s="72"/>
      <c r="V39" s="73"/>
      <c r="W39" s="72"/>
      <c r="X39" s="72"/>
      <c r="Y39" s="68"/>
      <c r="Z39" s="69">
        <v>834.0</v>
      </c>
      <c r="AA39" s="69">
        <v>751.0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17"/>
      <c r="BM39" s="17"/>
      <c r="BN39" s="17"/>
    </row>
    <row r="40">
      <c r="A40" s="56"/>
      <c r="B40" s="56"/>
      <c r="C40" s="56"/>
      <c r="D40" s="56"/>
      <c r="E40" s="48" t="s">
        <v>63</v>
      </c>
      <c r="F40" s="56"/>
      <c r="G40" s="56"/>
      <c r="H40" s="56"/>
      <c r="I40" s="56"/>
      <c r="J40" s="56"/>
      <c r="K40" s="56"/>
      <c r="L40" s="56"/>
      <c r="M40" s="56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688.0</v>
      </c>
      <c r="AA40" s="69">
        <v>1040.0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17"/>
      <c r="BM40" s="17"/>
      <c r="BN40" s="17"/>
    </row>
    <row r="41">
      <c r="A41" s="56"/>
      <c r="B41" s="56"/>
      <c r="C41" s="56"/>
      <c r="D41" s="74"/>
      <c r="E41" s="48" t="s">
        <v>64</v>
      </c>
      <c r="F41" s="56"/>
      <c r="G41" s="56"/>
      <c r="H41" s="56"/>
      <c r="I41" s="56"/>
      <c r="J41" s="56"/>
      <c r="K41" s="56"/>
      <c r="L41" s="56"/>
      <c r="M41" s="74"/>
      <c r="N41" s="75"/>
      <c r="O41" s="60"/>
      <c r="P41" s="60"/>
      <c r="Q41" s="76"/>
      <c r="R41" s="76"/>
      <c r="S41" s="77"/>
      <c r="T41" s="77"/>
      <c r="U41" s="78"/>
      <c r="V41" s="79"/>
      <c r="W41" s="76"/>
      <c r="X41" s="76"/>
      <c r="Y41" s="80"/>
      <c r="Z41" s="76">
        <v>695.0</v>
      </c>
      <c r="AA41" s="76">
        <v>750.0</v>
      </c>
      <c r="AB41" s="76"/>
      <c r="AC41" s="80"/>
      <c r="AD41" s="80"/>
      <c r="AE41" s="80"/>
      <c r="AF41" s="48"/>
      <c r="AG41" s="48"/>
      <c r="AH41" s="48"/>
      <c r="AI41" s="48"/>
      <c r="AJ41" s="48"/>
      <c r="AK41" s="48"/>
      <c r="AL41" s="76"/>
      <c r="AM41" s="76"/>
      <c r="AN41" s="81"/>
      <c r="AO41" s="81"/>
      <c r="AP41" s="81"/>
      <c r="AQ41" s="80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17"/>
      <c r="BM41" s="17"/>
      <c r="BN41" s="17"/>
    </row>
    <row r="42">
      <c r="A42" s="56"/>
      <c r="B42" s="56"/>
      <c r="C42" s="56"/>
      <c r="D42" s="74"/>
      <c r="E42" s="48" t="s">
        <v>65</v>
      </c>
      <c r="F42" s="56"/>
      <c r="G42" s="56"/>
      <c r="H42" s="56"/>
      <c r="I42" s="56"/>
      <c r="J42" s="56"/>
      <c r="K42" s="56"/>
      <c r="L42" s="56"/>
      <c r="M42" s="74"/>
      <c r="N42" s="75"/>
      <c r="O42" s="60"/>
      <c r="P42" s="60"/>
      <c r="Q42" s="76"/>
      <c r="R42" s="76"/>
      <c r="S42" s="77"/>
      <c r="T42" s="77"/>
      <c r="U42" s="78"/>
      <c r="V42" s="79"/>
      <c r="W42" s="76"/>
      <c r="X42" s="76"/>
      <c r="Y42" s="80"/>
      <c r="Z42" s="76">
        <v>580.0</v>
      </c>
      <c r="AA42" s="76">
        <v>572.0</v>
      </c>
      <c r="AB42" s="76"/>
      <c r="AC42" s="80"/>
      <c r="AD42" s="80"/>
      <c r="AE42" s="80"/>
      <c r="AF42" s="48"/>
      <c r="AG42" s="48"/>
      <c r="AH42" s="48"/>
      <c r="AI42" s="48"/>
      <c r="AJ42" s="48"/>
      <c r="AK42" s="48"/>
      <c r="AL42" s="76"/>
      <c r="AM42" s="76"/>
      <c r="AN42" s="81"/>
      <c r="AO42" s="81"/>
      <c r="AP42" s="81"/>
      <c r="AQ42" s="80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17"/>
      <c r="BM42" s="17"/>
      <c r="BN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21"/>
      <c r="O43" s="165"/>
      <c r="P43" s="165"/>
      <c r="Q43" s="106"/>
      <c r="R43" s="106"/>
      <c r="S43" s="166"/>
      <c r="T43" s="166"/>
      <c r="U43" s="106"/>
      <c r="V43" s="106"/>
      <c r="W43" s="106"/>
      <c r="X43" s="106"/>
      <c r="Y43" s="123"/>
      <c r="Z43" s="106"/>
      <c r="AA43" s="106"/>
      <c r="AB43" s="106"/>
      <c r="AC43" s="123"/>
      <c r="AD43" s="123"/>
      <c r="AE43" s="123"/>
      <c r="AF43" s="82"/>
      <c r="AG43" s="82"/>
      <c r="AH43" s="82"/>
      <c r="AI43" s="82"/>
      <c r="AJ43" s="82"/>
      <c r="AK43" s="82"/>
      <c r="AL43" s="106"/>
      <c r="AM43" s="106"/>
      <c r="AN43" s="167"/>
      <c r="AO43" s="167"/>
      <c r="AP43" s="167"/>
      <c r="AQ43" s="123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21"/>
      <c r="O44" s="165"/>
      <c r="P44" s="165"/>
      <c r="Q44" s="106"/>
      <c r="R44" s="106"/>
      <c r="S44" s="166"/>
      <c r="U44" s="168"/>
      <c r="V44" s="169"/>
      <c r="W44" s="106"/>
      <c r="X44" s="106"/>
      <c r="Y44" s="123"/>
      <c r="Z44" s="106"/>
      <c r="AA44" s="106"/>
      <c r="AB44" s="106"/>
      <c r="AC44" s="123"/>
      <c r="AD44" s="123"/>
      <c r="AE44" s="123"/>
      <c r="AF44" s="82"/>
      <c r="AG44" s="82"/>
      <c r="AH44" s="82"/>
      <c r="AI44" s="82"/>
      <c r="AJ44" s="82"/>
      <c r="AK44" s="82"/>
      <c r="AL44" s="106"/>
      <c r="AM44" s="106"/>
      <c r="AN44" s="167"/>
      <c r="AO44" s="167"/>
      <c r="AP44" s="167"/>
      <c r="AQ44" s="123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21"/>
      <c r="O45" s="165"/>
      <c r="P45" s="165"/>
      <c r="Q45" s="106"/>
      <c r="R45" s="106"/>
      <c r="S45" s="166"/>
      <c r="T45" s="166"/>
      <c r="U45" s="106"/>
      <c r="V45" s="169"/>
      <c r="W45" s="106"/>
      <c r="X45" s="106"/>
      <c r="Y45" s="123"/>
      <c r="Z45" s="106"/>
      <c r="AA45" s="106"/>
      <c r="AB45" s="106"/>
      <c r="AC45" s="123"/>
      <c r="AD45" s="123"/>
      <c r="AE45" s="123"/>
      <c r="AF45" s="82"/>
      <c r="AG45" s="82"/>
      <c r="AH45" s="82"/>
      <c r="AI45" s="82"/>
      <c r="AJ45" s="82"/>
      <c r="AK45" s="82"/>
      <c r="AL45" s="106"/>
      <c r="AM45" s="106"/>
      <c r="AN45" s="167"/>
      <c r="AO45" s="167"/>
      <c r="AP45" s="167"/>
      <c r="AQ45" s="123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21"/>
      <c r="O46" s="165"/>
      <c r="P46" s="165"/>
      <c r="Q46" s="106"/>
      <c r="R46" s="106"/>
      <c r="S46" s="166"/>
      <c r="T46" s="166"/>
      <c r="U46" s="106"/>
      <c r="V46" s="169"/>
      <c r="W46" s="106"/>
      <c r="X46" s="106"/>
      <c r="Y46" s="123"/>
      <c r="Z46" s="106"/>
      <c r="AA46" s="106"/>
      <c r="AB46" s="106"/>
      <c r="AC46" s="123"/>
      <c r="AD46" s="123"/>
      <c r="AE46" s="123"/>
      <c r="AF46" s="82"/>
      <c r="AG46" s="82"/>
      <c r="AH46" s="82"/>
      <c r="AI46" s="82"/>
      <c r="AJ46" s="82"/>
      <c r="AK46" s="82"/>
      <c r="AL46" s="106"/>
      <c r="AM46" s="106"/>
      <c r="AN46" s="167"/>
      <c r="AO46" s="167"/>
      <c r="AP46" s="167"/>
      <c r="AQ46" s="123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21"/>
      <c r="O47" s="165"/>
      <c r="P47" s="165"/>
      <c r="Q47" s="106"/>
      <c r="R47" s="106"/>
      <c r="S47" s="166"/>
      <c r="T47" s="166"/>
      <c r="U47" s="168"/>
      <c r="V47" s="169"/>
      <c r="W47" s="106"/>
      <c r="X47" s="106"/>
      <c r="Y47" s="123"/>
      <c r="Z47" s="106"/>
      <c r="AA47" s="106"/>
      <c r="AB47" s="106"/>
      <c r="AC47" s="123"/>
      <c r="AD47" s="123"/>
      <c r="AE47" s="123"/>
      <c r="AF47" s="82"/>
      <c r="AG47" s="82"/>
      <c r="AH47" s="82"/>
      <c r="AI47" s="82"/>
      <c r="AJ47" s="82"/>
      <c r="AK47" s="82"/>
      <c r="AL47" s="106"/>
      <c r="AM47" s="106"/>
      <c r="AN47" s="167"/>
      <c r="AO47" s="167"/>
      <c r="AP47" s="167"/>
      <c r="AQ47" s="123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21"/>
      <c r="O48" s="165"/>
      <c r="P48" s="165"/>
      <c r="Q48" s="106"/>
      <c r="R48" s="106"/>
      <c r="S48" s="166"/>
      <c r="T48" s="170"/>
      <c r="U48" s="106"/>
      <c r="V48" s="169"/>
      <c r="W48" s="106"/>
      <c r="X48" s="106"/>
      <c r="Y48" s="123"/>
      <c r="Z48" s="106"/>
      <c r="AA48" s="106"/>
      <c r="AB48" s="106"/>
      <c r="AC48" s="123"/>
      <c r="AD48" s="123"/>
      <c r="AE48" s="123"/>
      <c r="AF48" s="82"/>
      <c r="AG48" s="82"/>
      <c r="AH48" s="82"/>
      <c r="AI48" s="82"/>
      <c r="AJ48" s="82"/>
      <c r="AK48" s="82"/>
      <c r="AL48" s="106"/>
      <c r="AM48" s="106"/>
      <c r="AN48" s="167"/>
      <c r="AO48" s="167"/>
      <c r="AP48" s="167"/>
      <c r="AQ48" s="123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21"/>
      <c r="O49" s="165"/>
      <c r="P49" s="165"/>
      <c r="Q49" s="106"/>
      <c r="R49" s="106"/>
      <c r="S49" s="166"/>
      <c r="T49" s="166"/>
      <c r="U49" s="168"/>
      <c r="V49" s="169"/>
      <c r="W49" s="106"/>
      <c r="X49" s="106"/>
      <c r="Y49" s="123"/>
      <c r="Z49" s="106"/>
      <c r="AA49" s="106"/>
      <c r="AB49" s="106"/>
      <c r="AC49" s="123"/>
      <c r="AD49" s="123"/>
      <c r="AE49" s="123"/>
      <c r="AF49" s="82"/>
      <c r="AG49" s="82"/>
      <c r="AH49" s="82"/>
      <c r="AI49" s="82"/>
      <c r="AJ49" s="82"/>
      <c r="AK49" s="82"/>
      <c r="AL49" s="106"/>
      <c r="AM49" s="106"/>
      <c r="AN49" s="167"/>
      <c r="AO49" s="167"/>
      <c r="AP49" s="167"/>
      <c r="AQ49" s="123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21"/>
      <c r="O50" s="165"/>
      <c r="P50" s="165"/>
      <c r="Q50" s="106"/>
      <c r="R50" s="106"/>
      <c r="S50" s="166"/>
      <c r="T50" s="166"/>
      <c r="U50" s="168"/>
      <c r="V50" s="169"/>
      <c r="W50" s="106"/>
      <c r="X50" s="106"/>
      <c r="Y50" s="123"/>
      <c r="Z50" s="106"/>
      <c r="AA50" s="106"/>
      <c r="AB50" s="106"/>
      <c r="AC50" s="123"/>
      <c r="AD50" s="123"/>
      <c r="AE50" s="123"/>
      <c r="AF50" s="82"/>
      <c r="AG50" s="82"/>
      <c r="AH50" s="82"/>
      <c r="AI50" s="82"/>
      <c r="AJ50" s="82"/>
      <c r="AK50" s="82"/>
      <c r="AL50" s="106"/>
      <c r="AM50" s="106"/>
      <c r="AN50" s="167"/>
      <c r="AO50" s="167"/>
      <c r="AP50" s="167"/>
      <c r="AQ50" s="171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21"/>
      <c r="O51" s="165"/>
      <c r="P51" s="165"/>
      <c r="Q51" s="106"/>
      <c r="R51" s="106"/>
      <c r="S51" s="166"/>
      <c r="T51" s="166"/>
      <c r="U51" s="168"/>
      <c r="V51" s="169"/>
      <c r="W51" s="106"/>
      <c r="X51" s="106"/>
      <c r="Y51" s="123"/>
      <c r="Z51" s="106"/>
      <c r="AA51" s="106"/>
      <c r="AB51" s="106"/>
      <c r="AC51" s="123"/>
      <c r="AD51" s="123"/>
      <c r="AE51" s="123"/>
      <c r="AF51" s="82"/>
      <c r="AG51" s="82"/>
      <c r="AH51" s="82"/>
      <c r="AI51" s="82"/>
      <c r="AJ51" s="82"/>
      <c r="AK51" s="82"/>
      <c r="AL51" s="106"/>
      <c r="AM51" s="106"/>
      <c r="AN51" s="167"/>
      <c r="AO51" s="167"/>
      <c r="AP51" s="167"/>
      <c r="AQ51" s="123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21"/>
      <c r="O52" s="165"/>
      <c r="P52" s="165"/>
      <c r="Q52" s="106"/>
      <c r="R52" s="106"/>
      <c r="S52" s="166"/>
      <c r="T52" s="166"/>
      <c r="U52" s="168"/>
      <c r="V52" s="169"/>
      <c r="W52" s="106"/>
      <c r="X52" s="106"/>
      <c r="Y52" s="123"/>
      <c r="Z52" s="106"/>
      <c r="AA52" s="106"/>
      <c r="AB52" s="106"/>
      <c r="AC52" s="123"/>
      <c r="AD52" s="123"/>
      <c r="AE52" s="123"/>
      <c r="AF52" s="82"/>
      <c r="AG52" s="82"/>
      <c r="AH52" s="82"/>
      <c r="AI52" s="82"/>
      <c r="AJ52" s="82"/>
      <c r="AK52" s="82"/>
      <c r="AL52" s="106"/>
      <c r="AM52" s="106"/>
      <c r="AN52" s="167"/>
      <c r="AO52" s="167"/>
      <c r="AP52" s="167"/>
      <c r="AQ52" s="123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21"/>
      <c r="O53" s="165"/>
      <c r="P53" s="165"/>
      <c r="Q53" s="106"/>
      <c r="R53" s="106"/>
      <c r="U53" s="168"/>
      <c r="V53" s="169"/>
      <c r="W53" s="106"/>
      <c r="X53" s="106"/>
      <c r="Y53" s="123"/>
      <c r="Z53" s="106"/>
      <c r="AA53" s="106"/>
      <c r="AB53" s="106"/>
      <c r="AC53" s="123"/>
      <c r="AD53" s="123"/>
      <c r="AE53" s="123"/>
      <c r="AF53" s="82"/>
      <c r="AG53" s="82"/>
      <c r="AH53" s="82"/>
      <c r="AI53" s="82"/>
      <c r="AJ53" s="82"/>
      <c r="AK53" s="82"/>
      <c r="AL53" s="106"/>
      <c r="AM53" s="106"/>
      <c r="AN53" s="167"/>
      <c r="AO53" s="167"/>
      <c r="AP53" s="167"/>
      <c r="AQ53" s="171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21"/>
      <c r="O54" s="165"/>
      <c r="P54" s="165"/>
      <c r="Q54" s="106"/>
      <c r="R54" s="106"/>
      <c r="U54" s="168"/>
      <c r="V54" s="169"/>
      <c r="W54" s="106"/>
      <c r="X54" s="106"/>
      <c r="Y54" s="123"/>
      <c r="Z54" s="106"/>
      <c r="AA54" s="106"/>
      <c r="AB54" s="106"/>
      <c r="AC54" s="123"/>
      <c r="AD54" s="123"/>
      <c r="AE54" s="123"/>
      <c r="AF54" s="82"/>
      <c r="AG54" s="82"/>
      <c r="AH54" s="82"/>
      <c r="AI54" s="82"/>
      <c r="AJ54" s="82"/>
      <c r="AK54" s="82"/>
      <c r="AL54" s="106"/>
      <c r="AM54" s="106"/>
      <c r="AN54" s="167"/>
      <c r="AO54" s="167"/>
      <c r="AP54" s="167"/>
      <c r="AQ54" s="171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21"/>
      <c r="O55" s="165"/>
      <c r="P55" s="165"/>
      <c r="Q55" s="106"/>
      <c r="R55" s="106"/>
      <c r="U55" s="168"/>
      <c r="V55" s="169"/>
      <c r="W55" s="106"/>
      <c r="X55" s="106"/>
      <c r="Y55" s="171"/>
      <c r="Z55" s="106"/>
      <c r="AA55" s="106"/>
      <c r="AB55" s="106"/>
      <c r="AC55" s="123"/>
      <c r="AD55" s="123"/>
      <c r="AE55" s="123"/>
      <c r="AF55" s="82"/>
      <c r="AG55" s="82"/>
      <c r="AH55" s="82"/>
      <c r="AI55" s="82"/>
      <c r="AJ55" s="82"/>
      <c r="AK55" s="82"/>
      <c r="AL55" s="106"/>
      <c r="AM55" s="106"/>
      <c r="AN55" s="167"/>
      <c r="AO55" s="167"/>
      <c r="AP55" s="167"/>
      <c r="AQ55" s="171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21"/>
      <c r="O56" s="110"/>
      <c r="P56" s="110"/>
      <c r="Q56" s="106"/>
      <c r="U56" s="168"/>
      <c r="V56" s="169"/>
      <c r="W56" s="106"/>
      <c r="X56" s="106"/>
      <c r="Y56" s="171"/>
      <c r="Z56" s="106"/>
      <c r="AA56" s="106"/>
      <c r="AB56" s="106"/>
      <c r="AC56" s="123"/>
      <c r="AD56" s="123"/>
      <c r="AE56" s="123"/>
      <c r="AF56" s="82"/>
      <c r="AG56" s="82"/>
      <c r="AH56" s="82"/>
      <c r="AI56" s="82"/>
      <c r="AJ56" s="82"/>
      <c r="AK56" s="82"/>
      <c r="AL56" s="106"/>
      <c r="AM56" s="106"/>
      <c r="AN56" s="167"/>
      <c r="AO56" s="167"/>
      <c r="AP56" s="167"/>
      <c r="AQ56" s="171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50"/>
      <c r="Z57" s="17"/>
      <c r="AA57" s="17"/>
      <c r="AB57" s="17"/>
      <c r="AC57" s="50"/>
      <c r="AD57" s="50"/>
      <c r="AE57" s="50"/>
      <c r="AF57" s="17"/>
      <c r="AG57" s="17"/>
      <c r="AH57" s="17"/>
      <c r="AI57" s="17"/>
      <c r="AJ57" s="17"/>
      <c r="AK57" s="17"/>
      <c r="AL57" s="17"/>
      <c r="AM57" s="172"/>
      <c r="AN57" s="17"/>
      <c r="AO57" s="17"/>
      <c r="AP57" s="56"/>
      <c r="AQ57" s="50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58"/>
      <c r="O58" s="158"/>
      <c r="P58" s="56"/>
      <c r="Q58" s="56"/>
      <c r="R58" s="48"/>
      <c r="S58" s="56"/>
      <c r="T58" s="56"/>
      <c r="U58" s="173"/>
      <c r="V58" s="174"/>
      <c r="W58" s="56"/>
      <c r="X58" s="56"/>
      <c r="Y58" s="50"/>
      <c r="Z58" s="175"/>
      <c r="AA58" s="175"/>
      <c r="AB58" s="175"/>
      <c r="AC58" s="176"/>
      <c r="AD58" s="176"/>
      <c r="AE58" s="176"/>
      <c r="AF58" s="177"/>
      <c r="AG58" s="177"/>
      <c r="AH58" s="177"/>
      <c r="AI58" s="177"/>
      <c r="AJ58" s="177"/>
      <c r="AK58" s="177"/>
      <c r="AL58" s="175"/>
      <c r="AM58" s="175"/>
      <c r="AN58" s="56"/>
      <c r="AO58" s="56"/>
      <c r="AP58" s="56"/>
      <c r="AQ58" s="50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56"/>
      <c r="P59" s="56"/>
      <c r="Q59" s="56"/>
      <c r="R59" s="48"/>
      <c r="S59" s="56"/>
      <c r="T59" s="56"/>
      <c r="U59" s="56"/>
      <c r="V59" s="174"/>
      <c r="W59" s="56"/>
      <c r="X59" s="56"/>
      <c r="Y59" s="17"/>
      <c r="Z59" s="17"/>
      <c r="AA59" s="17"/>
      <c r="AB59" s="56"/>
      <c r="AC59" s="178"/>
      <c r="AD59" s="178"/>
      <c r="AE59" s="178"/>
      <c r="AF59" s="56"/>
      <c r="AG59" s="56"/>
      <c r="AH59" s="56"/>
      <c r="AI59" s="56"/>
      <c r="AJ59" s="48"/>
      <c r="AK59" s="56"/>
      <c r="AL59" s="56"/>
      <c r="AM59" s="172"/>
      <c r="AN59" s="177"/>
      <c r="AO59" s="179"/>
      <c r="AP59" s="177"/>
      <c r="AQ59" s="50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50"/>
      <c r="Z60" s="17"/>
      <c r="AA60" s="17"/>
      <c r="AB60" s="17"/>
      <c r="AC60" s="50"/>
      <c r="AD60" s="50"/>
      <c r="AE60" s="50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50"/>
      <c r="Z61" s="17"/>
      <c r="AA61" s="17"/>
      <c r="AB61" s="17"/>
      <c r="AC61" s="50"/>
      <c r="AD61" s="50"/>
      <c r="AE61" s="50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50"/>
      <c r="Z62" s="17"/>
      <c r="AA62" s="17"/>
      <c r="AB62" s="17"/>
      <c r="AC62" s="50"/>
      <c r="AD62" s="50"/>
      <c r="AE62" s="50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50"/>
      <c r="Z63" s="17"/>
      <c r="AA63" s="17"/>
      <c r="AB63" s="17"/>
      <c r="AC63" s="50"/>
      <c r="AD63" s="50"/>
      <c r="AE63" s="50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50"/>
      <c r="Z64" s="17"/>
      <c r="AA64" s="17"/>
      <c r="AB64" s="17"/>
      <c r="AC64" s="50"/>
      <c r="AD64" s="50"/>
      <c r="AE64" s="50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50"/>
      <c r="Z65" s="17"/>
      <c r="AA65" s="17"/>
      <c r="AB65" s="17"/>
      <c r="AC65" s="50"/>
      <c r="AD65" s="50"/>
      <c r="AE65" s="50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50"/>
      <c r="Z66" s="17"/>
      <c r="AA66" s="17"/>
      <c r="AB66" s="17"/>
      <c r="AC66" s="50"/>
      <c r="AD66" s="50"/>
      <c r="AE66" s="50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50"/>
      <c r="Z67" s="17"/>
      <c r="AA67" s="17"/>
      <c r="AB67" s="17"/>
      <c r="AC67" s="50"/>
      <c r="AD67" s="50"/>
      <c r="AE67" s="50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50"/>
      <c r="Z68" s="17"/>
      <c r="AA68" s="17"/>
      <c r="AB68" s="17"/>
      <c r="AC68" s="50"/>
      <c r="AD68" s="50"/>
      <c r="AE68" s="50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50"/>
      <c r="Z69" s="17"/>
      <c r="AA69" s="17"/>
      <c r="AB69" s="17"/>
      <c r="AC69" s="50"/>
      <c r="AD69" s="50"/>
      <c r="AE69" s="50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50"/>
      <c r="Z70" s="17"/>
      <c r="AA70" s="17"/>
      <c r="AB70" s="17"/>
      <c r="AC70" s="50"/>
      <c r="AD70" s="50"/>
      <c r="AE70" s="50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50"/>
      <c r="Z71" s="17"/>
      <c r="AA71" s="17"/>
      <c r="AB71" s="17"/>
      <c r="AC71" s="50"/>
      <c r="AD71" s="50"/>
      <c r="AE71" s="50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50"/>
      <c r="Z72" s="17"/>
      <c r="AA72" s="17"/>
      <c r="AB72" s="17"/>
      <c r="AC72" s="50"/>
      <c r="AD72" s="50"/>
      <c r="AE72" s="50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50"/>
      <c r="Z73" s="17"/>
      <c r="AA73" s="17"/>
      <c r="AB73" s="17"/>
      <c r="AC73" s="50"/>
      <c r="AD73" s="50"/>
      <c r="AE73" s="50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50"/>
      <c r="Z74" s="17"/>
      <c r="AA74" s="17"/>
      <c r="AB74" s="17"/>
      <c r="AC74" s="50"/>
      <c r="AD74" s="50"/>
      <c r="AE74" s="50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50"/>
      <c r="Z75" s="17"/>
      <c r="AA75" s="17"/>
      <c r="AB75" s="17"/>
      <c r="AC75" s="50"/>
      <c r="AD75" s="50"/>
      <c r="AE75" s="50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50"/>
      <c r="Z76" s="17"/>
      <c r="AA76" s="17"/>
      <c r="AB76" s="17"/>
      <c r="AC76" s="50"/>
      <c r="AD76" s="50"/>
      <c r="AE76" s="50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50"/>
      <c r="Z77" s="17"/>
      <c r="AA77" s="17"/>
      <c r="AB77" s="17"/>
      <c r="AC77" s="50"/>
      <c r="AD77" s="50"/>
      <c r="AE77" s="50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50"/>
      <c r="Z78" s="17"/>
      <c r="AA78" s="17"/>
      <c r="AB78" s="17"/>
      <c r="AC78" s="50"/>
      <c r="AD78" s="50"/>
      <c r="AE78" s="50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50"/>
      <c r="Z79" s="17"/>
      <c r="AA79" s="17"/>
      <c r="AB79" s="17"/>
      <c r="AC79" s="50"/>
      <c r="AD79" s="50"/>
      <c r="AE79" s="50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50"/>
      <c r="Z80" s="17"/>
      <c r="AA80" s="17"/>
      <c r="AB80" s="17"/>
      <c r="AC80" s="50"/>
      <c r="AD80" s="50"/>
      <c r="AE80" s="50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50"/>
      <c r="Z81" s="17"/>
      <c r="AA81" s="17"/>
      <c r="AB81" s="17"/>
      <c r="AC81" s="50"/>
      <c r="AD81" s="50"/>
      <c r="AE81" s="50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50"/>
      <c r="Z82" s="17"/>
      <c r="AA82" s="17"/>
      <c r="AB82" s="17"/>
      <c r="AC82" s="50"/>
      <c r="AD82" s="50"/>
      <c r="AE82" s="50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50"/>
      <c r="Z83" s="17"/>
      <c r="AA83" s="17"/>
      <c r="AB83" s="17"/>
      <c r="AC83" s="50"/>
      <c r="AD83" s="50"/>
      <c r="AE83" s="50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50"/>
      <c r="Z84" s="17"/>
      <c r="AA84" s="17"/>
      <c r="AB84" s="17"/>
      <c r="AC84" s="50"/>
      <c r="AD84" s="50"/>
      <c r="AE84" s="50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50"/>
      <c r="Z85" s="17"/>
      <c r="AA85" s="17"/>
      <c r="AB85" s="17"/>
      <c r="AC85" s="50"/>
      <c r="AD85" s="50"/>
      <c r="AE85" s="50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50"/>
      <c r="Z86" s="17"/>
      <c r="AA86" s="17"/>
      <c r="AB86" s="17"/>
      <c r="AC86" s="50"/>
      <c r="AD86" s="50"/>
      <c r="AE86" s="50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50"/>
      <c r="Z87" s="17"/>
      <c r="AA87" s="17"/>
      <c r="AB87" s="17"/>
      <c r="AC87" s="50"/>
      <c r="AD87" s="50"/>
      <c r="AE87" s="50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50"/>
      <c r="Z88" s="17"/>
      <c r="AA88" s="17"/>
      <c r="AB88" s="17"/>
      <c r="AC88" s="50"/>
      <c r="AD88" s="50"/>
      <c r="AE88" s="50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50"/>
      <c r="Z89" s="17"/>
      <c r="AA89" s="17"/>
      <c r="AB89" s="17"/>
      <c r="AC89" s="50"/>
      <c r="AD89" s="50"/>
      <c r="AE89" s="50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50"/>
      <c r="Z90" s="17"/>
      <c r="AA90" s="17"/>
      <c r="AB90" s="17"/>
      <c r="AC90" s="50"/>
      <c r="AD90" s="50"/>
      <c r="AE90" s="50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50"/>
      <c r="Z91" s="17"/>
      <c r="AA91" s="17"/>
      <c r="AB91" s="17"/>
      <c r="AC91" s="50"/>
      <c r="AD91" s="50"/>
      <c r="AE91" s="50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50"/>
      <c r="Z92" s="17"/>
      <c r="AA92" s="17"/>
      <c r="AB92" s="17"/>
      <c r="AC92" s="50"/>
      <c r="AD92" s="50"/>
      <c r="AE92" s="50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50"/>
      <c r="Z93" s="17"/>
      <c r="AA93" s="17"/>
      <c r="AB93" s="17"/>
      <c r="AC93" s="50"/>
      <c r="AD93" s="50"/>
      <c r="AE93" s="50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50"/>
      <c r="Z94" s="17"/>
      <c r="AA94" s="17"/>
      <c r="AB94" s="17"/>
      <c r="AC94" s="50"/>
      <c r="AD94" s="50"/>
      <c r="AE94" s="50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50"/>
      <c r="Z95" s="17"/>
      <c r="AA95" s="17"/>
      <c r="AB95" s="17"/>
      <c r="AC95" s="50"/>
      <c r="AD95" s="50"/>
      <c r="AE95" s="50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50"/>
      <c r="Z96" s="17"/>
      <c r="AA96" s="17"/>
      <c r="AB96" s="17"/>
      <c r="AC96" s="50"/>
      <c r="AD96" s="50"/>
      <c r="AE96" s="50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50"/>
      <c r="Z97" s="17"/>
      <c r="AA97" s="17"/>
      <c r="AB97" s="17"/>
      <c r="AC97" s="50"/>
      <c r="AD97" s="50"/>
      <c r="AE97" s="50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50"/>
      <c r="Z98" s="17"/>
      <c r="AA98" s="17"/>
      <c r="AB98" s="17"/>
      <c r="AC98" s="50"/>
      <c r="AD98" s="50"/>
      <c r="AE98" s="50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50"/>
      <c r="Z99" s="17"/>
      <c r="AA99" s="17"/>
      <c r="AB99" s="17"/>
      <c r="AC99" s="50"/>
      <c r="AD99" s="50"/>
      <c r="AE99" s="50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50"/>
      <c r="Z100" s="17"/>
      <c r="AA100" s="17"/>
      <c r="AB100" s="17"/>
      <c r="AC100" s="50"/>
      <c r="AD100" s="50"/>
      <c r="AE100" s="50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50"/>
      <c r="Z101" s="17"/>
      <c r="AA101" s="17"/>
      <c r="AB101" s="17"/>
      <c r="AC101" s="50"/>
      <c r="AD101" s="50"/>
      <c r="AE101" s="50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50"/>
      <c r="Z102" s="17"/>
      <c r="AA102" s="17"/>
      <c r="AB102" s="17"/>
      <c r="AC102" s="50"/>
      <c r="AD102" s="50"/>
      <c r="AE102" s="50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50"/>
      <c r="Z103" s="17"/>
      <c r="AA103" s="17"/>
      <c r="AB103" s="17"/>
      <c r="AC103" s="50"/>
      <c r="AD103" s="50"/>
      <c r="AE103" s="50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50"/>
      <c r="Z104" s="17"/>
      <c r="AA104" s="17"/>
      <c r="AB104" s="17"/>
      <c r="AC104" s="50"/>
      <c r="AD104" s="50"/>
      <c r="AE104" s="50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50"/>
      <c r="Z105" s="17"/>
      <c r="AA105" s="17"/>
      <c r="AB105" s="17"/>
      <c r="AC105" s="50"/>
      <c r="AD105" s="50"/>
      <c r="AE105" s="50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50"/>
      <c r="Z106" s="17"/>
      <c r="AA106" s="17"/>
      <c r="AB106" s="17"/>
      <c r="AC106" s="50"/>
      <c r="AD106" s="50"/>
      <c r="AE106" s="50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50"/>
      <c r="Z107" s="17"/>
      <c r="AA107" s="17"/>
      <c r="AB107" s="17"/>
      <c r="AC107" s="50"/>
      <c r="AD107" s="50"/>
      <c r="AE107" s="50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50"/>
      <c r="Z108" s="17"/>
      <c r="AA108" s="17"/>
      <c r="AB108" s="17"/>
      <c r="AC108" s="50"/>
      <c r="AD108" s="50"/>
      <c r="AE108" s="50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50"/>
      <c r="Z109" s="17"/>
      <c r="AA109" s="17"/>
      <c r="AB109" s="17"/>
      <c r="AC109" s="50"/>
      <c r="AD109" s="50"/>
      <c r="AE109" s="50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50"/>
      <c r="Z110" s="17"/>
      <c r="AA110" s="17"/>
      <c r="AB110" s="17"/>
      <c r="AC110" s="50"/>
      <c r="AD110" s="50"/>
      <c r="AE110" s="50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50"/>
      <c r="Z111" s="17"/>
      <c r="AA111" s="17"/>
      <c r="AB111" s="17"/>
      <c r="AC111" s="50"/>
      <c r="AD111" s="50"/>
      <c r="AE111" s="50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50"/>
      <c r="Z112" s="17"/>
      <c r="AA112" s="17"/>
      <c r="AB112" s="17"/>
      <c r="AC112" s="50"/>
      <c r="AD112" s="50"/>
      <c r="AE112" s="50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50"/>
      <c r="Z113" s="17"/>
      <c r="AA113" s="17"/>
      <c r="AB113" s="17"/>
      <c r="AC113" s="50"/>
      <c r="AD113" s="50"/>
      <c r="AE113" s="50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50"/>
      <c r="Z114" s="17"/>
      <c r="AA114" s="17"/>
      <c r="AB114" s="17"/>
      <c r="AC114" s="50"/>
      <c r="AD114" s="50"/>
      <c r="AE114" s="50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50"/>
      <c r="Z115" s="17"/>
      <c r="AA115" s="17"/>
      <c r="AB115" s="17"/>
      <c r="AC115" s="50"/>
      <c r="AD115" s="50"/>
      <c r="AE115" s="50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50"/>
      <c r="Z116" s="17"/>
      <c r="AA116" s="17"/>
      <c r="AB116" s="17"/>
      <c r="AC116" s="50"/>
      <c r="AD116" s="50"/>
      <c r="AE116" s="50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50"/>
      <c r="Z117" s="17"/>
      <c r="AA117" s="17"/>
      <c r="AB117" s="17"/>
      <c r="AC117" s="50"/>
      <c r="AD117" s="50"/>
      <c r="AE117" s="50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50"/>
      <c r="Z118" s="17"/>
      <c r="AA118" s="17"/>
      <c r="AB118" s="17"/>
      <c r="AC118" s="50"/>
      <c r="AD118" s="50"/>
      <c r="AE118" s="50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50"/>
      <c r="Z119" s="17"/>
      <c r="AA119" s="17"/>
      <c r="AB119" s="17"/>
      <c r="AC119" s="50"/>
      <c r="AD119" s="50"/>
      <c r="AE119" s="50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50"/>
      <c r="Z120" s="17"/>
      <c r="AA120" s="17"/>
      <c r="AB120" s="17"/>
      <c r="AC120" s="50"/>
      <c r="AD120" s="50"/>
      <c r="AE120" s="50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50"/>
      <c r="Z121" s="17"/>
      <c r="AA121" s="17"/>
      <c r="AB121" s="17"/>
      <c r="AC121" s="50"/>
      <c r="AD121" s="50"/>
      <c r="AE121" s="50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50"/>
      <c r="Z122" s="17"/>
      <c r="AA122" s="17"/>
      <c r="AB122" s="17"/>
      <c r="AC122" s="50"/>
      <c r="AD122" s="50"/>
      <c r="AE122" s="50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50"/>
      <c r="Z123" s="17"/>
      <c r="AA123" s="17"/>
      <c r="AB123" s="17"/>
      <c r="AC123" s="50"/>
      <c r="AD123" s="50"/>
      <c r="AE123" s="50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50"/>
      <c r="Z124" s="17"/>
      <c r="AA124" s="17"/>
      <c r="AB124" s="17"/>
      <c r="AC124" s="50"/>
      <c r="AD124" s="50"/>
      <c r="AE124" s="50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50"/>
      <c r="Z125" s="17"/>
      <c r="AA125" s="17"/>
      <c r="AB125" s="17"/>
      <c r="AC125" s="50"/>
      <c r="AD125" s="50"/>
      <c r="AE125" s="50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50"/>
      <c r="Z126" s="17"/>
      <c r="AA126" s="17"/>
      <c r="AB126" s="17"/>
      <c r="AC126" s="50"/>
      <c r="AD126" s="50"/>
      <c r="AE126" s="50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50"/>
      <c r="Z127" s="17"/>
      <c r="AA127" s="17"/>
      <c r="AB127" s="17"/>
      <c r="AC127" s="50"/>
      <c r="AD127" s="50"/>
      <c r="AE127" s="50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50"/>
      <c r="Z128" s="17"/>
      <c r="AA128" s="17"/>
      <c r="AB128" s="17"/>
      <c r="AC128" s="50"/>
      <c r="AD128" s="50"/>
      <c r="AE128" s="50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50"/>
      <c r="Z129" s="17"/>
      <c r="AA129" s="17"/>
      <c r="AB129" s="17"/>
      <c r="AC129" s="50"/>
      <c r="AD129" s="50"/>
      <c r="AE129" s="50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50"/>
      <c r="Z130" s="17"/>
      <c r="AA130" s="17"/>
      <c r="AB130" s="17"/>
      <c r="AC130" s="50"/>
      <c r="AD130" s="50"/>
      <c r="AE130" s="50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50"/>
      <c r="Z131" s="17"/>
      <c r="AA131" s="17"/>
      <c r="AB131" s="17"/>
      <c r="AC131" s="50"/>
      <c r="AD131" s="50"/>
      <c r="AE131" s="50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50"/>
      <c r="Z132" s="17"/>
      <c r="AA132" s="17"/>
      <c r="AB132" s="17"/>
      <c r="AC132" s="50"/>
      <c r="AD132" s="50"/>
      <c r="AE132" s="50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50"/>
      <c r="Z133" s="17"/>
      <c r="AA133" s="17"/>
      <c r="AB133" s="17"/>
      <c r="AC133" s="50"/>
      <c r="AD133" s="50"/>
      <c r="AE133" s="50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50"/>
      <c r="Z134" s="17"/>
      <c r="AA134" s="17"/>
      <c r="AB134" s="17"/>
      <c r="AC134" s="50"/>
      <c r="AD134" s="50"/>
      <c r="AE134" s="50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50"/>
      <c r="Z135" s="17"/>
      <c r="AA135" s="17"/>
      <c r="AB135" s="17"/>
      <c r="AC135" s="50"/>
      <c r="AD135" s="50"/>
      <c r="AE135" s="50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50"/>
      <c r="Z136" s="17"/>
      <c r="AA136" s="17"/>
      <c r="AB136" s="17"/>
      <c r="AC136" s="50"/>
      <c r="AD136" s="50"/>
      <c r="AE136" s="50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50"/>
      <c r="Z137" s="17"/>
      <c r="AA137" s="17"/>
      <c r="AB137" s="17"/>
      <c r="AC137" s="50"/>
      <c r="AD137" s="50"/>
      <c r="AE137" s="50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50"/>
      <c r="Z138" s="17"/>
      <c r="AA138" s="17"/>
      <c r="AB138" s="17"/>
      <c r="AC138" s="50"/>
      <c r="AD138" s="50"/>
      <c r="AE138" s="50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50"/>
      <c r="Z139" s="17"/>
      <c r="AA139" s="17"/>
      <c r="AB139" s="17"/>
      <c r="AC139" s="50"/>
      <c r="AD139" s="50"/>
      <c r="AE139" s="50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50"/>
      <c r="Z140" s="17"/>
      <c r="AA140" s="17"/>
      <c r="AB140" s="17"/>
      <c r="AC140" s="50"/>
      <c r="AD140" s="50"/>
      <c r="AE140" s="50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50"/>
      <c r="Z141" s="17"/>
      <c r="AA141" s="17"/>
      <c r="AB141" s="17"/>
      <c r="AC141" s="50"/>
      <c r="AD141" s="50"/>
      <c r="AE141" s="50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50"/>
      <c r="Z142" s="17"/>
      <c r="AA142" s="17"/>
      <c r="AB142" s="17"/>
      <c r="AC142" s="50"/>
      <c r="AD142" s="50"/>
      <c r="AE142" s="50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50"/>
      <c r="Z143" s="17"/>
      <c r="AA143" s="17"/>
      <c r="AB143" s="17"/>
      <c r="AC143" s="50"/>
      <c r="AD143" s="50"/>
      <c r="AE143" s="50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50"/>
      <c r="Z144" s="17"/>
      <c r="AA144" s="17"/>
      <c r="AB144" s="17"/>
      <c r="AC144" s="50"/>
      <c r="AD144" s="50"/>
      <c r="AE144" s="50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50"/>
      <c r="Z145" s="17"/>
      <c r="AA145" s="17"/>
      <c r="AB145" s="17"/>
      <c r="AC145" s="50"/>
      <c r="AD145" s="50"/>
      <c r="AE145" s="50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50"/>
      <c r="Z146" s="17"/>
      <c r="AA146" s="17"/>
      <c r="AB146" s="17"/>
      <c r="AC146" s="50"/>
      <c r="AD146" s="50"/>
      <c r="AE146" s="50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50"/>
      <c r="Z147" s="17"/>
      <c r="AA147" s="17"/>
      <c r="AB147" s="17"/>
      <c r="AC147" s="50"/>
      <c r="AD147" s="50"/>
      <c r="AE147" s="50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50"/>
      <c r="Z148" s="17"/>
      <c r="AA148" s="17"/>
      <c r="AB148" s="17"/>
      <c r="AC148" s="50"/>
      <c r="AD148" s="50"/>
      <c r="AE148" s="50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50"/>
      <c r="Z149" s="17"/>
      <c r="AA149" s="17"/>
      <c r="AB149" s="17"/>
      <c r="AC149" s="50"/>
      <c r="AD149" s="50"/>
      <c r="AE149" s="50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50"/>
      <c r="Z150" s="17"/>
      <c r="AA150" s="17"/>
      <c r="AB150" s="17"/>
      <c r="AC150" s="50"/>
      <c r="AD150" s="50"/>
      <c r="AE150" s="50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50"/>
      <c r="Z151" s="17"/>
      <c r="AA151" s="17"/>
      <c r="AB151" s="17"/>
      <c r="AC151" s="50"/>
      <c r="AD151" s="50"/>
      <c r="AE151" s="50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50"/>
      <c r="Z152" s="17"/>
      <c r="AA152" s="17"/>
      <c r="AB152" s="17"/>
      <c r="AC152" s="50"/>
      <c r="AD152" s="50"/>
      <c r="AE152" s="50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50"/>
      <c r="Z153" s="17"/>
      <c r="AA153" s="17"/>
      <c r="AB153" s="17"/>
      <c r="AC153" s="50"/>
      <c r="AD153" s="50"/>
      <c r="AE153" s="50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50"/>
      <c r="Z154" s="17"/>
      <c r="AA154" s="17"/>
      <c r="AB154" s="17"/>
      <c r="AC154" s="50"/>
      <c r="AD154" s="50"/>
      <c r="AE154" s="50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50"/>
      <c r="Z155" s="17"/>
      <c r="AA155" s="17"/>
      <c r="AB155" s="17"/>
      <c r="AC155" s="50"/>
      <c r="AD155" s="50"/>
      <c r="AE155" s="50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50"/>
      <c r="Z156" s="17"/>
      <c r="AA156" s="17"/>
      <c r="AB156" s="17"/>
      <c r="AC156" s="50"/>
      <c r="AD156" s="50"/>
      <c r="AE156" s="50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50"/>
      <c r="Z157" s="17"/>
      <c r="AA157" s="17"/>
      <c r="AB157" s="17"/>
      <c r="AC157" s="50"/>
      <c r="AD157" s="50"/>
      <c r="AE157" s="50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50"/>
      <c r="Z158" s="17"/>
      <c r="AA158" s="17"/>
      <c r="AB158" s="17"/>
      <c r="AC158" s="50"/>
      <c r="AD158" s="50"/>
      <c r="AE158" s="50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50"/>
      <c r="Z159" s="17"/>
      <c r="AA159" s="17"/>
      <c r="AB159" s="17"/>
      <c r="AC159" s="50"/>
      <c r="AD159" s="50"/>
      <c r="AE159" s="50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50"/>
      <c r="Z160" s="17"/>
      <c r="AA160" s="17"/>
      <c r="AB160" s="17"/>
      <c r="AC160" s="50"/>
      <c r="AD160" s="50"/>
      <c r="AE160" s="50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50"/>
      <c r="Z161" s="17"/>
      <c r="AA161" s="17"/>
      <c r="AB161" s="17"/>
      <c r="AC161" s="50"/>
      <c r="AD161" s="50"/>
      <c r="AE161" s="50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50"/>
      <c r="Z162" s="17"/>
      <c r="AA162" s="17"/>
      <c r="AB162" s="17"/>
      <c r="AC162" s="50"/>
      <c r="AD162" s="50"/>
      <c r="AE162" s="50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50"/>
      <c r="Z163" s="17"/>
      <c r="AA163" s="17"/>
      <c r="AB163" s="17"/>
      <c r="AC163" s="50"/>
      <c r="AD163" s="50"/>
      <c r="AE163" s="50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50"/>
      <c r="Z164" s="17"/>
      <c r="AA164" s="17"/>
      <c r="AB164" s="17"/>
      <c r="AC164" s="50"/>
      <c r="AD164" s="50"/>
      <c r="AE164" s="50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50"/>
      <c r="Z165" s="17"/>
      <c r="AA165" s="17"/>
      <c r="AB165" s="17"/>
      <c r="AC165" s="50"/>
      <c r="AD165" s="50"/>
      <c r="AE165" s="50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50"/>
      <c r="Z166" s="17"/>
      <c r="AA166" s="17"/>
      <c r="AB166" s="17"/>
      <c r="AC166" s="50"/>
      <c r="AD166" s="50"/>
      <c r="AE166" s="50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50"/>
      <c r="Z167" s="17"/>
      <c r="AA167" s="17"/>
      <c r="AB167" s="17"/>
      <c r="AC167" s="50"/>
      <c r="AD167" s="50"/>
      <c r="AE167" s="50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50"/>
      <c r="Z168" s="17"/>
      <c r="AA168" s="17"/>
      <c r="AB168" s="17"/>
      <c r="AC168" s="50"/>
      <c r="AD168" s="50"/>
      <c r="AE168" s="50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50"/>
      <c r="Z169" s="17"/>
      <c r="AA169" s="17"/>
      <c r="AB169" s="17"/>
      <c r="AC169" s="50"/>
      <c r="AD169" s="50"/>
      <c r="AE169" s="50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50"/>
      <c r="Z170" s="17"/>
      <c r="AA170" s="17"/>
      <c r="AB170" s="17"/>
      <c r="AC170" s="50"/>
      <c r="AD170" s="50"/>
      <c r="AE170" s="50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50"/>
      <c r="Z171" s="17"/>
      <c r="AA171" s="17"/>
      <c r="AB171" s="17"/>
      <c r="AC171" s="50"/>
      <c r="AD171" s="50"/>
      <c r="AE171" s="50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50"/>
      <c r="Z172" s="17"/>
      <c r="AA172" s="17"/>
      <c r="AB172" s="17"/>
      <c r="AC172" s="50"/>
      <c r="AD172" s="50"/>
      <c r="AE172" s="50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50"/>
      <c r="Z173" s="17"/>
      <c r="AA173" s="17"/>
      <c r="AB173" s="17"/>
      <c r="AC173" s="50"/>
      <c r="AD173" s="50"/>
      <c r="AE173" s="50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50"/>
      <c r="Z174" s="17"/>
      <c r="AA174" s="17"/>
      <c r="AB174" s="17"/>
      <c r="AC174" s="50"/>
      <c r="AD174" s="50"/>
      <c r="AE174" s="50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50"/>
      <c r="Z175" s="17"/>
      <c r="AA175" s="17"/>
      <c r="AB175" s="17"/>
      <c r="AC175" s="50"/>
      <c r="AD175" s="50"/>
      <c r="AE175" s="50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50"/>
      <c r="Z176" s="17"/>
      <c r="AA176" s="17"/>
      <c r="AB176" s="17"/>
      <c r="AC176" s="50"/>
      <c r="AD176" s="50"/>
      <c r="AE176" s="50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50"/>
      <c r="Z177" s="17"/>
      <c r="AA177" s="17"/>
      <c r="AB177" s="17"/>
      <c r="AC177" s="50"/>
      <c r="AD177" s="50"/>
      <c r="AE177" s="50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50"/>
      <c r="Z178" s="17"/>
      <c r="AA178" s="17"/>
      <c r="AB178" s="17"/>
      <c r="AC178" s="50"/>
      <c r="AD178" s="50"/>
      <c r="AE178" s="50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50"/>
      <c r="Z179" s="17"/>
      <c r="AA179" s="17"/>
      <c r="AB179" s="17"/>
      <c r="AC179" s="50"/>
      <c r="AD179" s="50"/>
      <c r="AE179" s="50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50"/>
      <c r="Z180" s="17"/>
      <c r="AA180" s="17"/>
      <c r="AB180" s="17"/>
      <c r="AC180" s="50"/>
      <c r="AD180" s="50"/>
      <c r="AE180" s="50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50"/>
      <c r="Z181" s="17"/>
      <c r="AA181" s="17"/>
      <c r="AB181" s="17"/>
      <c r="AC181" s="50"/>
      <c r="AD181" s="50"/>
      <c r="AE181" s="50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50"/>
      <c r="Z182" s="17"/>
      <c r="AA182" s="17"/>
      <c r="AB182" s="17"/>
      <c r="AC182" s="50"/>
      <c r="AD182" s="50"/>
      <c r="AE182" s="50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50"/>
      <c r="Z183" s="17"/>
      <c r="AA183" s="17"/>
      <c r="AB183" s="17"/>
      <c r="AC183" s="50"/>
      <c r="AD183" s="50"/>
      <c r="AE183" s="50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50"/>
      <c r="Z184" s="17"/>
      <c r="AA184" s="17"/>
      <c r="AB184" s="17"/>
      <c r="AC184" s="50"/>
      <c r="AD184" s="50"/>
      <c r="AE184" s="50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50"/>
      <c r="Z185" s="17"/>
      <c r="AA185" s="17"/>
      <c r="AB185" s="17"/>
      <c r="AC185" s="50"/>
      <c r="AD185" s="50"/>
      <c r="AE185" s="50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50"/>
      <c r="Z186" s="17"/>
      <c r="AA186" s="17"/>
      <c r="AB186" s="17"/>
      <c r="AC186" s="50"/>
      <c r="AD186" s="50"/>
      <c r="AE186" s="50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50"/>
      <c r="Z187" s="17"/>
      <c r="AA187" s="17"/>
      <c r="AB187" s="17"/>
      <c r="AC187" s="50"/>
      <c r="AD187" s="50"/>
      <c r="AE187" s="50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50"/>
      <c r="Z188" s="17"/>
      <c r="AA188" s="17"/>
      <c r="AB188" s="17"/>
      <c r="AC188" s="50"/>
      <c r="AD188" s="50"/>
      <c r="AE188" s="50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50"/>
      <c r="Z189" s="17"/>
      <c r="AA189" s="17"/>
      <c r="AB189" s="17"/>
      <c r="AC189" s="50"/>
      <c r="AD189" s="50"/>
      <c r="AE189" s="50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50"/>
      <c r="Z190" s="17"/>
      <c r="AA190" s="17"/>
      <c r="AB190" s="17"/>
      <c r="AC190" s="50"/>
      <c r="AD190" s="50"/>
      <c r="AE190" s="50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50"/>
      <c r="Z191" s="17"/>
      <c r="AA191" s="17"/>
      <c r="AB191" s="17"/>
      <c r="AC191" s="50"/>
      <c r="AD191" s="50"/>
      <c r="AE191" s="50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50"/>
      <c r="Z192" s="17"/>
      <c r="AA192" s="17"/>
      <c r="AB192" s="17"/>
      <c r="AC192" s="50"/>
      <c r="AD192" s="50"/>
      <c r="AE192" s="50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50"/>
      <c r="Z193" s="17"/>
      <c r="AA193" s="17"/>
      <c r="AB193" s="17"/>
      <c r="AC193" s="50"/>
      <c r="AD193" s="50"/>
      <c r="AE193" s="50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50"/>
      <c r="Z194" s="17"/>
      <c r="AA194" s="17"/>
      <c r="AB194" s="17"/>
      <c r="AC194" s="50"/>
      <c r="AD194" s="50"/>
      <c r="AE194" s="50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50"/>
      <c r="Z195" s="17"/>
      <c r="AA195" s="17"/>
      <c r="AB195" s="17"/>
      <c r="AC195" s="50"/>
      <c r="AD195" s="50"/>
      <c r="AE195" s="50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50"/>
      <c r="Z196" s="17"/>
      <c r="AA196" s="17"/>
      <c r="AB196" s="17"/>
      <c r="AC196" s="50"/>
      <c r="AD196" s="50"/>
      <c r="AE196" s="50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50"/>
      <c r="Z197" s="17"/>
      <c r="AA197" s="17"/>
      <c r="AB197" s="17"/>
      <c r="AC197" s="50"/>
      <c r="AD197" s="50"/>
      <c r="AE197" s="50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50"/>
      <c r="Z198" s="17"/>
      <c r="AA198" s="17"/>
      <c r="AB198" s="17"/>
      <c r="AC198" s="50"/>
      <c r="AD198" s="50"/>
      <c r="AE198" s="50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50"/>
      <c r="Z199" s="17"/>
      <c r="AA199" s="17"/>
      <c r="AB199" s="17"/>
      <c r="AC199" s="50"/>
      <c r="AD199" s="50"/>
      <c r="AE199" s="50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50"/>
      <c r="Z200" s="17"/>
      <c r="AA200" s="17"/>
      <c r="AB200" s="17"/>
      <c r="AC200" s="50"/>
      <c r="AD200" s="50"/>
      <c r="AE200" s="50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50"/>
      <c r="Z201" s="17"/>
      <c r="AA201" s="17"/>
      <c r="AB201" s="17"/>
      <c r="AC201" s="50"/>
      <c r="AD201" s="50"/>
      <c r="AE201" s="50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50"/>
      <c r="Z202" s="17"/>
      <c r="AA202" s="17"/>
      <c r="AB202" s="17"/>
      <c r="AC202" s="50"/>
      <c r="AD202" s="50"/>
      <c r="AE202" s="50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50"/>
      <c r="Z203" s="17"/>
      <c r="AA203" s="17"/>
      <c r="AB203" s="17"/>
      <c r="AC203" s="50"/>
      <c r="AD203" s="50"/>
      <c r="AE203" s="50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50"/>
      <c r="Z204" s="17"/>
      <c r="AA204" s="17"/>
      <c r="AB204" s="17"/>
      <c r="AC204" s="50"/>
      <c r="AD204" s="50"/>
      <c r="AE204" s="50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50"/>
      <c r="Z205" s="17"/>
      <c r="AA205" s="17"/>
      <c r="AB205" s="17"/>
      <c r="AC205" s="50"/>
      <c r="AD205" s="50"/>
      <c r="AE205" s="50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50"/>
      <c r="Z206" s="17"/>
      <c r="AA206" s="17"/>
      <c r="AB206" s="17"/>
      <c r="AC206" s="50"/>
      <c r="AD206" s="50"/>
      <c r="AE206" s="50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50"/>
      <c r="Z207" s="17"/>
      <c r="AA207" s="17"/>
      <c r="AB207" s="17"/>
      <c r="AC207" s="50"/>
      <c r="AD207" s="50"/>
      <c r="AE207" s="50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50"/>
      <c r="Z208" s="17"/>
      <c r="AA208" s="17"/>
      <c r="AB208" s="17"/>
      <c r="AC208" s="50"/>
      <c r="AD208" s="50"/>
      <c r="AE208" s="50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50"/>
      <c r="Z209" s="17"/>
      <c r="AA209" s="17"/>
      <c r="AB209" s="17"/>
      <c r="AC209" s="50"/>
      <c r="AD209" s="50"/>
      <c r="AE209" s="50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50"/>
      <c r="Z210" s="17"/>
      <c r="AA210" s="17"/>
      <c r="AB210" s="17"/>
      <c r="AC210" s="50"/>
      <c r="AD210" s="50"/>
      <c r="AE210" s="50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50"/>
      <c r="Z211" s="17"/>
      <c r="AA211" s="17"/>
      <c r="AB211" s="17"/>
      <c r="AC211" s="50"/>
      <c r="AD211" s="50"/>
      <c r="AE211" s="50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50"/>
      <c r="Z212" s="17"/>
      <c r="AA212" s="17"/>
      <c r="AB212" s="17"/>
      <c r="AC212" s="50"/>
      <c r="AD212" s="50"/>
      <c r="AE212" s="50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50"/>
      <c r="Z213" s="17"/>
      <c r="AA213" s="17"/>
      <c r="AB213" s="17"/>
      <c r="AC213" s="50"/>
      <c r="AD213" s="50"/>
      <c r="AE213" s="50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50"/>
      <c r="Z214" s="17"/>
      <c r="AA214" s="17"/>
      <c r="AB214" s="17"/>
      <c r="AC214" s="50"/>
      <c r="AD214" s="50"/>
      <c r="AE214" s="50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50"/>
      <c r="Z215" s="17"/>
      <c r="AA215" s="17"/>
      <c r="AB215" s="17"/>
      <c r="AC215" s="50"/>
      <c r="AD215" s="50"/>
      <c r="AE215" s="50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50"/>
      <c r="Z216" s="17"/>
      <c r="AA216" s="17"/>
      <c r="AB216" s="17"/>
      <c r="AC216" s="50"/>
      <c r="AD216" s="50"/>
      <c r="AE216" s="50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50"/>
      <c r="Z217" s="17"/>
      <c r="AA217" s="17"/>
      <c r="AB217" s="17"/>
      <c r="AC217" s="50"/>
      <c r="AD217" s="50"/>
      <c r="AE217" s="50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50"/>
      <c r="Z218" s="17"/>
      <c r="AA218" s="17"/>
      <c r="AB218" s="17"/>
      <c r="AC218" s="50"/>
      <c r="AD218" s="50"/>
      <c r="AE218" s="50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50"/>
      <c r="Z219" s="17"/>
      <c r="AA219" s="17"/>
      <c r="AB219" s="17"/>
      <c r="AC219" s="50"/>
      <c r="AD219" s="50"/>
      <c r="AE219" s="50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50"/>
      <c r="Z220" s="17"/>
      <c r="AA220" s="17"/>
      <c r="AB220" s="17"/>
      <c r="AC220" s="50"/>
      <c r="AD220" s="50"/>
      <c r="AE220" s="50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50"/>
      <c r="Z221" s="17"/>
      <c r="AA221" s="17"/>
      <c r="AB221" s="17"/>
      <c r="AC221" s="50"/>
      <c r="AD221" s="50"/>
      <c r="AE221" s="50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50"/>
      <c r="Z222" s="17"/>
      <c r="AA222" s="17"/>
      <c r="AB222" s="17"/>
      <c r="AC222" s="50"/>
      <c r="AD222" s="50"/>
      <c r="AE222" s="50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50"/>
      <c r="Z223" s="17"/>
      <c r="AA223" s="17"/>
      <c r="AB223" s="17"/>
      <c r="AC223" s="50"/>
      <c r="AD223" s="50"/>
      <c r="AE223" s="50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50"/>
      <c r="Z224" s="17"/>
      <c r="AA224" s="17"/>
      <c r="AB224" s="17"/>
      <c r="AC224" s="50"/>
      <c r="AD224" s="50"/>
      <c r="AE224" s="50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50"/>
      <c r="Z225" s="17"/>
      <c r="AA225" s="17"/>
      <c r="AB225" s="17"/>
      <c r="AC225" s="50"/>
      <c r="AD225" s="50"/>
      <c r="AE225" s="50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50"/>
      <c r="Z226" s="17"/>
      <c r="AA226" s="17"/>
      <c r="AB226" s="17"/>
      <c r="AC226" s="50"/>
      <c r="AD226" s="50"/>
      <c r="AE226" s="50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50"/>
      <c r="Z227" s="17"/>
      <c r="AA227" s="17"/>
      <c r="AB227" s="17"/>
      <c r="AC227" s="50"/>
      <c r="AD227" s="50"/>
      <c r="AE227" s="50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50"/>
      <c r="Z228" s="17"/>
      <c r="AA228" s="17"/>
      <c r="AB228" s="17"/>
      <c r="AC228" s="50"/>
      <c r="AD228" s="50"/>
      <c r="AE228" s="50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50"/>
      <c r="Z229" s="17"/>
      <c r="AA229" s="17"/>
      <c r="AB229" s="17"/>
      <c r="AC229" s="50"/>
      <c r="AD229" s="50"/>
      <c r="AE229" s="50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50"/>
      <c r="Z230" s="17"/>
      <c r="AA230" s="17"/>
      <c r="AB230" s="17"/>
      <c r="AC230" s="50"/>
      <c r="AD230" s="50"/>
      <c r="AE230" s="50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50"/>
      <c r="Z231" s="17"/>
      <c r="AA231" s="17"/>
      <c r="AB231" s="17"/>
      <c r="AC231" s="50"/>
      <c r="AD231" s="50"/>
      <c r="AE231" s="50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50"/>
      <c r="Z232" s="17"/>
      <c r="AA232" s="17"/>
      <c r="AB232" s="17"/>
      <c r="AC232" s="50"/>
      <c r="AD232" s="50"/>
      <c r="AE232" s="50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50"/>
      <c r="Z233" s="17"/>
      <c r="AA233" s="17"/>
      <c r="AB233" s="17"/>
      <c r="AC233" s="50"/>
      <c r="AD233" s="50"/>
      <c r="AE233" s="50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50"/>
      <c r="Z234" s="17"/>
      <c r="AA234" s="17"/>
      <c r="AB234" s="17"/>
      <c r="AC234" s="50"/>
      <c r="AD234" s="50"/>
      <c r="AE234" s="50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50"/>
      <c r="Z235" s="17"/>
      <c r="AA235" s="17"/>
      <c r="AB235" s="17"/>
      <c r="AC235" s="50"/>
      <c r="AD235" s="50"/>
      <c r="AE235" s="50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50"/>
      <c r="Z236" s="17"/>
      <c r="AA236" s="17"/>
      <c r="AB236" s="17"/>
      <c r="AC236" s="50"/>
      <c r="AD236" s="50"/>
      <c r="AE236" s="50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50"/>
      <c r="Z237" s="17"/>
      <c r="AA237" s="17"/>
      <c r="AB237" s="17"/>
      <c r="AC237" s="50"/>
      <c r="AD237" s="50"/>
      <c r="AE237" s="50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50"/>
      <c r="Z238" s="17"/>
      <c r="AA238" s="17"/>
      <c r="AB238" s="17"/>
      <c r="AC238" s="50"/>
      <c r="AD238" s="50"/>
      <c r="AE238" s="50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50"/>
      <c r="Z239" s="17"/>
      <c r="AA239" s="17"/>
      <c r="AB239" s="17"/>
      <c r="AC239" s="50"/>
      <c r="AD239" s="50"/>
      <c r="AE239" s="50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50"/>
      <c r="Z240" s="17"/>
      <c r="AA240" s="17"/>
      <c r="AB240" s="17"/>
      <c r="AC240" s="50"/>
      <c r="AD240" s="50"/>
      <c r="AE240" s="50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50"/>
      <c r="Z241" s="17"/>
      <c r="AA241" s="17"/>
      <c r="AB241" s="17"/>
      <c r="AC241" s="50"/>
      <c r="AD241" s="50"/>
      <c r="AE241" s="50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50"/>
      <c r="Z242" s="17"/>
      <c r="AA242" s="17"/>
      <c r="AB242" s="17"/>
      <c r="AC242" s="50"/>
      <c r="AD242" s="50"/>
      <c r="AE242" s="50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50"/>
      <c r="Z243" s="17"/>
      <c r="AA243" s="17"/>
      <c r="AB243" s="17"/>
      <c r="AC243" s="50"/>
      <c r="AD243" s="50"/>
      <c r="AE243" s="50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50"/>
      <c r="Z244" s="17"/>
      <c r="AA244" s="17"/>
      <c r="AB244" s="17"/>
      <c r="AC244" s="50"/>
      <c r="AD244" s="50"/>
      <c r="AE244" s="50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50"/>
      <c r="Z245" s="17"/>
      <c r="AA245" s="17"/>
      <c r="AB245" s="17"/>
      <c r="AC245" s="50"/>
      <c r="AD245" s="50"/>
      <c r="AE245" s="50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50"/>
      <c r="Z246" s="17"/>
      <c r="AA246" s="17"/>
      <c r="AB246" s="17"/>
      <c r="AC246" s="50"/>
      <c r="AD246" s="50"/>
      <c r="AE246" s="50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50"/>
      <c r="Z247" s="17"/>
      <c r="AA247" s="17"/>
      <c r="AB247" s="17"/>
      <c r="AC247" s="50"/>
      <c r="AD247" s="50"/>
      <c r="AE247" s="50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50"/>
      <c r="Z248" s="17"/>
      <c r="AA248" s="17"/>
      <c r="AB248" s="17"/>
      <c r="AC248" s="50"/>
      <c r="AD248" s="50"/>
      <c r="AE248" s="50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50"/>
      <c r="Z249" s="17"/>
      <c r="AA249" s="17"/>
      <c r="AB249" s="17"/>
      <c r="AC249" s="50"/>
      <c r="AD249" s="50"/>
      <c r="AE249" s="50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50"/>
      <c r="Z250" s="17"/>
      <c r="AA250" s="17"/>
      <c r="AB250" s="17"/>
      <c r="AC250" s="50"/>
      <c r="AD250" s="50"/>
      <c r="AE250" s="50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50"/>
      <c r="Z251" s="17"/>
      <c r="AA251" s="17"/>
      <c r="AB251" s="17"/>
      <c r="AC251" s="50"/>
      <c r="AD251" s="50"/>
      <c r="AE251" s="50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50"/>
      <c r="Z252" s="17"/>
      <c r="AA252" s="17"/>
      <c r="AB252" s="17"/>
      <c r="AC252" s="50"/>
      <c r="AD252" s="50"/>
      <c r="AE252" s="50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50"/>
      <c r="Z253" s="17"/>
      <c r="AA253" s="17"/>
      <c r="AB253" s="17"/>
      <c r="AC253" s="50"/>
      <c r="AD253" s="50"/>
      <c r="AE253" s="50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50"/>
      <c r="Z254" s="17"/>
      <c r="AA254" s="17"/>
      <c r="AB254" s="17"/>
      <c r="AC254" s="50"/>
      <c r="AD254" s="50"/>
      <c r="AE254" s="50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50"/>
      <c r="Z255" s="17"/>
      <c r="AA255" s="17"/>
      <c r="AB255" s="17"/>
      <c r="AC255" s="50"/>
      <c r="AD255" s="50"/>
      <c r="AE255" s="50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50"/>
      <c r="Z256" s="17"/>
      <c r="AA256" s="17"/>
      <c r="AB256" s="17"/>
      <c r="AC256" s="50"/>
      <c r="AD256" s="50"/>
      <c r="AE256" s="50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50"/>
      <c r="Z257" s="17"/>
      <c r="AA257" s="17"/>
      <c r="AB257" s="17"/>
      <c r="AC257" s="50"/>
      <c r="AD257" s="50"/>
      <c r="AE257" s="50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50"/>
      <c r="Z258" s="17"/>
      <c r="AA258" s="17"/>
      <c r="AB258" s="17"/>
      <c r="AC258" s="50"/>
      <c r="AD258" s="50"/>
      <c r="AE258" s="50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50"/>
      <c r="Z259" s="17"/>
      <c r="AA259" s="17"/>
      <c r="AB259" s="17"/>
      <c r="AC259" s="50"/>
      <c r="AD259" s="50"/>
      <c r="AE259" s="50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50"/>
      <c r="Z260" s="17"/>
      <c r="AA260" s="17"/>
      <c r="AB260" s="17"/>
      <c r="AC260" s="50"/>
      <c r="AD260" s="50"/>
      <c r="AE260" s="50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50"/>
      <c r="Z261" s="17"/>
      <c r="AA261" s="17"/>
      <c r="AB261" s="17"/>
      <c r="AC261" s="50"/>
      <c r="AD261" s="50"/>
      <c r="AE261" s="50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50"/>
      <c r="Z262" s="17"/>
      <c r="AA262" s="17"/>
      <c r="AB262" s="17"/>
      <c r="AC262" s="50"/>
      <c r="AD262" s="50"/>
      <c r="AE262" s="50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50"/>
      <c r="Z263" s="17"/>
      <c r="AA263" s="17"/>
      <c r="AB263" s="17"/>
      <c r="AC263" s="50"/>
      <c r="AD263" s="50"/>
      <c r="AE263" s="50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50"/>
      <c r="Z264" s="17"/>
      <c r="AA264" s="17"/>
      <c r="AB264" s="17"/>
      <c r="AC264" s="50"/>
      <c r="AD264" s="50"/>
      <c r="AE264" s="50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50"/>
      <c r="Z265" s="17"/>
      <c r="AA265" s="17"/>
      <c r="AB265" s="17"/>
      <c r="AC265" s="50"/>
      <c r="AD265" s="50"/>
      <c r="AE265" s="50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50"/>
      <c r="Z266" s="17"/>
      <c r="AA266" s="17"/>
      <c r="AB266" s="17"/>
      <c r="AC266" s="50"/>
      <c r="AD266" s="50"/>
      <c r="AE266" s="50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50"/>
      <c r="Z267" s="17"/>
      <c r="AA267" s="17"/>
      <c r="AB267" s="17"/>
      <c r="AC267" s="50"/>
      <c r="AD267" s="50"/>
      <c r="AE267" s="50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50"/>
      <c r="Z268" s="17"/>
      <c r="AA268" s="17"/>
      <c r="AB268" s="17"/>
      <c r="AC268" s="50"/>
      <c r="AD268" s="50"/>
      <c r="AE268" s="50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50"/>
      <c r="Z269" s="17"/>
      <c r="AA269" s="17"/>
      <c r="AB269" s="17"/>
      <c r="AC269" s="50"/>
      <c r="AD269" s="50"/>
      <c r="AE269" s="50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50"/>
      <c r="Z270" s="17"/>
      <c r="AA270" s="17"/>
      <c r="AB270" s="17"/>
      <c r="AC270" s="50"/>
      <c r="AD270" s="50"/>
      <c r="AE270" s="50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50"/>
      <c r="Z271" s="17"/>
      <c r="AA271" s="17"/>
      <c r="AB271" s="17"/>
      <c r="AC271" s="50"/>
      <c r="AD271" s="50"/>
      <c r="AE271" s="50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50"/>
      <c r="Z272" s="17"/>
      <c r="AA272" s="17"/>
      <c r="AB272" s="17"/>
      <c r="AC272" s="50"/>
      <c r="AD272" s="50"/>
      <c r="AE272" s="50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50"/>
      <c r="Z273" s="17"/>
      <c r="AA273" s="17"/>
      <c r="AB273" s="17"/>
      <c r="AC273" s="50"/>
      <c r="AD273" s="50"/>
      <c r="AE273" s="50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50"/>
      <c r="Z274" s="17"/>
      <c r="AA274" s="17"/>
      <c r="AB274" s="17"/>
      <c r="AC274" s="50"/>
      <c r="AD274" s="50"/>
      <c r="AE274" s="50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50"/>
      <c r="Z275" s="17"/>
      <c r="AA275" s="17"/>
      <c r="AB275" s="17"/>
      <c r="AC275" s="50"/>
      <c r="AD275" s="50"/>
      <c r="AE275" s="50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50"/>
      <c r="Z276" s="17"/>
      <c r="AA276" s="17"/>
      <c r="AB276" s="17"/>
      <c r="AC276" s="50"/>
      <c r="AD276" s="50"/>
      <c r="AE276" s="50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50"/>
      <c r="Z277" s="17"/>
      <c r="AA277" s="17"/>
      <c r="AB277" s="17"/>
      <c r="AC277" s="50"/>
      <c r="AD277" s="50"/>
      <c r="AE277" s="50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50"/>
      <c r="Z278" s="17"/>
      <c r="AA278" s="17"/>
      <c r="AB278" s="17"/>
      <c r="AC278" s="50"/>
      <c r="AD278" s="50"/>
      <c r="AE278" s="50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50"/>
      <c r="Z279" s="17"/>
      <c r="AA279" s="17"/>
      <c r="AB279" s="17"/>
      <c r="AC279" s="50"/>
      <c r="AD279" s="50"/>
      <c r="AE279" s="50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50"/>
      <c r="Z280" s="17"/>
      <c r="AA280" s="17"/>
      <c r="AB280" s="17"/>
      <c r="AC280" s="50"/>
      <c r="AD280" s="50"/>
      <c r="AE280" s="50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50"/>
      <c r="Z281" s="17"/>
      <c r="AA281" s="17"/>
      <c r="AB281" s="17"/>
      <c r="AC281" s="50"/>
      <c r="AD281" s="50"/>
      <c r="AE281" s="50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50"/>
      <c r="Z282" s="17"/>
      <c r="AA282" s="17"/>
      <c r="AB282" s="17"/>
      <c r="AC282" s="50"/>
      <c r="AD282" s="50"/>
      <c r="AE282" s="50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50"/>
      <c r="Z283" s="17"/>
      <c r="AA283" s="17"/>
      <c r="AB283" s="17"/>
      <c r="AC283" s="50"/>
      <c r="AD283" s="50"/>
      <c r="AE283" s="50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50"/>
      <c r="Z284" s="17"/>
      <c r="AA284" s="17"/>
      <c r="AB284" s="17"/>
      <c r="AC284" s="50"/>
      <c r="AD284" s="50"/>
      <c r="AE284" s="50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50"/>
      <c r="Z285" s="17"/>
      <c r="AA285" s="17"/>
      <c r="AB285" s="17"/>
      <c r="AC285" s="50"/>
      <c r="AD285" s="50"/>
      <c r="AE285" s="50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50"/>
      <c r="Z286" s="17"/>
      <c r="AA286" s="17"/>
      <c r="AB286" s="17"/>
      <c r="AC286" s="50"/>
      <c r="AD286" s="50"/>
      <c r="AE286" s="50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50"/>
      <c r="Z287" s="17"/>
      <c r="AA287" s="17"/>
      <c r="AB287" s="17"/>
      <c r="AC287" s="50"/>
      <c r="AD287" s="50"/>
      <c r="AE287" s="50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50"/>
      <c r="Z288" s="17"/>
      <c r="AA288" s="17"/>
      <c r="AB288" s="17"/>
      <c r="AC288" s="50"/>
      <c r="AD288" s="50"/>
      <c r="AE288" s="50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50"/>
      <c r="Z289" s="17"/>
      <c r="AA289" s="17"/>
      <c r="AB289" s="17"/>
      <c r="AC289" s="50"/>
      <c r="AD289" s="50"/>
      <c r="AE289" s="50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50"/>
      <c r="Z290" s="17"/>
      <c r="AA290" s="17"/>
      <c r="AB290" s="17"/>
      <c r="AC290" s="50"/>
      <c r="AD290" s="50"/>
      <c r="AE290" s="50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50"/>
      <c r="Z291" s="17"/>
      <c r="AA291" s="17"/>
      <c r="AB291" s="17"/>
      <c r="AC291" s="50"/>
      <c r="AD291" s="50"/>
      <c r="AE291" s="50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50"/>
      <c r="Z292" s="17"/>
      <c r="AA292" s="17"/>
      <c r="AB292" s="17"/>
      <c r="AC292" s="50"/>
      <c r="AD292" s="50"/>
      <c r="AE292" s="50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50"/>
      <c r="Z293" s="17"/>
      <c r="AA293" s="17"/>
      <c r="AB293" s="17"/>
      <c r="AC293" s="50"/>
      <c r="AD293" s="50"/>
      <c r="AE293" s="50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50"/>
      <c r="Z294" s="17"/>
      <c r="AA294" s="17"/>
      <c r="AB294" s="17"/>
      <c r="AC294" s="50"/>
      <c r="AD294" s="50"/>
      <c r="AE294" s="50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50"/>
      <c r="Z295" s="17"/>
      <c r="AA295" s="17"/>
      <c r="AB295" s="17"/>
      <c r="AC295" s="50"/>
      <c r="AD295" s="50"/>
      <c r="AE295" s="50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50"/>
      <c r="Z296" s="17"/>
      <c r="AA296" s="17"/>
      <c r="AB296" s="17"/>
      <c r="AC296" s="50"/>
      <c r="AD296" s="50"/>
      <c r="AE296" s="50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50"/>
      <c r="Z297" s="17"/>
      <c r="AA297" s="17"/>
      <c r="AB297" s="17"/>
      <c r="AC297" s="50"/>
      <c r="AD297" s="50"/>
      <c r="AE297" s="50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50"/>
      <c r="Z298" s="17"/>
      <c r="AA298" s="17"/>
      <c r="AB298" s="17"/>
      <c r="AC298" s="50"/>
      <c r="AD298" s="50"/>
      <c r="AE298" s="50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50"/>
      <c r="Z299" s="17"/>
      <c r="AA299" s="17"/>
      <c r="AB299" s="17"/>
      <c r="AC299" s="50"/>
      <c r="AD299" s="50"/>
      <c r="AE299" s="50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50"/>
      <c r="Z300" s="17"/>
      <c r="AA300" s="17"/>
      <c r="AB300" s="17"/>
      <c r="AC300" s="50"/>
      <c r="AD300" s="50"/>
      <c r="AE300" s="50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50"/>
      <c r="Z301" s="17"/>
      <c r="AA301" s="17"/>
      <c r="AB301" s="17"/>
      <c r="AC301" s="50"/>
      <c r="AD301" s="50"/>
      <c r="AE301" s="50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50"/>
      <c r="Z302" s="17"/>
      <c r="AA302" s="17"/>
      <c r="AB302" s="17"/>
      <c r="AC302" s="50"/>
      <c r="AD302" s="50"/>
      <c r="AE302" s="50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50"/>
      <c r="Z303" s="17"/>
      <c r="AA303" s="17"/>
      <c r="AB303" s="17"/>
      <c r="AC303" s="50"/>
      <c r="AD303" s="50"/>
      <c r="AE303" s="50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50"/>
      <c r="Z304" s="17"/>
      <c r="AA304" s="17"/>
      <c r="AB304" s="17"/>
      <c r="AC304" s="50"/>
      <c r="AD304" s="50"/>
      <c r="AE304" s="50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50"/>
      <c r="Z305" s="17"/>
      <c r="AA305" s="17"/>
      <c r="AB305" s="17"/>
      <c r="AC305" s="50"/>
      <c r="AD305" s="50"/>
      <c r="AE305" s="50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50"/>
      <c r="Z306" s="17"/>
      <c r="AA306" s="17"/>
      <c r="AB306" s="17"/>
      <c r="AC306" s="50"/>
      <c r="AD306" s="50"/>
      <c r="AE306" s="50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50"/>
      <c r="Z307" s="17"/>
      <c r="AA307" s="17"/>
      <c r="AB307" s="17"/>
      <c r="AC307" s="50"/>
      <c r="AD307" s="50"/>
      <c r="AE307" s="50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50"/>
      <c r="Z308" s="17"/>
      <c r="AA308" s="17"/>
      <c r="AB308" s="17"/>
      <c r="AC308" s="50"/>
      <c r="AD308" s="50"/>
      <c r="AE308" s="50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50"/>
      <c r="Z309" s="17"/>
      <c r="AA309" s="17"/>
      <c r="AB309" s="17"/>
      <c r="AC309" s="50"/>
      <c r="AD309" s="50"/>
      <c r="AE309" s="50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50"/>
      <c r="Z310" s="17"/>
      <c r="AA310" s="17"/>
      <c r="AB310" s="17"/>
      <c r="AC310" s="50"/>
      <c r="AD310" s="50"/>
      <c r="AE310" s="50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50"/>
      <c r="Z311" s="17"/>
      <c r="AA311" s="17"/>
      <c r="AB311" s="17"/>
      <c r="AC311" s="50"/>
      <c r="AD311" s="50"/>
      <c r="AE311" s="50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50"/>
      <c r="Z312" s="17"/>
      <c r="AA312" s="17"/>
      <c r="AB312" s="17"/>
      <c r="AC312" s="50"/>
      <c r="AD312" s="50"/>
      <c r="AE312" s="50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50"/>
      <c r="Z313" s="17"/>
      <c r="AA313" s="17"/>
      <c r="AB313" s="17"/>
      <c r="AC313" s="50"/>
      <c r="AD313" s="50"/>
      <c r="AE313" s="50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50"/>
      <c r="Z314" s="17"/>
      <c r="AA314" s="17"/>
      <c r="AB314" s="17"/>
      <c r="AC314" s="50"/>
      <c r="AD314" s="50"/>
      <c r="AE314" s="50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50"/>
      <c r="Z315" s="17"/>
      <c r="AA315" s="17"/>
      <c r="AB315" s="17"/>
      <c r="AC315" s="50"/>
      <c r="AD315" s="50"/>
      <c r="AE315" s="50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50"/>
      <c r="Z316" s="17"/>
      <c r="AA316" s="17"/>
      <c r="AB316" s="17"/>
      <c r="AC316" s="50"/>
      <c r="AD316" s="50"/>
      <c r="AE316" s="50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50"/>
      <c r="Z317" s="17"/>
      <c r="AA317" s="17"/>
      <c r="AB317" s="17"/>
      <c r="AC317" s="50"/>
      <c r="AD317" s="50"/>
      <c r="AE317" s="50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50"/>
      <c r="Z318" s="17"/>
      <c r="AA318" s="17"/>
      <c r="AB318" s="17"/>
      <c r="AC318" s="50"/>
      <c r="AD318" s="50"/>
      <c r="AE318" s="50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50"/>
      <c r="Z319" s="17"/>
      <c r="AA319" s="17"/>
      <c r="AB319" s="17"/>
      <c r="AC319" s="50"/>
      <c r="AD319" s="50"/>
      <c r="AE319" s="50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50"/>
      <c r="Z320" s="17"/>
      <c r="AA320" s="17"/>
      <c r="AB320" s="17"/>
      <c r="AC320" s="50"/>
      <c r="AD320" s="50"/>
      <c r="AE320" s="50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50"/>
      <c r="Z321" s="17"/>
      <c r="AA321" s="17"/>
      <c r="AB321" s="17"/>
      <c r="AC321" s="50"/>
      <c r="AD321" s="50"/>
      <c r="AE321" s="50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50"/>
      <c r="Z322" s="17"/>
      <c r="AA322" s="17"/>
      <c r="AB322" s="17"/>
      <c r="AC322" s="50"/>
      <c r="AD322" s="50"/>
      <c r="AE322" s="50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50"/>
      <c r="Z323" s="17"/>
      <c r="AA323" s="17"/>
      <c r="AB323" s="17"/>
      <c r="AC323" s="50"/>
      <c r="AD323" s="50"/>
      <c r="AE323" s="50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50"/>
      <c r="Z324" s="17"/>
      <c r="AA324" s="17"/>
      <c r="AB324" s="17"/>
      <c r="AC324" s="50"/>
      <c r="AD324" s="50"/>
      <c r="AE324" s="50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50"/>
      <c r="Z325" s="17"/>
      <c r="AA325" s="17"/>
      <c r="AB325" s="17"/>
      <c r="AC325" s="50"/>
      <c r="AD325" s="50"/>
      <c r="AE325" s="50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50"/>
      <c r="Z326" s="17"/>
      <c r="AA326" s="17"/>
      <c r="AB326" s="17"/>
      <c r="AC326" s="50"/>
      <c r="AD326" s="50"/>
      <c r="AE326" s="50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50"/>
      <c r="Z327" s="17"/>
      <c r="AA327" s="17"/>
      <c r="AB327" s="17"/>
      <c r="AC327" s="50"/>
      <c r="AD327" s="50"/>
      <c r="AE327" s="50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50"/>
      <c r="Z328" s="17"/>
      <c r="AA328" s="17"/>
      <c r="AB328" s="17"/>
      <c r="AC328" s="50"/>
      <c r="AD328" s="50"/>
      <c r="AE328" s="50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50"/>
      <c r="Z329" s="17"/>
      <c r="AA329" s="17"/>
      <c r="AB329" s="17"/>
      <c r="AC329" s="50"/>
      <c r="AD329" s="50"/>
      <c r="AE329" s="50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50"/>
      <c r="Z330" s="17"/>
      <c r="AA330" s="17"/>
      <c r="AB330" s="17"/>
      <c r="AC330" s="50"/>
      <c r="AD330" s="50"/>
      <c r="AE330" s="50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50"/>
      <c r="Z331" s="17"/>
      <c r="AA331" s="17"/>
      <c r="AB331" s="17"/>
      <c r="AC331" s="50"/>
      <c r="AD331" s="50"/>
      <c r="AE331" s="50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50"/>
      <c r="Z332" s="17"/>
      <c r="AA332" s="17"/>
      <c r="AB332" s="17"/>
      <c r="AC332" s="50"/>
      <c r="AD332" s="50"/>
      <c r="AE332" s="50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50"/>
      <c r="Z333" s="17"/>
      <c r="AA333" s="17"/>
      <c r="AB333" s="17"/>
      <c r="AC333" s="50"/>
      <c r="AD333" s="50"/>
      <c r="AE333" s="50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50"/>
      <c r="Z334" s="17"/>
      <c r="AA334" s="17"/>
      <c r="AB334" s="17"/>
      <c r="AC334" s="50"/>
      <c r="AD334" s="50"/>
      <c r="AE334" s="50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50"/>
      <c r="Z335" s="17"/>
      <c r="AA335" s="17"/>
      <c r="AB335" s="17"/>
      <c r="AC335" s="50"/>
      <c r="AD335" s="50"/>
      <c r="AE335" s="50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50"/>
      <c r="Z336" s="17"/>
      <c r="AA336" s="17"/>
      <c r="AB336" s="17"/>
      <c r="AC336" s="50"/>
      <c r="AD336" s="50"/>
      <c r="AE336" s="50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50"/>
      <c r="Z337" s="17"/>
      <c r="AA337" s="17"/>
      <c r="AB337" s="17"/>
      <c r="AC337" s="50"/>
      <c r="AD337" s="50"/>
      <c r="AE337" s="50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50"/>
      <c r="Z338" s="17"/>
      <c r="AA338" s="17"/>
      <c r="AB338" s="17"/>
      <c r="AC338" s="50"/>
      <c r="AD338" s="50"/>
      <c r="AE338" s="50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50"/>
      <c r="Z339" s="17"/>
      <c r="AA339" s="17"/>
      <c r="AB339" s="17"/>
      <c r="AC339" s="50"/>
      <c r="AD339" s="50"/>
      <c r="AE339" s="50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50"/>
      <c r="Z340" s="17"/>
      <c r="AA340" s="17"/>
      <c r="AB340" s="17"/>
      <c r="AC340" s="50"/>
      <c r="AD340" s="50"/>
      <c r="AE340" s="50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50"/>
      <c r="Z341" s="17"/>
      <c r="AA341" s="17"/>
      <c r="AB341" s="17"/>
      <c r="AC341" s="50"/>
      <c r="AD341" s="50"/>
      <c r="AE341" s="50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50"/>
      <c r="Z342" s="17"/>
      <c r="AA342" s="17"/>
      <c r="AB342" s="17"/>
      <c r="AC342" s="50"/>
      <c r="AD342" s="50"/>
      <c r="AE342" s="50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50"/>
      <c r="Z343" s="17"/>
      <c r="AA343" s="17"/>
      <c r="AB343" s="17"/>
      <c r="AC343" s="50"/>
      <c r="AD343" s="50"/>
      <c r="AE343" s="50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50"/>
      <c r="Z344" s="17"/>
      <c r="AA344" s="17"/>
      <c r="AB344" s="17"/>
      <c r="AC344" s="50"/>
      <c r="AD344" s="50"/>
      <c r="AE344" s="50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50"/>
      <c r="Z345" s="17"/>
      <c r="AA345" s="17"/>
      <c r="AB345" s="17"/>
      <c r="AC345" s="50"/>
      <c r="AD345" s="50"/>
      <c r="AE345" s="50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50"/>
      <c r="Z346" s="17"/>
      <c r="AA346" s="17"/>
      <c r="AB346" s="17"/>
      <c r="AC346" s="50"/>
      <c r="AD346" s="50"/>
      <c r="AE346" s="50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50"/>
      <c r="Z347" s="17"/>
      <c r="AA347" s="17"/>
      <c r="AB347" s="17"/>
      <c r="AC347" s="50"/>
      <c r="AD347" s="50"/>
      <c r="AE347" s="50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50"/>
      <c r="Z348" s="17"/>
      <c r="AA348" s="17"/>
      <c r="AB348" s="17"/>
      <c r="AC348" s="50"/>
      <c r="AD348" s="50"/>
      <c r="AE348" s="50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50"/>
      <c r="Z349" s="17"/>
      <c r="AA349" s="17"/>
      <c r="AB349" s="17"/>
      <c r="AC349" s="50"/>
      <c r="AD349" s="50"/>
      <c r="AE349" s="50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50"/>
      <c r="Z350" s="17"/>
      <c r="AA350" s="17"/>
      <c r="AB350" s="17"/>
      <c r="AC350" s="50"/>
      <c r="AD350" s="50"/>
      <c r="AE350" s="50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50"/>
      <c r="Z351" s="17"/>
      <c r="AA351" s="17"/>
      <c r="AB351" s="17"/>
      <c r="AC351" s="50"/>
      <c r="AD351" s="50"/>
      <c r="AE351" s="50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50"/>
      <c r="Z352" s="17"/>
      <c r="AA352" s="17"/>
      <c r="AB352" s="17"/>
      <c r="AC352" s="50"/>
      <c r="AD352" s="50"/>
      <c r="AE352" s="50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50"/>
      <c r="Z353" s="17"/>
      <c r="AA353" s="17"/>
      <c r="AB353" s="17"/>
      <c r="AC353" s="50"/>
      <c r="AD353" s="50"/>
      <c r="AE353" s="50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50"/>
      <c r="Z354" s="17"/>
      <c r="AA354" s="17"/>
      <c r="AB354" s="17"/>
      <c r="AC354" s="50"/>
      <c r="AD354" s="50"/>
      <c r="AE354" s="50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50"/>
      <c r="Z355" s="17"/>
      <c r="AA355" s="17"/>
      <c r="AB355" s="17"/>
      <c r="AC355" s="50"/>
      <c r="AD355" s="50"/>
      <c r="AE355" s="50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50"/>
      <c r="Z356" s="17"/>
      <c r="AA356" s="17"/>
      <c r="AB356" s="17"/>
      <c r="AC356" s="50"/>
      <c r="AD356" s="50"/>
      <c r="AE356" s="50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50"/>
      <c r="Z357" s="17"/>
      <c r="AA357" s="17"/>
      <c r="AB357" s="17"/>
      <c r="AC357" s="50"/>
      <c r="AD357" s="50"/>
      <c r="AE357" s="50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50"/>
      <c r="Z358" s="17"/>
      <c r="AA358" s="17"/>
      <c r="AB358" s="17"/>
      <c r="AC358" s="50"/>
      <c r="AD358" s="50"/>
      <c r="AE358" s="50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50"/>
      <c r="Z359" s="17"/>
      <c r="AA359" s="17"/>
      <c r="AB359" s="17"/>
      <c r="AC359" s="50"/>
      <c r="AD359" s="50"/>
      <c r="AE359" s="50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50"/>
      <c r="Z360" s="17"/>
      <c r="AA360" s="17"/>
      <c r="AB360" s="17"/>
      <c r="AC360" s="50"/>
      <c r="AD360" s="50"/>
      <c r="AE360" s="50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50"/>
      <c r="Z361" s="17"/>
      <c r="AA361" s="17"/>
      <c r="AB361" s="17"/>
      <c r="AC361" s="50"/>
      <c r="AD361" s="50"/>
      <c r="AE361" s="50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50"/>
      <c r="Z362" s="17"/>
      <c r="AA362" s="17"/>
      <c r="AB362" s="17"/>
      <c r="AC362" s="50"/>
      <c r="AD362" s="50"/>
      <c r="AE362" s="50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50"/>
      <c r="Z363" s="17"/>
      <c r="AA363" s="17"/>
      <c r="AB363" s="17"/>
      <c r="AC363" s="50"/>
      <c r="AD363" s="50"/>
      <c r="AE363" s="50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50"/>
      <c r="Z364" s="17"/>
      <c r="AA364" s="17"/>
      <c r="AB364" s="17"/>
      <c r="AC364" s="50"/>
      <c r="AD364" s="50"/>
      <c r="AE364" s="50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50"/>
      <c r="Z365" s="17"/>
      <c r="AA365" s="17"/>
      <c r="AB365" s="17"/>
      <c r="AC365" s="50"/>
      <c r="AD365" s="50"/>
      <c r="AE365" s="50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50"/>
      <c r="Z366" s="17"/>
      <c r="AA366" s="17"/>
      <c r="AB366" s="17"/>
      <c r="AC366" s="50"/>
      <c r="AD366" s="50"/>
      <c r="AE366" s="50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50"/>
      <c r="Z367" s="17"/>
      <c r="AA367" s="17"/>
      <c r="AB367" s="17"/>
      <c r="AC367" s="50"/>
      <c r="AD367" s="50"/>
      <c r="AE367" s="50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50"/>
      <c r="Z368" s="17"/>
      <c r="AA368" s="17"/>
      <c r="AB368" s="17"/>
      <c r="AC368" s="50"/>
      <c r="AD368" s="50"/>
      <c r="AE368" s="50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50"/>
      <c r="Z369" s="17"/>
      <c r="AA369" s="17"/>
      <c r="AB369" s="17"/>
      <c r="AC369" s="50"/>
      <c r="AD369" s="50"/>
      <c r="AE369" s="50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50"/>
      <c r="Z370" s="17"/>
      <c r="AA370" s="17"/>
      <c r="AB370" s="17"/>
      <c r="AC370" s="50"/>
      <c r="AD370" s="50"/>
      <c r="AE370" s="50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50"/>
      <c r="Z371" s="17"/>
      <c r="AA371" s="17"/>
      <c r="AB371" s="17"/>
      <c r="AC371" s="50"/>
      <c r="AD371" s="50"/>
      <c r="AE371" s="50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50"/>
      <c r="Z372" s="17"/>
      <c r="AA372" s="17"/>
      <c r="AB372" s="17"/>
      <c r="AC372" s="50"/>
      <c r="AD372" s="50"/>
      <c r="AE372" s="50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50"/>
      <c r="Z373" s="17"/>
      <c r="AA373" s="17"/>
      <c r="AB373" s="17"/>
      <c r="AC373" s="50"/>
      <c r="AD373" s="50"/>
      <c r="AE373" s="50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50"/>
      <c r="Z374" s="17"/>
      <c r="AA374" s="17"/>
      <c r="AB374" s="17"/>
      <c r="AC374" s="50"/>
      <c r="AD374" s="50"/>
      <c r="AE374" s="50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50"/>
      <c r="Z375" s="17"/>
      <c r="AA375" s="17"/>
      <c r="AB375" s="17"/>
      <c r="AC375" s="50"/>
      <c r="AD375" s="50"/>
      <c r="AE375" s="50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50"/>
      <c r="Z376" s="17"/>
      <c r="AA376" s="17"/>
      <c r="AB376" s="17"/>
      <c r="AC376" s="50"/>
      <c r="AD376" s="50"/>
      <c r="AE376" s="50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50"/>
      <c r="Z377" s="17"/>
      <c r="AA377" s="17"/>
      <c r="AB377" s="17"/>
      <c r="AC377" s="50"/>
      <c r="AD377" s="50"/>
      <c r="AE377" s="50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50"/>
      <c r="Z378" s="17"/>
      <c r="AA378" s="17"/>
      <c r="AB378" s="17"/>
      <c r="AC378" s="50"/>
      <c r="AD378" s="50"/>
      <c r="AE378" s="50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50"/>
      <c r="Z379" s="17"/>
      <c r="AA379" s="17"/>
      <c r="AB379" s="17"/>
      <c r="AC379" s="50"/>
      <c r="AD379" s="50"/>
      <c r="AE379" s="50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50"/>
      <c r="Z380" s="17"/>
      <c r="AA380" s="17"/>
      <c r="AB380" s="17"/>
      <c r="AC380" s="50"/>
      <c r="AD380" s="50"/>
      <c r="AE380" s="50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50"/>
      <c r="Z381" s="17"/>
      <c r="AA381" s="17"/>
      <c r="AB381" s="17"/>
      <c r="AC381" s="50"/>
      <c r="AD381" s="50"/>
      <c r="AE381" s="50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50"/>
      <c r="Z382" s="17"/>
      <c r="AA382" s="17"/>
      <c r="AB382" s="17"/>
      <c r="AC382" s="50"/>
      <c r="AD382" s="50"/>
      <c r="AE382" s="50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50"/>
      <c r="Z383" s="17"/>
      <c r="AA383" s="17"/>
      <c r="AB383" s="17"/>
      <c r="AC383" s="50"/>
      <c r="AD383" s="50"/>
      <c r="AE383" s="50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50"/>
      <c r="Z384" s="17"/>
      <c r="AA384" s="17"/>
      <c r="AB384" s="17"/>
      <c r="AC384" s="50"/>
      <c r="AD384" s="50"/>
      <c r="AE384" s="50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50"/>
      <c r="Z385" s="17"/>
      <c r="AA385" s="17"/>
      <c r="AB385" s="17"/>
      <c r="AC385" s="50"/>
      <c r="AD385" s="50"/>
      <c r="AE385" s="50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50"/>
      <c r="Z386" s="17"/>
      <c r="AA386" s="17"/>
      <c r="AB386" s="17"/>
      <c r="AC386" s="50"/>
      <c r="AD386" s="50"/>
      <c r="AE386" s="50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50"/>
      <c r="Z387" s="17"/>
      <c r="AA387" s="17"/>
      <c r="AB387" s="17"/>
      <c r="AC387" s="50"/>
      <c r="AD387" s="50"/>
      <c r="AE387" s="50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50"/>
      <c r="Z388" s="17"/>
      <c r="AA388" s="17"/>
      <c r="AB388" s="17"/>
      <c r="AC388" s="50"/>
      <c r="AD388" s="50"/>
      <c r="AE388" s="50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50"/>
      <c r="Z389" s="17"/>
      <c r="AA389" s="17"/>
      <c r="AB389" s="17"/>
      <c r="AC389" s="50"/>
      <c r="AD389" s="50"/>
      <c r="AE389" s="50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50"/>
      <c r="Z390" s="17"/>
      <c r="AA390" s="17"/>
      <c r="AB390" s="17"/>
      <c r="AC390" s="50"/>
      <c r="AD390" s="50"/>
      <c r="AE390" s="50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50"/>
      <c r="Z391" s="17"/>
      <c r="AA391" s="17"/>
      <c r="AB391" s="17"/>
      <c r="AC391" s="50"/>
      <c r="AD391" s="50"/>
      <c r="AE391" s="50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50"/>
      <c r="Z392" s="17"/>
      <c r="AA392" s="17"/>
      <c r="AB392" s="17"/>
      <c r="AC392" s="50"/>
      <c r="AD392" s="50"/>
      <c r="AE392" s="50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50"/>
      <c r="Z393" s="17"/>
      <c r="AA393" s="17"/>
      <c r="AB393" s="17"/>
      <c r="AC393" s="50"/>
      <c r="AD393" s="50"/>
      <c r="AE393" s="50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50"/>
      <c r="Z394" s="17"/>
      <c r="AA394" s="17"/>
      <c r="AB394" s="17"/>
      <c r="AC394" s="50"/>
      <c r="AD394" s="50"/>
      <c r="AE394" s="50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50"/>
      <c r="Z395" s="17"/>
      <c r="AA395" s="17"/>
      <c r="AB395" s="17"/>
      <c r="AC395" s="50"/>
      <c r="AD395" s="50"/>
      <c r="AE395" s="50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50"/>
      <c r="Z396" s="17"/>
      <c r="AA396" s="17"/>
      <c r="AB396" s="17"/>
      <c r="AC396" s="50"/>
      <c r="AD396" s="50"/>
      <c r="AE396" s="50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50"/>
      <c r="Z397" s="17"/>
      <c r="AA397" s="17"/>
      <c r="AB397" s="17"/>
      <c r="AC397" s="50"/>
      <c r="AD397" s="50"/>
      <c r="AE397" s="50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50"/>
      <c r="Z398" s="17"/>
      <c r="AA398" s="17"/>
      <c r="AB398" s="17"/>
      <c r="AC398" s="50"/>
      <c r="AD398" s="50"/>
      <c r="AE398" s="50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50"/>
      <c r="Z399" s="17"/>
      <c r="AA399" s="17"/>
      <c r="AB399" s="17"/>
      <c r="AC399" s="50"/>
      <c r="AD399" s="50"/>
      <c r="AE399" s="50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50"/>
      <c r="Z400" s="17"/>
      <c r="AA400" s="17"/>
      <c r="AB400" s="17"/>
      <c r="AC400" s="50"/>
      <c r="AD400" s="50"/>
      <c r="AE400" s="50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50"/>
      <c r="Z401" s="17"/>
      <c r="AA401" s="17"/>
      <c r="AB401" s="17"/>
      <c r="AC401" s="50"/>
      <c r="AD401" s="50"/>
      <c r="AE401" s="50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50"/>
      <c r="Z402" s="17"/>
      <c r="AA402" s="17"/>
      <c r="AB402" s="17"/>
      <c r="AC402" s="50"/>
      <c r="AD402" s="50"/>
      <c r="AE402" s="50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50"/>
      <c r="Z403" s="17"/>
      <c r="AA403" s="17"/>
      <c r="AB403" s="17"/>
      <c r="AC403" s="50"/>
      <c r="AD403" s="50"/>
      <c r="AE403" s="50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50"/>
      <c r="Z404" s="17"/>
      <c r="AA404" s="17"/>
      <c r="AB404" s="17"/>
      <c r="AC404" s="50"/>
      <c r="AD404" s="50"/>
      <c r="AE404" s="50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50"/>
      <c r="Z405" s="17"/>
      <c r="AA405" s="17"/>
      <c r="AB405" s="17"/>
      <c r="AC405" s="50"/>
      <c r="AD405" s="50"/>
      <c r="AE405" s="50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50"/>
      <c r="Z406" s="17"/>
      <c r="AA406" s="17"/>
      <c r="AB406" s="17"/>
      <c r="AC406" s="50"/>
      <c r="AD406" s="50"/>
      <c r="AE406" s="50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50"/>
      <c r="Z407" s="17"/>
      <c r="AA407" s="17"/>
      <c r="AB407" s="17"/>
      <c r="AC407" s="50"/>
      <c r="AD407" s="50"/>
      <c r="AE407" s="50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50"/>
      <c r="Z408" s="17"/>
      <c r="AA408" s="17"/>
      <c r="AB408" s="17"/>
      <c r="AC408" s="50"/>
      <c r="AD408" s="50"/>
      <c r="AE408" s="50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50"/>
      <c r="Z409" s="17"/>
      <c r="AA409" s="17"/>
      <c r="AB409" s="17"/>
      <c r="AC409" s="50"/>
      <c r="AD409" s="50"/>
      <c r="AE409" s="50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50"/>
      <c r="Z410" s="17"/>
      <c r="AA410" s="17"/>
      <c r="AB410" s="17"/>
      <c r="AC410" s="50"/>
      <c r="AD410" s="50"/>
      <c r="AE410" s="50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50"/>
      <c r="Z411" s="17"/>
      <c r="AA411" s="17"/>
      <c r="AB411" s="17"/>
      <c r="AC411" s="50"/>
      <c r="AD411" s="50"/>
      <c r="AE411" s="50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50"/>
      <c r="Z412" s="17"/>
      <c r="AA412" s="17"/>
      <c r="AB412" s="17"/>
      <c r="AC412" s="50"/>
      <c r="AD412" s="50"/>
      <c r="AE412" s="50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50"/>
      <c r="Z413" s="17"/>
      <c r="AA413" s="17"/>
      <c r="AB413" s="17"/>
      <c r="AC413" s="50"/>
      <c r="AD413" s="50"/>
      <c r="AE413" s="50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50"/>
      <c r="Z414" s="17"/>
      <c r="AA414" s="17"/>
      <c r="AB414" s="17"/>
      <c r="AC414" s="50"/>
      <c r="AD414" s="50"/>
      <c r="AE414" s="50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50"/>
      <c r="Z415" s="17"/>
      <c r="AA415" s="17"/>
      <c r="AB415" s="17"/>
      <c r="AC415" s="50"/>
      <c r="AD415" s="50"/>
      <c r="AE415" s="50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50"/>
      <c r="Z416" s="17"/>
      <c r="AA416" s="17"/>
      <c r="AB416" s="17"/>
      <c r="AC416" s="50"/>
      <c r="AD416" s="50"/>
      <c r="AE416" s="50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50"/>
      <c r="Z417" s="17"/>
      <c r="AA417" s="17"/>
      <c r="AB417" s="17"/>
      <c r="AC417" s="50"/>
      <c r="AD417" s="50"/>
      <c r="AE417" s="50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50"/>
      <c r="Z418" s="17"/>
      <c r="AA418" s="17"/>
      <c r="AB418" s="17"/>
      <c r="AC418" s="50"/>
      <c r="AD418" s="50"/>
      <c r="AE418" s="50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50"/>
      <c r="Z419" s="17"/>
      <c r="AA419" s="17"/>
      <c r="AB419" s="17"/>
      <c r="AC419" s="50"/>
      <c r="AD419" s="50"/>
      <c r="AE419" s="50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50"/>
      <c r="Z420" s="17"/>
      <c r="AA420" s="17"/>
      <c r="AB420" s="17"/>
      <c r="AC420" s="50"/>
      <c r="AD420" s="50"/>
      <c r="AE420" s="50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50"/>
      <c r="Z421" s="17"/>
      <c r="AA421" s="17"/>
      <c r="AB421" s="17"/>
      <c r="AC421" s="50"/>
      <c r="AD421" s="50"/>
      <c r="AE421" s="50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50"/>
      <c r="Z422" s="17"/>
      <c r="AA422" s="17"/>
      <c r="AB422" s="17"/>
      <c r="AC422" s="50"/>
      <c r="AD422" s="50"/>
      <c r="AE422" s="50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50"/>
      <c r="Z423" s="17"/>
      <c r="AA423" s="17"/>
      <c r="AB423" s="17"/>
      <c r="AC423" s="50"/>
      <c r="AD423" s="50"/>
      <c r="AE423" s="50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50"/>
      <c r="Z424" s="17"/>
      <c r="AA424" s="17"/>
      <c r="AB424" s="17"/>
      <c r="AC424" s="50"/>
      <c r="AD424" s="50"/>
      <c r="AE424" s="50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50"/>
      <c r="Z425" s="17"/>
      <c r="AA425" s="17"/>
      <c r="AB425" s="17"/>
      <c r="AC425" s="50"/>
      <c r="AD425" s="50"/>
      <c r="AE425" s="50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50"/>
      <c r="Z426" s="17"/>
      <c r="AA426" s="17"/>
      <c r="AB426" s="17"/>
      <c r="AC426" s="50"/>
      <c r="AD426" s="50"/>
      <c r="AE426" s="50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50"/>
      <c r="Z427" s="17"/>
      <c r="AA427" s="17"/>
      <c r="AB427" s="17"/>
      <c r="AC427" s="50"/>
      <c r="AD427" s="50"/>
      <c r="AE427" s="50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50"/>
      <c r="Z428" s="17"/>
      <c r="AA428" s="17"/>
      <c r="AB428" s="17"/>
      <c r="AC428" s="50"/>
      <c r="AD428" s="50"/>
      <c r="AE428" s="50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50"/>
      <c r="Z429" s="17"/>
      <c r="AA429" s="17"/>
      <c r="AB429" s="17"/>
      <c r="AC429" s="50"/>
      <c r="AD429" s="50"/>
      <c r="AE429" s="50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50"/>
      <c r="Z430" s="17"/>
      <c r="AA430" s="17"/>
      <c r="AB430" s="17"/>
      <c r="AC430" s="50"/>
      <c r="AD430" s="50"/>
      <c r="AE430" s="50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50"/>
      <c r="Z431" s="17"/>
      <c r="AA431" s="17"/>
      <c r="AB431" s="17"/>
      <c r="AC431" s="50"/>
      <c r="AD431" s="50"/>
      <c r="AE431" s="50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50"/>
      <c r="Z432" s="17"/>
      <c r="AA432" s="17"/>
      <c r="AB432" s="17"/>
      <c r="AC432" s="50"/>
      <c r="AD432" s="50"/>
      <c r="AE432" s="50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50"/>
      <c r="Z433" s="17"/>
      <c r="AA433" s="17"/>
      <c r="AB433" s="17"/>
      <c r="AC433" s="50"/>
      <c r="AD433" s="50"/>
      <c r="AE433" s="50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50"/>
      <c r="Z434" s="17"/>
      <c r="AA434" s="17"/>
      <c r="AB434" s="17"/>
      <c r="AC434" s="50"/>
      <c r="AD434" s="50"/>
      <c r="AE434" s="50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50"/>
      <c r="Z435" s="17"/>
      <c r="AA435" s="17"/>
      <c r="AB435" s="17"/>
      <c r="AC435" s="50"/>
      <c r="AD435" s="50"/>
      <c r="AE435" s="50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50"/>
      <c r="Z436" s="17"/>
      <c r="AA436" s="17"/>
      <c r="AB436" s="17"/>
      <c r="AC436" s="50"/>
      <c r="AD436" s="50"/>
      <c r="AE436" s="50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50"/>
      <c r="Z437" s="17"/>
      <c r="AA437" s="17"/>
      <c r="AB437" s="17"/>
      <c r="AC437" s="50"/>
      <c r="AD437" s="50"/>
      <c r="AE437" s="50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50"/>
      <c r="Z438" s="17"/>
      <c r="AA438" s="17"/>
      <c r="AB438" s="17"/>
      <c r="AC438" s="50"/>
      <c r="AD438" s="50"/>
      <c r="AE438" s="50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50"/>
      <c r="Z439" s="17"/>
      <c r="AA439" s="17"/>
      <c r="AB439" s="17"/>
      <c r="AC439" s="50"/>
      <c r="AD439" s="50"/>
      <c r="AE439" s="50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50"/>
      <c r="Z440" s="17"/>
      <c r="AA440" s="17"/>
      <c r="AB440" s="17"/>
      <c r="AC440" s="50"/>
      <c r="AD440" s="50"/>
      <c r="AE440" s="50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50"/>
      <c r="Z441" s="17"/>
      <c r="AA441" s="17"/>
      <c r="AB441" s="17"/>
      <c r="AC441" s="50"/>
      <c r="AD441" s="50"/>
      <c r="AE441" s="50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50"/>
      <c r="Z442" s="17"/>
      <c r="AA442" s="17"/>
      <c r="AB442" s="17"/>
      <c r="AC442" s="50"/>
      <c r="AD442" s="50"/>
      <c r="AE442" s="50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50"/>
      <c r="Z443" s="17"/>
      <c r="AA443" s="17"/>
      <c r="AB443" s="17"/>
      <c r="AC443" s="50"/>
      <c r="AD443" s="50"/>
      <c r="AE443" s="50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50"/>
      <c r="Z444" s="17"/>
      <c r="AA444" s="17"/>
      <c r="AB444" s="17"/>
      <c r="AC444" s="50"/>
      <c r="AD444" s="50"/>
      <c r="AE444" s="50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50"/>
      <c r="Z445" s="17"/>
      <c r="AA445" s="17"/>
      <c r="AB445" s="17"/>
      <c r="AC445" s="50"/>
      <c r="AD445" s="50"/>
      <c r="AE445" s="50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50"/>
      <c r="Z446" s="17"/>
      <c r="AA446" s="17"/>
      <c r="AB446" s="17"/>
      <c r="AC446" s="50"/>
      <c r="AD446" s="50"/>
      <c r="AE446" s="50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50"/>
      <c r="Z447" s="17"/>
      <c r="AA447" s="17"/>
      <c r="AB447" s="17"/>
      <c r="AC447" s="50"/>
      <c r="AD447" s="50"/>
      <c r="AE447" s="50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50"/>
      <c r="Z448" s="17"/>
      <c r="AA448" s="17"/>
      <c r="AB448" s="17"/>
      <c r="AC448" s="50"/>
      <c r="AD448" s="50"/>
      <c r="AE448" s="50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50"/>
      <c r="Z449" s="17"/>
      <c r="AA449" s="17"/>
      <c r="AB449" s="17"/>
      <c r="AC449" s="50"/>
      <c r="AD449" s="50"/>
      <c r="AE449" s="50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50"/>
      <c r="Z450" s="17"/>
      <c r="AA450" s="17"/>
      <c r="AB450" s="17"/>
      <c r="AC450" s="50"/>
      <c r="AD450" s="50"/>
      <c r="AE450" s="50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50"/>
      <c r="Z451" s="17"/>
      <c r="AA451" s="17"/>
      <c r="AB451" s="17"/>
      <c r="AC451" s="50"/>
      <c r="AD451" s="50"/>
      <c r="AE451" s="50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50"/>
      <c r="Z452" s="17"/>
      <c r="AA452" s="17"/>
      <c r="AB452" s="17"/>
      <c r="AC452" s="50"/>
      <c r="AD452" s="50"/>
      <c r="AE452" s="50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50"/>
      <c r="Z453" s="17"/>
      <c r="AA453" s="17"/>
      <c r="AB453" s="17"/>
      <c r="AC453" s="50"/>
      <c r="AD453" s="50"/>
      <c r="AE453" s="50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50"/>
      <c r="Z454" s="17"/>
      <c r="AA454" s="17"/>
      <c r="AB454" s="17"/>
      <c r="AC454" s="50"/>
      <c r="AD454" s="50"/>
      <c r="AE454" s="50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50"/>
      <c r="Z455" s="17"/>
      <c r="AA455" s="17"/>
      <c r="AB455" s="17"/>
      <c r="AC455" s="50"/>
      <c r="AD455" s="50"/>
      <c r="AE455" s="50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50"/>
      <c r="Z456" s="17"/>
      <c r="AA456" s="17"/>
      <c r="AB456" s="17"/>
      <c r="AC456" s="50"/>
      <c r="AD456" s="50"/>
      <c r="AE456" s="50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50"/>
      <c r="Z457" s="17"/>
      <c r="AA457" s="17"/>
      <c r="AB457" s="17"/>
      <c r="AC457" s="50"/>
      <c r="AD457" s="50"/>
      <c r="AE457" s="50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50"/>
      <c r="Z458" s="17"/>
      <c r="AA458" s="17"/>
      <c r="AB458" s="17"/>
      <c r="AC458" s="50"/>
      <c r="AD458" s="50"/>
      <c r="AE458" s="50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50"/>
      <c r="Z459" s="17"/>
      <c r="AA459" s="17"/>
      <c r="AB459" s="17"/>
      <c r="AC459" s="50"/>
      <c r="AD459" s="50"/>
      <c r="AE459" s="50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50"/>
      <c r="Z460" s="17"/>
      <c r="AA460" s="17"/>
      <c r="AB460" s="17"/>
      <c r="AC460" s="50"/>
      <c r="AD460" s="50"/>
      <c r="AE460" s="50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50"/>
      <c r="Z461" s="17"/>
      <c r="AA461" s="17"/>
      <c r="AB461" s="17"/>
      <c r="AC461" s="50"/>
      <c r="AD461" s="50"/>
      <c r="AE461" s="50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50"/>
      <c r="Z462" s="17"/>
      <c r="AA462" s="17"/>
      <c r="AB462" s="17"/>
      <c r="AC462" s="50"/>
      <c r="AD462" s="50"/>
      <c r="AE462" s="50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50"/>
      <c r="Z463" s="17"/>
      <c r="AA463" s="17"/>
      <c r="AB463" s="17"/>
      <c r="AC463" s="50"/>
      <c r="AD463" s="50"/>
      <c r="AE463" s="50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50"/>
      <c r="Z464" s="17"/>
      <c r="AA464" s="17"/>
      <c r="AB464" s="17"/>
      <c r="AC464" s="50"/>
      <c r="AD464" s="50"/>
      <c r="AE464" s="50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50"/>
      <c r="Z465" s="17"/>
      <c r="AA465" s="17"/>
      <c r="AB465" s="17"/>
      <c r="AC465" s="50"/>
      <c r="AD465" s="50"/>
      <c r="AE465" s="50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50"/>
      <c r="Z466" s="17"/>
      <c r="AA466" s="17"/>
      <c r="AB466" s="17"/>
      <c r="AC466" s="50"/>
      <c r="AD466" s="50"/>
      <c r="AE466" s="50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50"/>
      <c r="Z467" s="17"/>
      <c r="AA467" s="17"/>
      <c r="AB467" s="17"/>
      <c r="AC467" s="50"/>
      <c r="AD467" s="50"/>
      <c r="AE467" s="50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50"/>
      <c r="Z468" s="17"/>
      <c r="AA468" s="17"/>
      <c r="AB468" s="17"/>
      <c r="AC468" s="50"/>
      <c r="AD468" s="50"/>
      <c r="AE468" s="50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50"/>
      <c r="Z469" s="17"/>
      <c r="AA469" s="17"/>
      <c r="AB469" s="17"/>
      <c r="AC469" s="50"/>
      <c r="AD469" s="50"/>
      <c r="AE469" s="50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50"/>
      <c r="Z470" s="17"/>
      <c r="AA470" s="17"/>
      <c r="AB470" s="17"/>
      <c r="AC470" s="50"/>
      <c r="AD470" s="50"/>
      <c r="AE470" s="50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50"/>
      <c r="Z471" s="17"/>
      <c r="AA471" s="17"/>
      <c r="AB471" s="17"/>
      <c r="AC471" s="50"/>
      <c r="AD471" s="50"/>
      <c r="AE471" s="50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50"/>
      <c r="Z472" s="17"/>
      <c r="AA472" s="17"/>
      <c r="AB472" s="17"/>
      <c r="AC472" s="50"/>
      <c r="AD472" s="50"/>
      <c r="AE472" s="50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50"/>
      <c r="Z473" s="17"/>
      <c r="AA473" s="17"/>
      <c r="AB473" s="17"/>
      <c r="AC473" s="50"/>
      <c r="AD473" s="50"/>
      <c r="AE473" s="50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50"/>
      <c r="Z474" s="17"/>
      <c r="AA474" s="17"/>
      <c r="AB474" s="17"/>
      <c r="AC474" s="50"/>
      <c r="AD474" s="50"/>
      <c r="AE474" s="50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50"/>
      <c r="Z475" s="17"/>
      <c r="AA475" s="17"/>
      <c r="AB475" s="17"/>
      <c r="AC475" s="50"/>
      <c r="AD475" s="50"/>
      <c r="AE475" s="50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50"/>
      <c r="Z476" s="17"/>
      <c r="AA476" s="17"/>
      <c r="AB476" s="17"/>
      <c r="AC476" s="50"/>
      <c r="AD476" s="50"/>
      <c r="AE476" s="50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50"/>
      <c r="Z477" s="17"/>
      <c r="AA477" s="17"/>
      <c r="AB477" s="17"/>
      <c r="AC477" s="50"/>
      <c r="AD477" s="50"/>
      <c r="AE477" s="50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50"/>
      <c r="Z478" s="17"/>
      <c r="AA478" s="17"/>
      <c r="AB478" s="17"/>
      <c r="AC478" s="50"/>
      <c r="AD478" s="50"/>
      <c r="AE478" s="50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50"/>
      <c r="Z479" s="17"/>
      <c r="AA479" s="17"/>
      <c r="AB479" s="17"/>
      <c r="AC479" s="50"/>
      <c r="AD479" s="50"/>
      <c r="AE479" s="50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50"/>
      <c r="Z480" s="17"/>
      <c r="AA480" s="17"/>
      <c r="AB480" s="17"/>
      <c r="AC480" s="50"/>
      <c r="AD480" s="50"/>
      <c r="AE480" s="50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50"/>
      <c r="Z481" s="17"/>
      <c r="AA481" s="17"/>
      <c r="AB481" s="17"/>
      <c r="AC481" s="50"/>
      <c r="AD481" s="50"/>
      <c r="AE481" s="50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50"/>
      <c r="Z482" s="17"/>
      <c r="AA482" s="17"/>
      <c r="AB482" s="17"/>
      <c r="AC482" s="50"/>
      <c r="AD482" s="50"/>
      <c r="AE482" s="50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50"/>
      <c r="Z483" s="17"/>
      <c r="AA483" s="17"/>
      <c r="AB483" s="17"/>
      <c r="AC483" s="50"/>
      <c r="AD483" s="50"/>
      <c r="AE483" s="50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50"/>
      <c r="Z484" s="17"/>
      <c r="AA484" s="17"/>
      <c r="AB484" s="17"/>
      <c r="AC484" s="50"/>
      <c r="AD484" s="50"/>
      <c r="AE484" s="50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50"/>
      <c r="Z485" s="17"/>
      <c r="AA485" s="17"/>
      <c r="AB485" s="17"/>
      <c r="AC485" s="50"/>
      <c r="AD485" s="50"/>
      <c r="AE485" s="50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50"/>
      <c r="Z486" s="17"/>
      <c r="AA486" s="17"/>
      <c r="AB486" s="17"/>
      <c r="AC486" s="50"/>
      <c r="AD486" s="50"/>
      <c r="AE486" s="50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50"/>
      <c r="Z487" s="17"/>
      <c r="AA487" s="17"/>
      <c r="AB487" s="17"/>
      <c r="AC487" s="50"/>
      <c r="AD487" s="50"/>
      <c r="AE487" s="50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50"/>
      <c r="Z488" s="17"/>
      <c r="AA488" s="17"/>
      <c r="AB488" s="17"/>
      <c r="AC488" s="50"/>
      <c r="AD488" s="50"/>
      <c r="AE488" s="50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50"/>
      <c r="Z489" s="17"/>
      <c r="AA489" s="17"/>
      <c r="AB489" s="17"/>
      <c r="AC489" s="50"/>
      <c r="AD489" s="50"/>
      <c r="AE489" s="50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50"/>
      <c r="Z490" s="17"/>
      <c r="AA490" s="17"/>
      <c r="AB490" s="17"/>
      <c r="AC490" s="50"/>
      <c r="AD490" s="50"/>
      <c r="AE490" s="50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50"/>
      <c r="Z491" s="17"/>
      <c r="AA491" s="17"/>
      <c r="AB491" s="17"/>
      <c r="AC491" s="50"/>
      <c r="AD491" s="50"/>
      <c r="AE491" s="50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50"/>
      <c r="Z492" s="17"/>
      <c r="AA492" s="17"/>
      <c r="AB492" s="17"/>
      <c r="AC492" s="50"/>
      <c r="AD492" s="50"/>
      <c r="AE492" s="50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50"/>
      <c r="Z493" s="17"/>
      <c r="AA493" s="17"/>
      <c r="AB493" s="17"/>
      <c r="AC493" s="50"/>
      <c r="AD493" s="50"/>
      <c r="AE493" s="50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50"/>
      <c r="Z494" s="17"/>
      <c r="AA494" s="17"/>
      <c r="AB494" s="17"/>
      <c r="AC494" s="50"/>
      <c r="AD494" s="50"/>
      <c r="AE494" s="50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50"/>
      <c r="Z495" s="17"/>
      <c r="AA495" s="17"/>
      <c r="AB495" s="17"/>
      <c r="AC495" s="50"/>
      <c r="AD495" s="50"/>
      <c r="AE495" s="50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50"/>
      <c r="Z496" s="17"/>
      <c r="AA496" s="17"/>
      <c r="AB496" s="17"/>
      <c r="AC496" s="50"/>
      <c r="AD496" s="50"/>
      <c r="AE496" s="50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50"/>
      <c r="Z497" s="17"/>
      <c r="AA497" s="17"/>
      <c r="AB497" s="17"/>
      <c r="AC497" s="50"/>
      <c r="AD497" s="50"/>
      <c r="AE497" s="50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50"/>
      <c r="Z498" s="17"/>
      <c r="AA498" s="17"/>
      <c r="AB498" s="17"/>
      <c r="AC498" s="50"/>
      <c r="AD498" s="50"/>
      <c r="AE498" s="50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50"/>
      <c r="Z499" s="17"/>
      <c r="AA499" s="17"/>
      <c r="AB499" s="17"/>
      <c r="AC499" s="50"/>
      <c r="AD499" s="50"/>
      <c r="AE499" s="50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50"/>
      <c r="Z500" s="17"/>
      <c r="AA500" s="17"/>
      <c r="AB500" s="17"/>
      <c r="AC500" s="50"/>
      <c r="AD500" s="50"/>
      <c r="AE500" s="50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50"/>
      <c r="Z501" s="17"/>
      <c r="AA501" s="17"/>
      <c r="AB501" s="17"/>
      <c r="AC501" s="50"/>
      <c r="AD501" s="50"/>
      <c r="AE501" s="50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50"/>
      <c r="Z502" s="17"/>
      <c r="AA502" s="17"/>
      <c r="AB502" s="17"/>
      <c r="AC502" s="50"/>
      <c r="AD502" s="50"/>
      <c r="AE502" s="50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50"/>
      <c r="Z503" s="17"/>
      <c r="AA503" s="17"/>
      <c r="AB503" s="17"/>
      <c r="AC503" s="50"/>
      <c r="AD503" s="50"/>
      <c r="AE503" s="50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50"/>
      <c r="Z504" s="17"/>
      <c r="AA504" s="17"/>
      <c r="AB504" s="17"/>
      <c r="AC504" s="50"/>
      <c r="AD504" s="50"/>
      <c r="AE504" s="50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50"/>
      <c r="Z505" s="17"/>
      <c r="AA505" s="17"/>
      <c r="AB505" s="17"/>
      <c r="AC505" s="50"/>
      <c r="AD505" s="50"/>
      <c r="AE505" s="50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50"/>
      <c r="Z506" s="17"/>
      <c r="AA506" s="17"/>
      <c r="AB506" s="17"/>
      <c r="AC506" s="50"/>
      <c r="AD506" s="50"/>
      <c r="AE506" s="50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50"/>
      <c r="Z507" s="17"/>
      <c r="AA507" s="17"/>
      <c r="AB507" s="17"/>
      <c r="AC507" s="50"/>
      <c r="AD507" s="50"/>
      <c r="AE507" s="50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50"/>
      <c r="Z508" s="17"/>
      <c r="AA508" s="17"/>
      <c r="AB508" s="17"/>
      <c r="AC508" s="50"/>
      <c r="AD508" s="50"/>
      <c r="AE508" s="50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50"/>
      <c r="Z509" s="17"/>
      <c r="AA509" s="17"/>
      <c r="AB509" s="17"/>
      <c r="AC509" s="50"/>
      <c r="AD509" s="50"/>
      <c r="AE509" s="50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50"/>
      <c r="Z510" s="17"/>
      <c r="AA510" s="17"/>
      <c r="AB510" s="17"/>
      <c r="AC510" s="50"/>
      <c r="AD510" s="50"/>
      <c r="AE510" s="50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50"/>
      <c r="Z511" s="17"/>
      <c r="AA511" s="17"/>
      <c r="AB511" s="17"/>
      <c r="AC511" s="50"/>
      <c r="AD511" s="50"/>
      <c r="AE511" s="50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50"/>
      <c r="Z512" s="17"/>
      <c r="AA512" s="17"/>
      <c r="AB512" s="17"/>
      <c r="AC512" s="50"/>
      <c r="AD512" s="50"/>
      <c r="AE512" s="50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50"/>
      <c r="Z513" s="17"/>
      <c r="AA513" s="17"/>
      <c r="AB513" s="17"/>
      <c r="AC513" s="50"/>
      <c r="AD513" s="50"/>
      <c r="AE513" s="50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50"/>
      <c r="Z514" s="17"/>
      <c r="AA514" s="17"/>
      <c r="AB514" s="17"/>
      <c r="AC514" s="50"/>
      <c r="AD514" s="50"/>
      <c r="AE514" s="50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50"/>
      <c r="Z515" s="17"/>
      <c r="AA515" s="17"/>
      <c r="AB515" s="17"/>
      <c r="AC515" s="50"/>
      <c r="AD515" s="50"/>
      <c r="AE515" s="50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50"/>
      <c r="Z516" s="17"/>
      <c r="AA516" s="17"/>
      <c r="AB516" s="17"/>
      <c r="AC516" s="50"/>
      <c r="AD516" s="50"/>
      <c r="AE516" s="50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50"/>
      <c r="Z517" s="17"/>
      <c r="AA517" s="17"/>
      <c r="AB517" s="17"/>
      <c r="AC517" s="50"/>
      <c r="AD517" s="50"/>
      <c r="AE517" s="50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50"/>
      <c r="Z518" s="17"/>
      <c r="AA518" s="17"/>
      <c r="AB518" s="17"/>
      <c r="AC518" s="50"/>
      <c r="AD518" s="50"/>
      <c r="AE518" s="50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50"/>
      <c r="Z519" s="17"/>
      <c r="AA519" s="17"/>
      <c r="AB519" s="17"/>
      <c r="AC519" s="50"/>
      <c r="AD519" s="50"/>
      <c r="AE519" s="50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50"/>
      <c r="Z520" s="17"/>
      <c r="AA520" s="17"/>
      <c r="AB520" s="17"/>
      <c r="AC520" s="50"/>
      <c r="AD520" s="50"/>
      <c r="AE520" s="50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50"/>
      <c r="Z521" s="17"/>
      <c r="AA521" s="17"/>
      <c r="AB521" s="17"/>
      <c r="AC521" s="50"/>
      <c r="AD521" s="50"/>
      <c r="AE521" s="50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50"/>
      <c r="Z522" s="17"/>
      <c r="AA522" s="17"/>
      <c r="AB522" s="17"/>
      <c r="AC522" s="50"/>
      <c r="AD522" s="50"/>
      <c r="AE522" s="50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50"/>
      <c r="Z523" s="17"/>
      <c r="AA523" s="17"/>
      <c r="AB523" s="17"/>
      <c r="AC523" s="50"/>
      <c r="AD523" s="50"/>
      <c r="AE523" s="50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50"/>
      <c r="Z524" s="17"/>
      <c r="AA524" s="17"/>
      <c r="AB524" s="17"/>
      <c r="AC524" s="50"/>
      <c r="AD524" s="50"/>
      <c r="AE524" s="50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50"/>
      <c r="Z525" s="17"/>
      <c r="AA525" s="17"/>
      <c r="AB525" s="17"/>
      <c r="AC525" s="50"/>
      <c r="AD525" s="50"/>
      <c r="AE525" s="50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50"/>
      <c r="Z526" s="17"/>
      <c r="AA526" s="17"/>
      <c r="AB526" s="17"/>
      <c r="AC526" s="50"/>
      <c r="AD526" s="50"/>
      <c r="AE526" s="50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50"/>
      <c r="Z527" s="17"/>
      <c r="AA527" s="17"/>
      <c r="AB527" s="17"/>
      <c r="AC527" s="50"/>
      <c r="AD527" s="50"/>
      <c r="AE527" s="50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50"/>
      <c r="Z528" s="17"/>
      <c r="AA528" s="17"/>
      <c r="AB528" s="17"/>
      <c r="AC528" s="50"/>
      <c r="AD528" s="50"/>
      <c r="AE528" s="50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50"/>
      <c r="Z529" s="17"/>
      <c r="AA529" s="17"/>
      <c r="AB529" s="17"/>
      <c r="AC529" s="50"/>
      <c r="AD529" s="50"/>
      <c r="AE529" s="50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50"/>
      <c r="Z530" s="17"/>
      <c r="AA530" s="17"/>
      <c r="AB530" s="17"/>
      <c r="AC530" s="50"/>
      <c r="AD530" s="50"/>
      <c r="AE530" s="50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50"/>
      <c r="Z531" s="17"/>
      <c r="AA531" s="17"/>
      <c r="AB531" s="17"/>
      <c r="AC531" s="50"/>
      <c r="AD531" s="50"/>
      <c r="AE531" s="50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50"/>
      <c r="Z532" s="17"/>
      <c r="AA532" s="17"/>
      <c r="AB532" s="17"/>
      <c r="AC532" s="50"/>
      <c r="AD532" s="50"/>
      <c r="AE532" s="50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50"/>
      <c r="Z533" s="17"/>
      <c r="AA533" s="17"/>
      <c r="AB533" s="17"/>
      <c r="AC533" s="50"/>
      <c r="AD533" s="50"/>
      <c r="AE533" s="50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50"/>
      <c r="Z534" s="17"/>
      <c r="AA534" s="17"/>
      <c r="AB534" s="17"/>
      <c r="AC534" s="50"/>
      <c r="AD534" s="50"/>
      <c r="AE534" s="50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50"/>
      <c r="Z535" s="17"/>
      <c r="AA535" s="17"/>
      <c r="AB535" s="17"/>
      <c r="AC535" s="50"/>
      <c r="AD535" s="50"/>
      <c r="AE535" s="50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50"/>
      <c r="Z536" s="17"/>
      <c r="AA536" s="17"/>
      <c r="AB536" s="17"/>
      <c r="AC536" s="50"/>
      <c r="AD536" s="50"/>
      <c r="AE536" s="50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50"/>
      <c r="Z537" s="17"/>
      <c r="AA537" s="17"/>
      <c r="AB537" s="17"/>
      <c r="AC537" s="50"/>
      <c r="AD537" s="50"/>
      <c r="AE537" s="50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50"/>
      <c r="Z538" s="17"/>
      <c r="AA538" s="17"/>
      <c r="AB538" s="17"/>
      <c r="AC538" s="50"/>
      <c r="AD538" s="50"/>
      <c r="AE538" s="50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50"/>
      <c r="Z539" s="17"/>
      <c r="AA539" s="17"/>
      <c r="AB539" s="17"/>
      <c r="AC539" s="50"/>
      <c r="AD539" s="50"/>
      <c r="AE539" s="50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50"/>
      <c r="Z540" s="17"/>
      <c r="AA540" s="17"/>
      <c r="AB540" s="17"/>
      <c r="AC540" s="50"/>
      <c r="AD540" s="50"/>
      <c r="AE540" s="50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50"/>
      <c r="Z541" s="17"/>
      <c r="AA541" s="17"/>
      <c r="AB541" s="17"/>
      <c r="AC541" s="50"/>
      <c r="AD541" s="50"/>
      <c r="AE541" s="50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50"/>
      <c r="Z542" s="17"/>
      <c r="AA542" s="17"/>
      <c r="AB542" s="17"/>
      <c r="AC542" s="50"/>
      <c r="AD542" s="50"/>
      <c r="AE542" s="50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50"/>
      <c r="Z543" s="17"/>
      <c r="AA543" s="17"/>
      <c r="AB543" s="17"/>
      <c r="AC543" s="50"/>
      <c r="AD543" s="50"/>
      <c r="AE543" s="50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50"/>
      <c r="Z544" s="17"/>
      <c r="AA544" s="17"/>
      <c r="AB544" s="17"/>
      <c r="AC544" s="50"/>
      <c r="AD544" s="50"/>
      <c r="AE544" s="50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50"/>
      <c r="Z545" s="17"/>
      <c r="AA545" s="17"/>
      <c r="AB545" s="17"/>
      <c r="AC545" s="50"/>
      <c r="AD545" s="50"/>
      <c r="AE545" s="50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50"/>
      <c r="Z546" s="17"/>
      <c r="AA546" s="17"/>
      <c r="AB546" s="17"/>
      <c r="AC546" s="50"/>
      <c r="AD546" s="50"/>
      <c r="AE546" s="50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50"/>
      <c r="Z547" s="17"/>
      <c r="AA547" s="17"/>
      <c r="AB547" s="17"/>
      <c r="AC547" s="50"/>
      <c r="AD547" s="50"/>
      <c r="AE547" s="50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50"/>
      <c r="Z548" s="17"/>
      <c r="AA548" s="17"/>
      <c r="AB548" s="17"/>
      <c r="AC548" s="50"/>
      <c r="AD548" s="50"/>
      <c r="AE548" s="50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50"/>
      <c r="Z549" s="17"/>
      <c r="AA549" s="17"/>
      <c r="AB549" s="17"/>
      <c r="AC549" s="50"/>
      <c r="AD549" s="50"/>
      <c r="AE549" s="50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50"/>
      <c r="Z550" s="17"/>
      <c r="AA550" s="17"/>
      <c r="AB550" s="17"/>
      <c r="AC550" s="50"/>
      <c r="AD550" s="50"/>
      <c r="AE550" s="50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50"/>
      <c r="Z551" s="17"/>
      <c r="AA551" s="17"/>
      <c r="AB551" s="17"/>
      <c r="AC551" s="50"/>
      <c r="AD551" s="50"/>
      <c r="AE551" s="50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50"/>
      <c r="Z552" s="17"/>
      <c r="AA552" s="17"/>
      <c r="AB552" s="17"/>
      <c r="AC552" s="50"/>
      <c r="AD552" s="50"/>
      <c r="AE552" s="50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50"/>
      <c r="Z553" s="17"/>
      <c r="AA553" s="17"/>
      <c r="AB553" s="17"/>
      <c r="AC553" s="50"/>
      <c r="AD553" s="50"/>
      <c r="AE553" s="50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50"/>
      <c r="Z554" s="17"/>
      <c r="AA554" s="17"/>
      <c r="AB554" s="17"/>
      <c r="AC554" s="50"/>
      <c r="AD554" s="50"/>
      <c r="AE554" s="50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50"/>
      <c r="Z555" s="17"/>
      <c r="AA555" s="17"/>
      <c r="AB555" s="17"/>
      <c r="AC555" s="50"/>
      <c r="AD555" s="50"/>
      <c r="AE555" s="50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50"/>
      <c r="Z556" s="17"/>
      <c r="AA556" s="17"/>
      <c r="AB556" s="17"/>
      <c r="AC556" s="50"/>
      <c r="AD556" s="50"/>
      <c r="AE556" s="50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50"/>
      <c r="Z557" s="17"/>
      <c r="AA557" s="17"/>
      <c r="AB557" s="17"/>
      <c r="AC557" s="50"/>
      <c r="AD557" s="50"/>
      <c r="AE557" s="50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50"/>
      <c r="Z558" s="17"/>
      <c r="AA558" s="17"/>
      <c r="AB558" s="17"/>
      <c r="AC558" s="50"/>
      <c r="AD558" s="50"/>
      <c r="AE558" s="50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50"/>
      <c r="Z559" s="17"/>
      <c r="AA559" s="17"/>
      <c r="AB559" s="17"/>
      <c r="AC559" s="50"/>
      <c r="AD559" s="50"/>
      <c r="AE559" s="50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50"/>
      <c r="Z560" s="17"/>
      <c r="AA560" s="17"/>
      <c r="AB560" s="17"/>
      <c r="AC560" s="50"/>
      <c r="AD560" s="50"/>
      <c r="AE560" s="50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50"/>
      <c r="Z561" s="17"/>
      <c r="AA561" s="17"/>
      <c r="AB561" s="17"/>
      <c r="AC561" s="50"/>
      <c r="AD561" s="50"/>
      <c r="AE561" s="50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50"/>
      <c r="Z562" s="17"/>
      <c r="AA562" s="17"/>
      <c r="AB562" s="17"/>
      <c r="AC562" s="50"/>
      <c r="AD562" s="50"/>
      <c r="AE562" s="50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50"/>
      <c r="Z563" s="17"/>
      <c r="AA563" s="17"/>
      <c r="AB563" s="17"/>
      <c r="AC563" s="50"/>
      <c r="AD563" s="50"/>
      <c r="AE563" s="50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50"/>
      <c r="Z564" s="17"/>
      <c r="AA564" s="17"/>
      <c r="AB564" s="17"/>
      <c r="AC564" s="50"/>
      <c r="AD564" s="50"/>
      <c r="AE564" s="50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50"/>
      <c r="Z565" s="17"/>
      <c r="AA565" s="17"/>
      <c r="AB565" s="17"/>
      <c r="AC565" s="50"/>
      <c r="AD565" s="50"/>
      <c r="AE565" s="50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50"/>
      <c r="Z566" s="17"/>
      <c r="AA566" s="17"/>
      <c r="AB566" s="17"/>
      <c r="AC566" s="50"/>
      <c r="AD566" s="50"/>
      <c r="AE566" s="50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50"/>
      <c r="Z567" s="17"/>
      <c r="AA567" s="17"/>
      <c r="AB567" s="17"/>
      <c r="AC567" s="50"/>
      <c r="AD567" s="50"/>
      <c r="AE567" s="50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50"/>
      <c r="Z568" s="17"/>
      <c r="AA568" s="17"/>
      <c r="AB568" s="17"/>
      <c r="AC568" s="50"/>
      <c r="AD568" s="50"/>
      <c r="AE568" s="50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50"/>
      <c r="Z569" s="17"/>
      <c r="AA569" s="17"/>
      <c r="AB569" s="17"/>
      <c r="AC569" s="50"/>
      <c r="AD569" s="50"/>
      <c r="AE569" s="50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50"/>
      <c r="Z570" s="17"/>
      <c r="AA570" s="17"/>
      <c r="AB570" s="17"/>
      <c r="AC570" s="50"/>
      <c r="AD570" s="50"/>
      <c r="AE570" s="50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50"/>
      <c r="Z571" s="17"/>
      <c r="AA571" s="17"/>
      <c r="AB571" s="17"/>
      <c r="AC571" s="50"/>
      <c r="AD571" s="50"/>
      <c r="AE571" s="50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50"/>
      <c r="Z572" s="17"/>
      <c r="AA572" s="17"/>
      <c r="AB572" s="17"/>
      <c r="AC572" s="50"/>
      <c r="AD572" s="50"/>
      <c r="AE572" s="50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50"/>
      <c r="Z573" s="17"/>
      <c r="AA573" s="17"/>
      <c r="AB573" s="17"/>
      <c r="AC573" s="50"/>
      <c r="AD573" s="50"/>
      <c r="AE573" s="50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50"/>
      <c r="Z574" s="17"/>
      <c r="AA574" s="17"/>
      <c r="AB574" s="17"/>
      <c r="AC574" s="50"/>
      <c r="AD574" s="50"/>
      <c r="AE574" s="50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50"/>
      <c r="Z575" s="17"/>
      <c r="AA575" s="17"/>
      <c r="AB575" s="17"/>
      <c r="AC575" s="50"/>
      <c r="AD575" s="50"/>
      <c r="AE575" s="50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50"/>
      <c r="Z576" s="17"/>
      <c r="AA576" s="17"/>
      <c r="AB576" s="17"/>
      <c r="AC576" s="50"/>
      <c r="AD576" s="50"/>
      <c r="AE576" s="50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50"/>
      <c r="Z577" s="17"/>
      <c r="AA577" s="17"/>
      <c r="AB577" s="17"/>
      <c r="AC577" s="50"/>
      <c r="AD577" s="50"/>
      <c r="AE577" s="50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50"/>
      <c r="Z578" s="17"/>
      <c r="AA578" s="17"/>
      <c r="AB578" s="17"/>
      <c r="AC578" s="50"/>
      <c r="AD578" s="50"/>
      <c r="AE578" s="50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50"/>
      <c r="Z579" s="17"/>
      <c r="AA579" s="17"/>
      <c r="AB579" s="17"/>
      <c r="AC579" s="50"/>
      <c r="AD579" s="50"/>
      <c r="AE579" s="50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50"/>
      <c r="Z580" s="17"/>
      <c r="AA580" s="17"/>
      <c r="AB580" s="17"/>
      <c r="AC580" s="50"/>
      <c r="AD580" s="50"/>
      <c r="AE580" s="50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50"/>
      <c r="Z581" s="17"/>
      <c r="AA581" s="17"/>
      <c r="AB581" s="17"/>
      <c r="AC581" s="50"/>
      <c r="AD581" s="50"/>
      <c r="AE581" s="50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50"/>
      <c r="Z582" s="17"/>
      <c r="AA582" s="17"/>
      <c r="AB582" s="17"/>
      <c r="AC582" s="50"/>
      <c r="AD582" s="50"/>
      <c r="AE582" s="50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50"/>
      <c r="Z583" s="17"/>
      <c r="AA583" s="17"/>
      <c r="AB583" s="17"/>
      <c r="AC583" s="50"/>
      <c r="AD583" s="50"/>
      <c r="AE583" s="50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50"/>
      <c r="Z584" s="17"/>
      <c r="AA584" s="17"/>
      <c r="AB584" s="17"/>
      <c r="AC584" s="50"/>
      <c r="AD584" s="50"/>
      <c r="AE584" s="50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50"/>
      <c r="Z585" s="17"/>
      <c r="AA585" s="17"/>
      <c r="AB585" s="17"/>
      <c r="AC585" s="50"/>
      <c r="AD585" s="50"/>
      <c r="AE585" s="50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50"/>
      <c r="Z586" s="17"/>
      <c r="AA586" s="17"/>
      <c r="AB586" s="17"/>
      <c r="AC586" s="50"/>
      <c r="AD586" s="50"/>
      <c r="AE586" s="50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50"/>
      <c r="Z587" s="17"/>
      <c r="AA587" s="17"/>
      <c r="AB587" s="17"/>
      <c r="AC587" s="50"/>
      <c r="AD587" s="50"/>
      <c r="AE587" s="50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50"/>
      <c r="Z588" s="17"/>
      <c r="AA588" s="17"/>
      <c r="AB588" s="17"/>
      <c r="AC588" s="50"/>
      <c r="AD588" s="50"/>
      <c r="AE588" s="50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50"/>
      <c r="Z589" s="17"/>
      <c r="AA589" s="17"/>
      <c r="AB589" s="17"/>
      <c r="AC589" s="50"/>
      <c r="AD589" s="50"/>
      <c r="AE589" s="50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50"/>
      <c r="Z590" s="17"/>
      <c r="AA590" s="17"/>
      <c r="AB590" s="17"/>
      <c r="AC590" s="50"/>
      <c r="AD590" s="50"/>
      <c r="AE590" s="50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50"/>
      <c r="Z591" s="17"/>
      <c r="AA591" s="17"/>
      <c r="AB591" s="17"/>
      <c r="AC591" s="50"/>
      <c r="AD591" s="50"/>
      <c r="AE591" s="50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50"/>
      <c r="Z592" s="17"/>
      <c r="AA592" s="17"/>
      <c r="AB592" s="17"/>
      <c r="AC592" s="50"/>
      <c r="AD592" s="50"/>
      <c r="AE592" s="50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50"/>
      <c r="Z593" s="17"/>
      <c r="AA593" s="17"/>
      <c r="AB593" s="17"/>
      <c r="AC593" s="50"/>
      <c r="AD593" s="50"/>
      <c r="AE593" s="50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50"/>
      <c r="Z594" s="17"/>
      <c r="AA594" s="17"/>
      <c r="AB594" s="17"/>
      <c r="AC594" s="50"/>
      <c r="AD594" s="50"/>
      <c r="AE594" s="50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50"/>
      <c r="Z595" s="17"/>
      <c r="AA595" s="17"/>
      <c r="AB595" s="17"/>
      <c r="AC595" s="50"/>
      <c r="AD595" s="50"/>
      <c r="AE595" s="50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50"/>
      <c r="Z596" s="17"/>
      <c r="AA596" s="17"/>
      <c r="AB596" s="17"/>
      <c r="AC596" s="50"/>
      <c r="AD596" s="50"/>
      <c r="AE596" s="50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50"/>
      <c r="Z597" s="17"/>
      <c r="AA597" s="17"/>
      <c r="AB597" s="17"/>
      <c r="AC597" s="50"/>
      <c r="AD597" s="50"/>
      <c r="AE597" s="50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50"/>
      <c r="Z598" s="17"/>
      <c r="AA598" s="17"/>
      <c r="AB598" s="17"/>
      <c r="AC598" s="50"/>
      <c r="AD598" s="50"/>
      <c r="AE598" s="50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50"/>
      <c r="Z599" s="17"/>
      <c r="AA599" s="17"/>
      <c r="AB599" s="17"/>
      <c r="AC599" s="50"/>
      <c r="AD599" s="50"/>
      <c r="AE599" s="50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50"/>
      <c r="Z600" s="17"/>
      <c r="AA600" s="17"/>
      <c r="AB600" s="17"/>
      <c r="AC600" s="50"/>
      <c r="AD600" s="50"/>
      <c r="AE600" s="50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50"/>
      <c r="Z601" s="17"/>
      <c r="AA601" s="17"/>
      <c r="AB601" s="17"/>
      <c r="AC601" s="50"/>
      <c r="AD601" s="50"/>
      <c r="AE601" s="50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50"/>
      <c r="Z602" s="17"/>
      <c r="AA602" s="17"/>
      <c r="AB602" s="17"/>
      <c r="AC602" s="50"/>
      <c r="AD602" s="50"/>
      <c r="AE602" s="50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50"/>
      <c r="Z603" s="17"/>
      <c r="AA603" s="17"/>
      <c r="AB603" s="17"/>
      <c r="AC603" s="50"/>
      <c r="AD603" s="50"/>
      <c r="AE603" s="50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50"/>
      <c r="Z604" s="17"/>
      <c r="AA604" s="17"/>
      <c r="AB604" s="17"/>
      <c r="AC604" s="50"/>
      <c r="AD604" s="50"/>
      <c r="AE604" s="50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50"/>
      <c r="Z605" s="17"/>
      <c r="AA605" s="17"/>
      <c r="AB605" s="17"/>
      <c r="AC605" s="50"/>
      <c r="AD605" s="50"/>
      <c r="AE605" s="50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50"/>
      <c r="Z606" s="17"/>
      <c r="AA606" s="17"/>
      <c r="AB606" s="17"/>
      <c r="AC606" s="50"/>
      <c r="AD606" s="50"/>
      <c r="AE606" s="50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50"/>
      <c r="Z607" s="17"/>
      <c r="AA607" s="17"/>
      <c r="AB607" s="17"/>
      <c r="AC607" s="50"/>
      <c r="AD607" s="50"/>
      <c r="AE607" s="50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50"/>
      <c r="Z608" s="17"/>
      <c r="AA608" s="17"/>
      <c r="AB608" s="17"/>
      <c r="AC608" s="50"/>
      <c r="AD608" s="50"/>
      <c r="AE608" s="50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50"/>
      <c r="Z609" s="17"/>
      <c r="AA609" s="17"/>
      <c r="AB609" s="17"/>
      <c r="AC609" s="50"/>
      <c r="AD609" s="50"/>
      <c r="AE609" s="50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50"/>
      <c r="Z610" s="17"/>
      <c r="AA610" s="17"/>
      <c r="AB610" s="17"/>
      <c r="AC610" s="50"/>
      <c r="AD610" s="50"/>
      <c r="AE610" s="50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50"/>
      <c r="Z611" s="17"/>
      <c r="AA611" s="17"/>
      <c r="AB611" s="17"/>
      <c r="AC611" s="50"/>
      <c r="AD611" s="50"/>
      <c r="AE611" s="50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50"/>
      <c r="Z612" s="17"/>
      <c r="AA612" s="17"/>
      <c r="AB612" s="17"/>
      <c r="AC612" s="50"/>
      <c r="AD612" s="50"/>
      <c r="AE612" s="50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50"/>
      <c r="Z613" s="17"/>
      <c r="AA613" s="17"/>
      <c r="AB613" s="17"/>
      <c r="AC613" s="50"/>
      <c r="AD613" s="50"/>
      <c r="AE613" s="50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50"/>
      <c r="Z614" s="17"/>
      <c r="AA614" s="17"/>
      <c r="AB614" s="17"/>
      <c r="AC614" s="50"/>
      <c r="AD614" s="50"/>
      <c r="AE614" s="50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50"/>
      <c r="Z615" s="17"/>
      <c r="AA615" s="17"/>
      <c r="AB615" s="17"/>
      <c r="AC615" s="50"/>
      <c r="AD615" s="50"/>
      <c r="AE615" s="50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50"/>
      <c r="Z616" s="17"/>
      <c r="AA616" s="17"/>
      <c r="AB616" s="17"/>
      <c r="AC616" s="50"/>
      <c r="AD616" s="50"/>
      <c r="AE616" s="50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50"/>
      <c r="Z617" s="17"/>
      <c r="AA617" s="17"/>
      <c r="AB617" s="17"/>
      <c r="AC617" s="50"/>
      <c r="AD617" s="50"/>
      <c r="AE617" s="50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50"/>
      <c r="Z618" s="17"/>
      <c r="AA618" s="17"/>
      <c r="AB618" s="17"/>
      <c r="AC618" s="50"/>
      <c r="AD618" s="50"/>
      <c r="AE618" s="50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50"/>
      <c r="Z619" s="17"/>
      <c r="AA619" s="17"/>
      <c r="AB619" s="17"/>
      <c r="AC619" s="50"/>
      <c r="AD619" s="50"/>
      <c r="AE619" s="50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50"/>
      <c r="Z620" s="17"/>
      <c r="AA620" s="17"/>
      <c r="AB620" s="17"/>
      <c r="AC620" s="50"/>
      <c r="AD620" s="50"/>
      <c r="AE620" s="50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50"/>
      <c r="Z621" s="17"/>
      <c r="AA621" s="17"/>
      <c r="AB621" s="17"/>
      <c r="AC621" s="50"/>
      <c r="AD621" s="50"/>
      <c r="AE621" s="50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50"/>
      <c r="Z622" s="17"/>
      <c r="AA622" s="17"/>
      <c r="AB622" s="17"/>
      <c r="AC622" s="50"/>
      <c r="AD622" s="50"/>
      <c r="AE622" s="50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50"/>
      <c r="Z623" s="17"/>
      <c r="AA623" s="17"/>
      <c r="AB623" s="17"/>
      <c r="AC623" s="50"/>
      <c r="AD623" s="50"/>
      <c r="AE623" s="50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50"/>
      <c r="Z624" s="17"/>
      <c r="AA624" s="17"/>
      <c r="AB624" s="17"/>
      <c r="AC624" s="50"/>
      <c r="AD624" s="50"/>
      <c r="AE624" s="50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50"/>
      <c r="Z625" s="17"/>
      <c r="AA625" s="17"/>
      <c r="AB625" s="17"/>
      <c r="AC625" s="50"/>
      <c r="AD625" s="50"/>
      <c r="AE625" s="50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50"/>
      <c r="Z626" s="17"/>
      <c r="AA626" s="17"/>
      <c r="AB626" s="17"/>
      <c r="AC626" s="50"/>
      <c r="AD626" s="50"/>
      <c r="AE626" s="50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50"/>
      <c r="Z627" s="17"/>
      <c r="AA627" s="17"/>
      <c r="AB627" s="17"/>
      <c r="AC627" s="50"/>
      <c r="AD627" s="50"/>
      <c r="AE627" s="50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50"/>
      <c r="Z628" s="17"/>
      <c r="AA628" s="17"/>
      <c r="AB628" s="17"/>
      <c r="AC628" s="50"/>
      <c r="AD628" s="50"/>
      <c r="AE628" s="50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50"/>
      <c r="Z629" s="17"/>
      <c r="AA629" s="17"/>
      <c r="AB629" s="17"/>
      <c r="AC629" s="50"/>
      <c r="AD629" s="50"/>
      <c r="AE629" s="50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50"/>
      <c r="Z630" s="17"/>
      <c r="AA630" s="17"/>
      <c r="AB630" s="17"/>
      <c r="AC630" s="50"/>
      <c r="AD630" s="50"/>
      <c r="AE630" s="50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50"/>
      <c r="Z631" s="17"/>
      <c r="AA631" s="17"/>
      <c r="AB631" s="17"/>
      <c r="AC631" s="50"/>
      <c r="AD631" s="50"/>
      <c r="AE631" s="50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50"/>
      <c r="Z632" s="17"/>
      <c r="AA632" s="17"/>
      <c r="AB632" s="17"/>
      <c r="AC632" s="50"/>
      <c r="AD632" s="50"/>
      <c r="AE632" s="50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50"/>
      <c r="Z633" s="17"/>
      <c r="AA633" s="17"/>
      <c r="AB633" s="17"/>
      <c r="AC633" s="50"/>
      <c r="AD633" s="50"/>
      <c r="AE633" s="50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50"/>
      <c r="Z634" s="17"/>
      <c r="AA634" s="17"/>
      <c r="AB634" s="17"/>
      <c r="AC634" s="50"/>
      <c r="AD634" s="50"/>
      <c r="AE634" s="50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50"/>
      <c r="Z635" s="17"/>
      <c r="AA635" s="17"/>
      <c r="AB635" s="17"/>
      <c r="AC635" s="50"/>
      <c r="AD635" s="50"/>
      <c r="AE635" s="50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50"/>
      <c r="Z636" s="17"/>
      <c r="AA636" s="17"/>
      <c r="AB636" s="17"/>
      <c r="AC636" s="50"/>
      <c r="AD636" s="50"/>
      <c r="AE636" s="50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50"/>
      <c r="Z637" s="17"/>
      <c r="AA637" s="17"/>
      <c r="AB637" s="17"/>
      <c r="AC637" s="50"/>
      <c r="AD637" s="50"/>
      <c r="AE637" s="50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50"/>
      <c r="Z638" s="17"/>
      <c r="AA638" s="17"/>
      <c r="AB638" s="17"/>
      <c r="AC638" s="50"/>
      <c r="AD638" s="50"/>
      <c r="AE638" s="50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50"/>
      <c r="Z639" s="17"/>
      <c r="AA639" s="17"/>
      <c r="AB639" s="17"/>
      <c r="AC639" s="50"/>
      <c r="AD639" s="50"/>
      <c r="AE639" s="50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50"/>
      <c r="Z640" s="17"/>
      <c r="AA640" s="17"/>
      <c r="AB640" s="17"/>
      <c r="AC640" s="50"/>
      <c r="AD640" s="50"/>
      <c r="AE640" s="50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50"/>
      <c r="Z641" s="17"/>
      <c r="AA641" s="17"/>
      <c r="AB641" s="17"/>
      <c r="AC641" s="50"/>
      <c r="AD641" s="50"/>
      <c r="AE641" s="50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50"/>
      <c r="Z642" s="17"/>
      <c r="AA642" s="17"/>
      <c r="AB642" s="17"/>
      <c r="AC642" s="50"/>
      <c r="AD642" s="50"/>
      <c r="AE642" s="50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50"/>
      <c r="Z643" s="17"/>
      <c r="AA643" s="17"/>
      <c r="AB643" s="17"/>
      <c r="AC643" s="50"/>
      <c r="AD643" s="50"/>
      <c r="AE643" s="50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50"/>
      <c r="Z644" s="17"/>
      <c r="AA644" s="17"/>
      <c r="AB644" s="17"/>
      <c r="AC644" s="50"/>
      <c r="AD644" s="50"/>
      <c r="AE644" s="50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50"/>
      <c r="Z645" s="17"/>
      <c r="AA645" s="17"/>
      <c r="AB645" s="17"/>
      <c r="AC645" s="50"/>
      <c r="AD645" s="50"/>
      <c r="AE645" s="50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50"/>
      <c r="Z646" s="17"/>
      <c r="AA646" s="17"/>
      <c r="AB646" s="17"/>
      <c r="AC646" s="50"/>
      <c r="AD646" s="50"/>
      <c r="AE646" s="50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50"/>
      <c r="Z647" s="17"/>
      <c r="AA647" s="17"/>
      <c r="AB647" s="17"/>
      <c r="AC647" s="50"/>
      <c r="AD647" s="50"/>
      <c r="AE647" s="50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50"/>
      <c r="Z648" s="17"/>
      <c r="AA648" s="17"/>
      <c r="AB648" s="17"/>
      <c r="AC648" s="50"/>
      <c r="AD648" s="50"/>
      <c r="AE648" s="50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50"/>
      <c r="Z649" s="17"/>
      <c r="AA649" s="17"/>
      <c r="AB649" s="17"/>
      <c r="AC649" s="50"/>
      <c r="AD649" s="50"/>
      <c r="AE649" s="50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50"/>
      <c r="Z650" s="17"/>
      <c r="AA650" s="17"/>
      <c r="AB650" s="17"/>
      <c r="AC650" s="50"/>
      <c r="AD650" s="50"/>
      <c r="AE650" s="50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50"/>
      <c r="Z651" s="17"/>
      <c r="AA651" s="17"/>
      <c r="AB651" s="17"/>
      <c r="AC651" s="50"/>
      <c r="AD651" s="50"/>
      <c r="AE651" s="50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50"/>
      <c r="Z652" s="17"/>
      <c r="AA652" s="17"/>
      <c r="AB652" s="17"/>
      <c r="AC652" s="50"/>
      <c r="AD652" s="50"/>
      <c r="AE652" s="50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50"/>
      <c r="Z653" s="17"/>
      <c r="AA653" s="17"/>
      <c r="AB653" s="17"/>
      <c r="AC653" s="50"/>
      <c r="AD653" s="50"/>
      <c r="AE653" s="50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50"/>
      <c r="Z654" s="17"/>
      <c r="AA654" s="17"/>
      <c r="AB654" s="17"/>
      <c r="AC654" s="50"/>
      <c r="AD654" s="50"/>
      <c r="AE654" s="50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50"/>
      <c r="Z655" s="17"/>
      <c r="AA655" s="17"/>
      <c r="AB655" s="17"/>
      <c r="AC655" s="50"/>
      <c r="AD655" s="50"/>
      <c r="AE655" s="50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50"/>
      <c r="Z656" s="17"/>
      <c r="AA656" s="17"/>
      <c r="AB656" s="17"/>
      <c r="AC656" s="50"/>
      <c r="AD656" s="50"/>
      <c r="AE656" s="50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50"/>
      <c r="Z657" s="17"/>
      <c r="AA657" s="17"/>
      <c r="AB657" s="17"/>
      <c r="AC657" s="50"/>
      <c r="AD657" s="50"/>
      <c r="AE657" s="50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50"/>
      <c r="Z658" s="17"/>
      <c r="AA658" s="17"/>
      <c r="AB658" s="17"/>
      <c r="AC658" s="50"/>
      <c r="AD658" s="50"/>
      <c r="AE658" s="50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50"/>
      <c r="Z659" s="17"/>
      <c r="AA659" s="17"/>
      <c r="AB659" s="17"/>
      <c r="AC659" s="50"/>
      <c r="AD659" s="50"/>
      <c r="AE659" s="50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50"/>
      <c r="Z660" s="17"/>
      <c r="AA660" s="17"/>
      <c r="AB660" s="17"/>
      <c r="AC660" s="50"/>
      <c r="AD660" s="50"/>
      <c r="AE660" s="50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50"/>
      <c r="Z661" s="17"/>
      <c r="AA661" s="17"/>
      <c r="AB661" s="17"/>
      <c r="AC661" s="50"/>
      <c r="AD661" s="50"/>
      <c r="AE661" s="50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50"/>
      <c r="Z662" s="17"/>
      <c r="AA662" s="17"/>
      <c r="AB662" s="17"/>
      <c r="AC662" s="50"/>
      <c r="AD662" s="50"/>
      <c r="AE662" s="50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50"/>
      <c r="Z663" s="17"/>
      <c r="AA663" s="17"/>
      <c r="AB663" s="17"/>
      <c r="AC663" s="50"/>
      <c r="AD663" s="50"/>
      <c r="AE663" s="50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50"/>
      <c r="Z664" s="17"/>
      <c r="AA664" s="17"/>
      <c r="AB664" s="17"/>
      <c r="AC664" s="50"/>
      <c r="AD664" s="50"/>
      <c r="AE664" s="50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50"/>
      <c r="Z665" s="17"/>
      <c r="AA665" s="17"/>
      <c r="AB665" s="17"/>
      <c r="AC665" s="50"/>
      <c r="AD665" s="50"/>
      <c r="AE665" s="50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50"/>
      <c r="Z666" s="17"/>
      <c r="AA666" s="17"/>
      <c r="AB666" s="17"/>
      <c r="AC666" s="50"/>
      <c r="AD666" s="50"/>
      <c r="AE666" s="50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50"/>
      <c r="Z667" s="17"/>
      <c r="AA667" s="17"/>
      <c r="AB667" s="17"/>
      <c r="AC667" s="50"/>
      <c r="AD667" s="50"/>
      <c r="AE667" s="50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50"/>
      <c r="Z668" s="17"/>
      <c r="AA668" s="17"/>
      <c r="AB668" s="17"/>
      <c r="AC668" s="50"/>
      <c r="AD668" s="50"/>
      <c r="AE668" s="50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50"/>
      <c r="Z669" s="17"/>
      <c r="AA669" s="17"/>
      <c r="AB669" s="17"/>
      <c r="AC669" s="50"/>
      <c r="AD669" s="50"/>
      <c r="AE669" s="50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50"/>
      <c r="Z670" s="17"/>
      <c r="AA670" s="17"/>
      <c r="AB670" s="17"/>
      <c r="AC670" s="50"/>
      <c r="AD670" s="50"/>
      <c r="AE670" s="50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50"/>
      <c r="Z671" s="17"/>
      <c r="AA671" s="17"/>
      <c r="AB671" s="17"/>
      <c r="AC671" s="50"/>
      <c r="AD671" s="50"/>
      <c r="AE671" s="50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50"/>
      <c r="Z672" s="17"/>
      <c r="AA672" s="17"/>
      <c r="AB672" s="17"/>
      <c r="AC672" s="50"/>
      <c r="AD672" s="50"/>
      <c r="AE672" s="50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50"/>
      <c r="Z673" s="17"/>
      <c r="AA673" s="17"/>
      <c r="AB673" s="17"/>
      <c r="AC673" s="50"/>
      <c r="AD673" s="50"/>
      <c r="AE673" s="50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50"/>
      <c r="Z674" s="17"/>
      <c r="AA674" s="17"/>
      <c r="AB674" s="17"/>
      <c r="AC674" s="50"/>
      <c r="AD674" s="50"/>
      <c r="AE674" s="50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50"/>
      <c r="Z675" s="17"/>
      <c r="AA675" s="17"/>
      <c r="AB675" s="17"/>
      <c r="AC675" s="50"/>
      <c r="AD675" s="50"/>
      <c r="AE675" s="50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50"/>
      <c r="Z676" s="17"/>
      <c r="AA676" s="17"/>
      <c r="AB676" s="17"/>
      <c r="AC676" s="50"/>
      <c r="AD676" s="50"/>
      <c r="AE676" s="50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50"/>
      <c r="Z677" s="17"/>
      <c r="AA677" s="17"/>
      <c r="AB677" s="17"/>
      <c r="AC677" s="50"/>
      <c r="AD677" s="50"/>
      <c r="AE677" s="50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50"/>
      <c r="Z678" s="17"/>
      <c r="AA678" s="17"/>
      <c r="AB678" s="17"/>
      <c r="AC678" s="50"/>
      <c r="AD678" s="50"/>
      <c r="AE678" s="50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50"/>
      <c r="Z679" s="17"/>
      <c r="AA679" s="17"/>
      <c r="AB679" s="17"/>
      <c r="AC679" s="50"/>
      <c r="AD679" s="50"/>
      <c r="AE679" s="50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50"/>
      <c r="Z680" s="17"/>
      <c r="AA680" s="17"/>
      <c r="AB680" s="17"/>
      <c r="AC680" s="50"/>
      <c r="AD680" s="50"/>
      <c r="AE680" s="50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50"/>
      <c r="Z681" s="17"/>
      <c r="AA681" s="17"/>
      <c r="AB681" s="17"/>
      <c r="AC681" s="50"/>
      <c r="AD681" s="50"/>
      <c r="AE681" s="50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50"/>
      <c r="Z682" s="17"/>
      <c r="AA682" s="17"/>
      <c r="AB682" s="17"/>
      <c r="AC682" s="50"/>
      <c r="AD682" s="50"/>
      <c r="AE682" s="50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50"/>
      <c r="Z683" s="17"/>
      <c r="AA683" s="17"/>
      <c r="AB683" s="17"/>
      <c r="AC683" s="50"/>
      <c r="AD683" s="50"/>
      <c r="AE683" s="50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50"/>
      <c r="Z684" s="17"/>
      <c r="AA684" s="17"/>
      <c r="AB684" s="17"/>
      <c r="AC684" s="50"/>
      <c r="AD684" s="50"/>
      <c r="AE684" s="50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50"/>
      <c r="Z685" s="17"/>
      <c r="AA685" s="17"/>
      <c r="AB685" s="17"/>
      <c r="AC685" s="50"/>
      <c r="AD685" s="50"/>
      <c r="AE685" s="50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50"/>
      <c r="Z686" s="17"/>
      <c r="AA686" s="17"/>
      <c r="AB686" s="17"/>
      <c r="AC686" s="50"/>
      <c r="AD686" s="50"/>
      <c r="AE686" s="50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50"/>
      <c r="Z687" s="17"/>
      <c r="AA687" s="17"/>
      <c r="AB687" s="17"/>
      <c r="AC687" s="50"/>
      <c r="AD687" s="50"/>
      <c r="AE687" s="50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50"/>
      <c r="Z688" s="17"/>
      <c r="AA688" s="17"/>
      <c r="AB688" s="17"/>
      <c r="AC688" s="50"/>
      <c r="AD688" s="50"/>
      <c r="AE688" s="50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50"/>
      <c r="Z689" s="17"/>
      <c r="AA689" s="17"/>
      <c r="AB689" s="17"/>
      <c r="AC689" s="50"/>
      <c r="AD689" s="50"/>
      <c r="AE689" s="50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50"/>
      <c r="Z690" s="17"/>
      <c r="AA690" s="17"/>
      <c r="AB690" s="17"/>
      <c r="AC690" s="50"/>
      <c r="AD690" s="50"/>
      <c r="AE690" s="50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50"/>
      <c r="Z691" s="17"/>
      <c r="AA691" s="17"/>
      <c r="AB691" s="17"/>
      <c r="AC691" s="50"/>
      <c r="AD691" s="50"/>
      <c r="AE691" s="50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50"/>
      <c r="Z692" s="17"/>
      <c r="AA692" s="17"/>
      <c r="AB692" s="17"/>
      <c r="AC692" s="50"/>
      <c r="AD692" s="50"/>
      <c r="AE692" s="50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50"/>
      <c r="Z693" s="17"/>
      <c r="AA693" s="17"/>
      <c r="AB693" s="17"/>
      <c r="AC693" s="50"/>
      <c r="AD693" s="50"/>
      <c r="AE693" s="50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50"/>
      <c r="Z694" s="17"/>
      <c r="AA694" s="17"/>
      <c r="AB694" s="17"/>
      <c r="AC694" s="50"/>
      <c r="AD694" s="50"/>
      <c r="AE694" s="50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50"/>
      <c r="Z695" s="17"/>
      <c r="AA695" s="17"/>
      <c r="AB695" s="17"/>
      <c r="AC695" s="50"/>
      <c r="AD695" s="50"/>
      <c r="AE695" s="50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50"/>
      <c r="Z696" s="17"/>
      <c r="AA696" s="17"/>
      <c r="AB696" s="17"/>
      <c r="AC696" s="50"/>
      <c r="AD696" s="50"/>
      <c r="AE696" s="50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50"/>
      <c r="Z697" s="17"/>
      <c r="AA697" s="17"/>
      <c r="AB697" s="17"/>
      <c r="AC697" s="50"/>
      <c r="AD697" s="50"/>
      <c r="AE697" s="50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50"/>
      <c r="Z698" s="17"/>
      <c r="AA698" s="17"/>
      <c r="AB698" s="17"/>
      <c r="AC698" s="50"/>
      <c r="AD698" s="50"/>
      <c r="AE698" s="50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50"/>
      <c r="Z699" s="17"/>
      <c r="AA699" s="17"/>
      <c r="AB699" s="17"/>
      <c r="AC699" s="50"/>
      <c r="AD699" s="50"/>
      <c r="AE699" s="50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50"/>
      <c r="Z700" s="17"/>
      <c r="AA700" s="17"/>
      <c r="AB700" s="17"/>
      <c r="AC700" s="50"/>
      <c r="AD700" s="50"/>
      <c r="AE700" s="50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50"/>
      <c r="Z701" s="17"/>
      <c r="AA701" s="17"/>
      <c r="AB701" s="17"/>
      <c r="AC701" s="50"/>
      <c r="AD701" s="50"/>
      <c r="AE701" s="50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50"/>
      <c r="Z702" s="17"/>
      <c r="AA702" s="17"/>
      <c r="AB702" s="17"/>
      <c r="AC702" s="50"/>
      <c r="AD702" s="50"/>
      <c r="AE702" s="50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50"/>
      <c r="Z703" s="17"/>
      <c r="AA703" s="17"/>
      <c r="AB703" s="17"/>
      <c r="AC703" s="50"/>
      <c r="AD703" s="50"/>
      <c r="AE703" s="50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50"/>
      <c r="Z704" s="17"/>
      <c r="AA704" s="17"/>
      <c r="AB704" s="17"/>
      <c r="AC704" s="50"/>
      <c r="AD704" s="50"/>
      <c r="AE704" s="50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50"/>
      <c r="Z705" s="17"/>
      <c r="AA705" s="17"/>
      <c r="AB705" s="17"/>
      <c r="AC705" s="50"/>
      <c r="AD705" s="50"/>
      <c r="AE705" s="50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50"/>
      <c r="Z706" s="17"/>
      <c r="AA706" s="17"/>
      <c r="AB706" s="17"/>
      <c r="AC706" s="50"/>
      <c r="AD706" s="50"/>
      <c r="AE706" s="50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50"/>
      <c r="Z707" s="17"/>
      <c r="AA707" s="17"/>
      <c r="AB707" s="17"/>
      <c r="AC707" s="50"/>
      <c r="AD707" s="50"/>
      <c r="AE707" s="50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50"/>
      <c r="Z708" s="17"/>
      <c r="AA708" s="17"/>
      <c r="AB708" s="17"/>
      <c r="AC708" s="50"/>
      <c r="AD708" s="50"/>
      <c r="AE708" s="50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50"/>
      <c r="Z709" s="17"/>
      <c r="AA709" s="17"/>
      <c r="AB709" s="17"/>
      <c r="AC709" s="50"/>
      <c r="AD709" s="50"/>
      <c r="AE709" s="50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50"/>
      <c r="Z710" s="17"/>
      <c r="AA710" s="17"/>
      <c r="AB710" s="17"/>
      <c r="AC710" s="50"/>
      <c r="AD710" s="50"/>
      <c r="AE710" s="50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50"/>
      <c r="Z711" s="17"/>
      <c r="AA711" s="17"/>
      <c r="AB711" s="17"/>
      <c r="AC711" s="50"/>
      <c r="AD711" s="50"/>
      <c r="AE711" s="50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50"/>
      <c r="Z712" s="17"/>
      <c r="AA712" s="17"/>
      <c r="AB712" s="17"/>
      <c r="AC712" s="50"/>
      <c r="AD712" s="50"/>
      <c r="AE712" s="50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50"/>
      <c r="Z713" s="17"/>
      <c r="AA713" s="17"/>
      <c r="AB713" s="17"/>
      <c r="AC713" s="50"/>
      <c r="AD713" s="50"/>
      <c r="AE713" s="50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50"/>
      <c r="Z714" s="17"/>
      <c r="AA714" s="17"/>
      <c r="AB714" s="17"/>
      <c r="AC714" s="50"/>
      <c r="AD714" s="50"/>
      <c r="AE714" s="50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50"/>
      <c r="Z715" s="17"/>
      <c r="AA715" s="17"/>
      <c r="AB715" s="17"/>
      <c r="AC715" s="50"/>
      <c r="AD715" s="50"/>
      <c r="AE715" s="50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50"/>
      <c r="Z716" s="17"/>
      <c r="AA716" s="17"/>
      <c r="AB716" s="17"/>
      <c r="AC716" s="50"/>
      <c r="AD716" s="50"/>
      <c r="AE716" s="50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50"/>
      <c r="Z717" s="17"/>
      <c r="AA717" s="17"/>
      <c r="AB717" s="17"/>
      <c r="AC717" s="50"/>
      <c r="AD717" s="50"/>
      <c r="AE717" s="50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50"/>
      <c r="Z718" s="17"/>
      <c r="AA718" s="17"/>
      <c r="AB718" s="17"/>
      <c r="AC718" s="50"/>
      <c r="AD718" s="50"/>
      <c r="AE718" s="50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50"/>
      <c r="Z719" s="17"/>
      <c r="AA719" s="17"/>
      <c r="AB719" s="17"/>
      <c r="AC719" s="50"/>
      <c r="AD719" s="50"/>
      <c r="AE719" s="50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50"/>
      <c r="Z720" s="17"/>
      <c r="AA720" s="17"/>
      <c r="AB720" s="17"/>
      <c r="AC720" s="50"/>
      <c r="AD720" s="50"/>
      <c r="AE720" s="50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50"/>
      <c r="Z721" s="17"/>
      <c r="AA721" s="17"/>
      <c r="AB721" s="17"/>
      <c r="AC721" s="50"/>
      <c r="AD721" s="50"/>
      <c r="AE721" s="50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50"/>
      <c r="Z722" s="17"/>
      <c r="AA722" s="17"/>
      <c r="AB722" s="17"/>
      <c r="AC722" s="50"/>
      <c r="AD722" s="50"/>
      <c r="AE722" s="50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50"/>
      <c r="Z723" s="17"/>
      <c r="AA723" s="17"/>
      <c r="AB723" s="17"/>
      <c r="AC723" s="50"/>
      <c r="AD723" s="50"/>
      <c r="AE723" s="50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50"/>
      <c r="Z724" s="17"/>
      <c r="AA724" s="17"/>
      <c r="AB724" s="17"/>
      <c r="AC724" s="50"/>
      <c r="AD724" s="50"/>
      <c r="AE724" s="50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50"/>
      <c r="Z725" s="17"/>
      <c r="AA725" s="17"/>
      <c r="AB725" s="17"/>
      <c r="AC725" s="50"/>
      <c r="AD725" s="50"/>
      <c r="AE725" s="50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50"/>
      <c r="Z726" s="17"/>
      <c r="AA726" s="17"/>
      <c r="AB726" s="17"/>
      <c r="AC726" s="50"/>
      <c r="AD726" s="50"/>
      <c r="AE726" s="50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50"/>
      <c r="Z727" s="17"/>
      <c r="AA727" s="17"/>
      <c r="AB727" s="17"/>
      <c r="AC727" s="50"/>
      <c r="AD727" s="50"/>
      <c r="AE727" s="50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50"/>
      <c r="Z728" s="17"/>
      <c r="AA728" s="17"/>
      <c r="AB728" s="17"/>
      <c r="AC728" s="50"/>
      <c r="AD728" s="50"/>
      <c r="AE728" s="50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50"/>
      <c r="Z729" s="17"/>
      <c r="AA729" s="17"/>
      <c r="AB729" s="17"/>
      <c r="AC729" s="50"/>
      <c r="AD729" s="50"/>
      <c r="AE729" s="50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50"/>
      <c r="Z730" s="17"/>
      <c r="AA730" s="17"/>
      <c r="AB730" s="17"/>
      <c r="AC730" s="50"/>
      <c r="AD730" s="50"/>
      <c r="AE730" s="50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50"/>
      <c r="Z731" s="17"/>
      <c r="AA731" s="17"/>
      <c r="AB731" s="17"/>
      <c r="AC731" s="50"/>
      <c r="AD731" s="50"/>
      <c r="AE731" s="50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50"/>
      <c r="Z732" s="17"/>
      <c r="AA732" s="17"/>
      <c r="AB732" s="17"/>
      <c r="AC732" s="50"/>
      <c r="AD732" s="50"/>
      <c r="AE732" s="50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50"/>
      <c r="Z733" s="17"/>
      <c r="AA733" s="17"/>
      <c r="AB733" s="17"/>
      <c r="AC733" s="50"/>
      <c r="AD733" s="50"/>
      <c r="AE733" s="50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50"/>
      <c r="Z734" s="17"/>
      <c r="AA734" s="17"/>
      <c r="AB734" s="17"/>
      <c r="AC734" s="50"/>
      <c r="AD734" s="50"/>
      <c r="AE734" s="50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50"/>
      <c r="Z735" s="17"/>
      <c r="AA735" s="17"/>
      <c r="AB735" s="17"/>
      <c r="AC735" s="50"/>
      <c r="AD735" s="50"/>
      <c r="AE735" s="50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50"/>
      <c r="Z736" s="17"/>
      <c r="AA736" s="17"/>
      <c r="AB736" s="17"/>
      <c r="AC736" s="50"/>
      <c r="AD736" s="50"/>
      <c r="AE736" s="50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50"/>
      <c r="Z737" s="17"/>
      <c r="AA737" s="17"/>
      <c r="AB737" s="17"/>
      <c r="AC737" s="50"/>
      <c r="AD737" s="50"/>
      <c r="AE737" s="50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50"/>
      <c r="Z738" s="17"/>
      <c r="AA738" s="17"/>
      <c r="AB738" s="17"/>
      <c r="AC738" s="50"/>
      <c r="AD738" s="50"/>
      <c r="AE738" s="50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50"/>
      <c r="Z739" s="17"/>
      <c r="AA739" s="17"/>
      <c r="AB739" s="17"/>
      <c r="AC739" s="50"/>
      <c r="AD739" s="50"/>
      <c r="AE739" s="50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50"/>
      <c r="Z740" s="17"/>
      <c r="AA740" s="17"/>
      <c r="AB740" s="17"/>
      <c r="AC740" s="50"/>
      <c r="AD740" s="50"/>
      <c r="AE740" s="50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50"/>
      <c r="Z741" s="17"/>
      <c r="AA741" s="17"/>
      <c r="AB741" s="17"/>
      <c r="AC741" s="50"/>
      <c r="AD741" s="50"/>
      <c r="AE741" s="50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50"/>
      <c r="Z742" s="17"/>
      <c r="AA742" s="17"/>
      <c r="AB742" s="17"/>
      <c r="AC742" s="50"/>
      <c r="AD742" s="50"/>
      <c r="AE742" s="50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50"/>
      <c r="Z743" s="17"/>
      <c r="AA743" s="17"/>
      <c r="AB743" s="17"/>
      <c r="AC743" s="50"/>
      <c r="AD743" s="50"/>
      <c r="AE743" s="50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50"/>
      <c r="Z744" s="17"/>
      <c r="AA744" s="17"/>
      <c r="AB744" s="17"/>
      <c r="AC744" s="50"/>
      <c r="AD744" s="50"/>
      <c r="AE744" s="50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50"/>
      <c r="Z745" s="17"/>
      <c r="AA745" s="17"/>
      <c r="AB745" s="17"/>
      <c r="AC745" s="50"/>
      <c r="AD745" s="50"/>
      <c r="AE745" s="50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50"/>
      <c r="Z746" s="17"/>
      <c r="AA746" s="17"/>
      <c r="AB746" s="17"/>
      <c r="AC746" s="50"/>
      <c r="AD746" s="50"/>
      <c r="AE746" s="50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50"/>
      <c r="Z747" s="17"/>
      <c r="AA747" s="17"/>
      <c r="AB747" s="17"/>
      <c r="AC747" s="50"/>
      <c r="AD747" s="50"/>
      <c r="AE747" s="50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50"/>
      <c r="Z748" s="17"/>
      <c r="AA748" s="17"/>
      <c r="AB748" s="17"/>
      <c r="AC748" s="50"/>
      <c r="AD748" s="50"/>
      <c r="AE748" s="50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50"/>
      <c r="Z749" s="17"/>
      <c r="AA749" s="17"/>
      <c r="AB749" s="17"/>
      <c r="AC749" s="50"/>
      <c r="AD749" s="50"/>
      <c r="AE749" s="50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50"/>
      <c r="Z750" s="17"/>
      <c r="AA750" s="17"/>
      <c r="AB750" s="17"/>
      <c r="AC750" s="50"/>
      <c r="AD750" s="50"/>
      <c r="AE750" s="50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50"/>
      <c r="Z751" s="17"/>
      <c r="AA751" s="17"/>
      <c r="AB751" s="17"/>
      <c r="AC751" s="50"/>
      <c r="AD751" s="50"/>
      <c r="AE751" s="50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50"/>
      <c r="Z752" s="17"/>
      <c r="AA752" s="17"/>
      <c r="AB752" s="17"/>
      <c r="AC752" s="50"/>
      <c r="AD752" s="50"/>
      <c r="AE752" s="50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50"/>
      <c r="Z753" s="17"/>
      <c r="AA753" s="17"/>
      <c r="AB753" s="17"/>
      <c r="AC753" s="50"/>
      <c r="AD753" s="50"/>
      <c r="AE753" s="50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50"/>
      <c r="Z754" s="17"/>
      <c r="AA754" s="17"/>
      <c r="AB754" s="17"/>
      <c r="AC754" s="50"/>
      <c r="AD754" s="50"/>
      <c r="AE754" s="50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50"/>
      <c r="Z755" s="17"/>
      <c r="AA755" s="17"/>
      <c r="AB755" s="17"/>
      <c r="AC755" s="50"/>
      <c r="AD755" s="50"/>
      <c r="AE755" s="50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50"/>
      <c r="Z756" s="17"/>
      <c r="AA756" s="17"/>
      <c r="AB756" s="17"/>
      <c r="AC756" s="50"/>
      <c r="AD756" s="50"/>
      <c r="AE756" s="50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50"/>
      <c r="Z757" s="17"/>
      <c r="AA757" s="17"/>
      <c r="AB757" s="17"/>
      <c r="AC757" s="50"/>
      <c r="AD757" s="50"/>
      <c r="AE757" s="50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50"/>
      <c r="Z758" s="17"/>
      <c r="AA758" s="17"/>
      <c r="AB758" s="17"/>
      <c r="AC758" s="50"/>
      <c r="AD758" s="50"/>
      <c r="AE758" s="50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50"/>
      <c r="Z759" s="17"/>
      <c r="AA759" s="17"/>
      <c r="AB759" s="17"/>
      <c r="AC759" s="50"/>
      <c r="AD759" s="50"/>
      <c r="AE759" s="50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50"/>
      <c r="Z760" s="17"/>
      <c r="AA760" s="17"/>
      <c r="AB760" s="17"/>
      <c r="AC760" s="50"/>
      <c r="AD760" s="50"/>
      <c r="AE760" s="50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50"/>
      <c r="Z761" s="17"/>
      <c r="AA761" s="17"/>
      <c r="AB761" s="17"/>
      <c r="AC761" s="50"/>
      <c r="AD761" s="50"/>
      <c r="AE761" s="50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50"/>
      <c r="Z762" s="17"/>
      <c r="AA762" s="17"/>
      <c r="AB762" s="17"/>
      <c r="AC762" s="50"/>
      <c r="AD762" s="50"/>
      <c r="AE762" s="50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50"/>
      <c r="Z763" s="17"/>
      <c r="AA763" s="17"/>
      <c r="AB763" s="17"/>
      <c r="AC763" s="50"/>
      <c r="AD763" s="50"/>
      <c r="AE763" s="50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50"/>
      <c r="Z764" s="17"/>
      <c r="AA764" s="17"/>
      <c r="AB764" s="17"/>
      <c r="AC764" s="50"/>
      <c r="AD764" s="50"/>
      <c r="AE764" s="50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50"/>
      <c r="Z765" s="17"/>
      <c r="AA765" s="17"/>
      <c r="AB765" s="17"/>
      <c r="AC765" s="50"/>
      <c r="AD765" s="50"/>
      <c r="AE765" s="50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50"/>
      <c r="Z766" s="17"/>
      <c r="AA766" s="17"/>
      <c r="AB766" s="17"/>
      <c r="AC766" s="50"/>
      <c r="AD766" s="50"/>
      <c r="AE766" s="50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50"/>
      <c r="Z767" s="17"/>
      <c r="AA767" s="17"/>
      <c r="AB767" s="17"/>
      <c r="AC767" s="50"/>
      <c r="AD767" s="50"/>
      <c r="AE767" s="50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50"/>
      <c r="Z768" s="17"/>
      <c r="AA768" s="17"/>
      <c r="AB768" s="17"/>
      <c r="AC768" s="50"/>
      <c r="AD768" s="50"/>
      <c r="AE768" s="50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50"/>
      <c r="Z769" s="17"/>
      <c r="AA769" s="17"/>
      <c r="AB769" s="17"/>
      <c r="AC769" s="50"/>
      <c r="AD769" s="50"/>
      <c r="AE769" s="50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50"/>
      <c r="Z770" s="17"/>
      <c r="AA770" s="17"/>
      <c r="AB770" s="17"/>
      <c r="AC770" s="50"/>
      <c r="AD770" s="50"/>
      <c r="AE770" s="50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50"/>
      <c r="Z771" s="17"/>
      <c r="AA771" s="17"/>
      <c r="AB771" s="17"/>
      <c r="AC771" s="50"/>
      <c r="AD771" s="50"/>
      <c r="AE771" s="50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50"/>
      <c r="Z772" s="17"/>
      <c r="AA772" s="17"/>
      <c r="AB772" s="17"/>
      <c r="AC772" s="50"/>
      <c r="AD772" s="50"/>
      <c r="AE772" s="50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50"/>
      <c r="Z773" s="17"/>
      <c r="AA773" s="17"/>
      <c r="AB773" s="17"/>
      <c r="AC773" s="50"/>
      <c r="AD773" s="50"/>
      <c r="AE773" s="50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50"/>
      <c r="Z774" s="17"/>
      <c r="AA774" s="17"/>
      <c r="AB774" s="17"/>
      <c r="AC774" s="50"/>
      <c r="AD774" s="50"/>
      <c r="AE774" s="50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50"/>
      <c r="Z775" s="17"/>
      <c r="AA775" s="17"/>
      <c r="AB775" s="17"/>
      <c r="AC775" s="50"/>
      <c r="AD775" s="50"/>
      <c r="AE775" s="50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50"/>
      <c r="Z776" s="17"/>
      <c r="AA776" s="17"/>
      <c r="AB776" s="17"/>
      <c r="AC776" s="50"/>
      <c r="AD776" s="50"/>
      <c r="AE776" s="50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50"/>
      <c r="Z777" s="17"/>
      <c r="AA777" s="17"/>
      <c r="AB777" s="17"/>
      <c r="AC777" s="50"/>
      <c r="AD777" s="50"/>
      <c r="AE777" s="50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50"/>
      <c r="Z778" s="17"/>
      <c r="AA778" s="17"/>
      <c r="AB778" s="17"/>
      <c r="AC778" s="50"/>
      <c r="AD778" s="50"/>
      <c r="AE778" s="50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50"/>
      <c r="Z779" s="17"/>
      <c r="AA779" s="17"/>
      <c r="AB779" s="17"/>
      <c r="AC779" s="50"/>
      <c r="AD779" s="50"/>
      <c r="AE779" s="50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50"/>
      <c r="Z780" s="17"/>
      <c r="AA780" s="17"/>
      <c r="AB780" s="17"/>
      <c r="AC780" s="50"/>
      <c r="AD780" s="50"/>
      <c r="AE780" s="50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50"/>
      <c r="Z781" s="17"/>
      <c r="AA781" s="17"/>
      <c r="AB781" s="17"/>
      <c r="AC781" s="50"/>
      <c r="AD781" s="50"/>
      <c r="AE781" s="50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50"/>
      <c r="Z782" s="17"/>
      <c r="AA782" s="17"/>
      <c r="AB782" s="17"/>
      <c r="AC782" s="50"/>
      <c r="AD782" s="50"/>
      <c r="AE782" s="50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50"/>
      <c r="Z783" s="17"/>
      <c r="AA783" s="17"/>
      <c r="AB783" s="17"/>
      <c r="AC783" s="50"/>
      <c r="AD783" s="50"/>
      <c r="AE783" s="50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50"/>
      <c r="Z784" s="17"/>
      <c r="AA784" s="17"/>
      <c r="AB784" s="17"/>
      <c r="AC784" s="50"/>
      <c r="AD784" s="50"/>
      <c r="AE784" s="50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50"/>
      <c r="Z785" s="17"/>
      <c r="AA785" s="17"/>
      <c r="AB785" s="17"/>
      <c r="AC785" s="50"/>
      <c r="AD785" s="50"/>
      <c r="AE785" s="50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50"/>
      <c r="Z786" s="17"/>
      <c r="AA786" s="17"/>
      <c r="AB786" s="17"/>
      <c r="AC786" s="50"/>
      <c r="AD786" s="50"/>
      <c r="AE786" s="50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50"/>
      <c r="Z787" s="17"/>
      <c r="AA787" s="17"/>
      <c r="AB787" s="17"/>
      <c r="AC787" s="50"/>
      <c r="AD787" s="50"/>
      <c r="AE787" s="50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50"/>
      <c r="Z788" s="17"/>
      <c r="AA788" s="17"/>
      <c r="AB788" s="17"/>
      <c r="AC788" s="50"/>
      <c r="AD788" s="50"/>
      <c r="AE788" s="50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50"/>
      <c r="Z789" s="17"/>
      <c r="AA789" s="17"/>
      <c r="AB789" s="17"/>
      <c r="AC789" s="50"/>
      <c r="AD789" s="50"/>
      <c r="AE789" s="50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50"/>
      <c r="Z790" s="17"/>
      <c r="AA790" s="17"/>
      <c r="AB790" s="17"/>
      <c r="AC790" s="50"/>
      <c r="AD790" s="50"/>
      <c r="AE790" s="50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50"/>
      <c r="Z791" s="17"/>
      <c r="AA791" s="17"/>
      <c r="AB791" s="17"/>
      <c r="AC791" s="50"/>
      <c r="AD791" s="50"/>
      <c r="AE791" s="50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50"/>
      <c r="Z792" s="17"/>
      <c r="AA792" s="17"/>
      <c r="AB792" s="17"/>
      <c r="AC792" s="50"/>
      <c r="AD792" s="50"/>
      <c r="AE792" s="50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50"/>
      <c r="Z793" s="17"/>
      <c r="AA793" s="17"/>
      <c r="AB793" s="17"/>
      <c r="AC793" s="50"/>
      <c r="AD793" s="50"/>
      <c r="AE793" s="50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50"/>
      <c r="Z794" s="17"/>
      <c r="AA794" s="17"/>
      <c r="AB794" s="17"/>
      <c r="AC794" s="50"/>
      <c r="AD794" s="50"/>
      <c r="AE794" s="50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50"/>
      <c r="Z795" s="17"/>
      <c r="AA795" s="17"/>
      <c r="AB795" s="17"/>
      <c r="AC795" s="50"/>
      <c r="AD795" s="50"/>
      <c r="AE795" s="50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50"/>
      <c r="Z796" s="17"/>
      <c r="AA796" s="17"/>
      <c r="AB796" s="17"/>
      <c r="AC796" s="50"/>
      <c r="AD796" s="50"/>
      <c r="AE796" s="50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50"/>
      <c r="Z797" s="17"/>
      <c r="AA797" s="17"/>
      <c r="AB797" s="17"/>
      <c r="AC797" s="50"/>
      <c r="AD797" s="50"/>
      <c r="AE797" s="50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50"/>
      <c r="Z798" s="17"/>
      <c r="AA798" s="17"/>
      <c r="AB798" s="17"/>
      <c r="AC798" s="50"/>
      <c r="AD798" s="50"/>
      <c r="AE798" s="50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50"/>
      <c r="Z799" s="17"/>
      <c r="AA799" s="17"/>
      <c r="AB799" s="17"/>
      <c r="AC799" s="50"/>
      <c r="AD799" s="50"/>
      <c r="AE799" s="50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50"/>
      <c r="Z800" s="17"/>
      <c r="AA800" s="17"/>
      <c r="AB800" s="17"/>
      <c r="AC800" s="50"/>
      <c r="AD800" s="50"/>
      <c r="AE800" s="50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50"/>
      <c r="Z801" s="17"/>
      <c r="AA801" s="17"/>
      <c r="AB801" s="17"/>
      <c r="AC801" s="50"/>
      <c r="AD801" s="50"/>
      <c r="AE801" s="50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50"/>
      <c r="Z802" s="17"/>
      <c r="AA802" s="17"/>
      <c r="AB802" s="17"/>
      <c r="AC802" s="50"/>
      <c r="AD802" s="50"/>
      <c r="AE802" s="50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50"/>
      <c r="Z803" s="17"/>
      <c r="AA803" s="17"/>
      <c r="AB803" s="17"/>
      <c r="AC803" s="50"/>
      <c r="AD803" s="50"/>
      <c r="AE803" s="50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50"/>
      <c r="Z804" s="17"/>
      <c r="AA804" s="17"/>
      <c r="AB804" s="17"/>
      <c r="AC804" s="50"/>
      <c r="AD804" s="50"/>
      <c r="AE804" s="50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50"/>
      <c r="Z805" s="17"/>
      <c r="AA805" s="17"/>
      <c r="AB805" s="17"/>
      <c r="AC805" s="50"/>
      <c r="AD805" s="50"/>
      <c r="AE805" s="50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50"/>
      <c r="Z806" s="17"/>
      <c r="AA806" s="17"/>
      <c r="AB806" s="17"/>
      <c r="AC806" s="50"/>
      <c r="AD806" s="50"/>
      <c r="AE806" s="50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50"/>
      <c r="Z807" s="17"/>
      <c r="AA807" s="17"/>
      <c r="AB807" s="17"/>
      <c r="AC807" s="50"/>
      <c r="AD807" s="50"/>
      <c r="AE807" s="50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50"/>
      <c r="Z808" s="17"/>
      <c r="AA808" s="17"/>
      <c r="AB808" s="17"/>
      <c r="AC808" s="50"/>
      <c r="AD808" s="50"/>
      <c r="AE808" s="50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50"/>
      <c r="Z809" s="17"/>
      <c r="AA809" s="17"/>
      <c r="AB809" s="17"/>
      <c r="AC809" s="50"/>
      <c r="AD809" s="50"/>
      <c r="AE809" s="50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50"/>
      <c r="Z810" s="17"/>
      <c r="AA810" s="17"/>
      <c r="AB810" s="17"/>
      <c r="AC810" s="50"/>
      <c r="AD810" s="50"/>
      <c r="AE810" s="50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50"/>
      <c r="Z811" s="17"/>
      <c r="AA811" s="17"/>
      <c r="AB811" s="17"/>
      <c r="AC811" s="50"/>
      <c r="AD811" s="50"/>
      <c r="AE811" s="50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50"/>
      <c r="Z812" s="17"/>
      <c r="AA812" s="17"/>
      <c r="AB812" s="17"/>
      <c r="AC812" s="50"/>
      <c r="AD812" s="50"/>
      <c r="AE812" s="50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50"/>
      <c r="Z813" s="17"/>
      <c r="AA813" s="17"/>
      <c r="AB813" s="17"/>
      <c r="AC813" s="50"/>
      <c r="AD813" s="50"/>
      <c r="AE813" s="50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50"/>
      <c r="Z814" s="17"/>
      <c r="AA814" s="17"/>
      <c r="AB814" s="17"/>
      <c r="AC814" s="50"/>
      <c r="AD814" s="50"/>
      <c r="AE814" s="50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50"/>
      <c r="Z815" s="17"/>
      <c r="AA815" s="17"/>
      <c r="AB815" s="17"/>
      <c r="AC815" s="50"/>
      <c r="AD815" s="50"/>
      <c r="AE815" s="50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50"/>
      <c r="Z816" s="17"/>
      <c r="AA816" s="17"/>
      <c r="AB816" s="17"/>
      <c r="AC816" s="50"/>
      <c r="AD816" s="50"/>
      <c r="AE816" s="50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50"/>
      <c r="Z817" s="17"/>
      <c r="AA817" s="17"/>
      <c r="AB817" s="17"/>
      <c r="AC817" s="50"/>
      <c r="AD817" s="50"/>
      <c r="AE817" s="50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50"/>
      <c r="Z818" s="17"/>
      <c r="AA818" s="17"/>
      <c r="AB818" s="17"/>
      <c r="AC818" s="50"/>
      <c r="AD818" s="50"/>
      <c r="AE818" s="50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50"/>
      <c r="Z819" s="17"/>
      <c r="AA819" s="17"/>
      <c r="AB819" s="17"/>
      <c r="AC819" s="50"/>
      <c r="AD819" s="50"/>
      <c r="AE819" s="50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50"/>
      <c r="Z820" s="17"/>
      <c r="AA820" s="17"/>
      <c r="AB820" s="17"/>
      <c r="AC820" s="50"/>
      <c r="AD820" s="50"/>
      <c r="AE820" s="50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50"/>
      <c r="Z821" s="17"/>
      <c r="AA821" s="17"/>
      <c r="AB821" s="17"/>
      <c r="AC821" s="50"/>
      <c r="AD821" s="50"/>
      <c r="AE821" s="50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50"/>
      <c r="Z822" s="17"/>
      <c r="AA822" s="17"/>
      <c r="AB822" s="17"/>
      <c r="AC822" s="50"/>
      <c r="AD822" s="50"/>
      <c r="AE822" s="50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50"/>
      <c r="Z823" s="17"/>
      <c r="AA823" s="17"/>
      <c r="AB823" s="17"/>
      <c r="AC823" s="50"/>
      <c r="AD823" s="50"/>
      <c r="AE823" s="50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50"/>
      <c r="Z824" s="17"/>
      <c r="AA824" s="17"/>
      <c r="AB824" s="17"/>
      <c r="AC824" s="50"/>
      <c r="AD824" s="50"/>
      <c r="AE824" s="50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50"/>
      <c r="Z825" s="17"/>
      <c r="AA825" s="17"/>
      <c r="AB825" s="17"/>
      <c r="AC825" s="50"/>
      <c r="AD825" s="50"/>
      <c r="AE825" s="50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50"/>
      <c r="Z826" s="17"/>
      <c r="AA826" s="17"/>
      <c r="AB826" s="17"/>
      <c r="AC826" s="50"/>
      <c r="AD826" s="50"/>
      <c r="AE826" s="50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50"/>
      <c r="Z827" s="17"/>
      <c r="AA827" s="17"/>
      <c r="AB827" s="17"/>
      <c r="AC827" s="50"/>
      <c r="AD827" s="50"/>
      <c r="AE827" s="50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50"/>
      <c r="Z828" s="17"/>
      <c r="AA828" s="17"/>
      <c r="AB828" s="17"/>
      <c r="AC828" s="50"/>
      <c r="AD828" s="50"/>
      <c r="AE828" s="50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50"/>
      <c r="Z829" s="17"/>
      <c r="AA829" s="17"/>
      <c r="AB829" s="17"/>
      <c r="AC829" s="50"/>
      <c r="AD829" s="50"/>
      <c r="AE829" s="50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50"/>
      <c r="Z830" s="17"/>
      <c r="AA830" s="17"/>
      <c r="AB830" s="17"/>
      <c r="AC830" s="50"/>
      <c r="AD830" s="50"/>
      <c r="AE830" s="50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50"/>
      <c r="Z831" s="17"/>
      <c r="AA831" s="17"/>
      <c r="AB831" s="17"/>
      <c r="AC831" s="50"/>
      <c r="AD831" s="50"/>
      <c r="AE831" s="50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50"/>
      <c r="Z832" s="17"/>
      <c r="AA832" s="17"/>
      <c r="AB832" s="17"/>
      <c r="AC832" s="50"/>
      <c r="AD832" s="50"/>
      <c r="AE832" s="50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50"/>
      <c r="Z833" s="17"/>
      <c r="AA833" s="17"/>
      <c r="AB833" s="17"/>
      <c r="AC833" s="50"/>
      <c r="AD833" s="50"/>
      <c r="AE833" s="50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50"/>
      <c r="Z834" s="17"/>
      <c r="AA834" s="17"/>
      <c r="AB834" s="17"/>
      <c r="AC834" s="50"/>
      <c r="AD834" s="50"/>
      <c r="AE834" s="50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50"/>
      <c r="Z835" s="17"/>
      <c r="AA835" s="17"/>
      <c r="AB835" s="17"/>
      <c r="AC835" s="50"/>
      <c r="AD835" s="50"/>
      <c r="AE835" s="50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50"/>
      <c r="Z836" s="17"/>
      <c r="AA836" s="17"/>
      <c r="AB836" s="17"/>
      <c r="AC836" s="50"/>
      <c r="AD836" s="50"/>
      <c r="AE836" s="50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50"/>
      <c r="Z837" s="17"/>
      <c r="AA837" s="17"/>
      <c r="AB837" s="17"/>
      <c r="AC837" s="50"/>
      <c r="AD837" s="50"/>
      <c r="AE837" s="50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50"/>
      <c r="Z838" s="17"/>
      <c r="AA838" s="17"/>
      <c r="AB838" s="17"/>
      <c r="AC838" s="50"/>
      <c r="AD838" s="50"/>
      <c r="AE838" s="50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50"/>
      <c r="Z839" s="17"/>
      <c r="AA839" s="17"/>
      <c r="AB839" s="17"/>
      <c r="AC839" s="50"/>
      <c r="AD839" s="50"/>
      <c r="AE839" s="50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50"/>
      <c r="Z840" s="17"/>
      <c r="AA840" s="17"/>
      <c r="AB840" s="17"/>
      <c r="AC840" s="50"/>
      <c r="AD840" s="50"/>
      <c r="AE840" s="50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50"/>
      <c r="Z841" s="17"/>
      <c r="AA841" s="17"/>
      <c r="AB841" s="17"/>
      <c r="AC841" s="50"/>
      <c r="AD841" s="50"/>
      <c r="AE841" s="50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50"/>
      <c r="Z842" s="17"/>
      <c r="AA842" s="17"/>
      <c r="AB842" s="17"/>
      <c r="AC842" s="50"/>
      <c r="AD842" s="50"/>
      <c r="AE842" s="50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50"/>
      <c r="Z843" s="17"/>
      <c r="AA843" s="17"/>
      <c r="AB843" s="17"/>
      <c r="AC843" s="50"/>
      <c r="AD843" s="50"/>
      <c r="AE843" s="50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50"/>
      <c r="Z844" s="17"/>
      <c r="AA844" s="17"/>
      <c r="AB844" s="17"/>
      <c r="AC844" s="50"/>
      <c r="AD844" s="50"/>
      <c r="AE844" s="50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50"/>
      <c r="Z845" s="17"/>
      <c r="AA845" s="17"/>
      <c r="AB845" s="17"/>
      <c r="AC845" s="50"/>
      <c r="AD845" s="50"/>
      <c r="AE845" s="50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50"/>
      <c r="Z846" s="17"/>
      <c r="AA846" s="17"/>
      <c r="AB846" s="17"/>
      <c r="AC846" s="50"/>
      <c r="AD846" s="50"/>
      <c r="AE846" s="50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50"/>
      <c r="Z847" s="17"/>
      <c r="AA847" s="17"/>
      <c r="AB847" s="17"/>
      <c r="AC847" s="50"/>
      <c r="AD847" s="50"/>
      <c r="AE847" s="50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50"/>
      <c r="Z848" s="17"/>
      <c r="AA848" s="17"/>
      <c r="AB848" s="17"/>
      <c r="AC848" s="50"/>
      <c r="AD848" s="50"/>
      <c r="AE848" s="50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50"/>
      <c r="Z849" s="17"/>
      <c r="AA849" s="17"/>
      <c r="AB849" s="17"/>
      <c r="AC849" s="50"/>
      <c r="AD849" s="50"/>
      <c r="AE849" s="50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50"/>
      <c r="Z850" s="17"/>
      <c r="AA850" s="17"/>
      <c r="AB850" s="17"/>
      <c r="AC850" s="50"/>
      <c r="AD850" s="50"/>
      <c r="AE850" s="50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50"/>
      <c r="Z851" s="17"/>
      <c r="AA851" s="17"/>
      <c r="AB851" s="17"/>
      <c r="AC851" s="50"/>
      <c r="AD851" s="50"/>
      <c r="AE851" s="50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50"/>
      <c r="Z852" s="17"/>
      <c r="AA852" s="17"/>
      <c r="AB852" s="17"/>
      <c r="AC852" s="50"/>
      <c r="AD852" s="50"/>
      <c r="AE852" s="50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50"/>
      <c r="Z853" s="17"/>
      <c r="AA853" s="17"/>
      <c r="AB853" s="17"/>
      <c r="AC853" s="50"/>
      <c r="AD853" s="50"/>
      <c r="AE853" s="50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50"/>
      <c r="Z854" s="17"/>
      <c r="AA854" s="17"/>
      <c r="AB854" s="17"/>
      <c r="AC854" s="50"/>
      <c r="AD854" s="50"/>
      <c r="AE854" s="50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50"/>
      <c r="Z855" s="17"/>
      <c r="AA855" s="17"/>
      <c r="AB855" s="17"/>
      <c r="AC855" s="50"/>
      <c r="AD855" s="50"/>
      <c r="AE855" s="50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50"/>
      <c r="Z856" s="17"/>
      <c r="AA856" s="17"/>
      <c r="AB856" s="17"/>
      <c r="AC856" s="50"/>
      <c r="AD856" s="50"/>
      <c r="AE856" s="50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50"/>
      <c r="Z857" s="17"/>
      <c r="AA857" s="17"/>
      <c r="AB857" s="17"/>
      <c r="AC857" s="50"/>
      <c r="AD857" s="50"/>
      <c r="AE857" s="50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50"/>
      <c r="Z858" s="17"/>
      <c r="AA858" s="17"/>
      <c r="AB858" s="17"/>
      <c r="AC858" s="50"/>
      <c r="AD858" s="50"/>
      <c r="AE858" s="50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50"/>
      <c r="Z859" s="17"/>
      <c r="AA859" s="17"/>
      <c r="AB859" s="17"/>
      <c r="AC859" s="50"/>
      <c r="AD859" s="50"/>
      <c r="AE859" s="50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50"/>
      <c r="Z860" s="17"/>
      <c r="AA860" s="17"/>
      <c r="AB860" s="17"/>
      <c r="AC860" s="50"/>
      <c r="AD860" s="50"/>
      <c r="AE860" s="50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50"/>
      <c r="Z861" s="17"/>
      <c r="AA861" s="17"/>
      <c r="AB861" s="17"/>
      <c r="AC861" s="50"/>
      <c r="AD861" s="50"/>
      <c r="AE861" s="50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50"/>
      <c r="Z862" s="17"/>
      <c r="AA862" s="17"/>
      <c r="AB862" s="17"/>
      <c r="AC862" s="50"/>
      <c r="AD862" s="50"/>
      <c r="AE862" s="50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50"/>
      <c r="Z863" s="17"/>
      <c r="AA863" s="17"/>
      <c r="AB863" s="17"/>
      <c r="AC863" s="50"/>
      <c r="AD863" s="50"/>
      <c r="AE863" s="50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50"/>
      <c r="Z864" s="17"/>
      <c r="AA864" s="17"/>
      <c r="AB864" s="17"/>
      <c r="AC864" s="50"/>
      <c r="AD864" s="50"/>
      <c r="AE864" s="50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50"/>
      <c r="Z865" s="17"/>
      <c r="AA865" s="17"/>
      <c r="AB865" s="17"/>
      <c r="AC865" s="50"/>
      <c r="AD865" s="50"/>
      <c r="AE865" s="50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50"/>
      <c r="Z866" s="17"/>
      <c r="AA866" s="17"/>
      <c r="AB866" s="17"/>
      <c r="AC866" s="50"/>
      <c r="AD866" s="50"/>
      <c r="AE866" s="50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50"/>
      <c r="Z867" s="17"/>
      <c r="AA867" s="17"/>
      <c r="AB867" s="17"/>
      <c r="AC867" s="50"/>
      <c r="AD867" s="50"/>
      <c r="AE867" s="50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50"/>
      <c r="Z868" s="17"/>
      <c r="AA868" s="17"/>
      <c r="AB868" s="17"/>
      <c r="AC868" s="50"/>
      <c r="AD868" s="50"/>
      <c r="AE868" s="50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50"/>
      <c r="Z869" s="17"/>
      <c r="AA869" s="17"/>
      <c r="AB869" s="17"/>
      <c r="AC869" s="50"/>
      <c r="AD869" s="50"/>
      <c r="AE869" s="50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50"/>
      <c r="Z870" s="17"/>
      <c r="AA870" s="17"/>
      <c r="AB870" s="17"/>
      <c r="AC870" s="50"/>
      <c r="AD870" s="50"/>
      <c r="AE870" s="50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50"/>
      <c r="Z871" s="17"/>
      <c r="AA871" s="17"/>
      <c r="AB871" s="17"/>
      <c r="AC871" s="50"/>
      <c r="AD871" s="50"/>
      <c r="AE871" s="50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50"/>
      <c r="Z872" s="17"/>
      <c r="AA872" s="17"/>
      <c r="AB872" s="17"/>
      <c r="AC872" s="50"/>
      <c r="AD872" s="50"/>
      <c r="AE872" s="50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50"/>
      <c r="Z873" s="17"/>
      <c r="AA873" s="17"/>
      <c r="AB873" s="17"/>
      <c r="AC873" s="50"/>
      <c r="AD873" s="50"/>
      <c r="AE873" s="50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50"/>
      <c r="Z874" s="17"/>
      <c r="AA874" s="17"/>
      <c r="AB874" s="17"/>
      <c r="AC874" s="50"/>
      <c r="AD874" s="50"/>
      <c r="AE874" s="50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50"/>
      <c r="Z875" s="17"/>
      <c r="AA875" s="17"/>
      <c r="AB875" s="17"/>
      <c r="AC875" s="50"/>
      <c r="AD875" s="50"/>
      <c r="AE875" s="50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50"/>
      <c r="Z876" s="17"/>
      <c r="AA876" s="17"/>
      <c r="AB876" s="17"/>
      <c r="AC876" s="50"/>
      <c r="AD876" s="50"/>
      <c r="AE876" s="50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50"/>
      <c r="Z877" s="17"/>
      <c r="AA877" s="17"/>
      <c r="AB877" s="17"/>
      <c r="AC877" s="50"/>
      <c r="AD877" s="50"/>
      <c r="AE877" s="50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50"/>
      <c r="Z878" s="17"/>
      <c r="AA878" s="17"/>
      <c r="AB878" s="17"/>
      <c r="AC878" s="50"/>
      <c r="AD878" s="50"/>
      <c r="AE878" s="50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50"/>
      <c r="Z879" s="17"/>
      <c r="AA879" s="17"/>
      <c r="AB879" s="17"/>
      <c r="AC879" s="50"/>
      <c r="AD879" s="50"/>
      <c r="AE879" s="50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50"/>
      <c r="Z880" s="17"/>
      <c r="AA880" s="17"/>
      <c r="AB880" s="17"/>
      <c r="AC880" s="50"/>
      <c r="AD880" s="50"/>
      <c r="AE880" s="50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50"/>
      <c r="Z881" s="17"/>
      <c r="AA881" s="17"/>
      <c r="AB881" s="17"/>
      <c r="AC881" s="50"/>
      <c r="AD881" s="50"/>
      <c r="AE881" s="50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50"/>
      <c r="Z882" s="17"/>
      <c r="AA882" s="17"/>
      <c r="AB882" s="17"/>
      <c r="AC882" s="50"/>
      <c r="AD882" s="50"/>
      <c r="AE882" s="50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50"/>
      <c r="Z883" s="17"/>
      <c r="AA883" s="17"/>
      <c r="AB883" s="17"/>
      <c r="AC883" s="50"/>
      <c r="AD883" s="50"/>
      <c r="AE883" s="50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50"/>
      <c r="Z884" s="17"/>
      <c r="AA884" s="17"/>
      <c r="AB884" s="17"/>
      <c r="AC884" s="50"/>
      <c r="AD884" s="50"/>
      <c r="AE884" s="50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50"/>
      <c r="Z885" s="17"/>
      <c r="AA885" s="17"/>
      <c r="AB885" s="17"/>
      <c r="AC885" s="50"/>
      <c r="AD885" s="50"/>
      <c r="AE885" s="50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50"/>
      <c r="Z886" s="17"/>
      <c r="AA886" s="17"/>
      <c r="AB886" s="17"/>
      <c r="AC886" s="50"/>
      <c r="AD886" s="50"/>
      <c r="AE886" s="50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50"/>
      <c r="Z887" s="17"/>
      <c r="AA887" s="17"/>
      <c r="AB887" s="17"/>
      <c r="AC887" s="50"/>
      <c r="AD887" s="50"/>
      <c r="AE887" s="50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50"/>
      <c r="Z888" s="17"/>
      <c r="AA888" s="17"/>
      <c r="AB888" s="17"/>
      <c r="AC888" s="50"/>
      <c r="AD888" s="50"/>
      <c r="AE888" s="50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50"/>
      <c r="Z889" s="17"/>
      <c r="AA889" s="17"/>
      <c r="AB889" s="17"/>
      <c r="AC889" s="50"/>
      <c r="AD889" s="50"/>
      <c r="AE889" s="50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50"/>
      <c r="Z890" s="17"/>
      <c r="AA890" s="17"/>
      <c r="AB890" s="17"/>
      <c r="AC890" s="50"/>
      <c r="AD890" s="50"/>
      <c r="AE890" s="50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50"/>
      <c r="Z891" s="17"/>
      <c r="AA891" s="17"/>
      <c r="AB891" s="17"/>
      <c r="AC891" s="50"/>
      <c r="AD891" s="50"/>
      <c r="AE891" s="50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50"/>
      <c r="Z892" s="17"/>
      <c r="AA892" s="17"/>
      <c r="AB892" s="17"/>
      <c r="AC892" s="50"/>
      <c r="AD892" s="50"/>
      <c r="AE892" s="50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50"/>
      <c r="Z893" s="17"/>
      <c r="AA893" s="17"/>
      <c r="AB893" s="17"/>
      <c r="AC893" s="50"/>
      <c r="AD893" s="50"/>
      <c r="AE893" s="50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50"/>
      <c r="Z894" s="17"/>
      <c r="AA894" s="17"/>
      <c r="AB894" s="17"/>
      <c r="AC894" s="50"/>
      <c r="AD894" s="50"/>
      <c r="AE894" s="50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50"/>
      <c r="Z895" s="17"/>
      <c r="AA895" s="17"/>
      <c r="AB895" s="17"/>
      <c r="AC895" s="50"/>
      <c r="AD895" s="50"/>
      <c r="AE895" s="50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50"/>
      <c r="Z896" s="17"/>
      <c r="AA896" s="17"/>
      <c r="AB896" s="17"/>
      <c r="AC896" s="50"/>
      <c r="AD896" s="50"/>
      <c r="AE896" s="50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50"/>
      <c r="Z897" s="17"/>
      <c r="AA897" s="17"/>
      <c r="AB897" s="17"/>
      <c r="AC897" s="50"/>
      <c r="AD897" s="50"/>
      <c r="AE897" s="50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50"/>
      <c r="Z898" s="17"/>
      <c r="AA898" s="17"/>
      <c r="AB898" s="17"/>
      <c r="AC898" s="50"/>
      <c r="AD898" s="50"/>
      <c r="AE898" s="50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50"/>
      <c r="Z899" s="17"/>
      <c r="AA899" s="17"/>
      <c r="AB899" s="17"/>
      <c r="AC899" s="50"/>
      <c r="AD899" s="50"/>
      <c r="AE899" s="50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50"/>
      <c r="Z900" s="17"/>
      <c r="AA900" s="17"/>
      <c r="AB900" s="17"/>
      <c r="AC900" s="50"/>
      <c r="AD900" s="50"/>
      <c r="AE900" s="50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50"/>
      <c r="Z901" s="17"/>
      <c r="AA901" s="17"/>
      <c r="AB901" s="17"/>
      <c r="AC901" s="50"/>
      <c r="AD901" s="50"/>
      <c r="AE901" s="50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50"/>
      <c r="Z902" s="17"/>
      <c r="AA902" s="17"/>
      <c r="AB902" s="17"/>
      <c r="AC902" s="50"/>
      <c r="AD902" s="50"/>
      <c r="AE902" s="50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50"/>
      <c r="Z903" s="17"/>
      <c r="AA903" s="17"/>
      <c r="AB903" s="17"/>
      <c r="AC903" s="50"/>
      <c r="AD903" s="50"/>
      <c r="AE903" s="50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50"/>
      <c r="Z904" s="17"/>
      <c r="AA904" s="17"/>
      <c r="AB904" s="17"/>
      <c r="AC904" s="50"/>
      <c r="AD904" s="50"/>
      <c r="AE904" s="50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50"/>
      <c r="Z905" s="17"/>
      <c r="AA905" s="17"/>
      <c r="AB905" s="17"/>
      <c r="AC905" s="50"/>
      <c r="AD905" s="50"/>
      <c r="AE905" s="50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50"/>
      <c r="Z906" s="17"/>
      <c r="AA906" s="17"/>
      <c r="AB906" s="17"/>
      <c r="AC906" s="50"/>
      <c r="AD906" s="50"/>
      <c r="AE906" s="50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50"/>
      <c r="Z907" s="17"/>
      <c r="AA907" s="17"/>
      <c r="AB907" s="17"/>
      <c r="AC907" s="50"/>
      <c r="AD907" s="50"/>
      <c r="AE907" s="50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50"/>
      <c r="Z908" s="17"/>
      <c r="AA908" s="17"/>
      <c r="AB908" s="17"/>
      <c r="AC908" s="50"/>
      <c r="AD908" s="50"/>
      <c r="AE908" s="50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50"/>
      <c r="Z909" s="17"/>
      <c r="AA909" s="17"/>
      <c r="AB909" s="17"/>
      <c r="AC909" s="50"/>
      <c r="AD909" s="50"/>
      <c r="AE909" s="50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50"/>
      <c r="Z910" s="17"/>
      <c r="AA910" s="17"/>
      <c r="AB910" s="17"/>
      <c r="AC910" s="50"/>
      <c r="AD910" s="50"/>
      <c r="AE910" s="50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50"/>
      <c r="Z911" s="17"/>
      <c r="AA911" s="17"/>
      <c r="AB911" s="17"/>
      <c r="AC911" s="50"/>
      <c r="AD911" s="50"/>
      <c r="AE911" s="50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50"/>
      <c r="Z912" s="17"/>
      <c r="AA912" s="17"/>
      <c r="AB912" s="17"/>
      <c r="AC912" s="50"/>
      <c r="AD912" s="50"/>
      <c r="AE912" s="50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50"/>
      <c r="Z913" s="17"/>
      <c r="AA913" s="17"/>
      <c r="AB913" s="17"/>
      <c r="AC913" s="50"/>
      <c r="AD913" s="50"/>
      <c r="AE913" s="50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50"/>
      <c r="Z914" s="17"/>
      <c r="AA914" s="17"/>
      <c r="AB914" s="17"/>
      <c r="AC914" s="50"/>
      <c r="AD914" s="50"/>
      <c r="AE914" s="50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50"/>
      <c r="Z915" s="17"/>
      <c r="AA915" s="17"/>
      <c r="AB915" s="17"/>
      <c r="AC915" s="50"/>
      <c r="AD915" s="50"/>
      <c r="AE915" s="50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50"/>
      <c r="Z916" s="17"/>
      <c r="AA916" s="17"/>
      <c r="AB916" s="17"/>
      <c r="AC916" s="50"/>
      <c r="AD916" s="50"/>
      <c r="AE916" s="50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50"/>
      <c r="Z917" s="17"/>
      <c r="AA917" s="17"/>
      <c r="AB917" s="17"/>
      <c r="AC917" s="50"/>
      <c r="AD917" s="50"/>
      <c r="AE917" s="50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50"/>
      <c r="Z918" s="17"/>
      <c r="AA918" s="17"/>
      <c r="AB918" s="17"/>
      <c r="AC918" s="50"/>
      <c r="AD918" s="50"/>
      <c r="AE918" s="50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50"/>
      <c r="Z919" s="17"/>
      <c r="AA919" s="17"/>
      <c r="AB919" s="17"/>
      <c r="AC919" s="50"/>
      <c r="AD919" s="50"/>
      <c r="AE919" s="50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50"/>
      <c r="Z920" s="17"/>
      <c r="AA920" s="17"/>
      <c r="AB920" s="17"/>
      <c r="AC920" s="50"/>
      <c r="AD920" s="50"/>
      <c r="AE920" s="50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50"/>
      <c r="Z921" s="17"/>
      <c r="AA921" s="17"/>
      <c r="AB921" s="17"/>
      <c r="AC921" s="50"/>
      <c r="AD921" s="50"/>
      <c r="AE921" s="50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50"/>
      <c r="Z922" s="17"/>
      <c r="AA922" s="17"/>
      <c r="AB922" s="17"/>
      <c r="AC922" s="50"/>
      <c r="AD922" s="50"/>
      <c r="AE922" s="50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50"/>
      <c r="Z923" s="17"/>
      <c r="AA923" s="17"/>
      <c r="AB923" s="17"/>
      <c r="AC923" s="50"/>
      <c r="AD923" s="50"/>
      <c r="AE923" s="50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50"/>
      <c r="Z924" s="17"/>
      <c r="AA924" s="17"/>
      <c r="AB924" s="17"/>
      <c r="AC924" s="50"/>
      <c r="AD924" s="50"/>
      <c r="AE924" s="50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50"/>
      <c r="Z925" s="17"/>
      <c r="AA925" s="17"/>
      <c r="AB925" s="17"/>
      <c r="AC925" s="50"/>
      <c r="AD925" s="50"/>
      <c r="AE925" s="50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50"/>
      <c r="Z926" s="17"/>
      <c r="AA926" s="17"/>
      <c r="AB926" s="17"/>
      <c r="AC926" s="50"/>
      <c r="AD926" s="50"/>
      <c r="AE926" s="50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50"/>
      <c r="Z927" s="17"/>
      <c r="AA927" s="17"/>
      <c r="AB927" s="17"/>
      <c r="AC927" s="50"/>
      <c r="AD927" s="50"/>
      <c r="AE927" s="50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50"/>
      <c r="Z928" s="17"/>
      <c r="AA928" s="17"/>
      <c r="AB928" s="17"/>
      <c r="AC928" s="50"/>
      <c r="AD928" s="50"/>
      <c r="AE928" s="50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50"/>
      <c r="Z929" s="17"/>
      <c r="AA929" s="17"/>
      <c r="AB929" s="17"/>
      <c r="AC929" s="50"/>
      <c r="AD929" s="50"/>
      <c r="AE929" s="50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50"/>
      <c r="Z930" s="17"/>
      <c r="AA930" s="17"/>
      <c r="AB930" s="17"/>
      <c r="AC930" s="50"/>
      <c r="AD930" s="50"/>
      <c r="AE930" s="50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50"/>
      <c r="Z931" s="17"/>
      <c r="AA931" s="17"/>
      <c r="AB931" s="17"/>
      <c r="AC931" s="50"/>
      <c r="AD931" s="50"/>
      <c r="AE931" s="50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50"/>
      <c r="Z932" s="17"/>
      <c r="AA932" s="17"/>
      <c r="AB932" s="17"/>
      <c r="AC932" s="50"/>
      <c r="AD932" s="50"/>
      <c r="AE932" s="50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50"/>
      <c r="Z933" s="17"/>
      <c r="AA933" s="17"/>
      <c r="AB933" s="17"/>
      <c r="AC933" s="50"/>
      <c r="AD933" s="50"/>
      <c r="AE933" s="50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50"/>
      <c r="Z934" s="17"/>
      <c r="AA934" s="17"/>
      <c r="AB934" s="17"/>
      <c r="AC934" s="50"/>
      <c r="AD934" s="50"/>
      <c r="AE934" s="50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50"/>
      <c r="Z935" s="17"/>
      <c r="AA935" s="17"/>
      <c r="AB935" s="17"/>
      <c r="AC935" s="50"/>
      <c r="AD935" s="50"/>
      <c r="AE935" s="50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50"/>
      <c r="Z936" s="17"/>
      <c r="AA936" s="17"/>
      <c r="AB936" s="17"/>
      <c r="AC936" s="50"/>
      <c r="AD936" s="50"/>
      <c r="AE936" s="50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50"/>
      <c r="Z937" s="17"/>
      <c r="AA937" s="17"/>
      <c r="AB937" s="17"/>
      <c r="AC937" s="50"/>
      <c r="AD937" s="50"/>
      <c r="AE937" s="50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50"/>
      <c r="Z938" s="17"/>
      <c r="AA938" s="17"/>
      <c r="AB938" s="17"/>
      <c r="AC938" s="50"/>
      <c r="AD938" s="50"/>
      <c r="AE938" s="50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50"/>
      <c r="Z939" s="17"/>
      <c r="AA939" s="17"/>
      <c r="AB939" s="17"/>
      <c r="AC939" s="50"/>
      <c r="AD939" s="50"/>
      <c r="AE939" s="50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50"/>
      <c r="Z940" s="17"/>
      <c r="AA940" s="17"/>
      <c r="AB940" s="17"/>
      <c r="AC940" s="50"/>
      <c r="AD940" s="50"/>
      <c r="AE940" s="50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50"/>
      <c r="Z941" s="17"/>
      <c r="AA941" s="17"/>
      <c r="AB941" s="17"/>
      <c r="AC941" s="50"/>
      <c r="AD941" s="50"/>
      <c r="AE941" s="50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50"/>
      <c r="Z942" s="17"/>
      <c r="AA942" s="17"/>
      <c r="AB942" s="17"/>
      <c r="AC942" s="50"/>
      <c r="AD942" s="50"/>
      <c r="AE942" s="50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50"/>
      <c r="Z943" s="17"/>
      <c r="AA943" s="17"/>
      <c r="AB943" s="17"/>
      <c r="AC943" s="50"/>
      <c r="AD943" s="50"/>
      <c r="AE943" s="50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50"/>
      <c r="Z944" s="17"/>
      <c r="AA944" s="17"/>
      <c r="AB944" s="17"/>
      <c r="AC944" s="50"/>
      <c r="AD944" s="50"/>
      <c r="AE944" s="50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50"/>
      <c r="Z945" s="17"/>
      <c r="AA945" s="17"/>
      <c r="AB945" s="17"/>
      <c r="AC945" s="50"/>
      <c r="AD945" s="50"/>
      <c r="AE945" s="50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50"/>
      <c r="Z946" s="17"/>
      <c r="AA946" s="17"/>
      <c r="AB946" s="17"/>
      <c r="AC946" s="50"/>
      <c r="AD946" s="50"/>
      <c r="AE946" s="50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50"/>
      <c r="Z947" s="17"/>
      <c r="AA947" s="17"/>
      <c r="AB947" s="17"/>
      <c r="AC947" s="50"/>
      <c r="AD947" s="50"/>
      <c r="AE947" s="50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50"/>
      <c r="Z948" s="17"/>
      <c r="AA948" s="17"/>
      <c r="AB948" s="17"/>
      <c r="AC948" s="50"/>
      <c r="AD948" s="50"/>
      <c r="AE948" s="50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50"/>
      <c r="Z949" s="17"/>
      <c r="AA949" s="17"/>
      <c r="AB949" s="17"/>
      <c r="AC949" s="50"/>
      <c r="AD949" s="50"/>
      <c r="AE949" s="50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50"/>
      <c r="Z950" s="17"/>
      <c r="AA950" s="17"/>
      <c r="AB950" s="17"/>
      <c r="AC950" s="50"/>
      <c r="AD950" s="50"/>
      <c r="AE950" s="50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50"/>
      <c r="Z951" s="17"/>
      <c r="AA951" s="17"/>
      <c r="AB951" s="17"/>
      <c r="AC951" s="50"/>
      <c r="AD951" s="50"/>
      <c r="AE951" s="50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50"/>
      <c r="Z952" s="17"/>
      <c r="AA952" s="17"/>
      <c r="AB952" s="17"/>
      <c r="AC952" s="50"/>
      <c r="AD952" s="50"/>
      <c r="AE952" s="50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50"/>
      <c r="Z953" s="17"/>
      <c r="AA953" s="17"/>
      <c r="AB953" s="17"/>
      <c r="AC953" s="50"/>
      <c r="AD953" s="50"/>
      <c r="AE953" s="50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50"/>
      <c r="Z954" s="17"/>
      <c r="AA954" s="17"/>
      <c r="AB954" s="17"/>
      <c r="AC954" s="50"/>
      <c r="AD954" s="50"/>
      <c r="AE954" s="50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50"/>
      <c r="Z955" s="17"/>
      <c r="AA955" s="17"/>
      <c r="AB955" s="17"/>
      <c r="AC955" s="50"/>
      <c r="AD955" s="50"/>
      <c r="AE955" s="50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50"/>
      <c r="Z956" s="17"/>
      <c r="AA956" s="17"/>
      <c r="AB956" s="17"/>
      <c r="AC956" s="50"/>
      <c r="AD956" s="50"/>
      <c r="AE956" s="50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50"/>
      <c r="Z957" s="17"/>
      <c r="AA957" s="17"/>
      <c r="AB957" s="17"/>
      <c r="AC957" s="50"/>
      <c r="AD957" s="50"/>
      <c r="AE957" s="50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50"/>
      <c r="Z958" s="17"/>
      <c r="AA958" s="17"/>
      <c r="AB958" s="17"/>
      <c r="AC958" s="50"/>
      <c r="AD958" s="50"/>
      <c r="AE958" s="50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50"/>
      <c r="Z959" s="17"/>
      <c r="AA959" s="17"/>
      <c r="AB959" s="17"/>
      <c r="AC959" s="50"/>
      <c r="AD959" s="50"/>
      <c r="AE959" s="50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50"/>
      <c r="Z960" s="17"/>
      <c r="AA960" s="17"/>
      <c r="AB960" s="17"/>
      <c r="AC960" s="50"/>
      <c r="AD960" s="50"/>
      <c r="AE960" s="50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50"/>
      <c r="Z961" s="17"/>
      <c r="AA961" s="17"/>
      <c r="AB961" s="17"/>
      <c r="AC961" s="50"/>
      <c r="AD961" s="50"/>
      <c r="AE961" s="50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50"/>
      <c r="Z962" s="17"/>
      <c r="AA962" s="17"/>
      <c r="AB962" s="17"/>
      <c r="AC962" s="50"/>
      <c r="AD962" s="50"/>
      <c r="AE962" s="50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50"/>
      <c r="Z963" s="17"/>
      <c r="AA963" s="17"/>
      <c r="AB963" s="17"/>
      <c r="AC963" s="50"/>
      <c r="AD963" s="50"/>
      <c r="AE963" s="50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50"/>
      <c r="Z964" s="17"/>
      <c r="AA964" s="17"/>
      <c r="AB964" s="17"/>
      <c r="AC964" s="50"/>
      <c r="AD964" s="50"/>
      <c r="AE964" s="50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50"/>
      <c r="Z965" s="17"/>
      <c r="AA965" s="17"/>
      <c r="AB965" s="17"/>
      <c r="AC965" s="50"/>
      <c r="AD965" s="50"/>
      <c r="AE965" s="50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50"/>
      <c r="Z966" s="17"/>
      <c r="AA966" s="17"/>
      <c r="AB966" s="17"/>
      <c r="AC966" s="50"/>
      <c r="AD966" s="50"/>
      <c r="AE966" s="50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50"/>
      <c r="Z967" s="17"/>
      <c r="AA967" s="17"/>
      <c r="AB967" s="17"/>
      <c r="AC967" s="50"/>
      <c r="AD967" s="50"/>
      <c r="AE967" s="50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50"/>
      <c r="Z968" s="17"/>
      <c r="AA968" s="17"/>
      <c r="AB968" s="17"/>
      <c r="AC968" s="50"/>
      <c r="AD968" s="50"/>
      <c r="AE968" s="50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50"/>
      <c r="Z969" s="17"/>
      <c r="AA969" s="17"/>
      <c r="AB969" s="17"/>
      <c r="AC969" s="50"/>
      <c r="AD969" s="50"/>
      <c r="AE969" s="50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50"/>
      <c r="Z970" s="17"/>
      <c r="AA970" s="17"/>
      <c r="AB970" s="17"/>
      <c r="AC970" s="50"/>
      <c r="AD970" s="50"/>
      <c r="AE970" s="50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50"/>
      <c r="Z971" s="17"/>
      <c r="AA971" s="17"/>
      <c r="AB971" s="17"/>
      <c r="AC971" s="50"/>
      <c r="AD971" s="50"/>
      <c r="AE971" s="50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50"/>
      <c r="Z972" s="17"/>
      <c r="AA972" s="17"/>
      <c r="AB972" s="17"/>
      <c r="AC972" s="50"/>
      <c r="AD972" s="50"/>
      <c r="AE972" s="50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50"/>
      <c r="Z973" s="17"/>
      <c r="AA973" s="17"/>
      <c r="AB973" s="17"/>
      <c r="AC973" s="50"/>
      <c r="AD973" s="50"/>
      <c r="AE973" s="50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50"/>
      <c r="Z974" s="17"/>
      <c r="AA974" s="17"/>
      <c r="AB974" s="17"/>
      <c r="AC974" s="50"/>
      <c r="AD974" s="50"/>
      <c r="AE974" s="50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50"/>
      <c r="Z975" s="17"/>
      <c r="AA975" s="17"/>
      <c r="AB975" s="17"/>
      <c r="AC975" s="50"/>
      <c r="AD975" s="50"/>
      <c r="AE975" s="50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50"/>
      <c r="Z976" s="17"/>
      <c r="AA976" s="17"/>
      <c r="AB976" s="17"/>
      <c r="AC976" s="50"/>
      <c r="AD976" s="50"/>
      <c r="AE976" s="50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50"/>
      <c r="Z977" s="17"/>
      <c r="AA977" s="17"/>
      <c r="AB977" s="17"/>
      <c r="AC977" s="50"/>
      <c r="AD977" s="50"/>
      <c r="AE977" s="50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50"/>
      <c r="Z978" s="17"/>
      <c r="AA978" s="17"/>
      <c r="AB978" s="17"/>
      <c r="AC978" s="50"/>
      <c r="AD978" s="50"/>
      <c r="AE978" s="50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50"/>
      <c r="Z979" s="17"/>
      <c r="AA979" s="17"/>
      <c r="AB979" s="17"/>
      <c r="AC979" s="50"/>
      <c r="AD979" s="50"/>
      <c r="AE979" s="50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50"/>
      <c r="Z980" s="17"/>
      <c r="AA980" s="17"/>
      <c r="AB980" s="17"/>
      <c r="AC980" s="50"/>
      <c r="AD980" s="50"/>
      <c r="AE980" s="50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50"/>
      <c r="Z981" s="17"/>
      <c r="AA981" s="17"/>
      <c r="AB981" s="17"/>
      <c r="AC981" s="50"/>
      <c r="AD981" s="50"/>
      <c r="AE981" s="50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50"/>
      <c r="Z982" s="17"/>
      <c r="AA982" s="17"/>
      <c r="AB982" s="17"/>
      <c r="AC982" s="50"/>
      <c r="AD982" s="50"/>
      <c r="AE982" s="50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50"/>
      <c r="Z983" s="17"/>
      <c r="AA983" s="17"/>
      <c r="AB983" s="17"/>
      <c r="AC983" s="50"/>
      <c r="AD983" s="50"/>
      <c r="AE983" s="50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50"/>
      <c r="Z984" s="17"/>
      <c r="AA984" s="17"/>
      <c r="AB984" s="17"/>
      <c r="AC984" s="50"/>
      <c r="AD984" s="50"/>
      <c r="AE984" s="50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50"/>
      <c r="Z985" s="17"/>
      <c r="AA985" s="17"/>
      <c r="AB985" s="17"/>
      <c r="AC985" s="50"/>
      <c r="AD985" s="50"/>
      <c r="AE985" s="50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50"/>
      <c r="Z986" s="17"/>
      <c r="AA986" s="17"/>
      <c r="AB986" s="17"/>
      <c r="AC986" s="50"/>
      <c r="AD986" s="50"/>
      <c r="AE986" s="50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50"/>
      <c r="Z987" s="17"/>
      <c r="AA987" s="17"/>
      <c r="AB987" s="17"/>
      <c r="AC987" s="50"/>
      <c r="AD987" s="50"/>
      <c r="AE987" s="50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50"/>
      <c r="Z988" s="17"/>
      <c r="AA988" s="17"/>
      <c r="AB988" s="17"/>
      <c r="AC988" s="50"/>
      <c r="AD988" s="50"/>
      <c r="AE988" s="50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50"/>
      <c r="Z989" s="17"/>
      <c r="AA989" s="17"/>
      <c r="AB989" s="17"/>
      <c r="AC989" s="50"/>
      <c r="AD989" s="50"/>
      <c r="AE989" s="50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50"/>
      <c r="Z990" s="17"/>
      <c r="AA990" s="17"/>
      <c r="AB990" s="17"/>
      <c r="AC990" s="50"/>
      <c r="AD990" s="50"/>
      <c r="AE990" s="50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50"/>
      <c r="Z991" s="17"/>
      <c r="AA991" s="17"/>
      <c r="AB991" s="17"/>
      <c r="AC991" s="50"/>
      <c r="AD991" s="50"/>
      <c r="AE991" s="50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50"/>
      <c r="Z992" s="17"/>
      <c r="AA992" s="17"/>
      <c r="AB992" s="17"/>
      <c r="AC992" s="50"/>
      <c r="AD992" s="50"/>
      <c r="AE992" s="50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50"/>
      <c r="Z993" s="17"/>
      <c r="AA993" s="17"/>
      <c r="AB993" s="17"/>
      <c r="AC993" s="50"/>
      <c r="AD993" s="50"/>
      <c r="AE993" s="50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50"/>
      <c r="Z994" s="17"/>
      <c r="AA994" s="17"/>
      <c r="AB994" s="17"/>
      <c r="AC994" s="50"/>
      <c r="AD994" s="50"/>
      <c r="AE994" s="50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50"/>
      <c r="Z995" s="17"/>
      <c r="AA995" s="17"/>
      <c r="AB995" s="17"/>
      <c r="AC995" s="50"/>
      <c r="AD995" s="50"/>
      <c r="AE995" s="50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50"/>
      <c r="Z996" s="17"/>
      <c r="AA996" s="17"/>
      <c r="AB996" s="17"/>
      <c r="AC996" s="50"/>
      <c r="AD996" s="50"/>
      <c r="AE996" s="50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50"/>
      <c r="Z997" s="17"/>
      <c r="AA997" s="17"/>
      <c r="AB997" s="17"/>
      <c r="AC997" s="50"/>
      <c r="AD997" s="50"/>
      <c r="AE997" s="50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50"/>
      <c r="Z998" s="17"/>
      <c r="AA998" s="17"/>
      <c r="AB998" s="17"/>
      <c r="AC998" s="50"/>
      <c r="AD998" s="50"/>
      <c r="AE998" s="50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50"/>
      <c r="Z999" s="17"/>
      <c r="AA999" s="17"/>
      <c r="AB999" s="17"/>
      <c r="AC999" s="50"/>
      <c r="AD999" s="50"/>
      <c r="AE999" s="50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50"/>
      <c r="Z1000" s="17"/>
      <c r="AA1000" s="17"/>
      <c r="AB1000" s="17"/>
      <c r="AC1000" s="50"/>
      <c r="AD1000" s="50"/>
      <c r="AE1000" s="50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50"/>
      <c r="Z1001" s="17"/>
      <c r="AA1001" s="17"/>
      <c r="AB1001" s="17"/>
      <c r="AC1001" s="50"/>
      <c r="AD1001" s="50"/>
      <c r="AE1001" s="50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50"/>
      <c r="Z1002" s="17"/>
      <c r="AA1002" s="17"/>
      <c r="AB1002" s="17"/>
      <c r="AC1002" s="50"/>
      <c r="AD1002" s="50"/>
      <c r="AE1002" s="50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50"/>
      <c r="Z1003" s="17"/>
      <c r="AA1003" s="17"/>
      <c r="AB1003" s="17"/>
      <c r="AC1003" s="50"/>
      <c r="AD1003" s="50"/>
      <c r="AE1003" s="50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50"/>
      <c r="Z1004" s="17"/>
      <c r="AA1004" s="17"/>
      <c r="AB1004" s="17"/>
      <c r="AC1004" s="50"/>
      <c r="AD1004" s="50"/>
      <c r="AE1004" s="50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50"/>
      <c r="Z1005" s="17"/>
      <c r="AA1005" s="17"/>
      <c r="AB1005" s="17"/>
      <c r="AC1005" s="50"/>
      <c r="AD1005" s="50"/>
      <c r="AE1005" s="50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</sheetData>
  <conditionalFormatting sqref="M16">
    <cfRule type="expression" dxfId="4" priority="1">
      <formula> SUM($N17:$Y17) &gt;0</formula>
    </cfRule>
  </conditionalFormatting>
  <conditionalFormatting sqref="E17">
    <cfRule type="expression" dxfId="4" priority="2">
      <formula> SUM($N16:$Y16) &gt;0</formula>
    </cfRule>
  </conditionalFormatting>
  <conditionalFormatting sqref="D2:D32 E12:H12 J12:M12">
    <cfRule type="expression" dxfId="4" priority="3">
      <formula> SUM($N2:$Y2) &gt; 0</formula>
    </cfRule>
  </conditionalFormatting>
  <conditionalFormatting sqref="M8">
    <cfRule type="expression" dxfId="4" priority="4">
      <formula> SUM($N7:$Y7) &gt;0</formula>
    </cfRule>
  </conditionalFormatting>
  <conditionalFormatting sqref="K8">
    <cfRule type="expression" dxfId="4" priority="5">
      <formula> SUM($N7:$Y7) &gt;0</formula>
    </cfRule>
  </conditionalFormatting>
  <conditionalFormatting sqref="G8 H8:H9 G16 G24 G32">
    <cfRule type="expression" dxfId="4" priority="6">
      <formula> SUM($N7:$Y7) &gt;0</formula>
    </cfRule>
  </conditionalFormatting>
  <conditionalFormatting sqref="F8">
    <cfRule type="expression" dxfId="4" priority="7">
      <formula> SUM($N7:$Y7) &gt;0</formula>
    </cfRule>
  </conditionalFormatting>
  <conditionalFormatting sqref="E8">
    <cfRule type="expression" dxfId="4" priority="8">
      <formula> SUM($N7:$Y7) &gt;0</formula>
    </cfRule>
  </conditionalFormatting>
  <conditionalFormatting sqref="D2:D32 E2:E6 F2:F7 G2:G32 H2:H6 J2:J32 K2:K6 L2:L32 M2:M6 N2:Y32 AE2:AE32 E9:F32 H9:H32 K9:K32 M9:M15 AI12:AJ32 M18:M32">
    <cfRule type="expression" dxfId="4" priority="9">
      <formula> SUM($N2:$Y2) &gt;0</formula>
    </cfRule>
  </conditionalFormatting>
  <conditionalFormatting sqref="AD2:AD32">
    <cfRule type="colorScale" priority="10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13"/>
    <col customWidth="1" min="2" max="2" width="7.63"/>
    <col customWidth="1" min="3" max="3" width="6.63"/>
    <col customWidth="1" min="4" max="4" width="13.25"/>
    <col customWidth="1" min="5" max="5" width="9.0"/>
    <col customWidth="1" min="6" max="7" width="9.25"/>
    <col customWidth="1" min="8" max="8" width="8.88"/>
    <col customWidth="1" min="9" max="9" width="8.63"/>
    <col customWidth="1" min="10" max="10" width="5.63"/>
    <col customWidth="1" min="11" max="11" width="6.25"/>
    <col customWidth="1" min="12" max="12" width="6.13"/>
    <col customWidth="1" min="13" max="13" width="21.5"/>
    <col customWidth="1" min="14" max="14" width="7.88"/>
    <col customWidth="1" min="15" max="15" width="8.0"/>
    <col customWidth="1" min="16" max="16" width="8.63"/>
    <col customWidth="1" min="17" max="17" width="8.5"/>
    <col customWidth="1" min="18" max="18" width="7.88"/>
    <col customWidth="1" min="19" max="19" width="8.88"/>
    <col customWidth="1" min="20" max="20" width="9.25"/>
    <col customWidth="1" min="21" max="21" width="8.75"/>
    <col customWidth="1" min="22" max="22" width="9.0"/>
    <col customWidth="1" min="23" max="23" width="7.88"/>
    <col customWidth="1" min="24" max="24" width="7.5"/>
    <col customWidth="1" min="25" max="25" width="6.63"/>
    <col customWidth="1" min="26" max="26" width="5.63"/>
    <col customWidth="1" min="27" max="27" width="5.75"/>
    <col customWidth="1" min="28" max="28" width="12.13"/>
    <col customWidth="1" min="29" max="29" width="14.63"/>
    <col customWidth="1" hidden="1" min="30" max="30" width="6.38"/>
    <col customWidth="1" min="31" max="31" width="50.38"/>
  </cols>
  <sheetData>
    <row r="1">
      <c r="A1" s="180" t="s">
        <v>66</v>
      </c>
      <c r="B1" s="180" t="s">
        <v>0</v>
      </c>
      <c r="C1" s="180" t="s">
        <v>1</v>
      </c>
      <c r="D1" s="180" t="s">
        <v>2</v>
      </c>
      <c r="E1" s="181" t="s">
        <v>3</v>
      </c>
      <c r="F1" s="180" t="s">
        <v>4</v>
      </c>
      <c r="G1" s="180" t="s">
        <v>67</v>
      </c>
      <c r="H1" s="180" t="s">
        <v>6</v>
      </c>
      <c r="I1" s="181" t="s">
        <v>7</v>
      </c>
      <c r="J1" s="181" t="s">
        <v>8</v>
      </c>
      <c r="K1" s="181" t="s">
        <v>68</v>
      </c>
      <c r="L1" s="181" t="s">
        <v>69</v>
      </c>
      <c r="M1" s="180" t="s">
        <v>11</v>
      </c>
      <c r="N1" s="182" t="s">
        <v>12</v>
      </c>
      <c r="O1" s="182" t="s">
        <v>13</v>
      </c>
      <c r="P1" s="182" t="s">
        <v>14</v>
      </c>
      <c r="Q1" s="182" t="s">
        <v>70</v>
      </c>
      <c r="R1" s="182" t="s">
        <v>71</v>
      </c>
      <c r="S1" s="182" t="s">
        <v>17</v>
      </c>
      <c r="T1" s="182" t="s">
        <v>18</v>
      </c>
      <c r="U1" s="182" t="s">
        <v>19</v>
      </c>
      <c r="V1" s="182" t="s">
        <v>20</v>
      </c>
      <c r="W1" s="182" t="s">
        <v>21</v>
      </c>
      <c r="X1" s="182" t="s">
        <v>72</v>
      </c>
      <c r="Y1" s="182" t="s">
        <v>23</v>
      </c>
      <c r="Z1" s="181" t="s">
        <v>73</v>
      </c>
      <c r="AA1" s="181" t="s">
        <v>74</v>
      </c>
      <c r="AB1" s="181" t="s">
        <v>26</v>
      </c>
      <c r="AC1" s="181" t="s">
        <v>27</v>
      </c>
      <c r="AD1" s="182" t="s">
        <v>28</v>
      </c>
      <c r="AE1" s="181" t="s">
        <v>29</v>
      </c>
      <c r="AF1" s="84"/>
      <c r="AG1" s="84"/>
      <c r="AH1" s="84"/>
      <c r="AI1" s="84"/>
      <c r="AJ1" s="84"/>
      <c r="AK1" s="84"/>
      <c r="AL1" s="85"/>
      <c r="AM1" s="85"/>
      <c r="AN1" s="85"/>
      <c r="AO1" s="85"/>
      <c r="AP1" s="85"/>
      <c r="AQ1" s="85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</row>
    <row r="2">
      <c r="A2" s="6">
        <v>44287.0</v>
      </c>
      <c r="B2" s="110">
        <v>1940.0</v>
      </c>
      <c r="C2" s="110">
        <v>2010.0</v>
      </c>
      <c r="D2" s="8" t="str">
        <f t="shared" ref="D2:D31" si="1">choose(weekday(A2),"Phil/Fred", "Jane/Sarah", "Jim/John/Lena","Marsha/Anne","Shawn/Jenny","Jeff", "Rob/Maggie")</f>
        <v>Shawn/Jenny</v>
      </c>
      <c r="E2" s="88" t="s">
        <v>35</v>
      </c>
      <c r="F2" s="103"/>
      <c r="G2" s="21">
        <v>44287.0</v>
      </c>
      <c r="H2" s="89"/>
      <c r="I2" s="23">
        <f t="shared" ref="I2:I32" si="2">iferror(24*( DATEDIF(A2,G2,"D")+TIMEVALUE(H2)-TIMEVALUE(F2)),0)</f>
        <v>0</v>
      </c>
      <c r="J2" s="88"/>
      <c r="K2" s="88"/>
      <c r="L2" s="88"/>
      <c r="M2" s="88" t="s">
        <v>100</v>
      </c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26">
        <f t="shared" ref="Z2:Z31" si="3">sum(N2:Q2)</f>
        <v>0</v>
      </c>
      <c r="AA2" s="26">
        <f t="shared" ref="AA2:AA31" si="4">sum(R2:V2)</f>
        <v>0</v>
      </c>
      <c r="AB2" s="27">
        <f t="shared" ref="AB2:AB31" si="5">sum(N2:O2)</f>
        <v>0</v>
      </c>
      <c r="AC2" s="27">
        <f t="shared" ref="AC2:AC31" si="6">sum(R2:S2,V2)</f>
        <v>0</v>
      </c>
      <c r="AD2" s="184">
        <v>0.15</v>
      </c>
      <c r="AE2" s="92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</row>
    <row r="3">
      <c r="A3" s="6">
        <v>44288.0</v>
      </c>
      <c r="B3" s="110">
        <v>1941.0</v>
      </c>
      <c r="C3" s="110">
        <v>2011.0</v>
      </c>
      <c r="D3" s="8" t="str">
        <f t="shared" si="1"/>
        <v>Jeff</v>
      </c>
      <c r="E3" s="88" t="s">
        <v>35</v>
      </c>
      <c r="F3" s="103"/>
      <c r="G3" s="21">
        <v>44288.0</v>
      </c>
      <c r="H3" s="95"/>
      <c r="I3" s="23">
        <f t="shared" si="2"/>
        <v>0</v>
      </c>
      <c r="J3" s="94"/>
      <c r="K3" s="94"/>
      <c r="L3" s="94"/>
      <c r="M3" s="88" t="s">
        <v>100</v>
      </c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26">
        <f t="shared" si="3"/>
        <v>0</v>
      </c>
      <c r="AA3" s="26">
        <f t="shared" si="4"/>
        <v>0</v>
      </c>
      <c r="AB3" s="27">
        <f t="shared" si="5"/>
        <v>0</v>
      </c>
      <c r="AC3" s="27">
        <f t="shared" si="6"/>
        <v>0</v>
      </c>
      <c r="AD3" s="184">
        <v>0.09</v>
      </c>
      <c r="AE3" s="98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</row>
    <row r="4">
      <c r="A4" s="6">
        <v>44289.0</v>
      </c>
      <c r="B4" s="110">
        <v>1942.0</v>
      </c>
      <c r="C4" s="110">
        <v>2012.0</v>
      </c>
      <c r="D4" s="8" t="str">
        <f t="shared" si="1"/>
        <v>Rob/Maggie</v>
      </c>
      <c r="E4" s="88" t="s">
        <v>35</v>
      </c>
      <c r="F4" s="103"/>
      <c r="G4" s="21">
        <v>44289.0</v>
      </c>
      <c r="H4" s="89"/>
      <c r="I4" s="23">
        <f t="shared" si="2"/>
        <v>0</v>
      </c>
      <c r="J4" s="88"/>
      <c r="K4" s="88">
        <v>52.0</v>
      </c>
      <c r="L4" s="88"/>
      <c r="M4" s="88" t="s">
        <v>101</v>
      </c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26">
        <f t="shared" si="3"/>
        <v>0</v>
      </c>
      <c r="AA4" s="26">
        <f t="shared" si="4"/>
        <v>0</v>
      </c>
      <c r="AB4" s="27">
        <f t="shared" si="5"/>
        <v>0</v>
      </c>
      <c r="AC4" s="27">
        <f t="shared" si="6"/>
        <v>0</v>
      </c>
      <c r="AD4" s="184">
        <v>0.04</v>
      </c>
      <c r="AE4" s="92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</row>
    <row r="5">
      <c r="A5" s="6">
        <v>44290.0</v>
      </c>
      <c r="B5" s="110">
        <v>1944.0</v>
      </c>
      <c r="C5" s="110">
        <v>2014.0</v>
      </c>
      <c r="D5" s="8" t="str">
        <f t="shared" si="1"/>
        <v>Phil/Fred</v>
      </c>
      <c r="E5" s="88" t="s">
        <v>35</v>
      </c>
      <c r="F5" s="103"/>
      <c r="G5" s="21">
        <v>44290.0</v>
      </c>
      <c r="H5" s="95"/>
      <c r="I5" s="23">
        <f t="shared" si="2"/>
        <v>0</v>
      </c>
      <c r="J5" s="94"/>
      <c r="K5" s="94"/>
      <c r="L5" s="94"/>
      <c r="M5" s="94" t="s">
        <v>102</v>
      </c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26">
        <f t="shared" si="3"/>
        <v>0</v>
      </c>
      <c r="AA5" s="26">
        <f t="shared" si="4"/>
        <v>0</v>
      </c>
      <c r="AB5" s="27">
        <f t="shared" si="5"/>
        <v>0</v>
      </c>
      <c r="AC5" s="27">
        <f t="shared" si="6"/>
        <v>0</v>
      </c>
      <c r="AD5" s="184">
        <v>0.01</v>
      </c>
      <c r="AE5" s="98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</row>
    <row r="6">
      <c r="A6" s="6">
        <v>44291.0</v>
      </c>
      <c r="B6" s="110">
        <v>1945.0</v>
      </c>
      <c r="C6" s="110">
        <v>2015.0</v>
      </c>
      <c r="D6" s="8" t="str">
        <f t="shared" si="1"/>
        <v>Jane/Sarah</v>
      </c>
      <c r="E6" s="88" t="s">
        <v>35</v>
      </c>
      <c r="F6" s="185"/>
      <c r="G6" s="21">
        <v>44291.0</v>
      </c>
      <c r="H6" s="186"/>
      <c r="I6" s="23">
        <f t="shared" si="2"/>
        <v>0</v>
      </c>
      <c r="J6" s="128"/>
      <c r="K6" s="128">
        <v>44.0</v>
      </c>
      <c r="L6" s="128"/>
      <c r="M6" s="129" t="s">
        <v>102</v>
      </c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130">
        <f t="shared" si="3"/>
        <v>0</v>
      </c>
      <c r="AA6" s="130">
        <f t="shared" si="4"/>
        <v>0</v>
      </c>
      <c r="AB6" s="131">
        <f t="shared" si="5"/>
        <v>0</v>
      </c>
      <c r="AC6" s="131">
        <f t="shared" si="6"/>
        <v>0</v>
      </c>
      <c r="AD6" s="187">
        <v>0.0</v>
      </c>
      <c r="AE6" s="129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88"/>
      <c r="BG6" s="188"/>
      <c r="BH6" s="188"/>
      <c r="BI6" s="188"/>
      <c r="BJ6" s="188"/>
      <c r="BK6" s="188"/>
      <c r="BL6" s="188"/>
      <c r="BM6" s="188"/>
      <c r="BN6" s="188"/>
    </row>
    <row r="7">
      <c r="A7" s="6">
        <v>44292.0</v>
      </c>
      <c r="B7" s="110">
        <v>1946.0</v>
      </c>
      <c r="C7" s="110">
        <v>2017.0</v>
      </c>
      <c r="D7" s="8" t="str">
        <f t="shared" si="1"/>
        <v>Jim/John/Lena</v>
      </c>
      <c r="E7" s="88" t="s">
        <v>35</v>
      </c>
      <c r="F7" s="103"/>
      <c r="G7" s="21">
        <v>44292.0</v>
      </c>
      <c r="H7" s="95"/>
      <c r="I7" s="23">
        <f t="shared" si="2"/>
        <v>0</v>
      </c>
      <c r="J7" s="94"/>
      <c r="K7" s="94"/>
      <c r="L7" s="94"/>
      <c r="M7" s="98"/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26">
        <f t="shared" si="3"/>
        <v>0</v>
      </c>
      <c r="AA7" s="26">
        <f t="shared" si="4"/>
        <v>0</v>
      </c>
      <c r="AB7" s="27">
        <f t="shared" si="5"/>
        <v>0</v>
      </c>
      <c r="AC7" s="27">
        <f t="shared" si="6"/>
        <v>0</v>
      </c>
      <c r="AD7" s="184">
        <v>0.01</v>
      </c>
      <c r="AE7" s="98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/>
      <c r="BG7" s="120"/>
      <c r="BH7" s="120"/>
      <c r="BI7" s="120"/>
      <c r="BJ7" s="120"/>
      <c r="BK7" s="120"/>
      <c r="BL7" s="120"/>
      <c r="BM7" s="120"/>
      <c r="BN7" s="120"/>
    </row>
    <row r="8">
      <c r="A8" s="6">
        <v>44293.0</v>
      </c>
      <c r="B8" s="110">
        <v>1947.0</v>
      </c>
      <c r="C8" s="110">
        <v>2018.0</v>
      </c>
      <c r="D8" s="8" t="str">
        <f t="shared" si="1"/>
        <v>Marsha/Anne</v>
      </c>
      <c r="E8" s="88" t="s">
        <v>30</v>
      </c>
      <c r="F8" s="103">
        <v>0.8333333333333334</v>
      </c>
      <c r="G8" s="21">
        <v>44293.0</v>
      </c>
      <c r="H8" s="89">
        <v>0.8993055555555556</v>
      </c>
      <c r="I8" s="23">
        <f t="shared" si="2"/>
        <v>1.583333333</v>
      </c>
      <c r="J8" s="88">
        <v>4.5</v>
      </c>
      <c r="K8" s="88">
        <v>46.7</v>
      </c>
      <c r="L8" s="88">
        <v>45.1</v>
      </c>
      <c r="M8" s="92" t="s">
        <v>92</v>
      </c>
      <c r="N8" s="88">
        <v>0.0</v>
      </c>
      <c r="O8" s="88">
        <v>0.0</v>
      </c>
      <c r="P8" s="88">
        <v>0.0</v>
      </c>
      <c r="Q8" s="88">
        <v>0.0</v>
      </c>
      <c r="R8" s="88">
        <v>1.0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26">
        <f t="shared" si="3"/>
        <v>0</v>
      </c>
      <c r="AA8" s="26">
        <f t="shared" si="4"/>
        <v>1</v>
      </c>
      <c r="AB8" s="27">
        <f t="shared" si="5"/>
        <v>0</v>
      </c>
      <c r="AC8" s="27">
        <f t="shared" si="6"/>
        <v>1</v>
      </c>
      <c r="AD8" s="184">
        <v>0.04</v>
      </c>
      <c r="AE8" s="92" t="s">
        <v>103</v>
      </c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</row>
    <row r="9">
      <c r="A9" s="6">
        <v>44294.0</v>
      </c>
      <c r="B9" s="110">
        <v>1949.0</v>
      </c>
      <c r="C9" s="110">
        <v>2019.0</v>
      </c>
      <c r="D9" s="8" t="str">
        <f t="shared" si="1"/>
        <v>Shawn/Jenny</v>
      </c>
      <c r="E9" s="88" t="s">
        <v>30</v>
      </c>
      <c r="F9" s="103">
        <v>0.8541666666666666</v>
      </c>
      <c r="G9" s="21">
        <v>44294.0</v>
      </c>
      <c r="H9" s="95">
        <v>0.8576388888888888</v>
      </c>
      <c r="I9" s="23">
        <f t="shared" si="2"/>
        <v>0.08333333333</v>
      </c>
      <c r="J9" s="94"/>
      <c r="K9" s="94">
        <v>48.0</v>
      </c>
      <c r="L9" s="94">
        <v>48.0</v>
      </c>
      <c r="M9" s="98" t="s">
        <v>104</v>
      </c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26">
        <f t="shared" si="3"/>
        <v>0</v>
      </c>
      <c r="AA9" s="26">
        <f t="shared" si="4"/>
        <v>0</v>
      </c>
      <c r="AB9" s="27">
        <f t="shared" si="5"/>
        <v>0</v>
      </c>
      <c r="AC9" s="27">
        <f t="shared" si="6"/>
        <v>0</v>
      </c>
      <c r="AD9" s="184">
        <v>0.09</v>
      </c>
      <c r="AE9" s="98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</row>
    <row r="10">
      <c r="A10" s="6">
        <v>44295.0</v>
      </c>
      <c r="B10" s="110">
        <v>1950.0</v>
      </c>
      <c r="C10" s="110">
        <v>2021.0</v>
      </c>
      <c r="D10" s="8" t="str">
        <f t="shared" si="1"/>
        <v>Jeff</v>
      </c>
      <c r="E10" s="88" t="s">
        <v>30</v>
      </c>
      <c r="F10" s="103">
        <v>0.8541666666666666</v>
      </c>
      <c r="G10" s="21">
        <v>44295.0</v>
      </c>
      <c r="H10" s="89">
        <v>0.875</v>
      </c>
      <c r="I10" s="23">
        <f t="shared" si="2"/>
        <v>0.5</v>
      </c>
      <c r="J10" s="88">
        <v>0.5</v>
      </c>
      <c r="K10" s="88">
        <v>48.0</v>
      </c>
      <c r="L10" s="88">
        <v>48.0</v>
      </c>
      <c r="M10" s="92" t="s">
        <v>105</v>
      </c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26">
        <f t="shared" si="3"/>
        <v>0</v>
      </c>
      <c r="AA10" s="26">
        <f t="shared" si="4"/>
        <v>0</v>
      </c>
      <c r="AB10" s="27">
        <f t="shared" si="5"/>
        <v>0</v>
      </c>
      <c r="AC10" s="27">
        <f t="shared" si="6"/>
        <v>0</v>
      </c>
      <c r="AD10" s="184">
        <v>0.16</v>
      </c>
      <c r="AE10" s="92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</row>
    <row r="11">
      <c r="A11" s="6">
        <v>44296.0</v>
      </c>
      <c r="B11" s="110">
        <v>1951.0</v>
      </c>
      <c r="C11" s="110">
        <v>2022.0</v>
      </c>
      <c r="D11" s="8" t="str">
        <f t="shared" si="1"/>
        <v>Rob/Maggie</v>
      </c>
      <c r="E11" s="88" t="s">
        <v>35</v>
      </c>
      <c r="F11" s="88"/>
      <c r="G11" s="21">
        <v>44296.0</v>
      </c>
      <c r="H11" s="112"/>
      <c r="I11" s="23">
        <f t="shared" si="2"/>
        <v>0</v>
      </c>
      <c r="J11" s="113"/>
      <c r="K11" s="113"/>
      <c r="L11" s="113"/>
      <c r="M11" s="114" t="s">
        <v>102</v>
      </c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26">
        <f t="shared" si="3"/>
        <v>0</v>
      </c>
      <c r="AA11" s="26">
        <f t="shared" si="4"/>
        <v>0</v>
      </c>
      <c r="AB11" s="27">
        <f t="shared" si="5"/>
        <v>0</v>
      </c>
      <c r="AC11" s="27">
        <f t="shared" si="6"/>
        <v>0</v>
      </c>
      <c r="AD11" s="184">
        <v>0.24</v>
      </c>
      <c r="AE11" s="114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89"/>
      <c r="BD11" s="189"/>
      <c r="BE11" s="189"/>
      <c r="BF11" s="189"/>
      <c r="BG11" s="189"/>
      <c r="BH11" s="189"/>
      <c r="BI11" s="189"/>
      <c r="BJ11" s="189"/>
      <c r="BK11" s="189"/>
      <c r="BL11" s="189"/>
      <c r="BM11" s="189"/>
      <c r="BN11" s="189"/>
    </row>
    <row r="12">
      <c r="A12" s="6">
        <v>44297.0</v>
      </c>
      <c r="B12" s="110">
        <v>1953.0</v>
      </c>
      <c r="C12" s="110">
        <v>2023.0</v>
      </c>
      <c r="D12" s="8" t="str">
        <f t="shared" si="1"/>
        <v>Phil/Fred</v>
      </c>
      <c r="E12" s="88" t="s">
        <v>35</v>
      </c>
      <c r="F12" s="103"/>
      <c r="G12" s="21">
        <v>44297.0</v>
      </c>
      <c r="H12" s="89"/>
      <c r="I12" s="23">
        <f t="shared" si="2"/>
        <v>0</v>
      </c>
      <c r="J12" s="88"/>
      <c r="K12" s="88"/>
      <c r="L12" s="88"/>
      <c r="M12" s="92" t="s">
        <v>102</v>
      </c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0.0</v>
      </c>
      <c r="Y12" s="88">
        <v>0.0</v>
      </c>
      <c r="Z12" s="26">
        <f t="shared" si="3"/>
        <v>0</v>
      </c>
      <c r="AA12" s="26">
        <f t="shared" si="4"/>
        <v>0</v>
      </c>
      <c r="AB12" s="27">
        <f t="shared" si="5"/>
        <v>0</v>
      </c>
      <c r="AC12" s="27">
        <f t="shared" si="6"/>
        <v>0</v>
      </c>
      <c r="AD12" s="184">
        <v>0.34</v>
      </c>
      <c r="AE12" s="92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</row>
    <row r="13">
      <c r="A13" s="6">
        <v>44298.0</v>
      </c>
      <c r="B13" s="110">
        <v>1954.0</v>
      </c>
      <c r="C13" s="110">
        <v>2025.0</v>
      </c>
      <c r="D13" s="8" t="str">
        <f t="shared" si="1"/>
        <v>Jane/Sarah</v>
      </c>
      <c r="E13" s="88" t="s">
        <v>35</v>
      </c>
      <c r="F13" s="103"/>
      <c r="G13" s="21">
        <v>44298.0</v>
      </c>
      <c r="H13" s="95"/>
      <c r="I13" s="23">
        <f t="shared" si="2"/>
        <v>0</v>
      </c>
      <c r="J13" s="94"/>
      <c r="K13" s="94"/>
      <c r="L13" s="94"/>
      <c r="M13" s="98" t="s">
        <v>102</v>
      </c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26">
        <f t="shared" si="3"/>
        <v>0</v>
      </c>
      <c r="AA13" s="26">
        <f t="shared" si="4"/>
        <v>0</v>
      </c>
      <c r="AB13" s="27">
        <f t="shared" si="5"/>
        <v>0</v>
      </c>
      <c r="AC13" s="27">
        <f t="shared" si="6"/>
        <v>0</v>
      </c>
      <c r="AD13" s="184">
        <v>0.45</v>
      </c>
      <c r="AE13" s="98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20"/>
      <c r="BK13" s="120"/>
      <c r="BL13" s="120"/>
      <c r="BM13" s="120"/>
      <c r="BN13" s="120"/>
    </row>
    <row r="14">
      <c r="A14" s="6">
        <v>44299.0</v>
      </c>
      <c r="B14" s="110">
        <v>1955.0</v>
      </c>
      <c r="C14" s="110">
        <v>2026.0</v>
      </c>
      <c r="D14" s="8" t="str">
        <f t="shared" si="1"/>
        <v>Jim/John/Lena</v>
      </c>
      <c r="E14" s="88" t="s">
        <v>35</v>
      </c>
      <c r="F14" s="88"/>
      <c r="G14" s="21">
        <v>44299.0</v>
      </c>
      <c r="H14" s="89"/>
      <c r="I14" s="23">
        <f t="shared" si="2"/>
        <v>0</v>
      </c>
      <c r="J14" s="88"/>
      <c r="K14" s="88"/>
      <c r="L14" s="88"/>
      <c r="M14" s="92" t="s">
        <v>102</v>
      </c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26">
        <f t="shared" si="3"/>
        <v>0</v>
      </c>
      <c r="AA14" s="26">
        <f t="shared" si="4"/>
        <v>0</v>
      </c>
      <c r="AB14" s="27">
        <f t="shared" si="5"/>
        <v>0</v>
      </c>
      <c r="AC14" s="27">
        <f t="shared" si="6"/>
        <v>0</v>
      </c>
      <c r="AD14" s="184">
        <v>0.56</v>
      </c>
      <c r="AE14" s="92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</row>
    <row r="15">
      <c r="A15" s="6">
        <v>44300.0</v>
      </c>
      <c r="B15" s="110">
        <v>1956.0</v>
      </c>
      <c r="C15" s="110">
        <v>2028.0</v>
      </c>
      <c r="D15" s="8" t="str">
        <f t="shared" si="1"/>
        <v>Marsha/Anne</v>
      </c>
      <c r="E15" s="88" t="s">
        <v>35</v>
      </c>
      <c r="F15" s="88"/>
      <c r="G15" s="21">
        <v>44300.0</v>
      </c>
      <c r="H15" s="95"/>
      <c r="I15" s="23">
        <f t="shared" si="2"/>
        <v>0</v>
      </c>
      <c r="J15" s="94"/>
      <c r="K15" s="94"/>
      <c r="L15" s="94"/>
      <c r="M15" s="98" t="s">
        <v>102</v>
      </c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26">
        <f t="shared" si="3"/>
        <v>0</v>
      </c>
      <c r="AA15" s="26">
        <f t="shared" si="4"/>
        <v>0</v>
      </c>
      <c r="AB15" s="27">
        <f t="shared" si="5"/>
        <v>0</v>
      </c>
      <c r="AC15" s="27">
        <f t="shared" si="6"/>
        <v>0</v>
      </c>
      <c r="AD15" s="184">
        <v>0.67</v>
      </c>
      <c r="AE15" s="98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</row>
    <row r="16">
      <c r="A16" s="6">
        <v>44301.0</v>
      </c>
      <c r="B16" s="110">
        <v>1958.0</v>
      </c>
      <c r="C16" s="110">
        <v>2029.0</v>
      </c>
      <c r="D16" s="8" t="str">
        <f t="shared" si="1"/>
        <v>Shawn/Jenny</v>
      </c>
      <c r="E16" s="88" t="s">
        <v>35</v>
      </c>
      <c r="F16" s="88"/>
      <c r="G16" s="21">
        <v>44301.0</v>
      </c>
      <c r="H16" s="89"/>
      <c r="I16" s="23">
        <f t="shared" si="2"/>
        <v>0</v>
      </c>
      <c r="J16" s="88"/>
      <c r="K16" s="88"/>
      <c r="L16" s="88"/>
      <c r="M16" s="92" t="s">
        <v>102</v>
      </c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26">
        <f t="shared" si="3"/>
        <v>0</v>
      </c>
      <c r="AA16" s="26">
        <f t="shared" si="4"/>
        <v>0</v>
      </c>
      <c r="AB16" s="27">
        <f t="shared" si="5"/>
        <v>0</v>
      </c>
      <c r="AC16" s="27">
        <f t="shared" si="6"/>
        <v>0</v>
      </c>
      <c r="AD16" s="184">
        <v>0.78</v>
      </c>
      <c r="AE16" s="92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</row>
    <row r="17">
      <c r="A17" s="6">
        <v>44302.0</v>
      </c>
      <c r="B17" s="110">
        <v>1959.0</v>
      </c>
      <c r="C17" s="110">
        <v>2030.0</v>
      </c>
      <c r="D17" s="8" t="str">
        <f t="shared" si="1"/>
        <v>Jeff</v>
      </c>
      <c r="E17" s="88" t="s">
        <v>35</v>
      </c>
      <c r="F17" s="88"/>
      <c r="G17" s="21">
        <v>44302.0</v>
      </c>
      <c r="H17" s="95"/>
      <c r="I17" s="23">
        <f t="shared" si="2"/>
        <v>0</v>
      </c>
      <c r="J17" s="94"/>
      <c r="K17" s="94"/>
      <c r="L17" s="94"/>
      <c r="M17" s="98" t="s">
        <v>102</v>
      </c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26">
        <f t="shared" si="3"/>
        <v>0</v>
      </c>
      <c r="AA17" s="26">
        <f t="shared" si="4"/>
        <v>0</v>
      </c>
      <c r="AB17" s="27">
        <f t="shared" si="5"/>
        <v>0</v>
      </c>
      <c r="AC17" s="27">
        <f t="shared" si="6"/>
        <v>0</v>
      </c>
      <c r="AD17" s="184">
        <v>0.87</v>
      </c>
      <c r="AE17" s="98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0"/>
      <c r="BM17" s="120"/>
      <c r="BN17" s="120"/>
    </row>
    <row r="18">
      <c r="A18" s="6">
        <v>44303.0</v>
      </c>
      <c r="B18" s="110">
        <v>2000.0</v>
      </c>
      <c r="C18" s="110">
        <v>2032.0</v>
      </c>
      <c r="D18" s="8" t="str">
        <f t="shared" si="1"/>
        <v>Rob/Maggie</v>
      </c>
      <c r="E18" s="88" t="s">
        <v>35</v>
      </c>
      <c r="F18" s="88"/>
      <c r="G18" s="21">
        <v>44303.0</v>
      </c>
      <c r="H18" s="89"/>
      <c r="I18" s="23">
        <f t="shared" si="2"/>
        <v>0</v>
      </c>
      <c r="J18" s="88"/>
      <c r="K18" s="88"/>
      <c r="L18" s="88"/>
      <c r="M18" s="92" t="s">
        <v>102</v>
      </c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26">
        <f t="shared" si="3"/>
        <v>0</v>
      </c>
      <c r="AA18" s="26">
        <f t="shared" si="4"/>
        <v>0</v>
      </c>
      <c r="AB18" s="27">
        <f t="shared" si="5"/>
        <v>0</v>
      </c>
      <c r="AC18" s="27">
        <f t="shared" si="6"/>
        <v>0</v>
      </c>
      <c r="AD18" s="184">
        <v>0.94</v>
      </c>
      <c r="AE18" s="92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</row>
    <row r="19">
      <c r="A19" s="6">
        <v>44304.0</v>
      </c>
      <c r="B19" s="110">
        <v>2002.0</v>
      </c>
      <c r="C19" s="110">
        <v>2033.0</v>
      </c>
      <c r="D19" s="8" t="str">
        <f t="shared" si="1"/>
        <v>Phil/Fred</v>
      </c>
      <c r="E19" s="88" t="s">
        <v>35</v>
      </c>
      <c r="F19" s="88"/>
      <c r="G19" s="21">
        <v>44304.0</v>
      </c>
      <c r="H19" s="95"/>
      <c r="I19" s="23">
        <f t="shared" si="2"/>
        <v>0</v>
      </c>
      <c r="J19" s="94"/>
      <c r="K19" s="94"/>
      <c r="L19" s="94"/>
      <c r="M19" s="98" t="s">
        <v>102</v>
      </c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26">
        <f t="shared" si="3"/>
        <v>0</v>
      </c>
      <c r="AA19" s="26">
        <f t="shared" si="4"/>
        <v>0</v>
      </c>
      <c r="AB19" s="27">
        <f t="shared" si="5"/>
        <v>0</v>
      </c>
      <c r="AC19" s="27">
        <f t="shared" si="6"/>
        <v>0</v>
      </c>
      <c r="AD19" s="184">
        <v>0.98</v>
      </c>
      <c r="AE19" s="98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</row>
    <row r="20">
      <c r="A20" s="6">
        <v>44305.0</v>
      </c>
      <c r="B20" s="110">
        <v>2003.0</v>
      </c>
      <c r="C20" s="110">
        <v>2034.0</v>
      </c>
      <c r="D20" s="8" t="str">
        <f t="shared" si="1"/>
        <v>Jane/Sarah</v>
      </c>
      <c r="E20" s="88" t="s">
        <v>35</v>
      </c>
      <c r="F20" s="88"/>
      <c r="G20" s="21">
        <v>44305.0</v>
      </c>
      <c r="H20" s="190"/>
      <c r="I20" s="23">
        <f t="shared" si="2"/>
        <v>0</v>
      </c>
      <c r="J20" s="88"/>
      <c r="K20" s="88"/>
      <c r="L20" s="88"/>
      <c r="M20" s="92" t="s">
        <v>102</v>
      </c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26">
        <f t="shared" si="3"/>
        <v>0</v>
      </c>
      <c r="AA20" s="26">
        <f t="shared" si="4"/>
        <v>0</v>
      </c>
      <c r="AB20" s="27">
        <f t="shared" si="5"/>
        <v>0</v>
      </c>
      <c r="AC20" s="27">
        <f t="shared" si="6"/>
        <v>0</v>
      </c>
      <c r="AD20" s="184">
        <v>1.0</v>
      </c>
      <c r="AE20" s="92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</row>
    <row r="21">
      <c r="A21" s="6">
        <v>44306.0</v>
      </c>
      <c r="B21" s="110">
        <v>2004.0</v>
      </c>
      <c r="C21" s="110">
        <v>2036.0</v>
      </c>
      <c r="D21" s="8" t="str">
        <f t="shared" si="1"/>
        <v>Jim/John/Lena</v>
      </c>
      <c r="E21" s="88" t="s">
        <v>35</v>
      </c>
      <c r="F21" s="88"/>
      <c r="G21" s="21">
        <v>44306.0</v>
      </c>
      <c r="H21" s="95"/>
      <c r="I21" s="23">
        <f t="shared" si="2"/>
        <v>0</v>
      </c>
      <c r="J21" s="94"/>
      <c r="K21" s="94"/>
      <c r="L21" s="94"/>
      <c r="M21" s="98" t="s">
        <v>102</v>
      </c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26">
        <f t="shared" si="3"/>
        <v>0</v>
      </c>
      <c r="AA21" s="26">
        <f t="shared" si="4"/>
        <v>0</v>
      </c>
      <c r="AB21" s="27">
        <f t="shared" si="5"/>
        <v>0</v>
      </c>
      <c r="AC21" s="27">
        <f t="shared" si="6"/>
        <v>0</v>
      </c>
      <c r="AD21" s="184">
        <v>0.99</v>
      </c>
      <c r="AE21" s="98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</row>
    <row r="22">
      <c r="A22" s="6">
        <v>44307.0</v>
      </c>
      <c r="B22" s="110">
        <v>2005.0</v>
      </c>
      <c r="C22" s="110">
        <v>2037.0</v>
      </c>
      <c r="D22" s="8" t="str">
        <f t="shared" si="1"/>
        <v>Marsha/Anne</v>
      </c>
      <c r="E22" s="88" t="s">
        <v>35</v>
      </c>
      <c r="F22" s="88"/>
      <c r="G22" s="21">
        <v>44307.0</v>
      </c>
      <c r="H22" s="89"/>
      <c r="I22" s="23">
        <f t="shared" si="2"/>
        <v>0</v>
      </c>
      <c r="J22" s="88"/>
      <c r="K22" s="88"/>
      <c r="L22" s="88"/>
      <c r="M22" s="92" t="s">
        <v>102</v>
      </c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26">
        <f t="shared" si="3"/>
        <v>0</v>
      </c>
      <c r="AA22" s="26">
        <f t="shared" si="4"/>
        <v>0</v>
      </c>
      <c r="AB22" s="27">
        <f t="shared" si="5"/>
        <v>0</v>
      </c>
      <c r="AC22" s="27">
        <f t="shared" si="6"/>
        <v>0</v>
      </c>
      <c r="AD22" s="184">
        <v>0.95</v>
      </c>
      <c r="AE22" s="92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</row>
    <row r="23">
      <c r="A23" s="6">
        <v>44308.0</v>
      </c>
      <c r="B23" s="110">
        <v>2007.0</v>
      </c>
      <c r="C23" s="110">
        <v>2039.0</v>
      </c>
      <c r="D23" s="8" t="str">
        <f t="shared" si="1"/>
        <v>Shawn/Jenny</v>
      </c>
      <c r="E23" s="88" t="s">
        <v>35</v>
      </c>
      <c r="F23" s="88"/>
      <c r="G23" s="21">
        <v>44308.0</v>
      </c>
      <c r="H23" s="95"/>
      <c r="I23" s="23">
        <f t="shared" si="2"/>
        <v>0</v>
      </c>
      <c r="J23" s="94"/>
      <c r="K23" s="94"/>
      <c r="L23" s="94"/>
      <c r="M23" s="98" t="s">
        <v>106</v>
      </c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26">
        <f t="shared" si="3"/>
        <v>0</v>
      </c>
      <c r="AA23" s="26">
        <f t="shared" si="4"/>
        <v>0</v>
      </c>
      <c r="AB23" s="27">
        <f t="shared" si="5"/>
        <v>0</v>
      </c>
      <c r="AC23" s="27">
        <f t="shared" si="6"/>
        <v>0</v>
      </c>
      <c r="AD23" s="184">
        <v>0.9</v>
      </c>
      <c r="AE23" s="98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</row>
    <row r="24">
      <c r="A24" s="6">
        <v>44309.0</v>
      </c>
      <c r="B24" s="110">
        <v>2008.0</v>
      </c>
      <c r="C24" s="110">
        <v>2040.0</v>
      </c>
      <c r="D24" s="8" t="str">
        <f t="shared" si="1"/>
        <v>Jeff</v>
      </c>
      <c r="E24" s="88"/>
      <c r="F24" s="88"/>
      <c r="G24" s="21">
        <v>44309.0</v>
      </c>
      <c r="H24" s="89"/>
      <c r="I24" s="23">
        <f t="shared" si="2"/>
        <v>0</v>
      </c>
      <c r="J24" s="88"/>
      <c r="K24" s="88"/>
      <c r="L24" s="88"/>
      <c r="M24" s="92"/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26">
        <f t="shared" si="3"/>
        <v>0</v>
      </c>
      <c r="AA24" s="26">
        <f t="shared" si="4"/>
        <v>0</v>
      </c>
      <c r="AB24" s="27">
        <f t="shared" si="5"/>
        <v>0</v>
      </c>
      <c r="AC24" s="27">
        <f t="shared" si="6"/>
        <v>0</v>
      </c>
      <c r="AD24" s="184">
        <v>0.83</v>
      </c>
      <c r="AE24" s="92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</row>
    <row r="25">
      <c r="A25" s="6">
        <v>44310.0</v>
      </c>
      <c r="B25" s="110">
        <v>2009.0</v>
      </c>
      <c r="C25" s="110">
        <v>2042.0</v>
      </c>
      <c r="D25" s="8" t="str">
        <f t="shared" si="1"/>
        <v>Rob/Maggie</v>
      </c>
      <c r="E25" s="88"/>
      <c r="F25" s="88"/>
      <c r="G25" s="21">
        <v>44310.0</v>
      </c>
      <c r="H25" s="95"/>
      <c r="I25" s="23">
        <f t="shared" si="2"/>
        <v>0</v>
      </c>
      <c r="J25" s="94"/>
      <c r="K25" s="94"/>
      <c r="L25" s="94"/>
      <c r="M25" s="98"/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26">
        <f t="shared" si="3"/>
        <v>0</v>
      </c>
      <c r="AA25" s="26">
        <f t="shared" si="4"/>
        <v>0</v>
      </c>
      <c r="AB25" s="27">
        <f t="shared" si="5"/>
        <v>0</v>
      </c>
      <c r="AC25" s="27">
        <f t="shared" si="6"/>
        <v>0</v>
      </c>
      <c r="AD25" s="184">
        <v>0.74</v>
      </c>
      <c r="AE25" s="98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20"/>
      <c r="BL25" s="120"/>
      <c r="BM25" s="120"/>
      <c r="BN25" s="120"/>
    </row>
    <row r="26">
      <c r="A26" s="6">
        <v>44311.0</v>
      </c>
      <c r="B26" s="110">
        <v>2011.0</v>
      </c>
      <c r="C26" s="110">
        <v>2043.0</v>
      </c>
      <c r="D26" s="8" t="str">
        <f t="shared" si="1"/>
        <v>Phil/Fred</v>
      </c>
      <c r="E26" s="88"/>
      <c r="F26" s="88"/>
      <c r="G26" s="21">
        <v>44311.0</v>
      </c>
      <c r="H26" s="89"/>
      <c r="I26" s="23">
        <f t="shared" si="2"/>
        <v>0</v>
      </c>
      <c r="J26" s="88"/>
      <c r="K26" s="88"/>
      <c r="L26" s="88"/>
      <c r="M26" s="92"/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26">
        <f t="shared" si="3"/>
        <v>0</v>
      </c>
      <c r="AA26" s="26">
        <f t="shared" si="4"/>
        <v>0</v>
      </c>
      <c r="AB26" s="27">
        <f t="shared" si="5"/>
        <v>0</v>
      </c>
      <c r="AC26" s="27">
        <f t="shared" si="6"/>
        <v>0</v>
      </c>
      <c r="AD26" s="184">
        <v>0.65</v>
      </c>
      <c r="AE26" s="147"/>
      <c r="AF26" s="147"/>
      <c r="AG26" s="147"/>
      <c r="AH26" s="147"/>
      <c r="AI26" s="147"/>
      <c r="AJ26" s="147"/>
      <c r="AK26" s="147"/>
      <c r="AL26" s="147"/>
      <c r="AM26" s="147"/>
      <c r="AN26" s="148"/>
      <c r="AO26" s="148"/>
      <c r="AP26" s="148"/>
      <c r="AQ26" s="1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</row>
    <row r="27">
      <c r="A27" s="6">
        <v>44312.0</v>
      </c>
      <c r="B27" s="110">
        <v>2012.0</v>
      </c>
      <c r="C27" s="110">
        <v>2044.0</v>
      </c>
      <c r="D27" s="8" t="str">
        <f t="shared" si="1"/>
        <v>Jane/Sarah</v>
      </c>
      <c r="E27" s="88"/>
      <c r="F27" s="88"/>
      <c r="G27" s="21">
        <v>44312.0</v>
      </c>
      <c r="H27" s="95"/>
      <c r="I27" s="23">
        <f t="shared" si="2"/>
        <v>0</v>
      </c>
      <c r="J27" s="94"/>
      <c r="K27" s="94">
        <v>52.0</v>
      </c>
      <c r="L27" s="94"/>
      <c r="M27" s="98" t="s">
        <v>102</v>
      </c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26">
        <f t="shared" si="3"/>
        <v>0</v>
      </c>
      <c r="AA27" s="26">
        <f t="shared" si="4"/>
        <v>0</v>
      </c>
      <c r="AB27" s="27">
        <f t="shared" si="5"/>
        <v>0</v>
      </c>
      <c r="AC27" s="27">
        <f t="shared" si="6"/>
        <v>0</v>
      </c>
      <c r="AD27" s="184">
        <v>0.56</v>
      </c>
      <c r="AE27" s="98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8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0"/>
      <c r="BL27" s="120"/>
      <c r="BM27" s="120"/>
      <c r="BN27" s="120"/>
    </row>
    <row r="28">
      <c r="A28" s="6">
        <v>44313.0</v>
      </c>
      <c r="B28" s="110">
        <v>2013.0</v>
      </c>
      <c r="C28" s="110">
        <v>2046.0</v>
      </c>
      <c r="D28" s="8" t="str">
        <f t="shared" si="1"/>
        <v>Jim/John/Lena</v>
      </c>
      <c r="E28" s="88"/>
      <c r="F28" s="88"/>
      <c r="G28" s="21">
        <v>44313.0</v>
      </c>
      <c r="H28" s="89"/>
      <c r="I28" s="23">
        <f t="shared" si="2"/>
        <v>0</v>
      </c>
      <c r="J28" s="88"/>
      <c r="K28" s="88"/>
      <c r="L28" s="88"/>
      <c r="M28" s="92"/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26">
        <f t="shared" si="3"/>
        <v>0</v>
      </c>
      <c r="AA28" s="26">
        <f t="shared" si="4"/>
        <v>0</v>
      </c>
      <c r="AB28" s="27">
        <f t="shared" si="5"/>
        <v>0</v>
      </c>
      <c r="AC28" s="27">
        <f t="shared" si="6"/>
        <v>0</v>
      </c>
      <c r="AD28" s="184">
        <v>0.46</v>
      </c>
      <c r="AE28" s="92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92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</row>
    <row r="29">
      <c r="A29" s="6">
        <v>44314.0</v>
      </c>
      <c r="B29" s="110">
        <v>2014.0</v>
      </c>
      <c r="C29" s="110">
        <v>2047.0</v>
      </c>
      <c r="D29" s="8" t="str">
        <f t="shared" si="1"/>
        <v>Marsha/Anne</v>
      </c>
      <c r="E29" s="88"/>
      <c r="F29" s="88"/>
      <c r="G29" s="21">
        <v>44314.0</v>
      </c>
      <c r="H29" s="191"/>
      <c r="I29" s="23">
        <f t="shared" si="2"/>
        <v>0</v>
      </c>
      <c r="J29" s="152"/>
      <c r="K29" s="94"/>
      <c r="L29" s="94"/>
      <c r="M29" s="98"/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26">
        <f t="shared" si="3"/>
        <v>0</v>
      </c>
      <c r="AA29" s="26">
        <f t="shared" si="4"/>
        <v>0</v>
      </c>
      <c r="AB29" s="27">
        <f t="shared" si="5"/>
        <v>0</v>
      </c>
      <c r="AC29" s="27">
        <f t="shared" si="6"/>
        <v>0</v>
      </c>
      <c r="AD29" s="184">
        <v>0.37</v>
      </c>
      <c r="AE29" s="98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8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0"/>
      <c r="BL29" s="120"/>
      <c r="BM29" s="120"/>
      <c r="BN29" s="120"/>
    </row>
    <row r="30">
      <c r="A30" s="6">
        <v>44315.0</v>
      </c>
      <c r="B30" s="110">
        <v>2016.0</v>
      </c>
      <c r="C30" s="110">
        <v>2049.0</v>
      </c>
      <c r="D30" s="8" t="str">
        <f t="shared" si="1"/>
        <v>Shawn/Jenny</v>
      </c>
      <c r="E30" s="88"/>
      <c r="F30" s="88"/>
      <c r="G30" s="21">
        <v>44315.0</v>
      </c>
      <c r="H30" s="89"/>
      <c r="I30" s="23">
        <f t="shared" si="2"/>
        <v>0</v>
      </c>
      <c r="J30" s="154"/>
      <c r="K30" s="88"/>
      <c r="L30" s="88"/>
      <c r="M30" s="92"/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26">
        <f t="shared" si="3"/>
        <v>0</v>
      </c>
      <c r="AA30" s="26">
        <f t="shared" si="4"/>
        <v>0</v>
      </c>
      <c r="AB30" s="27">
        <f t="shared" si="5"/>
        <v>0</v>
      </c>
      <c r="AC30" s="27">
        <f t="shared" si="6"/>
        <v>0</v>
      </c>
      <c r="AD30" s="184">
        <v>0.28</v>
      </c>
      <c r="AE30" s="92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92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</row>
    <row r="31">
      <c r="A31" s="6">
        <v>44316.0</v>
      </c>
      <c r="B31" s="110">
        <v>2017.0</v>
      </c>
      <c r="C31" s="110">
        <v>2050.0</v>
      </c>
      <c r="D31" s="8" t="str">
        <f t="shared" si="1"/>
        <v>Jeff</v>
      </c>
      <c r="E31" s="88"/>
      <c r="F31" s="88"/>
      <c r="G31" s="21">
        <v>44316.0</v>
      </c>
      <c r="H31" s="95"/>
      <c r="I31" s="23">
        <f t="shared" si="2"/>
        <v>0</v>
      </c>
      <c r="J31" s="152"/>
      <c r="K31" s="94"/>
      <c r="L31" s="94"/>
      <c r="M31" s="98"/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26">
        <f t="shared" si="3"/>
        <v>0</v>
      </c>
      <c r="AA31" s="26">
        <f t="shared" si="4"/>
        <v>0</v>
      </c>
      <c r="AB31" s="27">
        <f t="shared" si="5"/>
        <v>0</v>
      </c>
      <c r="AC31" s="27">
        <f t="shared" si="6"/>
        <v>0</v>
      </c>
      <c r="AD31" s="184">
        <v>0.2</v>
      </c>
      <c r="AE31" s="98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8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20"/>
      <c r="BF31" s="120"/>
      <c r="BG31" s="120"/>
      <c r="BH31" s="120"/>
      <c r="BI31" s="120"/>
      <c r="BJ31" s="120"/>
      <c r="BK31" s="120"/>
      <c r="BL31" s="120"/>
      <c r="BM31" s="120"/>
      <c r="BN31" s="120"/>
    </row>
    <row r="32">
      <c r="A32" s="192" t="s">
        <v>53</v>
      </c>
      <c r="B32" s="106" t="s">
        <v>55</v>
      </c>
      <c r="C32" t="s">
        <v>55</v>
      </c>
      <c r="D32" s="19"/>
      <c r="E32" s="18"/>
      <c r="F32" s="22"/>
      <c r="G32" s="22"/>
      <c r="H32" s="22"/>
      <c r="I32" s="23">
        <f t="shared" si="2"/>
        <v>0</v>
      </c>
      <c r="J32" s="24"/>
      <c r="K32" s="18"/>
      <c r="L32" s="18"/>
      <c r="M32" s="193"/>
      <c r="N32" s="19" t="s">
        <v>54</v>
      </c>
      <c r="O32" s="19" t="s">
        <v>54</v>
      </c>
      <c r="P32" s="19" t="s">
        <v>54</v>
      </c>
      <c r="Q32" s="19" t="s">
        <v>54</v>
      </c>
      <c r="R32" s="19" t="s">
        <v>54</v>
      </c>
      <c r="S32" s="19" t="s">
        <v>54</v>
      </c>
      <c r="T32" s="19" t="s">
        <v>54</v>
      </c>
      <c r="U32" s="19" t="s">
        <v>54</v>
      </c>
      <c r="V32" s="19" t="s">
        <v>54</v>
      </c>
      <c r="W32" s="19" t="s">
        <v>54</v>
      </c>
      <c r="X32" s="19" t="s">
        <v>54</v>
      </c>
      <c r="Y32" s="19" t="s">
        <v>54</v>
      </c>
      <c r="Z32" s="26" t="s">
        <v>54</v>
      </c>
      <c r="AA32" s="26" t="s">
        <v>54</v>
      </c>
      <c r="AB32" s="26" t="s">
        <v>54</v>
      </c>
      <c r="AC32" s="26" t="s">
        <v>54</v>
      </c>
      <c r="AD32" s="184" t="s">
        <v>107</v>
      </c>
      <c r="AE32" s="193"/>
      <c r="AF32" s="88"/>
      <c r="AG32" s="88"/>
      <c r="AH32" s="88"/>
      <c r="AI32" s="88"/>
      <c r="AJ32" s="88"/>
      <c r="AK32" s="88"/>
      <c r="AL32" s="19"/>
      <c r="AM32" s="19"/>
      <c r="AN32" s="94"/>
      <c r="AO32" s="94"/>
      <c r="AP32" s="94"/>
      <c r="AQ32" s="193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</row>
    <row r="33">
      <c r="A33" s="194"/>
      <c r="B33" s="194"/>
      <c r="C33" s="195"/>
      <c r="D33" s="196" t="s">
        <v>99</v>
      </c>
      <c r="F33" s="195"/>
      <c r="G33" s="195"/>
      <c r="H33" s="195"/>
      <c r="I33" s="49">
        <f>SUM(I3:I32)</f>
        <v>2.166666667</v>
      </c>
      <c r="J33" s="159">
        <f>SUM(J2:J32)</f>
        <v>5</v>
      </c>
      <c r="K33" s="195"/>
      <c r="L33" s="195"/>
      <c r="M33" s="47"/>
      <c r="N33" s="27">
        <f t="shared" ref="N33:Y33" si="7">sum(N2:N32)</f>
        <v>0</v>
      </c>
      <c r="O33" s="27">
        <f t="shared" si="7"/>
        <v>0</v>
      </c>
      <c r="P33" s="27">
        <f t="shared" si="7"/>
        <v>0</v>
      </c>
      <c r="Q33" s="26">
        <f t="shared" si="7"/>
        <v>0</v>
      </c>
      <c r="R33" s="26">
        <f t="shared" si="7"/>
        <v>1</v>
      </c>
      <c r="S33" s="160">
        <f t="shared" si="7"/>
        <v>0</v>
      </c>
      <c r="T33" s="160">
        <f t="shared" si="7"/>
        <v>0</v>
      </c>
      <c r="U33" s="160">
        <f t="shared" si="7"/>
        <v>0</v>
      </c>
      <c r="V33" s="160">
        <f t="shared" si="7"/>
        <v>0</v>
      </c>
      <c r="W33" s="26">
        <f t="shared" si="7"/>
        <v>0</v>
      </c>
      <c r="X33" s="26">
        <f t="shared" si="7"/>
        <v>0</v>
      </c>
      <c r="Y33" s="161">
        <f t="shared" si="7"/>
        <v>0</v>
      </c>
      <c r="Z33" s="26">
        <f t="shared" ref="Z33:AA33" si="8">SUM(Z2:Z32)</f>
        <v>0</v>
      </c>
      <c r="AA33" s="26">
        <f t="shared" si="8"/>
        <v>1</v>
      </c>
      <c r="AB33" s="162">
        <f t="shared" ref="AB33:AC33" si="9">sum(AB2:AB32)</f>
        <v>0</v>
      </c>
      <c r="AC33" s="162">
        <f t="shared" si="9"/>
        <v>1</v>
      </c>
      <c r="AD33" s="92"/>
      <c r="AE33" s="92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92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</row>
    <row r="34">
      <c r="A34" s="46"/>
      <c r="B34" s="195"/>
      <c r="C34" s="195"/>
      <c r="D34" s="197" t="s">
        <v>57</v>
      </c>
      <c r="F34" s="198"/>
      <c r="G34" s="198"/>
      <c r="H34" s="18"/>
      <c r="I34" s="55">
        <f>'November 2020'!I$33+'December 2020'!I$33+'January 2021'!I$33+'February 2021'!I$33+'March 2021'!I$33+'April 2021'!I$33</f>
        <v>112.6333333</v>
      </c>
      <c r="J34" s="55">
        <f>'November 2020'!J$33+'December 2020'!J$33+'January 2021'!J$33+'February 2021'!J$33+'March 2021'!J$33+'April 2021'!J$33</f>
        <v>474.1</v>
      </c>
      <c r="K34" s="195"/>
      <c r="L34" s="195"/>
      <c r="M34" s="195"/>
      <c r="N34" s="57">
        <f>'November 2020'!N$33+'December 2020'!N$33+'January 2021'!N$33+'February 2021'!N$33+'March 2021'!N$33+'April 2021'!N$33</f>
        <v>271</v>
      </c>
      <c r="O34" s="57">
        <f>'November 2020'!O$33+'December 2020'!O$33+'January 2021'!O$33+'February 2021'!O$33+'March 2021'!O$33+'April 2021'!O$33</f>
        <v>139</v>
      </c>
      <c r="P34" s="57">
        <f>'November 2020'!P$33+'December 2020'!P$33+'January 2021'!P$33+'February 2021'!P$33+'March 2021'!P$33+'April 2021'!P$33</f>
        <v>11</v>
      </c>
      <c r="Q34" s="57">
        <f>'November 2020'!Q$33+'December 2020'!Q$33+'January 2021'!Q$33+'February 2021'!Q$33+'March 2021'!Q$33+'April 2021'!Q$33</f>
        <v>0</v>
      </c>
      <c r="R34" s="57">
        <f>'November 2020'!R$33+'December 2020'!R$33+'January 2021'!R$33+'February 2021'!R$33+'March 2021'!R$33+'April 2021'!R$33</f>
        <v>147</v>
      </c>
      <c r="S34" s="57">
        <f>'November 2020'!S$33+'December 2020'!S$33+'January 2021'!S$33+'February 2021'!S$33+'March 2021'!S$33+'April 2021'!S$33</f>
        <v>28</v>
      </c>
      <c r="T34" s="57">
        <f>'November 2020'!T$33+'December 2020'!T$33+'January 2021'!T$33+'February 2021'!T$33+'March 2021'!T$33+'April 2021'!T$33</f>
        <v>8</v>
      </c>
      <c r="U34" s="57">
        <f>'November 2020'!U$33+'December 2020'!U$33+'January 2021'!U$33+'February 2021'!U$33+'March 2021'!U$33+'April 2021'!U$33</f>
        <v>0</v>
      </c>
      <c r="V34" s="57">
        <f>'November 2020'!V$33+'December 2020'!V$33+'January 2021'!V$33+'February 2021'!V$33+'March 2021'!V$33+'April 2021'!V$33</f>
        <v>10</v>
      </c>
      <c r="W34" s="57">
        <f>'November 2020'!W$33+'December 2020'!W$33+'January 2021'!W$33+'February 2021'!W$33+'March 2021'!W$33+'April 2021'!W$33</f>
        <v>0</v>
      </c>
      <c r="X34" s="57">
        <f>'November 2020'!X$33+'December 2020'!X$33+'January 2021'!X$33+'February 2021'!X$33+'March 2021'!X$33+'April 2021'!X$33</f>
        <v>0</v>
      </c>
      <c r="Y34" s="57">
        <f>'November 2020'!Y$33+'December 2020'!Y$33+'January 2021'!Y$33+'February 2021'!Y$33+'March 2021'!Y$33+'April 2021'!Y$33</f>
        <v>16</v>
      </c>
      <c r="Z34" s="57">
        <f>'November 2020'!Z$33+'December 2020'!Z$33+'January 2021'!Z$33+'February 2021'!Z$33+'March 2021'!Z$33+'April 2021'!Z$33</f>
        <v>423</v>
      </c>
      <c r="AA34" s="57">
        <f>'November 2020'!AA$33+'December 2020'!AA$33+'January 2021'!AA$33+'February 2021'!AA$33+'March 2021'!AA$33+'April 2021'!AA$33</f>
        <v>193</v>
      </c>
      <c r="AB34" s="58">
        <f>'November 2020'!AB33+'December 2020'!AB33+'January 2021'!AB33+'February 2021'!AB33+'March 2021'!AB33+'April 2021'!AB33</f>
        <v>412</v>
      </c>
      <c r="AC34" s="58">
        <f>'November 2020'!AC33+'December 2020'!AC33+'January 2021'!AC33+'February 2021'!AC33+'March 2021'!AC33+'April 2021'!AC33</f>
        <v>191</v>
      </c>
      <c r="AD34" s="92"/>
      <c r="AE34" s="92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92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</row>
    <row r="35">
      <c r="A35" s="46"/>
      <c r="B35" s="46"/>
      <c r="C35" s="46"/>
      <c r="D35" s="197" t="s">
        <v>58</v>
      </c>
      <c r="F35" s="198"/>
      <c r="G35" s="198"/>
      <c r="H35" s="18"/>
      <c r="I35" s="55">
        <f>'November 2020'!I$33+'December 2020'!I$33+'January 2021'!I$33+'February 2021'!I$33+'March 2021'!I$33+'April 2021'!I$33</f>
        <v>112.6333333</v>
      </c>
      <c r="J35" s="55">
        <f>'November 2020'!J33+'December 2020'!J33+'January 2021'!J33+'February 2021'!J33+'March 2021'!J33+'April 2021'!J33</f>
        <v>474.1</v>
      </c>
      <c r="K35" s="195"/>
      <c r="L35" s="195"/>
      <c r="M35" s="195"/>
      <c r="N35" s="57">
        <f>'November 2020'!N33+'December 2020'!N33+'January 2021'!N33+'February 2021'!N33+'March 2021'!N33+'April 2021'!N33</f>
        <v>271</v>
      </c>
      <c r="O35" s="57">
        <f>'November 2020'!O33+'December 2020'!O33+'January 2021'!O33+'February 2021'!O33+'March 2021'!O33+'April 2021'!O33</f>
        <v>139</v>
      </c>
      <c r="P35" s="57">
        <f>'November 2020'!P33+'December 2020'!P33+'January 2021'!P33+'February 2021'!P33+'March 2021'!P33+'April 2021'!P33</f>
        <v>11</v>
      </c>
      <c r="Q35" s="57">
        <f>'November 2020'!Q33+'December 2020'!Q33+'January 2021'!Q33+'February 2021'!Q33+'March 2021'!Q33+'April 2021'!Q33</f>
        <v>0</v>
      </c>
      <c r="R35" s="57">
        <f>'November 2020'!R33+'December 2020'!R33+'January 2021'!R33+'February 2021'!R33+'March 2021'!R33+'April 2021'!R33</f>
        <v>147</v>
      </c>
      <c r="S35" s="57">
        <f>'November 2020'!S33+'December 2020'!S33+'January 2021'!S33+'February 2021'!S33+'March 2021'!S33+'April 2021'!S33</f>
        <v>28</v>
      </c>
      <c r="T35" s="57">
        <f>'November 2020'!T33+'December 2020'!T33+'January 2021'!T33+'February 2021'!T33+'March 2021'!T33+'April 2021'!T33</f>
        <v>8</v>
      </c>
      <c r="U35" s="57">
        <f>'November 2020'!U33+'December 2020'!U33+'January 2021'!U33+'February 2021'!U33+'March 2021'!U33+'April 2021'!U33</f>
        <v>0</v>
      </c>
      <c r="V35" s="57">
        <f>'November 2020'!V33+'December 2020'!V33+'January 2021'!V33+'February 2021'!V33+'March 2021'!V33+'April 2021'!V33</f>
        <v>10</v>
      </c>
      <c r="W35" s="57">
        <f>'November 2020'!W33+'December 2020'!W33+'January 2021'!W33+'February 2021'!W33+'March 2021'!W33+'April 2021'!W33</f>
        <v>0</v>
      </c>
      <c r="X35" s="57">
        <f>'November 2020'!X33+'December 2020'!X33+'January 2021'!X33+'February 2021'!X33+'March 2021'!X33+'April 2021'!X33</f>
        <v>0</v>
      </c>
      <c r="Y35" s="57">
        <f>'November 2020'!Y33+'December 2020'!Y33+'January 2021'!Y33+'February 2021'!Y33+'March 2021'!Y33+'April 2021'!Y33</f>
        <v>16</v>
      </c>
      <c r="Z35" s="57">
        <f>'November 2020'!Z33+'December 2020'!Z33+'January 2021'!Z33+'February 2021'!Z33+'March 2021'!Z33+'April 2021'!Z33</f>
        <v>423</v>
      </c>
      <c r="AA35" s="57">
        <f>'November 2020'!AA33+'December 2020'!AA33+'January 2021'!AA33+'February 2021'!AA33+'March 2021'!AA33+'April 2021'!AA33</f>
        <v>193</v>
      </c>
      <c r="AB35" s="57">
        <f>'November 2020'!AB33+'December 2020'!AB33+'January 2021'!AB33+'February 2021'!AB33+'March 2021'!AB33+'April 2021'!AB33</f>
        <v>412</v>
      </c>
      <c r="AC35" s="57">
        <f>'November 2020'!AC33+'December 2020'!AC33+'January 2021'!AC33+'February 2021'!AC33+'March 2021'!AC33+'April 2021'!AC33</f>
        <v>191</v>
      </c>
      <c r="AD35" s="129"/>
      <c r="AE35" s="129"/>
      <c r="AF35" s="199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9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</row>
    <row r="36">
      <c r="A36" s="56"/>
      <c r="B36" s="56"/>
      <c r="C36" s="56"/>
      <c r="D36" s="48" t="s">
        <v>59</v>
      </c>
      <c r="F36" s="56"/>
      <c r="G36" s="56"/>
      <c r="H36" s="56"/>
      <c r="I36" s="60"/>
      <c r="J36" s="60"/>
      <c r="K36" s="56"/>
      <c r="L36" s="56"/>
      <c r="M36" s="56"/>
      <c r="N36" s="200">
        <v>811.0</v>
      </c>
      <c r="O36" s="201">
        <v>1180.0</v>
      </c>
      <c r="P36" s="201">
        <v>13.0</v>
      </c>
      <c r="Q36" s="200">
        <v>2.0</v>
      </c>
      <c r="R36" s="200">
        <v>386.0</v>
      </c>
      <c r="S36" s="200">
        <v>89.0</v>
      </c>
      <c r="T36" s="200">
        <v>35.0</v>
      </c>
      <c r="U36" s="202">
        <v>2.0</v>
      </c>
      <c r="V36" s="73">
        <v>0.0</v>
      </c>
      <c r="W36" s="72">
        <v>9.0</v>
      </c>
      <c r="X36" s="72">
        <v>7.0</v>
      </c>
      <c r="Y36" s="68">
        <v>28.0</v>
      </c>
      <c r="Z36" s="69">
        <v>2006.0</v>
      </c>
      <c r="AA36" s="69">
        <v>512.0</v>
      </c>
      <c r="AB36" s="69">
        <v>1991.0</v>
      </c>
      <c r="AC36" s="203">
        <v>475.0</v>
      </c>
      <c r="AD36" s="68"/>
      <c r="AE36" s="129"/>
      <c r="AF36" s="19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8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17"/>
      <c r="BM36" s="17"/>
      <c r="BN36" s="17"/>
    </row>
    <row r="37">
      <c r="A37" s="56"/>
      <c r="B37" s="56"/>
      <c r="C37" s="56"/>
      <c r="D37" s="48" t="s">
        <v>60</v>
      </c>
      <c r="F37" s="56"/>
      <c r="G37" s="56"/>
      <c r="H37" s="56"/>
      <c r="I37" s="56"/>
      <c r="J37" s="56"/>
      <c r="K37" s="56"/>
      <c r="L37" s="56"/>
      <c r="M37" s="56"/>
      <c r="N37" s="200">
        <v>90.0</v>
      </c>
      <c r="O37" s="201">
        <v>1134.0</v>
      </c>
      <c r="P37" s="201">
        <v>3.0</v>
      </c>
      <c r="Q37" s="200">
        <v>4.0</v>
      </c>
      <c r="R37" s="200">
        <v>124.0</v>
      </c>
      <c r="S37" s="200">
        <v>791.0</v>
      </c>
      <c r="T37" s="200">
        <v>6.0</v>
      </c>
      <c r="U37" s="202">
        <v>17.0</v>
      </c>
      <c r="V37" s="73">
        <v>6.0</v>
      </c>
      <c r="W37" s="72">
        <v>4.0</v>
      </c>
      <c r="X37" s="72">
        <v>24.0</v>
      </c>
      <c r="Y37" s="68">
        <v>7.0</v>
      </c>
      <c r="Z37" s="69">
        <v>1231.0</v>
      </c>
      <c r="AA37" s="69">
        <v>944.0</v>
      </c>
      <c r="AB37" s="69">
        <v>1224.0</v>
      </c>
      <c r="AC37" s="203">
        <v>921.0</v>
      </c>
      <c r="AD37" s="68"/>
      <c r="AE37" s="129"/>
      <c r="AF37" s="19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17"/>
      <c r="BM37" s="17"/>
      <c r="BN37" s="17"/>
    </row>
    <row r="38">
      <c r="A38" s="56"/>
      <c r="B38" s="56"/>
      <c r="C38" s="56"/>
      <c r="D38" s="48" t="s">
        <v>61</v>
      </c>
      <c r="F38" s="56"/>
      <c r="G38" s="56"/>
      <c r="H38" s="56"/>
      <c r="I38" s="56"/>
      <c r="J38" s="56"/>
      <c r="K38" s="56"/>
      <c r="L38" s="56"/>
      <c r="M38" s="56"/>
      <c r="N38" s="204">
        <v>135.0</v>
      </c>
      <c r="O38" s="205">
        <v>281.0</v>
      </c>
      <c r="P38" s="205">
        <v>7.0</v>
      </c>
      <c r="Q38" s="204">
        <v>10.0</v>
      </c>
      <c r="R38" s="204">
        <v>104.0</v>
      </c>
      <c r="S38" s="204">
        <v>165.0</v>
      </c>
      <c r="T38" s="204">
        <v>9.0</v>
      </c>
      <c r="U38" s="206">
        <v>7.0</v>
      </c>
      <c r="V38" s="73"/>
      <c r="W38" s="72"/>
      <c r="X38" s="72"/>
      <c r="Y38" s="68"/>
      <c r="Z38" s="69">
        <v>433.0</v>
      </c>
      <c r="AA38" s="69">
        <v>297.0</v>
      </c>
      <c r="AB38" s="207">
        <f>sum(N38:O38)</f>
        <v>416</v>
      </c>
      <c r="AC38" s="208">
        <f t="shared" ref="AC38:AC39" si="10">sum(R38:S38)</f>
        <v>269</v>
      </c>
      <c r="AD38" s="68"/>
      <c r="AE38" s="129"/>
      <c r="AF38" s="19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17"/>
      <c r="BM38" s="17"/>
      <c r="BN38" s="17"/>
    </row>
    <row r="39">
      <c r="A39" s="195"/>
      <c r="B39" s="195"/>
      <c r="C39" s="195"/>
      <c r="D39" s="196" t="s">
        <v>62</v>
      </c>
      <c r="F39" s="195"/>
      <c r="G39" s="195"/>
      <c r="H39" s="195"/>
      <c r="I39" s="195"/>
      <c r="J39" s="195"/>
      <c r="K39" s="195"/>
      <c r="L39" s="195"/>
      <c r="M39" s="195"/>
      <c r="N39" s="208">
        <v>465.0</v>
      </c>
      <c r="O39" s="208">
        <v>340.0</v>
      </c>
      <c r="P39" s="208">
        <v>24.0</v>
      </c>
      <c r="Q39" s="208">
        <v>5.0</v>
      </c>
      <c r="R39" s="208">
        <v>387.0</v>
      </c>
      <c r="S39" s="208">
        <v>343.0</v>
      </c>
      <c r="T39" s="208">
        <v>16.0</v>
      </c>
      <c r="U39" s="208">
        <v>5.0</v>
      </c>
      <c r="V39" s="209"/>
      <c r="W39" s="210"/>
      <c r="X39" s="210"/>
      <c r="Y39" s="211"/>
      <c r="Z39" s="206">
        <v>834.0</v>
      </c>
      <c r="AA39" s="206">
        <v>751.0</v>
      </c>
      <c r="AB39" s="206">
        <v>805.0</v>
      </c>
      <c r="AC39" s="204">
        <f t="shared" si="10"/>
        <v>730</v>
      </c>
      <c r="AD39" s="211"/>
      <c r="AE39" s="129"/>
      <c r="AF39" s="199"/>
      <c r="AG39" s="212"/>
      <c r="AH39" s="212"/>
      <c r="AI39" s="212"/>
      <c r="AJ39" s="212"/>
      <c r="AK39" s="212"/>
      <c r="AL39" s="212"/>
      <c r="AM39" s="212"/>
      <c r="AN39" s="212"/>
      <c r="AO39" s="212"/>
      <c r="AP39" s="212"/>
      <c r="AQ39" s="211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46"/>
      <c r="BM39" s="46"/>
      <c r="BN39" s="46"/>
    </row>
    <row r="40">
      <c r="A40" s="195"/>
      <c r="B40" s="195"/>
      <c r="C40" s="195"/>
      <c r="D40" s="196" t="s">
        <v>63</v>
      </c>
      <c r="F40" s="195"/>
      <c r="G40" s="195"/>
      <c r="H40" s="195"/>
      <c r="I40" s="195"/>
      <c r="J40" s="195"/>
      <c r="K40" s="195"/>
      <c r="L40" s="195"/>
      <c r="M40" s="195"/>
      <c r="N40" s="213"/>
      <c r="O40" s="214"/>
      <c r="P40" s="214"/>
      <c r="Q40" s="212"/>
      <c r="R40" s="212"/>
      <c r="S40" s="212"/>
      <c r="T40" s="212"/>
      <c r="U40" s="210"/>
      <c r="V40" s="209"/>
      <c r="W40" s="210"/>
      <c r="X40" s="210"/>
      <c r="Y40" s="211"/>
      <c r="Z40" s="212">
        <v>688.0</v>
      </c>
      <c r="AA40" s="212">
        <v>1040.0</v>
      </c>
      <c r="AB40" s="212"/>
      <c r="AC40" s="211"/>
      <c r="AD40" s="211"/>
      <c r="AE40" s="129"/>
      <c r="AF40" s="199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1"/>
      <c r="AR40" s="195"/>
      <c r="AS40" s="195"/>
      <c r="AT40" s="195"/>
      <c r="AU40" s="195"/>
      <c r="AV40" s="195"/>
      <c r="AW40" s="195"/>
      <c r="AX40" s="195"/>
      <c r="AY40" s="195"/>
      <c r="AZ40" s="195"/>
      <c r="BA40" s="195"/>
      <c r="BB40" s="195"/>
      <c r="BC40" s="195"/>
      <c r="BD40" s="195"/>
      <c r="BE40" s="195"/>
      <c r="BF40" s="195"/>
      <c r="BG40" s="195"/>
      <c r="BH40" s="195"/>
      <c r="BI40" s="195"/>
      <c r="BJ40" s="195"/>
      <c r="BK40" s="195"/>
      <c r="BL40" s="46"/>
      <c r="BM40" s="46"/>
      <c r="BN40" s="46"/>
    </row>
    <row r="41">
      <c r="A41" s="195"/>
      <c r="B41" s="195"/>
      <c r="C41" s="195"/>
      <c r="D41" s="196" t="s">
        <v>64</v>
      </c>
      <c r="F41" s="195"/>
      <c r="G41" s="195"/>
      <c r="H41" s="195"/>
      <c r="I41" s="195"/>
      <c r="J41" s="195"/>
      <c r="K41" s="195"/>
      <c r="L41" s="195"/>
      <c r="M41" s="215"/>
      <c r="N41" s="216"/>
      <c r="O41" s="217"/>
      <c r="P41" s="217"/>
      <c r="Q41" s="218"/>
      <c r="R41" s="218"/>
      <c r="S41" s="219"/>
      <c r="T41" s="219"/>
      <c r="U41" s="220"/>
      <c r="V41" s="221"/>
      <c r="W41" s="218"/>
      <c r="X41" s="218"/>
      <c r="Y41" s="222"/>
      <c r="Z41" s="218">
        <v>695.0</v>
      </c>
      <c r="AA41" s="218">
        <v>750.0</v>
      </c>
      <c r="AB41" s="218"/>
      <c r="AC41" s="222"/>
      <c r="AD41" s="222"/>
      <c r="AE41" s="129"/>
      <c r="AF41" s="199"/>
      <c r="AG41" s="196"/>
      <c r="AH41" s="196"/>
      <c r="AI41" s="196"/>
      <c r="AJ41" s="196"/>
      <c r="AK41" s="196"/>
      <c r="AL41" s="218"/>
      <c r="AM41" s="218"/>
      <c r="AN41" s="223"/>
      <c r="AO41" s="223"/>
      <c r="AP41" s="223"/>
      <c r="AQ41" s="222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46"/>
      <c r="BM41" s="46"/>
      <c r="BN41" s="46"/>
    </row>
    <row r="42">
      <c r="A42" s="195"/>
      <c r="B42" s="195"/>
      <c r="C42" s="195"/>
      <c r="D42" s="196" t="s">
        <v>65</v>
      </c>
      <c r="F42" s="195"/>
      <c r="G42" s="195"/>
      <c r="H42" s="195"/>
      <c r="I42" s="195"/>
      <c r="J42" s="195"/>
      <c r="K42" s="195"/>
      <c r="L42" s="195"/>
      <c r="M42" s="215"/>
      <c r="N42" s="216"/>
      <c r="O42" s="217"/>
      <c r="P42" s="217"/>
      <c r="Q42" s="218"/>
      <c r="R42" s="218"/>
      <c r="S42" s="219"/>
      <c r="T42" s="219"/>
      <c r="U42" s="220"/>
      <c r="V42" s="221"/>
      <c r="W42" s="218"/>
      <c r="X42" s="218"/>
      <c r="Y42" s="222"/>
      <c r="Z42" s="218">
        <v>580.0</v>
      </c>
      <c r="AA42" s="218">
        <v>572.0</v>
      </c>
      <c r="AB42" s="218"/>
      <c r="AC42" s="222"/>
      <c r="AD42" s="222"/>
      <c r="AE42" s="129"/>
      <c r="AF42" s="199"/>
      <c r="AG42" s="196"/>
      <c r="AH42" s="196"/>
      <c r="AI42" s="196"/>
      <c r="AJ42" s="196"/>
      <c r="AK42" s="196"/>
      <c r="AL42" s="218"/>
      <c r="AM42" s="218"/>
      <c r="AN42" s="223"/>
      <c r="AO42" s="223"/>
      <c r="AP42" s="223"/>
      <c r="AQ42" s="222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46"/>
      <c r="BM42" s="46"/>
      <c r="BN42" s="46"/>
    </row>
    <row r="43">
      <c r="A43" s="46"/>
      <c r="B43" s="195"/>
      <c r="C43" s="195"/>
      <c r="D43" s="215"/>
      <c r="E43" s="46"/>
      <c r="F43" s="46"/>
      <c r="G43" s="46"/>
      <c r="H43" s="46"/>
      <c r="I43" s="46"/>
      <c r="J43" s="46"/>
      <c r="K43" s="46"/>
      <c r="L43" s="195"/>
      <c r="M43" s="215"/>
      <c r="N43" s="224"/>
      <c r="O43" s="225"/>
      <c r="P43" s="225"/>
      <c r="Q43" s="19"/>
      <c r="R43" s="19"/>
      <c r="S43" s="20"/>
      <c r="T43" s="20"/>
      <c r="U43" s="226"/>
      <c r="V43" s="24"/>
      <c r="W43" s="19"/>
      <c r="X43" s="19"/>
      <c r="Y43" s="193"/>
      <c r="Z43" s="19"/>
      <c r="AA43" s="19"/>
      <c r="AB43" s="19"/>
      <c r="AC43" s="193"/>
      <c r="AD43" s="193"/>
      <c r="AE43" s="193"/>
      <c r="AF43" s="88"/>
      <c r="AG43" s="88"/>
      <c r="AH43" s="88"/>
      <c r="AI43" s="88"/>
      <c r="AJ43" s="88"/>
      <c r="AK43" s="88"/>
      <c r="AL43" s="19"/>
      <c r="AM43" s="19"/>
      <c r="AN43" s="94"/>
      <c r="AO43" s="94"/>
      <c r="AP43" s="94"/>
      <c r="AQ43" s="193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</row>
    <row r="44">
      <c r="A44" s="46"/>
      <c r="B44" s="195"/>
      <c r="C44" s="195"/>
      <c r="D44" s="215"/>
      <c r="E44" s="46"/>
      <c r="F44" s="46"/>
      <c r="G44" s="46"/>
      <c r="H44" s="46"/>
      <c r="I44" s="46"/>
      <c r="J44" s="46"/>
      <c r="K44" s="46"/>
      <c r="L44" s="195"/>
      <c r="M44" s="215"/>
      <c r="N44" s="224"/>
      <c r="O44" s="225"/>
      <c r="P44" s="225"/>
      <c r="Q44" s="19"/>
      <c r="R44" s="19"/>
      <c r="S44" s="20"/>
      <c r="T44" s="20"/>
      <c r="U44" s="226"/>
      <c r="V44" s="24"/>
      <c r="W44" s="19"/>
      <c r="X44" s="19"/>
      <c r="Y44" s="193"/>
      <c r="Z44" s="19"/>
      <c r="AA44" s="19"/>
      <c r="AB44" s="19"/>
      <c r="AC44" s="193"/>
      <c r="AD44" s="193"/>
      <c r="AE44" s="193"/>
      <c r="AF44" s="88"/>
      <c r="AG44" s="88"/>
      <c r="AH44" s="88"/>
      <c r="AI44" s="88"/>
      <c r="AJ44" s="88"/>
      <c r="AK44" s="88"/>
      <c r="AL44" s="19"/>
      <c r="AM44" s="19"/>
      <c r="AN44" s="94"/>
      <c r="AO44" s="94"/>
      <c r="AP44" s="94"/>
      <c r="AQ44" s="193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</row>
    <row r="45">
      <c r="A45" s="46"/>
      <c r="B45" s="195"/>
      <c r="C45" s="195"/>
      <c r="D45" s="215"/>
      <c r="E45" s="46"/>
      <c r="F45" s="46"/>
      <c r="G45" s="46"/>
      <c r="H45" s="46"/>
      <c r="I45" s="46"/>
      <c r="J45" s="46"/>
      <c r="K45" s="46"/>
      <c r="L45" s="195"/>
      <c r="M45" s="215"/>
      <c r="N45" s="224"/>
      <c r="O45" s="225"/>
      <c r="P45" s="225"/>
      <c r="Q45" s="19"/>
      <c r="R45" s="19"/>
      <c r="S45" s="20"/>
      <c r="T45" s="20"/>
      <c r="U45" s="226"/>
      <c r="V45" s="24"/>
      <c r="W45" s="19"/>
      <c r="X45" s="19"/>
      <c r="Y45" s="193"/>
      <c r="Z45" s="227"/>
      <c r="AA45" s="227"/>
      <c r="AB45" s="227"/>
      <c r="AC45" s="227"/>
      <c r="AD45" s="193"/>
      <c r="AE45" s="193"/>
      <c r="AF45" s="88"/>
      <c r="AG45" s="88"/>
      <c r="AH45" s="88"/>
      <c r="AI45" s="88"/>
      <c r="AJ45" s="88"/>
      <c r="AK45" s="88"/>
      <c r="AL45" s="19"/>
      <c r="AM45" s="19"/>
      <c r="AN45" s="94"/>
      <c r="AO45" s="94"/>
      <c r="AP45" s="94"/>
      <c r="AQ45" s="193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224"/>
      <c r="O46" s="225"/>
      <c r="P46" s="225"/>
      <c r="Q46" s="19"/>
      <c r="R46" s="19"/>
      <c r="S46" s="20"/>
      <c r="T46" s="20"/>
      <c r="U46" s="19"/>
      <c r="V46" s="24"/>
      <c r="W46" s="19"/>
      <c r="X46" s="19"/>
      <c r="Y46" s="193"/>
      <c r="Z46" s="228"/>
      <c r="AA46" s="228"/>
      <c r="AB46" s="19"/>
      <c r="AC46" s="193"/>
      <c r="AD46" s="193"/>
      <c r="AE46" s="193"/>
      <c r="AF46" s="88"/>
      <c r="AG46" s="88"/>
      <c r="AH46" s="88"/>
      <c r="AI46" s="88"/>
      <c r="AJ46" s="88"/>
      <c r="AK46" s="88"/>
      <c r="AL46" s="19"/>
      <c r="AM46" s="19"/>
      <c r="AN46" s="94"/>
      <c r="AO46" s="94"/>
      <c r="AP46" s="94"/>
      <c r="AQ46" s="193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224"/>
      <c r="O47" s="225"/>
      <c r="P47" s="225"/>
      <c r="Q47" s="19"/>
      <c r="R47" s="19"/>
      <c r="S47" s="20"/>
      <c r="T47" s="20"/>
      <c r="U47" s="19"/>
      <c r="V47" s="19"/>
      <c r="W47" s="19"/>
      <c r="X47" s="19"/>
      <c r="Y47" s="193"/>
      <c r="Z47" s="69"/>
      <c r="AA47" s="69"/>
      <c r="AB47" s="19"/>
      <c r="AC47" s="193"/>
      <c r="AD47" s="193"/>
      <c r="AE47" s="193"/>
      <c r="AF47" s="88"/>
      <c r="AG47" s="88"/>
      <c r="AH47" s="88"/>
      <c r="AI47" s="88"/>
      <c r="AJ47" s="88"/>
      <c r="AK47" s="88"/>
      <c r="AL47" s="19"/>
      <c r="AM47" s="19"/>
      <c r="AN47" s="94"/>
      <c r="AO47" s="94"/>
      <c r="AP47" s="94"/>
      <c r="AQ47" s="193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224"/>
      <c r="O48" s="225"/>
      <c r="P48" s="225"/>
      <c r="Q48" s="19"/>
      <c r="R48" s="19"/>
      <c r="S48" s="20"/>
      <c r="T48" s="18"/>
      <c r="U48" s="226"/>
      <c r="V48" s="24"/>
      <c r="W48" s="19"/>
      <c r="X48" s="19"/>
      <c r="Y48" s="193"/>
      <c r="Z48" s="212"/>
      <c r="AA48" s="212"/>
      <c r="AB48" s="19"/>
      <c r="AC48" s="193"/>
      <c r="AD48" s="193"/>
      <c r="AE48" s="193"/>
      <c r="AF48" s="88"/>
      <c r="AG48" s="88"/>
      <c r="AH48" s="88"/>
      <c r="AI48" s="88"/>
      <c r="AJ48" s="88"/>
      <c r="AK48" s="88"/>
      <c r="AL48" s="19"/>
      <c r="AM48" s="19"/>
      <c r="AN48" s="94"/>
      <c r="AO48" s="94"/>
      <c r="AP48" s="94"/>
      <c r="AQ48" s="193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224"/>
      <c r="O49" s="225"/>
      <c r="P49" s="225"/>
      <c r="Q49" s="19"/>
      <c r="R49" s="19"/>
      <c r="S49" s="20"/>
      <c r="T49" s="20"/>
      <c r="U49" s="19"/>
      <c r="V49" s="24"/>
      <c r="W49" s="19"/>
      <c r="X49" s="19"/>
      <c r="Y49" s="193"/>
      <c r="Z49" s="212"/>
      <c r="AA49" s="212"/>
      <c r="AB49" s="19"/>
      <c r="AC49" s="193"/>
      <c r="AD49" s="193"/>
      <c r="AE49" s="193"/>
      <c r="AF49" s="88"/>
      <c r="AG49" s="88"/>
      <c r="AH49" s="88"/>
      <c r="AI49" s="88"/>
      <c r="AJ49" s="88"/>
      <c r="AK49" s="88"/>
      <c r="AL49" s="19"/>
      <c r="AM49" s="19"/>
      <c r="AN49" s="94"/>
      <c r="AO49" s="94"/>
      <c r="AP49" s="94"/>
      <c r="AQ49" s="193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224"/>
      <c r="O50" s="225"/>
      <c r="P50" s="225"/>
      <c r="Q50" s="19"/>
      <c r="R50" s="19"/>
      <c r="S50" s="20"/>
      <c r="T50" s="20"/>
      <c r="U50" s="19"/>
      <c r="V50" s="24"/>
      <c r="W50" s="19"/>
      <c r="X50" s="19"/>
      <c r="Y50" s="193"/>
      <c r="Z50" s="218"/>
      <c r="AA50" s="218"/>
      <c r="AB50" s="19"/>
      <c r="AC50" s="193"/>
      <c r="AD50" s="193"/>
      <c r="AE50" s="193"/>
      <c r="AF50" s="88"/>
      <c r="AG50" s="88"/>
      <c r="AH50" s="88"/>
      <c r="AI50" s="88"/>
      <c r="AJ50" s="88"/>
      <c r="AK50" s="88"/>
      <c r="AL50" s="19"/>
      <c r="AM50" s="19"/>
      <c r="AN50" s="94"/>
      <c r="AO50" s="94"/>
      <c r="AP50" s="94"/>
      <c r="AQ50" s="193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224"/>
      <c r="O51" s="225"/>
      <c r="P51" s="225"/>
      <c r="Q51" s="19"/>
      <c r="R51" s="19"/>
      <c r="S51" s="20"/>
      <c r="T51" s="20"/>
      <c r="U51" s="226"/>
      <c r="V51" s="24"/>
      <c r="W51" s="19"/>
      <c r="X51" s="19"/>
      <c r="Y51" s="193"/>
      <c r="Z51" s="218"/>
      <c r="AA51" s="218"/>
      <c r="AB51" s="19"/>
      <c r="AC51" s="193"/>
      <c r="AD51" s="193"/>
      <c r="AE51" s="193"/>
      <c r="AF51" s="88"/>
      <c r="AG51" s="88"/>
      <c r="AH51" s="88"/>
      <c r="AI51" s="88"/>
      <c r="AJ51" s="88"/>
      <c r="AK51" s="88"/>
      <c r="AL51" s="19"/>
      <c r="AM51" s="19"/>
      <c r="AN51" s="94"/>
      <c r="AO51" s="94"/>
      <c r="AP51" s="94"/>
      <c r="AQ51" s="193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</row>
    <row r="52">
      <c r="A52" s="46"/>
      <c r="B52" s="46"/>
      <c r="C52" s="46"/>
      <c r="D52" s="46"/>
      <c r="E52" s="18"/>
      <c r="F52" s="18"/>
      <c r="G52" s="18"/>
      <c r="H52" s="18"/>
      <c r="I52" s="18"/>
      <c r="J52" s="46"/>
      <c r="K52" s="46"/>
      <c r="L52" s="46"/>
      <c r="M52" s="46"/>
      <c r="N52" s="224"/>
      <c r="O52" s="225"/>
      <c r="P52" s="225"/>
      <c r="Q52" s="19"/>
      <c r="R52" s="19"/>
      <c r="S52" s="20"/>
      <c r="T52" s="229"/>
      <c r="U52" s="19"/>
      <c r="V52" s="24"/>
      <c r="W52" s="19"/>
      <c r="X52" s="19"/>
      <c r="Y52" s="193"/>
      <c r="Z52" s="19"/>
      <c r="AA52" s="19"/>
      <c r="AB52" s="19"/>
      <c r="AC52" s="193"/>
      <c r="AD52" s="193"/>
      <c r="AE52" s="193"/>
      <c r="AF52" s="88"/>
      <c r="AG52" s="88"/>
      <c r="AH52" s="88"/>
      <c r="AI52" s="88"/>
      <c r="AJ52" s="88"/>
      <c r="AK52" s="88"/>
      <c r="AL52" s="19"/>
      <c r="AM52" s="19"/>
      <c r="AN52" s="94"/>
      <c r="AO52" s="94"/>
      <c r="AP52" s="94"/>
      <c r="AQ52" s="193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</row>
    <row r="53">
      <c r="A53" s="46"/>
      <c r="B53" s="46"/>
      <c r="C53" s="46"/>
      <c r="D53" s="46"/>
      <c r="E53" s="18"/>
      <c r="F53" s="18"/>
      <c r="G53" s="18"/>
      <c r="H53" s="18"/>
      <c r="I53" s="18"/>
      <c r="J53" s="46"/>
      <c r="K53" s="46"/>
      <c r="L53" s="46"/>
      <c r="M53" s="46"/>
      <c r="N53" s="224"/>
      <c r="O53" s="225"/>
      <c r="P53" s="225"/>
      <c r="Q53" s="19"/>
      <c r="R53" s="19"/>
      <c r="S53" s="20"/>
      <c r="T53" s="20"/>
      <c r="U53" s="226"/>
      <c r="V53" s="24"/>
      <c r="W53" s="19"/>
      <c r="X53" s="19"/>
      <c r="Y53" s="193"/>
      <c r="Z53" s="19"/>
      <c r="AA53" s="19"/>
      <c r="AB53" s="19"/>
      <c r="AC53" s="193"/>
      <c r="AD53" s="193"/>
      <c r="AE53" s="193"/>
      <c r="AF53" s="88"/>
      <c r="AG53" s="88"/>
      <c r="AH53" s="88"/>
      <c r="AI53" s="88"/>
      <c r="AJ53" s="88"/>
      <c r="AK53" s="88"/>
      <c r="AL53" s="19"/>
      <c r="AM53" s="19"/>
      <c r="AN53" s="94"/>
      <c r="AO53" s="94"/>
      <c r="AP53" s="94"/>
      <c r="AQ53" s="193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</row>
    <row r="54">
      <c r="A54" s="46"/>
      <c r="B54" s="46"/>
      <c r="C54" s="46"/>
      <c r="D54" s="46"/>
      <c r="E54" s="18"/>
      <c r="F54" s="18"/>
      <c r="G54" s="18"/>
      <c r="H54" s="18"/>
      <c r="I54" s="18"/>
      <c r="J54" s="46"/>
      <c r="K54" s="46"/>
      <c r="L54" s="46"/>
      <c r="M54" s="46"/>
      <c r="N54" s="224"/>
      <c r="O54" s="225"/>
      <c r="P54" s="225"/>
      <c r="Q54" s="19"/>
      <c r="R54" s="19"/>
      <c r="S54" s="20"/>
      <c r="T54" s="20"/>
      <c r="U54" s="226"/>
      <c r="V54" s="24"/>
      <c r="W54" s="19"/>
      <c r="X54" s="19"/>
      <c r="Y54" s="193"/>
      <c r="Z54" s="19"/>
      <c r="AA54" s="19"/>
      <c r="AB54" s="19"/>
      <c r="AC54" s="193"/>
      <c r="AD54" s="193"/>
      <c r="AE54" s="193"/>
      <c r="AF54" s="88"/>
      <c r="AG54" s="88"/>
      <c r="AH54" s="88"/>
      <c r="AI54" s="88"/>
      <c r="AJ54" s="88"/>
      <c r="AK54" s="88"/>
      <c r="AL54" s="19"/>
      <c r="AM54" s="19"/>
      <c r="AN54" s="94"/>
      <c r="AO54" s="94"/>
      <c r="AP54" s="94"/>
      <c r="AQ54" s="230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</row>
    <row r="55">
      <c r="A55" s="46"/>
      <c r="B55" s="46"/>
      <c r="C55" s="46"/>
      <c r="D55" s="46"/>
      <c r="E55" s="18"/>
      <c r="F55" s="18"/>
      <c r="G55" s="18"/>
      <c r="H55" s="18"/>
      <c r="I55" s="18"/>
      <c r="J55" s="46"/>
      <c r="K55" s="46"/>
      <c r="L55" s="46"/>
      <c r="M55" s="46"/>
      <c r="N55" s="224"/>
      <c r="O55" s="225"/>
      <c r="P55" s="225"/>
      <c r="Q55" s="19"/>
      <c r="R55" s="19"/>
      <c r="S55" s="20"/>
      <c r="T55" s="20"/>
      <c r="U55" s="226"/>
      <c r="V55" s="24"/>
      <c r="W55" s="19"/>
      <c r="X55" s="19"/>
      <c r="Y55" s="193"/>
      <c r="Z55" s="19"/>
      <c r="AA55" s="19"/>
      <c r="AB55" s="19"/>
      <c r="AC55" s="193"/>
      <c r="AD55" s="193"/>
      <c r="AE55" s="193"/>
      <c r="AF55" s="88"/>
      <c r="AG55" s="88"/>
      <c r="AH55" s="88"/>
      <c r="AI55" s="88"/>
      <c r="AJ55" s="88"/>
      <c r="AK55" s="88"/>
      <c r="AL55" s="19"/>
      <c r="AM55" s="19"/>
      <c r="AN55" s="94"/>
      <c r="AO55" s="94"/>
      <c r="AP55" s="94"/>
      <c r="AQ55" s="193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</row>
    <row r="56">
      <c r="A56" s="46"/>
      <c r="B56" s="46"/>
      <c r="C56" s="46"/>
      <c r="D56" s="46"/>
      <c r="E56" s="18"/>
      <c r="F56" s="18"/>
      <c r="G56" s="18"/>
      <c r="H56" s="18"/>
      <c r="I56" s="18"/>
      <c r="J56" s="46"/>
      <c r="K56" s="46"/>
      <c r="L56" s="46"/>
      <c r="M56" s="46"/>
      <c r="N56" s="224"/>
      <c r="O56" s="225"/>
      <c r="P56" s="225"/>
      <c r="Q56" s="19"/>
      <c r="R56" s="19"/>
      <c r="S56" s="20"/>
      <c r="T56" s="20"/>
      <c r="U56" s="226"/>
      <c r="V56" s="24"/>
      <c r="W56" s="19"/>
      <c r="X56" s="19"/>
      <c r="Y56" s="193"/>
      <c r="Z56" s="19"/>
      <c r="AA56" s="19"/>
      <c r="AB56" s="19"/>
      <c r="AC56" s="193"/>
      <c r="AD56" s="193"/>
      <c r="AE56" s="193"/>
      <c r="AF56" s="88"/>
      <c r="AG56" s="88"/>
      <c r="AH56" s="88"/>
      <c r="AI56" s="88"/>
      <c r="AJ56" s="88"/>
      <c r="AK56" s="88"/>
      <c r="AL56" s="19"/>
      <c r="AM56" s="19"/>
      <c r="AN56" s="94"/>
      <c r="AO56" s="94"/>
      <c r="AP56" s="94"/>
      <c r="AQ56" s="193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</row>
    <row r="57">
      <c r="A57" s="46"/>
      <c r="B57" s="46"/>
      <c r="C57" s="46"/>
      <c r="D57" s="46"/>
      <c r="E57" s="18"/>
      <c r="F57" s="18"/>
      <c r="G57" s="18"/>
      <c r="H57" s="18"/>
      <c r="I57" s="18"/>
      <c r="J57" s="46"/>
      <c r="K57" s="46"/>
      <c r="L57" s="46"/>
      <c r="M57" s="46"/>
      <c r="N57" s="224"/>
      <c r="O57" s="225"/>
      <c r="P57" s="225"/>
      <c r="Q57" s="19"/>
      <c r="R57" s="19"/>
      <c r="S57" s="18"/>
      <c r="T57" s="18"/>
      <c r="U57" s="226"/>
      <c r="V57" s="24"/>
      <c r="W57" s="19"/>
      <c r="X57" s="19"/>
      <c r="Y57" s="193"/>
      <c r="Z57" s="19"/>
      <c r="AA57" s="19"/>
      <c r="AB57" s="19"/>
      <c r="AC57" s="193"/>
      <c r="AD57" s="193"/>
      <c r="AE57" s="193"/>
      <c r="AF57" s="88"/>
      <c r="AG57" s="88"/>
      <c r="AH57" s="88"/>
      <c r="AI57" s="88"/>
      <c r="AJ57" s="88"/>
      <c r="AK57" s="88"/>
      <c r="AL57" s="19"/>
      <c r="AM57" s="19"/>
      <c r="AN57" s="94"/>
      <c r="AO57" s="94"/>
      <c r="AP57" s="94"/>
      <c r="AQ57" s="230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</row>
    <row r="58">
      <c r="A58" s="46"/>
      <c r="B58" s="46"/>
      <c r="C58" s="46"/>
      <c r="D58" s="46"/>
      <c r="E58" s="18"/>
      <c r="F58" s="18"/>
      <c r="G58" s="18"/>
      <c r="H58" s="18"/>
      <c r="I58" s="18"/>
      <c r="J58" s="46"/>
      <c r="K58" s="46"/>
      <c r="L58" s="46"/>
      <c r="M58" s="46"/>
      <c r="N58" s="224"/>
      <c r="O58" s="225"/>
      <c r="P58" s="225"/>
      <c r="Q58" s="19"/>
      <c r="R58" s="19"/>
      <c r="S58" s="18"/>
      <c r="T58" s="18"/>
      <c r="U58" s="226"/>
      <c r="V58" s="24"/>
      <c r="W58" s="19"/>
      <c r="X58" s="19"/>
      <c r="Y58" s="193"/>
      <c r="Z58" s="19"/>
      <c r="AA58" s="19"/>
      <c r="AB58" s="19"/>
      <c r="AC58" s="193"/>
      <c r="AD58" s="193"/>
      <c r="AE58" s="193"/>
      <c r="AF58" s="88"/>
      <c r="AG58" s="88"/>
      <c r="AH58" s="88"/>
      <c r="AI58" s="88"/>
      <c r="AJ58" s="88"/>
      <c r="AK58" s="88"/>
      <c r="AL58" s="19"/>
      <c r="AM58" s="19"/>
      <c r="AN58" s="94"/>
      <c r="AO58" s="94"/>
      <c r="AP58" s="94"/>
      <c r="AQ58" s="230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</row>
    <row r="59">
      <c r="A59" s="46"/>
      <c r="B59" s="46"/>
      <c r="C59" s="46"/>
      <c r="D59" s="46"/>
      <c r="E59" s="18"/>
      <c r="F59" s="18"/>
      <c r="G59" s="18"/>
      <c r="H59" s="18"/>
      <c r="I59" s="18"/>
      <c r="J59" s="46"/>
      <c r="K59" s="46"/>
      <c r="L59" s="46"/>
      <c r="M59" s="46"/>
      <c r="N59" s="224"/>
      <c r="O59" s="225"/>
      <c r="P59" s="225"/>
      <c r="Q59" s="19"/>
      <c r="R59" s="19"/>
      <c r="S59" s="18"/>
      <c r="T59" s="18"/>
      <c r="U59" s="226"/>
      <c r="V59" s="24"/>
      <c r="W59" s="19"/>
      <c r="X59" s="19"/>
      <c r="Y59" s="230"/>
      <c r="Z59" s="19"/>
      <c r="AA59" s="19"/>
      <c r="AB59" s="19"/>
      <c r="AC59" s="193"/>
      <c r="AD59" s="193"/>
      <c r="AE59" s="193"/>
      <c r="AF59" s="88"/>
      <c r="AG59" s="88"/>
      <c r="AH59" s="88"/>
      <c r="AI59" s="88"/>
      <c r="AJ59" s="88"/>
      <c r="AK59" s="88"/>
      <c r="AL59" s="19"/>
      <c r="AM59" s="19"/>
      <c r="AN59" s="94"/>
      <c r="AO59" s="94"/>
      <c r="AP59" s="94"/>
      <c r="AQ59" s="230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</row>
    <row r="60">
      <c r="A60" s="46"/>
      <c r="B60" s="46"/>
      <c r="C60" s="46"/>
      <c r="D60" s="46"/>
      <c r="E60" s="18"/>
      <c r="F60" s="18"/>
      <c r="G60" s="18"/>
      <c r="H60" s="18"/>
      <c r="I60" s="18"/>
      <c r="J60" s="46"/>
      <c r="K60" s="46"/>
      <c r="L60" s="46"/>
      <c r="M60" s="46"/>
      <c r="N60" s="224"/>
      <c r="O60" s="231"/>
      <c r="P60" s="231"/>
      <c r="Q60" s="19"/>
      <c r="R60" s="18"/>
      <c r="S60" s="18"/>
      <c r="T60" s="18"/>
      <c r="U60" s="226"/>
      <c r="V60" s="24"/>
      <c r="W60" s="19"/>
      <c r="X60" s="19"/>
      <c r="Y60" s="230"/>
      <c r="Z60" s="19"/>
      <c r="AA60" s="19"/>
      <c r="AB60" s="19"/>
      <c r="AC60" s="193"/>
      <c r="AD60" s="193"/>
      <c r="AE60" s="193"/>
      <c r="AF60" s="88"/>
      <c r="AG60" s="88"/>
      <c r="AH60" s="88"/>
      <c r="AI60" s="88"/>
      <c r="AJ60" s="88"/>
      <c r="AK60" s="88"/>
      <c r="AL60" s="19"/>
      <c r="AM60" s="19"/>
      <c r="AN60" s="94"/>
      <c r="AO60" s="94"/>
      <c r="AP60" s="94"/>
      <c r="AQ60" s="230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</row>
    <row r="61">
      <c r="A61" s="46"/>
      <c r="B61" s="46"/>
      <c r="C61" s="46"/>
      <c r="D61" s="46"/>
      <c r="E61" s="18"/>
      <c r="F61" s="18"/>
      <c r="G61" s="18"/>
      <c r="H61" s="18"/>
      <c r="I61" s="18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7"/>
      <c r="Z61" s="46"/>
      <c r="AA61" s="46"/>
      <c r="AB61" s="46"/>
      <c r="AC61" s="47"/>
      <c r="AD61" s="47"/>
      <c r="AE61" s="47"/>
      <c r="AF61" s="46"/>
      <c r="AG61" s="46"/>
      <c r="AH61" s="46"/>
      <c r="AI61" s="46"/>
      <c r="AJ61" s="46"/>
      <c r="AK61" s="46"/>
      <c r="AL61" s="46"/>
      <c r="AM61" s="232"/>
      <c r="AN61" s="46"/>
      <c r="AO61" s="46"/>
      <c r="AP61" s="195"/>
      <c r="AQ61" s="47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</row>
    <row r="62">
      <c r="A62" s="46"/>
      <c r="B62" s="46"/>
      <c r="C62" s="46"/>
      <c r="D62" s="46"/>
      <c r="E62" s="18"/>
      <c r="F62" s="18"/>
      <c r="G62" s="18"/>
      <c r="H62" s="18"/>
      <c r="I62" s="18"/>
      <c r="J62" s="46"/>
      <c r="K62" s="46"/>
      <c r="L62" s="46"/>
      <c r="M62" s="46"/>
      <c r="N62" s="194"/>
      <c r="O62" s="194"/>
      <c r="P62" s="195"/>
      <c r="Q62" s="195"/>
      <c r="R62" s="196"/>
      <c r="S62" s="195"/>
      <c r="T62" s="195"/>
      <c r="U62" s="233"/>
      <c r="V62" s="234"/>
      <c r="W62" s="195"/>
      <c r="X62" s="195"/>
      <c r="Y62" s="47"/>
      <c r="Z62" s="235"/>
      <c r="AA62" s="235"/>
      <c r="AB62" s="235"/>
      <c r="AC62" s="236"/>
      <c r="AD62" s="236"/>
      <c r="AE62" s="236"/>
      <c r="AF62" s="237"/>
      <c r="AG62" s="237"/>
      <c r="AH62" s="237"/>
      <c r="AI62" s="237"/>
      <c r="AJ62" s="237"/>
      <c r="AK62" s="237"/>
      <c r="AL62" s="235"/>
      <c r="AM62" s="235"/>
      <c r="AN62" s="195"/>
      <c r="AO62" s="195"/>
      <c r="AP62" s="195"/>
      <c r="AQ62" s="47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</row>
    <row r="63">
      <c r="A63" s="46"/>
      <c r="B63" s="46"/>
      <c r="C63" s="46"/>
      <c r="D63" s="46"/>
      <c r="E63" s="18"/>
      <c r="F63" s="18"/>
      <c r="G63" s="18"/>
      <c r="H63" s="18"/>
      <c r="I63" s="18"/>
      <c r="J63" s="46"/>
      <c r="K63" s="46"/>
      <c r="L63" s="46"/>
      <c r="M63" s="46"/>
      <c r="N63" s="46"/>
      <c r="O63" s="195"/>
      <c r="P63" s="195"/>
      <c r="Q63" s="195"/>
      <c r="R63" s="196"/>
      <c r="S63" s="195"/>
      <c r="T63" s="195"/>
      <c r="U63" s="195"/>
      <c r="V63" s="234"/>
      <c r="W63" s="195"/>
      <c r="X63" s="195"/>
      <c r="Y63" s="46"/>
      <c r="Z63" s="46"/>
      <c r="AA63" s="46"/>
      <c r="AB63" s="195"/>
      <c r="AC63" s="238"/>
      <c r="AD63" s="238"/>
      <c r="AE63" s="238"/>
      <c r="AF63" s="195"/>
      <c r="AG63" s="195"/>
      <c r="AH63" s="195"/>
      <c r="AI63" s="195"/>
      <c r="AJ63" s="196"/>
      <c r="AK63" s="195"/>
      <c r="AL63" s="195"/>
      <c r="AM63" s="232"/>
      <c r="AN63" s="237"/>
      <c r="AO63" s="239"/>
      <c r="AP63" s="237"/>
      <c r="AQ63" s="47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</row>
    <row r="64">
      <c r="A64" s="46"/>
      <c r="B64" s="46"/>
      <c r="C64" s="46"/>
      <c r="D64" s="46"/>
      <c r="E64" s="18"/>
      <c r="F64" s="18"/>
      <c r="G64" s="18"/>
      <c r="H64" s="18"/>
      <c r="I64" s="18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7"/>
      <c r="Z64" s="46"/>
      <c r="AA64" s="46"/>
      <c r="AB64" s="46"/>
      <c r="AC64" s="47"/>
      <c r="AD64" s="47"/>
      <c r="AE64" s="47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</row>
    <row r="65">
      <c r="A65" s="46"/>
      <c r="B65" s="46"/>
      <c r="C65" s="46"/>
      <c r="D65" s="46"/>
      <c r="E65" s="18"/>
      <c r="F65" s="18"/>
      <c r="G65" s="18"/>
      <c r="H65" s="18"/>
      <c r="I65" s="18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7"/>
      <c r="Z65" s="46"/>
      <c r="AA65" s="46"/>
      <c r="AB65" s="46"/>
      <c r="AC65" s="47"/>
      <c r="AD65" s="47"/>
      <c r="AE65" s="47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</row>
    <row r="66">
      <c r="A66" s="46"/>
      <c r="B66" s="46"/>
      <c r="C66" s="46"/>
      <c r="D66" s="46"/>
      <c r="E66" s="18"/>
      <c r="F66" s="18"/>
      <c r="G66" s="18"/>
      <c r="H66" s="18"/>
      <c r="I66" s="18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7"/>
      <c r="Z66" s="46"/>
      <c r="AA66" s="46"/>
      <c r="AB66" s="46"/>
      <c r="AC66" s="47"/>
      <c r="AD66" s="47"/>
      <c r="AE66" s="47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</row>
    <row r="67">
      <c r="A67" s="46"/>
      <c r="B67" s="46"/>
      <c r="C67" s="46"/>
      <c r="D67" s="46"/>
      <c r="E67" s="18"/>
      <c r="F67" s="18"/>
      <c r="G67" s="18"/>
      <c r="H67" s="18"/>
      <c r="I67" s="18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7"/>
      <c r="Z67" s="46"/>
      <c r="AA67" s="46"/>
      <c r="AB67" s="46"/>
      <c r="AC67" s="47"/>
      <c r="AD67" s="47"/>
      <c r="AE67" s="47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</row>
    <row r="68">
      <c r="A68" s="46"/>
      <c r="B68" s="46"/>
      <c r="C68" s="46"/>
      <c r="D68" s="46"/>
      <c r="E68" s="18"/>
      <c r="F68" s="18"/>
      <c r="G68" s="18"/>
      <c r="H68" s="18"/>
      <c r="I68" s="18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7"/>
      <c r="Z68" s="46"/>
      <c r="AA68" s="46"/>
      <c r="AB68" s="46"/>
      <c r="AC68" s="47"/>
      <c r="AD68" s="47"/>
      <c r="AE68" s="47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</row>
    <row r="69">
      <c r="A69" s="46"/>
      <c r="B69" s="46"/>
      <c r="C69" s="46"/>
      <c r="D69" s="46"/>
      <c r="E69" s="18"/>
      <c r="F69" s="18"/>
      <c r="G69" s="18"/>
      <c r="H69" s="18"/>
      <c r="I69" s="18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7"/>
      <c r="Z69" s="46"/>
      <c r="AA69" s="46"/>
      <c r="AB69" s="46"/>
      <c r="AC69" s="47"/>
      <c r="AD69" s="47"/>
      <c r="AE69" s="47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</row>
    <row r="70">
      <c r="A70" s="46"/>
      <c r="B70" s="46"/>
      <c r="C70" s="46"/>
      <c r="D70" s="46"/>
      <c r="E70" s="18"/>
      <c r="F70" s="18"/>
      <c r="G70" s="18"/>
      <c r="H70" s="18"/>
      <c r="I70" s="18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7"/>
      <c r="Z70" s="46"/>
      <c r="AA70" s="46"/>
      <c r="AB70" s="46"/>
      <c r="AC70" s="47"/>
      <c r="AD70" s="47"/>
      <c r="AE70" s="47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</row>
    <row r="71">
      <c r="A71" s="46"/>
      <c r="B71" s="46"/>
      <c r="C71" s="46"/>
      <c r="D71" s="46"/>
      <c r="E71" s="18"/>
      <c r="F71" s="18"/>
      <c r="G71" s="18"/>
      <c r="H71" s="18"/>
      <c r="I71" s="18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7"/>
      <c r="Z71" s="46"/>
      <c r="AA71" s="46"/>
      <c r="AB71" s="46"/>
      <c r="AC71" s="47"/>
      <c r="AD71" s="47"/>
      <c r="AE71" s="47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</row>
    <row r="72">
      <c r="A72" s="46"/>
      <c r="B72" s="46"/>
      <c r="C72" s="46"/>
      <c r="D72" s="46"/>
      <c r="E72" s="18"/>
      <c r="F72" s="18"/>
      <c r="G72" s="18"/>
      <c r="H72" s="18"/>
      <c r="I72" s="18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7"/>
      <c r="Z72" s="46"/>
      <c r="AA72" s="46"/>
      <c r="AB72" s="46"/>
      <c r="AC72" s="47"/>
      <c r="AD72" s="47"/>
      <c r="AE72" s="47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</row>
    <row r="73">
      <c r="A73" s="46"/>
      <c r="B73" s="46"/>
      <c r="C73" s="46"/>
      <c r="D73" s="46"/>
      <c r="E73" s="18"/>
      <c r="F73" s="18"/>
      <c r="G73" s="18"/>
      <c r="H73" s="18"/>
      <c r="I73" s="18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7"/>
      <c r="Z73" s="46"/>
      <c r="AA73" s="46"/>
      <c r="AB73" s="46"/>
      <c r="AC73" s="47"/>
      <c r="AD73" s="47"/>
      <c r="AE73" s="47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</row>
    <row r="74">
      <c r="A74" s="46"/>
      <c r="B74" s="46"/>
      <c r="C74" s="46"/>
      <c r="D74" s="46"/>
      <c r="E74" s="18"/>
      <c r="F74" s="18"/>
      <c r="G74" s="18"/>
      <c r="H74" s="18"/>
      <c r="I74" s="18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7"/>
      <c r="Z74" s="46"/>
      <c r="AA74" s="46"/>
      <c r="AB74" s="46"/>
      <c r="AC74" s="47"/>
      <c r="AD74" s="47"/>
      <c r="AE74" s="47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</row>
    <row r="75">
      <c r="A75" s="46"/>
      <c r="B75" s="46"/>
      <c r="C75" s="46"/>
      <c r="D75" s="46"/>
      <c r="E75" s="18"/>
      <c r="F75" s="18"/>
      <c r="G75" s="18"/>
      <c r="H75" s="18"/>
      <c r="I75" s="18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7"/>
      <c r="Z75" s="46"/>
      <c r="AA75" s="46"/>
      <c r="AB75" s="46"/>
      <c r="AC75" s="47"/>
      <c r="AD75" s="47"/>
      <c r="AE75" s="47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</row>
    <row r="76">
      <c r="A76" s="46"/>
      <c r="B76" s="46"/>
      <c r="C76" s="46"/>
      <c r="D76" s="46"/>
      <c r="E76" s="18"/>
      <c r="F76" s="18"/>
      <c r="G76" s="18"/>
      <c r="H76" s="18"/>
      <c r="I76" s="18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7"/>
      <c r="Z76" s="46"/>
      <c r="AA76" s="46"/>
      <c r="AB76" s="46"/>
      <c r="AC76" s="47"/>
      <c r="AD76" s="47"/>
      <c r="AE76" s="47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</row>
    <row r="77">
      <c r="A77" s="46"/>
      <c r="B77" s="46"/>
      <c r="C77" s="46"/>
      <c r="D77" s="46"/>
      <c r="E77" s="18"/>
      <c r="F77" s="18"/>
      <c r="G77" s="18"/>
      <c r="H77" s="18"/>
      <c r="I77" s="18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7"/>
      <c r="Z77" s="46"/>
      <c r="AA77" s="46"/>
      <c r="AB77" s="46"/>
      <c r="AC77" s="47"/>
      <c r="AD77" s="47"/>
      <c r="AE77" s="47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</row>
    <row r="78">
      <c r="A78" s="46"/>
      <c r="B78" s="46"/>
      <c r="C78" s="46"/>
      <c r="D78" s="46"/>
      <c r="E78" s="18"/>
      <c r="F78" s="18"/>
      <c r="G78" s="18"/>
      <c r="H78" s="18"/>
      <c r="I78" s="18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7"/>
      <c r="Z78" s="46"/>
      <c r="AA78" s="46"/>
      <c r="AB78" s="46"/>
      <c r="AC78" s="47"/>
      <c r="AD78" s="47"/>
      <c r="AE78" s="47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</row>
    <row r="79">
      <c r="A79" s="46"/>
      <c r="B79" s="46"/>
      <c r="C79" s="46"/>
      <c r="D79" s="46"/>
      <c r="E79" s="18"/>
      <c r="F79" s="18"/>
      <c r="G79" s="18"/>
      <c r="H79" s="18"/>
      <c r="I79" s="18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7"/>
      <c r="Z79" s="46"/>
      <c r="AA79" s="46"/>
      <c r="AB79" s="46"/>
      <c r="AC79" s="47"/>
      <c r="AD79" s="47"/>
      <c r="AE79" s="47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</row>
    <row r="80">
      <c r="A80" s="46"/>
      <c r="B80" s="46"/>
      <c r="C80" s="46"/>
      <c r="D80" s="46"/>
      <c r="E80" s="18"/>
      <c r="F80" s="18"/>
      <c r="G80" s="18"/>
      <c r="H80" s="18"/>
      <c r="I80" s="18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7"/>
      <c r="Z80" s="46"/>
      <c r="AA80" s="46"/>
      <c r="AB80" s="46"/>
      <c r="AC80" s="47"/>
      <c r="AD80" s="47"/>
      <c r="AE80" s="47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</row>
    <row r="81">
      <c r="A81" s="46"/>
      <c r="B81" s="46"/>
      <c r="C81" s="46"/>
      <c r="D81" s="46"/>
      <c r="E81" s="18"/>
      <c r="F81" s="18"/>
      <c r="G81" s="18"/>
      <c r="H81" s="18"/>
      <c r="I81" s="18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7"/>
      <c r="Z81" s="46"/>
      <c r="AA81" s="46"/>
      <c r="AB81" s="46"/>
      <c r="AC81" s="47"/>
      <c r="AD81" s="47"/>
      <c r="AE81" s="47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7"/>
      <c r="Z82" s="46"/>
      <c r="AA82" s="46"/>
      <c r="AB82" s="46"/>
      <c r="AC82" s="47"/>
      <c r="AD82" s="47"/>
      <c r="AE82" s="47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7"/>
      <c r="Z83" s="46"/>
      <c r="AA83" s="46"/>
      <c r="AB83" s="46"/>
      <c r="AC83" s="47"/>
      <c r="AD83" s="47"/>
      <c r="AE83" s="47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7"/>
      <c r="Z84" s="46"/>
      <c r="AA84" s="46"/>
      <c r="AB84" s="46"/>
      <c r="AC84" s="47"/>
      <c r="AD84" s="47"/>
      <c r="AE84" s="47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7"/>
      <c r="Z85" s="46"/>
      <c r="AA85" s="46"/>
      <c r="AB85" s="46"/>
      <c r="AC85" s="47"/>
      <c r="AD85" s="47"/>
      <c r="AE85" s="47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7"/>
      <c r="Z86" s="46"/>
      <c r="AA86" s="46"/>
      <c r="AB86" s="46"/>
      <c r="AC86" s="47"/>
      <c r="AD86" s="47"/>
      <c r="AE86" s="47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7"/>
      <c r="Z87" s="46"/>
      <c r="AA87" s="46"/>
      <c r="AB87" s="46"/>
      <c r="AC87" s="47"/>
      <c r="AD87" s="47"/>
      <c r="AE87" s="47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7"/>
      <c r="Z88" s="46"/>
      <c r="AA88" s="46"/>
      <c r="AB88" s="46"/>
      <c r="AC88" s="47"/>
      <c r="AD88" s="47"/>
      <c r="AE88" s="47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7"/>
      <c r="Z89" s="46"/>
      <c r="AA89" s="46"/>
      <c r="AB89" s="46"/>
      <c r="AC89" s="47"/>
      <c r="AD89" s="47"/>
      <c r="AE89" s="47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7"/>
      <c r="Z90" s="46"/>
      <c r="AA90" s="46"/>
      <c r="AB90" s="46"/>
      <c r="AC90" s="47"/>
      <c r="AD90" s="47"/>
      <c r="AE90" s="47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7"/>
      <c r="Z91" s="46"/>
      <c r="AA91" s="46"/>
      <c r="AB91" s="46"/>
      <c r="AC91" s="47"/>
      <c r="AD91" s="47"/>
      <c r="AE91" s="47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7"/>
      <c r="Z92" s="46"/>
      <c r="AA92" s="46"/>
      <c r="AB92" s="46"/>
      <c r="AC92" s="47"/>
      <c r="AD92" s="47"/>
      <c r="AE92" s="47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7"/>
      <c r="Z93" s="46"/>
      <c r="AA93" s="46"/>
      <c r="AB93" s="46"/>
      <c r="AC93" s="47"/>
      <c r="AD93" s="47"/>
      <c r="AE93" s="47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7"/>
      <c r="Z94" s="46"/>
      <c r="AA94" s="46"/>
      <c r="AB94" s="46"/>
      <c r="AC94" s="47"/>
      <c r="AD94" s="47"/>
      <c r="AE94" s="47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7"/>
      <c r="Z95" s="46"/>
      <c r="AA95" s="46"/>
      <c r="AB95" s="46"/>
      <c r="AC95" s="47"/>
      <c r="AD95" s="47"/>
      <c r="AE95" s="47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7"/>
      <c r="Z96" s="46"/>
      <c r="AA96" s="46"/>
      <c r="AB96" s="46"/>
      <c r="AC96" s="47"/>
      <c r="AD96" s="47"/>
      <c r="AE96" s="47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7"/>
      <c r="Z97" s="46"/>
      <c r="AA97" s="46"/>
      <c r="AB97" s="46"/>
      <c r="AC97" s="47"/>
      <c r="AD97" s="47"/>
      <c r="AE97" s="47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7"/>
      <c r="Z98" s="46"/>
      <c r="AA98" s="46"/>
      <c r="AB98" s="46"/>
      <c r="AC98" s="47"/>
      <c r="AD98" s="47"/>
      <c r="AE98" s="47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7"/>
      <c r="Z99" s="46"/>
      <c r="AA99" s="46"/>
      <c r="AB99" s="46"/>
      <c r="AC99" s="47"/>
      <c r="AD99" s="47"/>
      <c r="AE99" s="47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7"/>
      <c r="Z100" s="46"/>
      <c r="AA100" s="46"/>
      <c r="AB100" s="46"/>
      <c r="AC100" s="47"/>
      <c r="AD100" s="47"/>
      <c r="AE100" s="47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7"/>
      <c r="Z101" s="46"/>
      <c r="AA101" s="46"/>
      <c r="AB101" s="46"/>
      <c r="AC101" s="47"/>
      <c r="AD101" s="47"/>
      <c r="AE101" s="47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7"/>
      <c r="Z102" s="46"/>
      <c r="AA102" s="46"/>
      <c r="AB102" s="46"/>
      <c r="AC102" s="47"/>
      <c r="AD102" s="47"/>
      <c r="AE102" s="47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7"/>
      <c r="Z103" s="46"/>
      <c r="AA103" s="46"/>
      <c r="AB103" s="46"/>
      <c r="AC103" s="47"/>
      <c r="AD103" s="47"/>
      <c r="AE103" s="47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7"/>
      <c r="Z104" s="46"/>
      <c r="AA104" s="46"/>
      <c r="AB104" s="46"/>
      <c r="AC104" s="47"/>
      <c r="AD104" s="47"/>
      <c r="AE104" s="47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7"/>
      <c r="Z105" s="46"/>
      <c r="AA105" s="46"/>
      <c r="AB105" s="46"/>
      <c r="AC105" s="47"/>
      <c r="AD105" s="47"/>
      <c r="AE105" s="47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7"/>
      <c r="Z106" s="46"/>
      <c r="AA106" s="46"/>
      <c r="AB106" s="46"/>
      <c r="AC106" s="47"/>
      <c r="AD106" s="47"/>
      <c r="AE106" s="47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7"/>
      <c r="Z107" s="46"/>
      <c r="AA107" s="46"/>
      <c r="AB107" s="46"/>
      <c r="AC107" s="47"/>
      <c r="AD107" s="47"/>
      <c r="AE107" s="47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7"/>
      <c r="Z108" s="46"/>
      <c r="AA108" s="46"/>
      <c r="AB108" s="46"/>
      <c r="AC108" s="47"/>
      <c r="AD108" s="47"/>
      <c r="AE108" s="47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7"/>
      <c r="Z109" s="46"/>
      <c r="AA109" s="46"/>
      <c r="AB109" s="46"/>
      <c r="AC109" s="47"/>
      <c r="AD109" s="47"/>
      <c r="AE109" s="47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7"/>
      <c r="Z110" s="46"/>
      <c r="AA110" s="46"/>
      <c r="AB110" s="46"/>
      <c r="AC110" s="47"/>
      <c r="AD110" s="47"/>
      <c r="AE110" s="47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7"/>
      <c r="Z111" s="46"/>
      <c r="AA111" s="46"/>
      <c r="AB111" s="46"/>
      <c r="AC111" s="47"/>
      <c r="AD111" s="47"/>
      <c r="AE111" s="47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7"/>
      <c r="Z112" s="46"/>
      <c r="AA112" s="46"/>
      <c r="AB112" s="46"/>
      <c r="AC112" s="47"/>
      <c r="AD112" s="47"/>
      <c r="AE112" s="47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7"/>
      <c r="Z113" s="46"/>
      <c r="AA113" s="46"/>
      <c r="AB113" s="46"/>
      <c r="AC113" s="47"/>
      <c r="AD113" s="47"/>
      <c r="AE113" s="47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7"/>
      <c r="Z114" s="46"/>
      <c r="AA114" s="46"/>
      <c r="AB114" s="46"/>
      <c r="AC114" s="47"/>
      <c r="AD114" s="47"/>
      <c r="AE114" s="47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7"/>
      <c r="Z115" s="46"/>
      <c r="AA115" s="46"/>
      <c r="AB115" s="46"/>
      <c r="AC115" s="47"/>
      <c r="AD115" s="47"/>
      <c r="AE115" s="47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7"/>
      <c r="Z116" s="46"/>
      <c r="AA116" s="46"/>
      <c r="AB116" s="46"/>
      <c r="AC116" s="47"/>
      <c r="AD116" s="47"/>
      <c r="AE116" s="47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7"/>
      <c r="Z117" s="46"/>
      <c r="AA117" s="46"/>
      <c r="AB117" s="46"/>
      <c r="AC117" s="47"/>
      <c r="AD117" s="47"/>
      <c r="AE117" s="47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7"/>
      <c r="Z118" s="46"/>
      <c r="AA118" s="46"/>
      <c r="AB118" s="46"/>
      <c r="AC118" s="47"/>
      <c r="AD118" s="47"/>
      <c r="AE118" s="47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7"/>
      <c r="Z119" s="46"/>
      <c r="AA119" s="46"/>
      <c r="AB119" s="46"/>
      <c r="AC119" s="47"/>
      <c r="AD119" s="47"/>
      <c r="AE119" s="47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7"/>
      <c r="Z120" s="46"/>
      <c r="AA120" s="46"/>
      <c r="AB120" s="46"/>
      <c r="AC120" s="47"/>
      <c r="AD120" s="47"/>
      <c r="AE120" s="47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7"/>
      <c r="Z121" s="46"/>
      <c r="AA121" s="46"/>
      <c r="AB121" s="46"/>
      <c r="AC121" s="47"/>
      <c r="AD121" s="47"/>
      <c r="AE121" s="47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7"/>
      <c r="Z122" s="46"/>
      <c r="AA122" s="46"/>
      <c r="AB122" s="46"/>
      <c r="AC122" s="47"/>
      <c r="AD122" s="47"/>
      <c r="AE122" s="47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7"/>
      <c r="Z123" s="46"/>
      <c r="AA123" s="46"/>
      <c r="AB123" s="46"/>
      <c r="AC123" s="47"/>
      <c r="AD123" s="47"/>
      <c r="AE123" s="47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7"/>
      <c r="Z124" s="46"/>
      <c r="AA124" s="46"/>
      <c r="AB124" s="46"/>
      <c r="AC124" s="47"/>
      <c r="AD124" s="47"/>
      <c r="AE124" s="47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7"/>
      <c r="Z125" s="46"/>
      <c r="AA125" s="46"/>
      <c r="AB125" s="46"/>
      <c r="AC125" s="47"/>
      <c r="AD125" s="47"/>
      <c r="AE125" s="47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7"/>
      <c r="Z126" s="46"/>
      <c r="AA126" s="46"/>
      <c r="AB126" s="46"/>
      <c r="AC126" s="47"/>
      <c r="AD126" s="47"/>
      <c r="AE126" s="47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7"/>
      <c r="Z127" s="46"/>
      <c r="AA127" s="46"/>
      <c r="AB127" s="46"/>
      <c r="AC127" s="47"/>
      <c r="AD127" s="47"/>
      <c r="AE127" s="47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7"/>
      <c r="Z128" s="46"/>
      <c r="AA128" s="46"/>
      <c r="AB128" s="46"/>
      <c r="AC128" s="47"/>
      <c r="AD128" s="47"/>
      <c r="AE128" s="47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7"/>
      <c r="Z129" s="46"/>
      <c r="AA129" s="46"/>
      <c r="AB129" s="46"/>
      <c r="AC129" s="47"/>
      <c r="AD129" s="47"/>
      <c r="AE129" s="47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7"/>
      <c r="Z130" s="46"/>
      <c r="AA130" s="46"/>
      <c r="AB130" s="46"/>
      <c r="AC130" s="47"/>
      <c r="AD130" s="47"/>
      <c r="AE130" s="47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7"/>
      <c r="Z131" s="46"/>
      <c r="AA131" s="46"/>
      <c r="AB131" s="46"/>
      <c r="AC131" s="47"/>
      <c r="AD131" s="47"/>
      <c r="AE131" s="47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7"/>
      <c r="Z132" s="46"/>
      <c r="AA132" s="46"/>
      <c r="AB132" s="46"/>
      <c r="AC132" s="47"/>
      <c r="AD132" s="47"/>
      <c r="AE132" s="47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7"/>
      <c r="Z133" s="46"/>
      <c r="AA133" s="46"/>
      <c r="AB133" s="46"/>
      <c r="AC133" s="47"/>
      <c r="AD133" s="47"/>
      <c r="AE133" s="47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7"/>
      <c r="Z134" s="46"/>
      <c r="AA134" s="46"/>
      <c r="AB134" s="46"/>
      <c r="AC134" s="47"/>
      <c r="AD134" s="47"/>
      <c r="AE134" s="47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7"/>
      <c r="Z135" s="46"/>
      <c r="AA135" s="46"/>
      <c r="AB135" s="46"/>
      <c r="AC135" s="47"/>
      <c r="AD135" s="47"/>
      <c r="AE135" s="47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7"/>
      <c r="Z136" s="46"/>
      <c r="AA136" s="46"/>
      <c r="AB136" s="46"/>
      <c r="AC136" s="47"/>
      <c r="AD136" s="47"/>
      <c r="AE136" s="47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7"/>
      <c r="Z137" s="46"/>
      <c r="AA137" s="46"/>
      <c r="AB137" s="46"/>
      <c r="AC137" s="47"/>
      <c r="AD137" s="47"/>
      <c r="AE137" s="47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7"/>
      <c r="Z138" s="46"/>
      <c r="AA138" s="46"/>
      <c r="AB138" s="46"/>
      <c r="AC138" s="47"/>
      <c r="AD138" s="47"/>
      <c r="AE138" s="47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7"/>
      <c r="Z139" s="46"/>
      <c r="AA139" s="46"/>
      <c r="AB139" s="46"/>
      <c r="AC139" s="47"/>
      <c r="AD139" s="47"/>
      <c r="AE139" s="47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7"/>
      <c r="Z140" s="46"/>
      <c r="AA140" s="46"/>
      <c r="AB140" s="46"/>
      <c r="AC140" s="47"/>
      <c r="AD140" s="47"/>
      <c r="AE140" s="47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7"/>
      <c r="Z141" s="46"/>
      <c r="AA141" s="46"/>
      <c r="AB141" s="46"/>
      <c r="AC141" s="47"/>
      <c r="AD141" s="47"/>
      <c r="AE141" s="47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7"/>
      <c r="Z142" s="46"/>
      <c r="AA142" s="46"/>
      <c r="AB142" s="46"/>
      <c r="AC142" s="47"/>
      <c r="AD142" s="47"/>
      <c r="AE142" s="47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7"/>
      <c r="Z143" s="46"/>
      <c r="AA143" s="46"/>
      <c r="AB143" s="46"/>
      <c r="AC143" s="47"/>
      <c r="AD143" s="47"/>
      <c r="AE143" s="47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7"/>
      <c r="Z144" s="46"/>
      <c r="AA144" s="46"/>
      <c r="AB144" s="46"/>
      <c r="AC144" s="47"/>
      <c r="AD144" s="47"/>
      <c r="AE144" s="47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7"/>
      <c r="Z145" s="46"/>
      <c r="AA145" s="46"/>
      <c r="AB145" s="46"/>
      <c r="AC145" s="47"/>
      <c r="AD145" s="47"/>
      <c r="AE145" s="47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7"/>
      <c r="Z146" s="46"/>
      <c r="AA146" s="46"/>
      <c r="AB146" s="46"/>
      <c r="AC146" s="47"/>
      <c r="AD146" s="47"/>
      <c r="AE146" s="47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7"/>
      <c r="Z147" s="46"/>
      <c r="AA147" s="46"/>
      <c r="AB147" s="46"/>
      <c r="AC147" s="47"/>
      <c r="AD147" s="47"/>
      <c r="AE147" s="47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7"/>
      <c r="Z148" s="46"/>
      <c r="AA148" s="46"/>
      <c r="AB148" s="46"/>
      <c r="AC148" s="47"/>
      <c r="AD148" s="47"/>
      <c r="AE148" s="47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7"/>
      <c r="Z149" s="46"/>
      <c r="AA149" s="46"/>
      <c r="AB149" s="46"/>
      <c r="AC149" s="47"/>
      <c r="AD149" s="47"/>
      <c r="AE149" s="47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7"/>
      <c r="Z150" s="46"/>
      <c r="AA150" s="46"/>
      <c r="AB150" s="46"/>
      <c r="AC150" s="47"/>
      <c r="AD150" s="47"/>
      <c r="AE150" s="47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7"/>
      <c r="Z151" s="46"/>
      <c r="AA151" s="46"/>
      <c r="AB151" s="46"/>
      <c r="AC151" s="47"/>
      <c r="AD151" s="47"/>
      <c r="AE151" s="47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7"/>
      <c r="Z152" s="46"/>
      <c r="AA152" s="46"/>
      <c r="AB152" s="46"/>
      <c r="AC152" s="47"/>
      <c r="AD152" s="47"/>
      <c r="AE152" s="47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7"/>
      <c r="Z153" s="46"/>
      <c r="AA153" s="46"/>
      <c r="AB153" s="46"/>
      <c r="AC153" s="47"/>
      <c r="AD153" s="47"/>
      <c r="AE153" s="47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7"/>
      <c r="Z154" s="46"/>
      <c r="AA154" s="46"/>
      <c r="AB154" s="46"/>
      <c r="AC154" s="47"/>
      <c r="AD154" s="47"/>
      <c r="AE154" s="47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7"/>
      <c r="Z155" s="46"/>
      <c r="AA155" s="46"/>
      <c r="AB155" s="46"/>
      <c r="AC155" s="47"/>
      <c r="AD155" s="47"/>
      <c r="AE155" s="47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7"/>
      <c r="Z156" s="46"/>
      <c r="AA156" s="46"/>
      <c r="AB156" s="46"/>
      <c r="AC156" s="47"/>
      <c r="AD156" s="47"/>
      <c r="AE156" s="47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7"/>
      <c r="Z157" s="46"/>
      <c r="AA157" s="46"/>
      <c r="AB157" s="46"/>
      <c r="AC157" s="47"/>
      <c r="AD157" s="47"/>
      <c r="AE157" s="47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7"/>
      <c r="Z158" s="46"/>
      <c r="AA158" s="46"/>
      <c r="AB158" s="46"/>
      <c r="AC158" s="47"/>
      <c r="AD158" s="47"/>
      <c r="AE158" s="47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7"/>
      <c r="Z159" s="46"/>
      <c r="AA159" s="46"/>
      <c r="AB159" s="46"/>
      <c r="AC159" s="47"/>
      <c r="AD159" s="47"/>
      <c r="AE159" s="47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7"/>
      <c r="Z160" s="46"/>
      <c r="AA160" s="46"/>
      <c r="AB160" s="46"/>
      <c r="AC160" s="47"/>
      <c r="AD160" s="47"/>
      <c r="AE160" s="47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7"/>
      <c r="Z161" s="46"/>
      <c r="AA161" s="46"/>
      <c r="AB161" s="46"/>
      <c r="AC161" s="47"/>
      <c r="AD161" s="47"/>
      <c r="AE161" s="47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7"/>
      <c r="Z162" s="46"/>
      <c r="AA162" s="46"/>
      <c r="AB162" s="46"/>
      <c r="AC162" s="47"/>
      <c r="AD162" s="47"/>
      <c r="AE162" s="47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7"/>
      <c r="Z163" s="46"/>
      <c r="AA163" s="46"/>
      <c r="AB163" s="46"/>
      <c r="AC163" s="47"/>
      <c r="AD163" s="47"/>
      <c r="AE163" s="47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7"/>
      <c r="Z164" s="46"/>
      <c r="AA164" s="46"/>
      <c r="AB164" s="46"/>
      <c r="AC164" s="47"/>
      <c r="AD164" s="47"/>
      <c r="AE164" s="47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7"/>
      <c r="Z165" s="46"/>
      <c r="AA165" s="46"/>
      <c r="AB165" s="46"/>
      <c r="AC165" s="47"/>
      <c r="AD165" s="47"/>
      <c r="AE165" s="47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7"/>
      <c r="Z166" s="46"/>
      <c r="AA166" s="46"/>
      <c r="AB166" s="46"/>
      <c r="AC166" s="47"/>
      <c r="AD166" s="47"/>
      <c r="AE166" s="47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7"/>
      <c r="Z167" s="46"/>
      <c r="AA167" s="46"/>
      <c r="AB167" s="46"/>
      <c r="AC167" s="47"/>
      <c r="AD167" s="47"/>
      <c r="AE167" s="47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7"/>
      <c r="Z168" s="46"/>
      <c r="AA168" s="46"/>
      <c r="AB168" s="46"/>
      <c r="AC168" s="47"/>
      <c r="AD168" s="47"/>
      <c r="AE168" s="47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7"/>
      <c r="Z169" s="46"/>
      <c r="AA169" s="46"/>
      <c r="AB169" s="46"/>
      <c r="AC169" s="47"/>
      <c r="AD169" s="47"/>
      <c r="AE169" s="47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7"/>
      <c r="Z170" s="46"/>
      <c r="AA170" s="46"/>
      <c r="AB170" s="46"/>
      <c r="AC170" s="47"/>
      <c r="AD170" s="47"/>
      <c r="AE170" s="47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7"/>
      <c r="Z171" s="46"/>
      <c r="AA171" s="46"/>
      <c r="AB171" s="46"/>
      <c r="AC171" s="47"/>
      <c r="AD171" s="47"/>
      <c r="AE171" s="47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7"/>
      <c r="Z172" s="46"/>
      <c r="AA172" s="46"/>
      <c r="AB172" s="46"/>
      <c r="AC172" s="47"/>
      <c r="AD172" s="47"/>
      <c r="AE172" s="47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7"/>
      <c r="Z173" s="46"/>
      <c r="AA173" s="46"/>
      <c r="AB173" s="46"/>
      <c r="AC173" s="47"/>
      <c r="AD173" s="47"/>
      <c r="AE173" s="47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7"/>
      <c r="Z174" s="46"/>
      <c r="AA174" s="46"/>
      <c r="AB174" s="46"/>
      <c r="AC174" s="47"/>
      <c r="AD174" s="47"/>
      <c r="AE174" s="47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7"/>
      <c r="Z175" s="46"/>
      <c r="AA175" s="46"/>
      <c r="AB175" s="46"/>
      <c r="AC175" s="47"/>
      <c r="AD175" s="47"/>
      <c r="AE175" s="47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7"/>
      <c r="Z176" s="46"/>
      <c r="AA176" s="46"/>
      <c r="AB176" s="46"/>
      <c r="AC176" s="47"/>
      <c r="AD176" s="47"/>
      <c r="AE176" s="47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7"/>
      <c r="Z177" s="46"/>
      <c r="AA177" s="46"/>
      <c r="AB177" s="46"/>
      <c r="AC177" s="47"/>
      <c r="AD177" s="47"/>
      <c r="AE177" s="47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7"/>
      <c r="Z178" s="46"/>
      <c r="AA178" s="46"/>
      <c r="AB178" s="46"/>
      <c r="AC178" s="47"/>
      <c r="AD178" s="47"/>
      <c r="AE178" s="47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7"/>
      <c r="Z179" s="46"/>
      <c r="AA179" s="46"/>
      <c r="AB179" s="46"/>
      <c r="AC179" s="47"/>
      <c r="AD179" s="47"/>
      <c r="AE179" s="47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7"/>
      <c r="Z180" s="46"/>
      <c r="AA180" s="46"/>
      <c r="AB180" s="46"/>
      <c r="AC180" s="47"/>
      <c r="AD180" s="47"/>
      <c r="AE180" s="47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7"/>
      <c r="Z181" s="46"/>
      <c r="AA181" s="46"/>
      <c r="AB181" s="46"/>
      <c r="AC181" s="47"/>
      <c r="AD181" s="47"/>
      <c r="AE181" s="47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7"/>
      <c r="Z182" s="46"/>
      <c r="AA182" s="46"/>
      <c r="AB182" s="46"/>
      <c r="AC182" s="47"/>
      <c r="AD182" s="47"/>
      <c r="AE182" s="47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7"/>
      <c r="Z183" s="46"/>
      <c r="AA183" s="46"/>
      <c r="AB183" s="46"/>
      <c r="AC183" s="47"/>
      <c r="AD183" s="47"/>
      <c r="AE183" s="47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7"/>
      <c r="Z184" s="46"/>
      <c r="AA184" s="46"/>
      <c r="AB184" s="46"/>
      <c r="AC184" s="47"/>
      <c r="AD184" s="47"/>
      <c r="AE184" s="47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7"/>
      <c r="Z185" s="46"/>
      <c r="AA185" s="46"/>
      <c r="AB185" s="46"/>
      <c r="AC185" s="47"/>
      <c r="AD185" s="47"/>
      <c r="AE185" s="47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7"/>
      <c r="Z186" s="46"/>
      <c r="AA186" s="46"/>
      <c r="AB186" s="46"/>
      <c r="AC186" s="47"/>
      <c r="AD186" s="47"/>
      <c r="AE186" s="47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7"/>
      <c r="Z187" s="46"/>
      <c r="AA187" s="46"/>
      <c r="AB187" s="46"/>
      <c r="AC187" s="47"/>
      <c r="AD187" s="47"/>
      <c r="AE187" s="47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7"/>
      <c r="Z188" s="46"/>
      <c r="AA188" s="46"/>
      <c r="AB188" s="46"/>
      <c r="AC188" s="47"/>
      <c r="AD188" s="47"/>
      <c r="AE188" s="47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7"/>
      <c r="Z189" s="46"/>
      <c r="AA189" s="46"/>
      <c r="AB189" s="46"/>
      <c r="AC189" s="47"/>
      <c r="AD189" s="47"/>
      <c r="AE189" s="47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7"/>
      <c r="Z190" s="46"/>
      <c r="AA190" s="46"/>
      <c r="AB190" s="46"/>
      <c r="AC190" s="47"/>
      <c r="AD190" s="47"/>
      <c r="AE190" s="47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7"/>
      <c r="Z191" s="46"/>
      <c r="AA191" s="46"/>
      <c r="AB191" s="46"/>
      <c r="AC191" s="47"/>
      <c r="AD191" s="47"/>
      <c r="AE191" s="47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7"/>
      <c r="Z192" s="46"/>
      <c r="AA192" s="46"/>
      <c r="AB192" s="46"/>
      <c r="AC192" s="47"/>
      <c r="AD192" s="47"/>
      <c r="AE192" s="47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7"/>
      <c r="Z193" s="46"/>
      <c r="AA193" s="46"/>
      <c r="AB193" s="46"/>
      <c r="AC193" s="47"/>
      <c r="AD193" s="47"/>
      <c r="AE193" s="47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7"/>
      <c r="Z194" s="46"/>
      <c r="AA194" s="46"/>
      <c r="AB194" s="46"/>
      <c r="AC194" s="47"/>
      <c r="AD194" s="47"/>
      <c r="AE194" s="47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7"/>
      <c r="Z195" s="46"/>
      <c r="AA195" s="46"/>
      <c r="AB195" s="46"/>
      <c r="AC195" s="47"/>
      <c r="AD195" s="47"/>
      <c r="AE195" s="47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7"/>
      <c r="Z196" s="46"/>
      <c r="AA196" s="46"/>
      <c r="AB196" s="46"/>
      <c r="AC196" s="47"/>
      <c r="AD196" s="47"/>
      <c r="AE196" s="47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7"/>
      <c r="Z197" s="46"/>
      <c r="AA197" s="46"/>
      <c r="AB197" s="46"/>
      <c r="AC197" s="47"/>
      <c r="AD197" s="47"/>
      <c r="AE197" s="47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7"/>
      <c r="Z198" s="46"/>
      <c r="AA198" s="46"/>
      <c r="AB198" s="46"/>
      <c r="AC198" s="47"/>
      <c r="AD198" s="47"/>
      <c r="AE198" s="47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7"/>
      <c r="Z199" s="46"/>
      <c r="AA199" s="46"/>
      <c r="AB199" s="46"/>
      <c r="AC199" s="47"/>
      <c r="AD199" s="47"/>
      <c r="AE199" s="47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7"/>
      <c r="Z200" s="46"/>
      <c r="AA200" s="46"/>
      <c r="AB200" s="46"/>
      <c r="AC200" s="47"/>
      <c r="AD200" s="47"/>
      <c r="AE200" s="47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7"/>
      <c r="Z201" s="46"/>
      <c r="AA201" s="46"/>
      <c r="AB201" s="46"/>
      <c r="AC201" s="47"/>
      <c r="AD201" s="47"/>
      <c r="AE201" s="47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7"/>
      <c r="Z202" s="46"/>
      <c r="AA202" s="46"/>
      <c r="AB202" s="46"/>
      <c r="AC202" s="47"/>
      <c r="AD202" s="47"/>
      <c r="AE202" s="47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7"/>
      <c r="Z203" s="46"/>
      <c r="AA203" s="46"/>
      <c r="AB203" s="46"/>
      <c r="AC203" s="47"/>
      <c r="AD203" s="47"/>
      <c r="AE203" s="47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7"/>
      <c r="Z204" s="46"/>
      <c r="AA204" s="46"/>
      <c r="AB204" s="46"/>
      <c r="AC204" s="47"/>
      <c r="AD204" s="47"/>
      <c r="AE204" s="47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7"/>
      <c r="Z205" s="46"/>
      <c r="AA205" s="46"/>
      <c r="AB205" s="46"/>
      <c r="AC205" s="47"/>
      <c r="AD205" s="47"/>
      <c r="AE205" s="47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7"/>
      <c r="Z206" s="46"/>
      <c r="AA206" s="46"/>
      <c r="AB206" s="46"/>
      <c r="AC206" s="47"/>
      <c r="AD206" s="47"/>
      <c r="AE206" s="47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7"/>
      <c r="Z207" s="46"/>
      <c r="AA207" s="46"/>
      <c r="AB207" s="46"/>
      <c r="AC207" s="47"/>
      <c r="AD207" s="47"/>
      <c r="AE207" s="47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7"/>
      <c r="Z208" s="46"/>
      <c r="AA208" s="46"/>
      <c r="AB208" s="46"/>
      <c r="AC208" s="47"/>
      <c r="AD208" s="47"/>
      <c r="AE208" s="47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7"/>
      <c r="Z209" s="46"/>
      <c r="AA209" s="46"/>
      <c r="AB209" s="46"/>
      <c r="AC209" s="47"/>
      <c r="AD209" s="47"/>
      <c r="AE209" s="47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7"/>
      <c r="Z210" s="46"/>
      <c r="AA210" s="46"/>
      <c r="AB210" s="46"/>
      <c r="AC210" s="47"/>
      <c r="AD210" s="47"/>
      <c r="AE210" s="47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7"/>
      <c r="Z211" s="46"/>
      <c r="AA211" s="46"/>
      <c r="AB211" s="46"/>
      <c r="AC211" s="47"/>
      <c r="AD211" s="47"/>
      <c r="AE211" s="47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7"/>
      <c r="Z212" s="46"/>
      <c r="AA212" s="46"/>
      <c r="AB212" s="46"/>
      <c r="AC212" s="47"/>
      <c r="AD212" s="47"/>
      <c r="AE212" s="47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7"/>
      <c r="Z213" s="46"/>
      <c r="AA213" s="46"/>
      <c r="AB213" s="46"/>
      <c r="AC213" s="47"/>
      <c r="AD213" s="47"/>
      <c r="AE213" s="47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7"/>
      <c r="Z214" s="46"/>
      <c r="AA214" s="46"/>
      <c r="AB214" s="46"/>
      <c r="AC214" s="47"/>
      <c r="AD214" s="47"/>
      <c r="AE214" s="47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7"/>
      <c r="Z215" s="46"/>
      <c r="AA215" s="46"/>
      <c r="AB215" s="46"/>
      <c r="AC215" s="47"/>
      <c r="AD215" s="47"/>
      <c r="AE215" s="47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7"/>
      <c r="Z216" s="46"/>
      <c r="AA216" s="46"/>
      <c r="AB216" s="46"/>
      <c r="AC216" s="47"/>
      <c r="AD216" s="47"/>
      <c r="AE216" s="47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7"/>
      <c r="Z217" s="46"/>
      <c r="AA217" s="46"/>
      <c r="AB217" s="46"/>
      <c r="AC217" s="47"/>
      <c r="AD217" s="47"/>
      <c r="AE217" s="47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7"/>
      <c r="Z218" s="46"/>
      <c r="AA218" s="46"/>
      <c r="AB218" s="46"/>
      <c r="AC218" s="47"/>
      <c r="AD218" s="47"/>
      <c r="AE218" s="47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7"/>
      <c r="Z219" s="46"/>
      <c r="AA219" s="46"/>
      <c r="AB219" s="46"/>
      <c r="AC219" s="47"/>
      <c r="AD219" s="47"/>
      <c r="AE219" s="47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7"/>
      <c r="Z220" s="46"/>
      <c r="AA220" s="46"/>
      <c r="AB220" s="46"/>
      <c r="AC220" s="47"/>
      <c r="AD220" s="47"/>
      <c r="AE220" s="47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7"/>
      <c r="Z221" s="46"/>
      <c r="AA221" s="46"/>
      <c r="AB221" s="46"/>
      <c r="AC221" s="47"/>
      <c r="AD221" s="47"/>
      <c r="AE221" s="47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7"/>
      <c r="Z222" s="46"/>
      <c r="AA222" s="46"/>
      <c r="AB222" s="46"/>
      <c r="AC222" s="47"/>
      <c r="AD222" s="47"/>
      <c r="AE222" s="47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7"/>
      <c r="Z223" s="46"/>
      <c r="AA223" s="46"/>
      <c r="AB223" s="46"/>
      <c r="AC223" s="47"/>
      <c r="AD223" s="47"/>
      <c r="AE223" s="47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7"/>
      <c r="Z224" s="46"/>
      <c r="AA224" s="46"/>
      <c r="AB224" s="46"/>
      <c r="AC224" s="47"/>
      <c r="AD224" s="47"/>
      <c r="AE224" s="47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7"/>
      <c r="Z225" s="46"/>
      <c r="AA225" s="46"/>
      <c r="AB225" s="46"/>
      <c r="AC225" s="47"/>
      <c r="AD225" s="47"/>
      <c r="AE225" s="47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7"/>
      <c r="Z226" s="46"/>
      <c r="AA226" s="46"/>
      <c r="AB226" s="46"/>
      <c r="AC226" s="47"/>
      <c r="AD226" s="47"/>
      <c r="AE226" s="47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7"/>
      <c r="Z227" s="46"/>
      <c r="AA227" s="46"/>
      <c r="AB227" s="46"/>
      <c r="AC227" s="47"/>
      <c r="AD227" s="47"/>
      <c r="AE227" s="47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7"/>
      <c r="Z228" s="46"/>
      <c r="AA228" s="46"/>
      <c r="AB228" s="46"/>
      <c r="AC228" s="47"/>
      <c r="AD228" s="47"/>
      <c r="AE228" s="47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7"/>
      <c r="Z229" s="46"/>
      <c r="AA229" s="46"/>
      <c r="AB229" s="46"/>
      <c r="AC229" s="47"/>
      <c r="AD229" s="47"/>
      <c r="AE229" s="47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7"/>
      <c r="Z230" s="46"/>
      <c r="AA230" s="46"/>
      <c r="AB230" s="46"/>
      <c r="AC230" s="47"/>
      <c r="AD230" s="47"/>
      <c r="AE230" s="47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7"/>
      <c r="Z231" s="46"/>
      <c r="AA231" s="46"/>
      <c r="AB231" s="46"/>
      <c r="AC231" s="47"/>
      <c r="AD231" s="47"/>
      <c r="AE231" s="47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7"/>
      <c r="Z232" s="46"/>
      <c r="AA232" s="46"/>
      <c r="AB232" s="46"/>
      <c r="AC232" s="47"/>
      <c r="AD232" s="47"/>
      <c r="AE232" s="47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7"/>
      <c r="Z233" s="46"/>
      <c r="AA233" s="46"/>
      <c r="AB233" s="46"/>
      <c r="AC233" s="47"/>
      <c r="AD233" s="47"/>
      <c r="AE233" s="47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7"/>
      <c r="Z234" s="46"/>
      <c r="AA234" s="46"/>
      <c r="AB234" s="46"/>
      <c r="AC234" s="47"/>
      <c r="AD234" s="47"/>
      <c r="AE234" s="47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7"/>
      <c r="Z235" s="46"/>
      <c r="AA235" s="46"/>
      <c r="AB235" s="46"/>
      <c r="AC235" s="47"/>
      <c r="AD235" s="47"/>
      <c r="AE235" s="47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7"/>
      <c r="Z236" s="46"/>
      <c r="AA236" s="46"/>
      <c r="AB236" s="46"/>
      <c r="AC236" s="47"/>
      <c r="AD236" s="47"/>
      <c r="AE236" s="47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7"/>
      <c r="Z237" s="46"/>
      <c r="AA237" s="46"/>
      <c r="AB237" s="46"/>
      <c r="AC237" s="47"/>
      <c r="AD237" s="47"/>
      <c r="AE237" s="47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7"/>
      <c r="Z238" s="46"/>
      <c r="AA238" s="46"/>
      <c r="AB238" s="46"/>
      <c r="AC238" s="47"/>
      <c r="AD238" s="47"/>
      <c r="AE238" s="47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7"/>
      <c r="Z239" s="46"/>
      <c r="AA239" s="46"/>
      <c r="AB239" s="46"/>
      <c r="AC239" s="47"/>
      <c r="AD239" s="47"/>
      <c r="AE239" s="47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7"/>
      <c r="Z240" s="46"/>
      <c r="AA240" s="46"/>
      <c r="AB240" s="46"/>
      <c r="AC240" s="47"/>
      <c r="AD240" s="47"/>
      <c r="AE240" s="47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7"/>
      <c r="Z241" s="46"/>
      <c r="AA241" s="46"/>
      <c r="AB241" s="46"/>
      <c r="AC241" s="47"/>
      <c r="AD241" s="47"/>
      <c r="AE241" s="47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7"/>
      <c r="Z242" s="46"/>
      <c r="AA242" s="46"/>
      <c r="AB242" s="46"/>
      <c r="AC242" s="47"/>
      <c r="AD242" s="47"/>
      <c r="AE242" s="47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7"/>
      <c r="Z243" s="46"/>
      <c r="AA243" s="46"/>
      <c r="AB243" s="46"/>
      <c r="AC243" s="47"/>
      <c r="AD243" s="47"/>
      <c r="AE243" s="47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7"/>
      <c r="Z244" s="46"/>
      <c r="AA244" s="46"/>
      <c r="AB244" s="46"/>
      <c r="AC244" s="47"/>
      <c r="AD244" s="47"/>
      <c r="AE244" s="47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7"/>
      <c r="Z245" s="46"/>
      <c r="AA245" s="46"/>
      <c r="AB245" s="46"/>
      <c r="AC245" s="47"/>
      <c r="AD245" s="47"/>
      <c r="AE245" s="47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7"/>
      <c r="Z246" s="46"/>
      <c r="AA246" s="46"/>
      <c r="AB246" s="46"/>
      <c r="AC246" s="47"/>
      <c r="AD246" s="47"/>
      <c r="AE246" s="47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7"/>
      <c r="Z247" s="46"/>
      <c r="AA247" s="46"/>
      <c r="AB247" s="46"/>
      <c r="AC247" s="47"/>
      <c r="AD247" s="47"/>
      <c r="AE247" s="47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7"/>
      <c r="Z248" s="46"/>
      <c r="AA248" s="46"/>
      <c r="AB248" s="46"/>
      <c r="AC248" s="47"/>
      <c r="AD248" s="47"/>
      <c r="AE248" s="47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7"/>
      <c r="Z249" s="46"/>
      <c r="AA249" s="46"/>
      <c r="AB249" s="46"/>
      <c r="AC249" s="47"/>
      <c r="AD249" s="47"/>
      <c r="AE249" s="47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7"/>
      <c r="Z250" s="46"/>
      <c r="AA250" s="46"/>
      <c r="AB250" s="46"/>
      <c r="AC250" s="47"/>
      <c r="AD250" s="47"/>
      <c r="AE250" s="47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7"/>
      <c r="Z251" s="46"/>
      <c r="AA251" s="46"/>
      <c r="AB251" s="46"/>
      <c r="AC251" s="47"/>
      <c r="AD251" s="47"/>
      <c r="AE251" s="47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7"/>
      <c r="Z252" s="46"/>
      <c r="AA252" s="46"/>
      <c r="AB252" s="46"/>
      <c r="AC252" s="47"/>
      <c r="AD252" s="47"/>
      <c r="AE252" s="47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7"/>
      <c r="Z253" s="46"/>
      <c r="AA253" s="46"/>
      <c r="AB253" s="46"/>
      <c r="AC253" s="47"/>
      <c r="AD253" s="47"/>
      <c r="AE253" s="47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7"/>
      <c r="Z254" s="46"/>
      <c r="AA254" s="46"/>
      <c r="AB254" s="46"/>
      <c r="AC254" s="47"/>
      <c r="AD254" s="47"/>
      <c r="AE254" s="47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7"/>
      <c r="Z255" s="46"/>
      <c r="AA255" s="46"/>
      <c r="AB255" s="46"/>
      <c r="AC255" s="47"/>
      <c r="AD255" s="47"/>
      <c r="AE255" s="47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7"/>
      <c r="Z256" s="46"/>
      <c r="AA256" s="46"/>
      <c r="AB256" s="46"/>
      <c r="AC256" s="47"/>
      <c r="AD256" s="47"/>
      <c r="AE256" s="47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7"/>
      <c r="Z257" s="46"/>
      <c r="AA257" s="46"/>
      <c r="AB257" s="46"/>
      <c r="AC257" s="47"/>
      <c r="AD257" s="47"/>
      <c r="AE257" s="47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7"/>
      <c r="Z258" s="46"/>
      <c r="AA258" s="46"/>
      <c r="AB258" s="46"/>
      <c r="AC258" s="47"/>
      <c r="AD258" s="47"/>
      <c r="AE258" s="47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7"/>
      <c r="Z259" s="46"/>
      <c r="AA259" s="46"/>
      <c r="AB259" s="46"/>
      <c r="AC259" s="47"/>
      <c r="AD259" s="47"/>
      <c r="AE259" s="47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7"/>
      <c r="Z260" s="46"/>
      <c r="AA260" s="46"/>
      <c r="AB260" s="46"/>
      <c r="AC260" s="47"/>
      <c r="AD260" s="47"/>
      <c r="AE260" s="47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7"/>
      <c r="Z261" s="46"/>
      <c r="AA261" s="46"/>
      <c r="AB261" s="46"/>
      <c r="AC261" s="47"/>
      <c r="AD261" s="47"/>
      <c r="AE261" s="47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7"/>
      <c r="Z262" s="46"/>
      <c r="AA262" s="46"/>
      <c r="AB262" s="46"/>
      <c r="AC262" s="47"/>
      <c r="AD262" s="47"/>
      <c r="AE262" s="47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7"/>
      <c r="Z263" s="46"/>
      <c r="AA263" s="46"/>
      <c r="AB263" s="46"/>
      <c r="AC263" s="47"/>
      <c r="AD263" s="47"/>
      <c r="AE263" s="47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7"/>
      <c r="Z264" s="46"/>
      <c r="AA264" s="46"/>
      <c r="AB264" s="46"/>
      <c r="AC264" s="47"/>
      <c r="AD264" s="47"/>
      <c r="AE264" s="47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7"/>
      <c r="Z265" s="46"/>
      <c r="AA265" s="46"/>
      <c r="AB265" s="46"/>
      <c r="AC265" s="47"/>
      <c r="AD265" s="47"/>
      <c r="AE265" s="47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7"/>
      <c r="Z266" s="46"/>
      <c r="AA266" s="46"/>
      <c r="AB266" s="46"/>
      <c r="AC266" s="47"/>
      <c r="AD266" s="47"/>
      <c r="AE266" s="47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7"/>
      <c r="Z267" s="46"/>
      <c r="AA267" s="46"/>
      <c r="AB267" s="46"/>
      <c r="AC267" s="47"/>
      <c r="AD267" s="47"/>
      <c r="AE267" s="47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7"/>
      <c r="Z268" s="46"/>
      <c r="AA268" s="46"/>
      <c r="AB268" s="46"/>
      <c r="AC268" s="47"/>
      <c r="AD268" s="47"/>
      <c r="AE268" s="47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7"/>
      <c r="Z269" s="46"/>
      <c r="AA269" s="46"/>
      <c r="AB269" s="46"/>
      <c r="AC269" s="47"/>
      <c r="AD269" s="47"/>
      <c r="AE269" s="47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7"/>
      <c r="Z270" s="46"/>
      <c r="AA270" s="46"/>
      <c r="AB270" s="46"/>
      <c r="AC270" s="47"/>
      <c r="AD270" s="47"/>
      <c r="AE270" s="47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7"/>
      <c r="Z271" s="46"/>
      <c r="AA271" s="46"/>
      <c r="AB271" s="46"/>
      <c r="AC271" s="47"/>
      <c r="AD271" s="47"/>
      <c r="AE271" s="47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7"/>
      <c r="Z272" s="46"/>
      <c r="AA272" s="46"/>
      <c r="AB272" s="46"/>
      <c r="AC272" s="47"/>
      <c r="AD272" s="47"/>
      <c r="AE272" s="47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7"/>
      <c r="Z273" s="46"/>
      <c r="AA273" s="46"/>
      <c r="AB273" s="46"/>
      <c r="AC273" s="47"/>
      <c r="AD273" s="47"/>
      <c r="AE273" s="47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7"/>
      <c r="Z274" s="46"/>
      <c r="AA274" s="46"/>
      <c r="AB274" s="46"/>
      <c r="AC274" s="47"/>
      <c r="AD274" s="47"/>
      <c r="AE274" s="47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7"/>
      <c r="Z275" s="46"/>
      <c r="AA275" s="46"/>
      <c r="AB275" s="46"/>
      <c r="AC275" s="47"/>
      <c r="AD275" s="47"/>
      <c r="AE275" s="47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7"/>
      <c r="Z276" s="46"/>
      <c r="AA276" s="46"/>
      <c r="AB276" s="46"/>
      <c r="AC276" s="47"/>
      <c r="AD276" s="47"/>
      <c r="AE276" s="47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7"/>
      <c r="Z277" s="46"/>
      <c r="AA277" s="46"/>
      <c r="AB277" s="46"/>
      <c r="AC277" s="47"/>
      <c r="AD277" s="47"/>
      <c r="AE277" s="47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7"/>
      <c r="Z278" s="46"/>
      <c r="AA278" s="46"/>
      <c r="AB278" s="46"/>
      <c r="AC278" s="47"/>
      <c r="AD278" s="47"/>
      <c r="AE278" s="47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7"/>
      <c r="Z279" s="46"/>
      <c r="AA279" s="46"/>
      <c r="AB279" s="46"/>
      <c r="AC279" s="47"/>
      <c r="AD279" s="47"/>
      <c r="AE279" s="47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7"/>
      <c r="Z280" s="46"/>
      <c r="AA280" s="46"/>
      <c r="AB280" s="46"/>
      <c r="AC280" s="47"/>
      <c r="AD280" s="47"/>
      <c r="AE280" s="47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7"/>
      <c r="Z281" s="46"/>
      <c r="AA281" s="46"/>
      <c r="AB281" s="46"/>
      <c r="AC281" s="47"/>
      <c r="AD281" s="47"/>
      <c r="AE281" s="47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7"/>
      <c r="Z282" s="46"/>
      <c r="AA282" s="46"/>
      <c r="AB282" s="46"/>
      <c r="AC282" s="47"/>
      <c r="AD282" s="47"/>
      <c r="AE282" s="47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7"/>
      <c r="Z283" s="46"/>
      <c r="AA283" s="46"/>
      <c r="AB283" s="46"/>
      <c r="AC283" s="47"/>
      <c r="AD283" s="47"/>
      <c r="AE283" s="47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7"/>
      <c r="Z284" s="46"/>
      <c r="AA284" s="46"/>
      <c r="AB284" s="46"/>
      <c r="AC284" s="47"/>
      <c r="AD284" s="47"/>
      <c r="AE284" s="47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7"/>
      <c r="Z285" s="46"/>
      <c r="AA285" s="46"/>
      <c r="AB285" s="46"/>
      <c r="AC285" s="47"/>
      <c r="AD285" s="47"/>
      <c r="AE285" s="47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7"/>
      <c r="Z286" s="46"/>
      <c r="AA286" s="46"/>
      <c r="AB286" s="46"/>
      <c r="AC286" s="47"/>
      <c r="AD286" s="47"/>
      <c r="AE286" s="47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7"/>
      <c r="Z287" s="46"/>
      <c r="AA287" s="46"/>
      <c r="AB287" s="46"/>
      <c r="AC287" s="47"/>
      <c r="AD287" s="47"/>
      <c r="AE287" s="47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7"/>
      <c r="Z288" s="46"/>
      <c r="AA288" s="46"/>
      <c r="AB288" s="46"/>
      <c r="AC288" s="47"/>
      <c r="AD288" s="47"/>
      <c r="AE288" s="47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7"/>
      <c r="Z289" s="46"/>
      <c r="AA289" s="46"/>
      <c r="AB289" s="46"/>
      <c r="AC289" s="47"/>
      <c r="AD289" s="47"/>
      <c r="AE289" s="47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7"/>
      <c r="Z290" s="46"/>
      <c r="AA290" s="46"/>
      <c r="AB290" s="46"/>
      <c r="AC290" s="47"/>
      <c r="AD290" s="47"/>
      <c r="AE290" s="47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7"/>
      <c r="Z291" s="46"/>
      <c r="AA291" s="46"/>
      <c r="AB291" s="46"/>
      <c r="AC291" s="47"/>
      <c r="AD291" s="47"/>
      <c r="AE291" s="47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7"/>
      <c r="Z292" s="46"/>
      <c r="AA292" s="46"/>
      <c r="AB292" s="46"/>
      <c r="AC292" s="47"/>
      <c r="AD292" s="47"/>
      <c r="AE292" s="47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7"/>
      <c r="Z293" s="46"/>
      <c r="AA293" s="46"/>
      <c r="AB293" s="46"/>
      <c r="AC293" s="47"/>
      <c r="AD293" s="47"/>
      <c r="AE293" s="47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7"/>
      <c r="Z294" s="46"/>
      <c r="AA294" s="46"/>
      <c r="AB294" s="46"/>
      <c r="AC294" s="47"/>
      <c r="AD294" s="47"/>
      <c r="AE294" s="47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7"/>
      <c r="Z295" s="46"/>
      <c r="AA295" s="46"/>
      <c r="AB295" s="46"/>
      <c r="AC295" s="47"/>
      <c r="AD295" s="47"/>
      <c r="AE295" s="47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7"/>
      <c r="Z296" s="46"/>
      <c r="AA296" s="46"/>
      <c r="AB296" s="46"/>
      <c r="AC296" s="47"/>
      <c r="AD296" s="47"/>
      <c r="AE296" s="47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7"/>
      <c r="Z297" s="46"/>
      <c r="AA297" s="46"/>
      <c r="AB297" s="46"/>
      <c r="AC297" s="47"/>
      <c r="AD297" s="47"/>
      <c r="AE297" s="47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7"/>
      <c r="Z298" s="46"/>
      <c r="AA298" s="46"/>
      <c r="AB298" s="46"/>
      <c r="AC298" s="47"/>
      <c r="AD298" s="47"/>
      <c r="AE298" s="47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7"/>
      <c r="Z299" s="46"/>
      <c r="AA299" s="46"/>
      <c r="AB299" s="46"/>
      <c r="AC299" s="47"/>
      <c r="AD299" s="47"/>
      <c r="AE299" s="47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7"/>
      <c r="Z300" s="46"/>
      <c r="AA300" s="46"/>
      <c r="AB300" s="46"/>
      <c r="AC300" s="47"/>
      <c r="AD300" s="47"/>
      <c r="AE300" s="47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7"/>
      <c r="Z301" s="46"/>
      <c r="AA301" s="46"/>
      <c r="AB301" s="46"/>
      <c r="AC301" s="47"/>
      <c r="AD301" s="47"/>
      <c r="AE301" s="47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7"/>
      <c r="Z302" s="46"/>
      <c r="AA302" s="46"/>
      <c r="AB302" s="46"/>
      <c r="AC302" s="47"/>
      <c r="AD302" s="47"/>
      <c r="AE302" s="47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7"/>
      <c r="Z303" s="46"/>
      <c r="AA303" s="46"/>
      <c r="AB303" s="46"/>
      <c r="AC303" s="47"/>
      <c r="AD303" s="47"/>
      <c r="AE303" s="47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7"/>
      <c r="Z304" s="46"/>
      <c r="AA304" s="46"/>
      <c r="AB304" s="46"/>
      <c r="AC304" s="47"/>
      <c r="AD304" s="47"/>
      <c r="AE304" s="47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7"/>
      <c r="Z305" s="46"/>
      <c r="AA305" s="46"/>
      <c r="AB305" s="46"/>
      <c r="AC305" s="47"/>
      <c r="AD305" s="47"/>
      <c r="AE305" s="47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7"/>
      <c r="Z306" s="46"/>
      <c r="AA306" s="46"/>
      <c r="AB306" s="46"/>
      <c r="AC306" s="47"/>
      <c r="AD306" s="47"/>
      <c r="AE306" s="47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7"/>
      <c r="Z307" s="46"/>
      <c r="AA307" s="46"/>
      <c r="AB307" s="46"/>
      <c r="AC307" s="47"/>
      <c r="AD307" s="47"/>
      <c r="AE307" s="47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7"/>
      <c r="Z308" s="46"/>
      <c r="AA308" s="46"/>
      <c r="AB308" s="46"/>
      <c r="AC308" s="47"/>
      <c r="AD308" s="47"/>
      <c r="AE308" s="47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7"/>
      <c r="Z309" s="46"/>
      <c r="AA309" s="46"/>
      <c r="AB309" s="46"/>
      <c r="AC309" s="47"/>
      <c r="AD309" s="47"/>
      <c r="AE309" s="47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7"/>
      <c r="Z310" s="46"/>
      <c r="AA310" s="46"/>
      <c r="AB310" s="46"/>
      <c r="AC310" s="47"/>
      <c r="AD310" s="47"/>
      <c r="AE310" s="47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7"/>
      <c r="Z311" s="46"/>
      <c r="AA311" s="46"/>
      <c r="AB311" s="46"/>
      <c r="AC311" s="47"/>
      <c r="AD311" s="47"/>
      <c r="AE311" s="47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7"/>
      <c r="Z312" s="46"/>
      <c r="AA312" s="46"/>
      <c r="AB312" s="46"/>
      <c r="AC312" s="47"/>
      <c r="AD312" s="47"/>
      <c r="AE312" s="47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7"/>
      <c r="Z313" s="46"/>
      <c r="AA313" s="46"/>
      <c r="AB313" s="46"/>
      <c r="AC313" s="47"/>
      <c r="AD313" s="47"/>
      <c r="AE313" s="47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7"/>
      <c r="Z314" s="46"/>
      <c r="AA314" s="46"/>
      <c r="AB314" s="46"/>
      <c r="AC314" s="47"/>
      <c r="AD314" s="47"/>
      <c r="AE314" s="47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7"/>
      <c r="Z315" s="46"/>
      <c r="AA315" s="46"/>
      <c r="AB315" s="46"/>
      <c r="AC315" s="47"/>
      <c r="AD315" s="47"/>
      <c r="AE315" s="47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7"/>
      <c r="Z316" s="46"/>
      <c r="AA316" s="46"/>
      <c r="AB316" s="46"/>
      <c r="AC316" s="47"/>
      <c r="AD316" s="47"/>
      <c r="AE316" s="47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7"/>
      <c r="Z317" s="46"/>
      <c r="AA317" s="46"/>
      <c r="AB317" s="46"/>
      <c r="AC317" s="47"/>
      <c r="AD317" s="47"/>
      <c r="AE317" s="47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7"/>
      <c r="Z318" s="46"/>
      <c r="AA318" s="46"/>
      <c r="AB318" s="46"/>
      <c r="AC318" s="47"/>
      <c r="AD318" s="47"/>
      <c r="AE318" s="47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7"/>
      <c r="Z319" s="46"/>
      <c r="AA319" s="46"/>
      <c r="AB319" s="46"/>
      <c r="AC319" s="47"/>
      <c r="AD319" s="47"/>
      <c r="AE319" s="47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7"/>
      <c r="Z320" s="46"/>
      <c r="AA320" s="46"/>
      <c r="AB320" s="46"/>
      <c r="AC320" s="47"/>
      <c r="AD320" s="47"/>
      <c r="AE320" s="47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7"/>
      <c r="Z321" s="46"/>
      <c r="AA321" s="46"/>
      <c r="AB321" s="46"/>
      <c r="AC321" s="47"/>
      <c r="AD321" s="47"/>
      <c r="AE321" s="47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7"/>
      <c r="Z322" s="46"/>
      <c r="AA322" s="46"/>
      <c r="AB322" s="46"/>
      <c r="AC322" s="47"/>
      <c r="AD322" s="47"/>
      <c r="AE322" s="47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7"/>
      <c r="Z323" s="46"/>
      <c r="AA323" s="46"/>
      <c r="AB323" s="46"/>
      <c r="AC323" s="47"/>
      <c r="AD323" s="47"/>
      <c r="AE323" s="47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7"/>
      <c r="Z324" s="46"/>
      <c r="AA324" s="46"/>
      <c r="AB324" s="46"/>
      <c r="AC324" s="47"/>
      <c r="AD324" s="47"/>
      <c r="AE324" s="47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7"/>
      <c r="Z325" s="46"/>
      <c r="AA325" s="46"/>
      <c r="AB325" s="46"/>
      <c r="AC325" s="47"/>
      <c r="AD325" s="47"/>
      <c r="AE325" s="47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7"/>
      <c r="Z326" s="46"/>
      <c r="AA326" s="46"/>
      <c r="AB326" s="46"/>
      <c r="AC326" s="47"/>
      <c r="AD326" s="47"/>
      <c r="AE326" s="47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7"/>
      <c r="Z327" s="46"/>
      <c r="AA327" s="46"/>
      <c r="AB327" s="46"/>
      <c r="AC327" s="47"/>
      <c r="AD327" s="47"/>
      <c r="AE327" s="47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7"/>
      <c r="Z328" s="46"/>
      <c r="AA328" s="46"/>
      <c r="AB328" s="46"/>
      <c r="AC328" s="47"/>
      <c r="AD328" s="47"/>
      <c r="AE328" s="47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7"/>
      <c r="Z329" s="46"/>
      <c r="AA329" s="46"/>
      <c r="AB329" s="46"/>
      <c r="AC329" s="47"/>
      <c r="AD329" s="47"/>
      <c r="AE329" s="47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7"/>
      <c r="Z330" s="46"/>
      <c r="AA330" s="46"/>
      <c r="AB330" s="46"/>
      <c r="AC330" s="47"/>
      <c r="AD330" s="47"/>
      <c r="AE330" s="47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7"/>
      <c r="Z331" s="46"/>
      <c r="AA331" s="46"/>
      <c r="AB331" s="46"/>
      <c r="AC331" s="47"/>
      <c r="AD331" s="47"/>
      <c r="AE331" s="47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7"/>
      <c r="Z332" s="46"/>
      <c r="AA332" s="46"/>
      <c r="AB332" s="46"/>
      <c r="AC332" s="47"/>
      <c r="AD332" s="47"/>
      <c r="AE332" s="47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7"/>
      <c r="Z333" s="46"/>
      <c r="AA333" s="46"/>
      <c r="AB333" s="46"/>
      <c r="AC333" s="47"/>
      <c r="AD333" s="47"/>
      <c r="AE333" s="47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7"/>
      <c r="Z334" s="46"/>
      <c r="AA334" s="46"/>
      <c r="AB334" s="46"/>
      <c r="AC334" s="47"/>
      <c r="AD334" s="47"/>
      <c r="AE334" s="47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7"/>
      <c r="Z335" s="46"/>
      <c r="AA335" s="46"/>
      <c r="AB335" s="46"/>
      <c r="AC335" s="47"/>
      <c r="AD335" s="47"/>
      <c r="AE335" s="47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7"/>
      <c r="Z336" s="46"/>
      <c r="AA336" s="46"/>
      <c r="AB336" s="46"/>
      <c r="AC336" s="47"/>
      <c r="AD336" s="47"/>
      <c r="AE336" s="47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7"/>
      <c r="Z337" s="46"/>
      <c r="AA337" s="46"/>
      <c r="AB337" s="46"/>
      <c r="AC337" s="47"/>
      <c r="AD337" s="47"/>
      <c r="AE337" s="47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7"/>
      <c r="Z338" s="46"/>
      <c r="AA338" s="46"/>
      <c r="AB338" s="46"/>
      <c r="AC338" s="47"/>
      <c r="AD338" s="47"/>
      <c r="AE338" s="47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7"/>
      <c r="Z339" s="46"/>
      <c r="AA339" s="46"/>
      <c r="AB339" s="46"/>
      <c r="AC339" s="47"/>
      <c r="AD339" s="47"/>
      <c r="AE339" s="47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7"/>
      <c r="Z340" s="46"/>
      <c r="AA340" s="46"/>
      <c r="AB340" s="46"/>
      <c r="AC340" s="47"/>
      <c r="AD340" s="47"/>
      <c r="AE340" s="47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7"/>
      <c r="Z341" s="46"/>
      <c r="AA341" s="46"/>
      <c r="AB341" s="46"/>
      <c r="AC341" s="47"/>
      <c r="AD341" s="47"/>
      <c r="AE341" s="47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7"/>
      <c r="Z342" s="46"/>
      <c r="AA342" s="46"/>
      <c r="AB342" s="46"/>
      <c r="AC342" s="47"/>
      <c r="AD342" s="47"/>
      <c r="AE342" s="47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7"/>
      <c r="Z343" s="46"/>
      <c r="AA343" s="46"/>
      <c r="AB343" s="46"/>
      <c r="AC343" s="47"/>
      <c r="AD343" s="47"/>
      <c r="AE343" s="47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7"/>
      <c r="Z344" s="46"/>
      <c r="AA344" s="46"/>
      <c r="AB344" s="46"/>
      <c r="AC344" s="47"/>
      <c r="AD344" s="47"/>
      <c r="AE344" s="47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7"/>
      <c r="Z345" s="46"/>
      <c r="AA345" s="46"/>
      <c r="AB345" s="46"/>
      <c r="AC345" s="47"/>
      <c r="AD345" s="47"/>
      <c r="AE345" s="47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7"/>
      <c r="Z346" s="46"/>
      <c r="AA346" s="46"/>
      <c r="AB346" s="46"/>
      <c r="AC346" s="47"/>
      <c r="AD346" s="47"/>
      <c r="AE346" s="47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7"/>
      <c r="Z347" s="46"/>
      <c r="AA347" s="46"/>
      <c r="AB347" s="46"/>
      <c r="AC347" s="47"/>
      <c r="AD347" s="47"/>
      <c r="AE347" s="47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7"/>
      <c r="Z348" s="46"/>
      <c r="AA348" s="46"/>
      <c r="AB348" s="46"/>
      <c r="AC348" s="47"/>
      <c r="AD348" s="47"/>
      <c r="AE348" s="47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7"/>
      <c r="Z349" s="46"/>
      <c r="AA349" s="46"/>
      <c r="AB349" s="46"/>
      <c r="AC349" s="47"/>
      <c r="AD349" s="47"/>
      <c r="AE349" s="47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7"/>
      <c r="Z350" s="46"/>
      <c r="AA350" s="46"/>
      <c r="AB350" s="46"/>
      <c r="AC350" s="47"/>
      <c r="AD350" s="47"/>
      <c r="AE350" s="47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7"/>
      <c r="Z351" s="46"/>
      <c r="AA351" s="46"/>
      <c r="AB351" s="46"/>
      <c r="AC351" s="47"/>
      <c r="AD351" s="47"/>
      <c r="AE351" s="47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7"/>
      <c r="Z352" s="46"/>
      <c r="AA352" s="46"/>
      <c r="AB352" s="46"/>
      <c r="AC352" s="47"/>
      <c r="AD352" s="47"/>
      <c r="AE352" s="47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7"/>
      <c r="Z353" s="46"/>
      <c r="AA353" s="46"/>
      <c r="AB353" s="46"/>
      <c r="AC353" s="47"/>
      <c r="AD353" s="47"/>
      <c r="AE353" s="47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7"/>
      <c r="Z354" s="46"/>
      <c r="AA354" s="46"/>
      <c r="AB354" s="46"/>
      <c r="AC354" s="47"/>
      <c r="AD354" s="47"/>
      <c r="AE354" s="47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7"/>
      <c r="Z355" s="46"/>
      <c r="AA355" s="46"/>
      <c r="AB355" s="46"/>
      <c r="AC355" s="47"/>
      <c r="AD355" s="47"/>
      <c r="AE355" s="47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7"/>
      <c r="Z356" s="46"/>
      <c r="AA356" s="46"/>
      <c r="AB356" s="46"/>
      <c r="AC356" s="47"/>
      <c r="AD356" s="47"/>
      <c r="AE356" s="47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7"/>
      <c r="Z357" s="46"/>
      <c r="AA357" s="46"/>
      <c r="AB357" s="46"/>
      <c r="AC357" s="47"/>
      <c r="AD357" s="47"/>
      <c r="AE357" s="47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7"/>
      <c r="Z358" s="46"/>
      <c r="AA358" s="46"/>
      <c r="AB358" s="46"/>
      <c r="AC358" s="47"/>
      <c r="AD358" s="47"/>
      <c r="AE358" s="47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7"/>
      <c r="Z359" s="46"/>
      <c r="AA359" s="46"/>
      <c r="AB359" s="46"/>
      <c r="AC359" s="47"/>
      <c r="AD359" s="47"/>
      <c r="AE359" s="47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7"/>
      <c r="Z360" s="46"/>
      <c r="AA360" s="46"/>
      <c r="AB360" s="46"/>
      <c r="AC360" s="47"/>
      <c r="AD360" s="47"/>
      <c r="AE360" s="47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7"/>
      <c r="Z361" s="46"/>
      <c r="AA361" s="46"/>
      <c r="AB361" s="46"/>
      <c r="AC361" s="47"/>
      <c r="AD361" s="47"/>
      <c r="AE361" s="47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7"/>
      <c r="Z362" s="46"/>
      <c r="AA362" s="46"/>
      <c r="AB362" s="46"/>
      <c r="AC362" s="47"/>
      <c r="AD362" s="47"/>
      <c r="AE362" s="47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7"/>
      <c r="Z363" s="46"/>
      <c r="AA363" s="46"/>
      <c r="AB363" s="46"/>
      <c r="AC363" s="47"/>
      <c r="AD363" s="47"/>
      <c r="AE363" s="47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7"/>
      <c r="Z364" s="46"/>
      <c r="AA364" s="46"/>
      <c r="AB364" s="46"/>
      <c r="AC364" s="47"/>
      <c r="AD364" s="47"/>
      <c r="AE364" s="47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7"/>
      <c r="Z365" s="46"/>
      <c r="AA365" s="46"/>
      <c r="AB365" s="46"/>
      <c r="AC365" s="47"/>
      <c r="AD365" s="47"/>
      <c r="AE365" s="47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7"/>
      <c r="Z366" s="46"/>
      <c r="AA366" s="46"/>
      <c r="AB366" s="46"/>
      <c r="AC366" s="47"/>
      <c r="AD366" s="47"/>
      <c r="AE366" s="47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7"/>
      <c r="Z367" s="46"/>
      <c r="AA367" s="46"/>
      <c r="AB367" s="46"/>
      <c r="AC367" s="47"/>
      <c r="AD367" s="47"/>
      <c r="AE367" s="47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7"/>
      <c r="Z368" s="46"/>
      <c r="AA368" s="46"/>
      <c r="AB368" s="46"/>
      <c r="AC368" s="47"/>
      <c r="AD368" s="47"/>
      <c r="AE368" s="47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7"/>
      <c r="Z369" s="46"/>
      <c r="AA369" s="46"/>
      <c r="AB369" s="46"/>
      <c r="AC369" s="47"/>
      <c r="AD369" s="47"/>
      <c r="AE369" s="47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7"/>
      <c r="Z370" s="46"/>
      <c r="AA370" s="46"/>
      <c r="AB370" s="46"/>
      <c r="AC370" s="47"/>
      <c r="AD370" s="47"/>
      <c r="AE370" s="47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7"/>
      <c r="Z371" s="46"/>
      <c r="AA371" s="46"/>
      <c r="AB371" s="46"/>
      <c r="AC371" s="47"/>
      <c r="AD371" s="47"/>
      <c r="AE371" s="47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7"/>
      <c r="Z372" s="46"/>
      <c r="AA372" s="46"/>
      <c r="AB372" s="46"/>
      <c r="AC372" s="47"/>
      <c r="AD372" s="47"/>
      <c r="AE372" s="47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7"/>
      <c r="Z373" s="46"/>
      <c r="AA373" s="46"/>
      <c r="AB373" s="46"/>
      <c r="AC373" s="47"/>
      <c r="AD373" s="47"/>
      <c r="AE373" s="47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7"/>
      <c r="Z374" s="46"/>
      <c r="AA374" s="46"/>
      <c r="AB374" s="46"/>
      <c r="AC374" s="47"/>
      <c r="AD374" s="47"/>
      <c r="AE374" s="47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7"/>
      <c r="Z375" s="46"/>
      <c r="AA375" s="46"/>
      <c r="AB375" s="46"/>
      <c r="AC375" s="47"/>
      <c r="AD375" s="47"/>
      <c r="AE375" s="47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7"/>
      <c r="Z376" s="46"/>
      <c r="AA376" s="46"/>
      <c r="AB376" s="46"/>
      <c r="AC376" s="47"/>
      <c r="AD376" s="47"/>
      <c r="AE376" s="47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7"/>
      <c r="Z377" s="46"/>
      <c r="AA377" s="46"/>
      <c r="AB377" s="46"/>
      <c r="AC377" s="47"/>
      <c r="AD377" s="47"/>
      <c r="AE377" s="47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7"/>
      <c r="Z378" s="46"/>
      <c r="AA378" s="46"/>
      <c r="AB378" s="46"/>
      <c r="AC378" s="47"/>
      <c r="AD378" s="47"/>
      <c r="AE378" s="47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7"/>
      <c r="Z379" s="46"/>
      <c r="AA379" s="46"/>
      <c r="AB379" s="46"/>
      <c r="AC379" s="47"/>
      <c r="AD379" s="47"/>
      <c r="AE379" s="47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7"/>
      <c r="Z380" s="46"/>
      <c r="AA380" s="46"/>
      <c r="AB380" s="46"/>
      <c r="AC380" s="47"/>
      <c r="AD380" s="47"/>
      <c r="AE380" s="47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7"/>
      <c r="Z381" s="46"/>
      <c r="AA381" s="46"/>
      <c r="AB381" s="46"/>
      <c r="AC381" s="47"/>
      <c r="AD381" s="47"/>
      <c r="AE381" s="47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7"/>
      <c r="Z382" s="46"/>
      <c r="AA382" s="46"/>
      <c r="AB382" s="46"/>
      <c r="AC382" s="47"/>
      <c r="AD382" s="47"/>
      <c r="AE382" s="47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7"/>
      <c r="Z383" s="46"/>
      <c r="AA383" s="46"/>
      <c r="AB383" s="46"/>
      <c r="AC383" s="47"/>
      <c r="AD383" s="47"/>
      <c r="AE383" s="47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7"/>
      <c r="Z384" s="46"/>
      <c r="AA384" s="46"/>
      <c r="AB384" s="46"/>
      <c r="AC384" s="47"/>
      <c r="AD384" s="47"/>
      <c r="AE384" s="47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7"/>
      <c r="Z385" s="46"/>
      <c r="AA385" s="46"/>
      <c r="AB385" s="46"/>
      <c r="AC385" s="47"/>
      <c r="AD385" s="47"/>
      <c r="AE385" s="47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7"/>
      <c r="Z386" s="46"/>
      <c r="AA386" s="46"/>
      <c r="AB386" s="46"/>
      <c r="AC386" s="47"/>
      <c r="AD386" s="47"/>
      <c r="AE386" s="47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7"/>
      <c r="Z387" s="46"/>
      <c r="AA387" s="46"/>
      <c r="AB387" s="46"/>
      <c r="AC387" s="47"/>
      <c r="AD387" s="47"/>
      <c r="AE387" s="47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7"/>
      <c r="Z388" s="46"/>
      <c r="AA388" s="46"/>
      <c r="AB388" s="46"/>
      <c r="AC388" s="47"/>
      <c r="AD388" s="47"/>
      <c r="AE388" s="47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7"/>
      <c r="Z389" s="46"/>
      <c r="AA389" s="46"/>
      <c r="AB389" s="46"/>
      <c r="AC389" s="47"/>
      <c r="AD389" s="47"/>
      <c r="AE389" s="47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7"/>
      <c r="Z390" s="46"/>
      <c r="AA390" s="46"/>
      <c r="AB390" s="46"/>
      <c r="AC390" s="47"/>
      <c r="AD390" s="47"/>
      <c r="AE390" s="47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7"/>
      <c r="Z391" s="46"/>
      <c r="AA391" s="46"/>
      <c r="AB391" s="46"/>
      <c r="AC391" s="47"/>
      <c r="AD391" s="47"/>
      <c r="AE391" s="47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7"/>
      <c r="Z392" s="46"/>
      <c r="AA392" s="46"/>
      <c r="AB392" s="46"/>
      <c r="AC392" s="47"/>
      <c r="AD392" s="47"/>
      <c r="AE392" s="47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7"/>
      <c r="Z393" s="46"/>
      <c r="AA393" s="46"/>
      <c r="AB393" s="46"/>
      <c r="AC393" s="47"/>
      <c r="AD393" s="47"/>
      <c r="AE393" s="47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7"/>
      <c r="Z394" s="46"/>
      <c r="AA394" s="46"/>
      <c r="AB394" s="46"/>
      <c r="AC394" s="47"/>
      <c r="AD394" s="47"/>
      <c r="AE394" s="47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7"/>
      <c r="Z395" s="46"/>
      <c r="AA395" s="46"/>
      <c r="AB395" s="46"/>
      <c r="AC395" s="47"/>
      <c r="AD395" s="47"/>
      <c r="AE395" s="47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7"/>
      <c r="Z396" s="46"/>
      <c r="AA396" s="46"/>
      <c r="AB396" s="46"/>
      <c r="AC396" s="47"/>
      <c r="AD396" s="47"/>
      <c r="AE396" s="47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7"/>
      <c r="Z397" s="46"/>
      <c r="AA397" s="46"/>
      <c r="AB397" s="46"/>
      <c r="AC397" s="47"/>
      <c r="AD397" s="47"/>
      <c r="AE397" s="47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7"/>
      <c r="Z398" s="46"/>
      <c r="AA398" s="46"/>
      <c r="AB398" s="46"/>
      <c r="AC398" s="47"/>
      <c r="AD398" s="47"/>
      <c r="AE398" s="47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7"/>
      <c r="Z399" s="46"/>
      <c r="AA399" s="46"/>
      <c r="AB399" s="46"/>
      <c r="AC399" s="47"/>
      <c r="AD399" s="47"/>
      <c r="AE399" s="47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7"/>
      <c r="Z400" s="46"/>
      <c r="AA400" s="46"/>
      <c r="AB400" s="46"/>
      <c r="AC400" s="47"/>
      <c r="AD400" s="47"/>
      <c r="AE400" s="47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7"/>
      <c r="Z401" s="46"/>
      <c r="AA401" s="46"/>
      <c r="AB401" s="46"/>
      <c r="AC401" s="47"/>
      <c r="AD401" s="47"/>
      <c r="AE401" s="47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7"/>
      <c r="Z402" s="46"/>
      <c r="AA402" s="46"/>
      <c r="AB402" s="46"/>
      <c r="AC402" s="47"/>
      <c r="AD402" s="47"/>
      <c r="AE402" s="47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7"/>
      <c r="Z403" s="46"/>
      <c r="AA403" s="46"/>
      <c r="AB403" s="46"/>
      <c r="AC403" s="47"/>
      <c r="AD403" s="47"/>
      <c r="AE403" s="47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7"/>
      <c r="Z404" s="46"/>
      <c r="AA404" s="46"/>
      <c r="AB404" s="46"/>
      <c r="AC404" s="47"/>
      <c r="AD404" s="47"/>
      <c r="AE404" s="47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7"/>
      <c r="Z405" s="46"/>
      <c r="AA405" s="46"/>
      <c r="AB405" s="46"/>
      <c r="AC405" s="47"/>
      <c r="AD405" s="47"/>
      <c r="AE405" s="47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7"/>
      <c r="Z406" s="46"/>
      <c r="AA406" s="46"/>
      <c r="AB406" s="46"/>
      <c r="AC406" s="47"/>
      <c r="AD406" s="47"/>
      <c r="AE406" s="47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7"/>
      <c r="Z407" s="46"/>
      <c r="AA407" s="46"/>
      <c r="AB407" s="46"/>
      <c r="AC407" s="47"/>
      <c r="AD407" s="47"/>
      <c r="AE407" s="47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7"/>
      <c r="Z408" s="46"/>
      <c r="AA408" s="46"/>
      <c r="AB408" s="46"/>
      <c r="AC408" s="47"/>
      <c r="AD408" s="47"/>
      <c r="AE408" s="47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7"/>
      <c r="Z409" s="46"/>
      <c r="AA409" s="46"/>
      <c r="AB409" s="46"/>
      <c r="AC409" s="47"/>
      <c r="AD409" s="47"/>
      <c r="AE409" s="47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7"/>
      <c r="Z410" s="46"/>
      <c r="AA410" s="46"/>
      <c r="AB410" s="46"/>
      <c r="AC410" s="47"/>
      <c r="AD410" s="47"/>
      <c r="AE410" s="47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7"/>
      <c r="Z411" s="46"/>
      <c r="AA411" s="46"/>
      <c r="AB411" s="46"/>
      <c r="AC411" s="47"/>
      <c r="AD411" s="47"/>
      <c r="AE411" s="47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7"/>
      <c r="Z412" s="46"/>
      <c r="AA412" s="46"/>
      <c r="AB412" s="46"/>
      <c r="AC412" s="47"/>
      <c r="AD412" s="47"/>
      <c r="AE412" s="47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7"/>
      <c r="Z413" s="46"/>
      <c r="AA413" s="46"/>
      <c r="AB413" s="46"/>
      <c r="AC413" s="47"/>
      <c r="AD413" s="47"/>
      <c r="AE413" s="47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7"/>
      <c r="Z414" s="46"/>
      <c r="AA414" s="46"/>
      <c r="AB414" s="46"/>
      <c r="AC414" s="47"/>
      <c r="AD414" s="47"/>
      <c r="AE414" s="47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7"/>
      <c r="Z415" s="46"/>
      <c r="AA415" s="46"/>
      <c r="AB415" s="46"/>
      <c r="AC415" s="47"/>
      <c r="AD415" s="47"/>
      <c r="AE415" s="47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7"/>
      <c r="Z416" s="46"/>
      <c r="AA416" s="46"/>
      <c r="AB416" s="46"/>
      <c r="AC416" s="47"/>
      <c r="AD416" s="47"/>
      <c r="AE416" s="47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7"/>
      <c r="Z417" s="46"/>
      <c r="AA417" s="46"/>
      <c r="AB417" s="46"/>
      <c r="AC417" s="47"/>
      <c r="AD417" s="47"/>
      <c r="AE417" s="47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7"/>
      <c r="Z418" s="46"/>
      <c r="AA418" s="46"/>
      <c r="AB418" s="46"/>
      <c r="AC418" s="47"/>
      <c r="AD418" s="47"/>
      <c r="AE418" s="47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7"/>
      <c r="Z419" s="46"/>
      <c r="AA419" s="46"/>
      <c r="AB419" s="46"/>
      <c r="AC419" s="47"/>
      <c r="AD419" s="47"/>
      <c r="AE419" s="47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7"/>
      <c r="Z420" s="46"/>
      <c r="AA420" s="46"/>
      <c r="AB420" s="46"/>
      <c r="AC420" s="47"/>
      <c r="AD420" s="47"/>
      <c r="AE420" s="47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7"/>
      <c r="Z421" s="46"/>
      <c r="AA421" s="46"/>
      <c r="AB421" s="46"/>
      <c r="AC421" s="47"/>
      <c r="AD421" s="47"/>
      <c r="AE421" s="47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7"/>
      <c r="Z422" s="46"/>
      <c r="AA422" s="46"/>
      <c r="AB422" s="46"/>
      <c r="AC422" s="47"/>
      <c r="AD422" s="47"/>
      <c r="AE422" s="47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7"/>
      <c r="Z423" s="46"/>
      <c r="AA423" s="46"/>
      <c r="AB423" s="46"/>
      <c r="AC423" s="47"/>
      <c r="AD423" s="47"/>
      <c r="AE423" s="47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7"/>
      <c r="Z424" s="46"/>
      <c r="AA424" s="46"/>
      <c r="AB424" s="46"/>
      <c r="AC424" s="47"/>
      <c r="AD424" s="47"/>
      <c r="AE424" s="47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7"/>
      <c r="Z425" s="46"/>
      <c r="AA425" s="46"/>
      <c r="AB425" s="46"/>
      <c r="AC425" s="47"/>
      <c r="AD425" s="47"/>
      <c r="AE425" s="47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7"/>
      <c r="Z426" s="46"/>
      <c r="AA426" s="46"/>
      <c r="AB426" s="46"/>
      <c r="AC426" s="47"/>
      <c r="AD426" s="47"/>
      <c r="AE426" s="47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7"/>
      <c r="Z427" s="46"/>
      <c r="AA427" s="46"/>
      <c r="AB427" s="46"/>
      <c r="AC427" s="47"/>
      <c r="AD427" s="47"/>
      <c r="AE427" s="47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7"/>
      <c r="Z428" s="46"/>
      <c r="AA428" s="46"/>
      <c r="AB428" s="46"/>
      <c r="AC428" s="47"/>
      <c r="AD428" s="47"/>
      <c r="AE428" s="47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7"/>
      <c r="Z429" s="46"/>
      <c r="AA429" s="46"/>
      <c r="AB429" s="46"/>
      <c r="AC429" s="47"/>
      <c r="AD429" s="47"/>
      <c r="AE429" s="47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7"/>
      <c r="Z430" s="46"/>
      <c r="AA430" s="46"/>
      <c r="AB430" s="46"/>
      <c r="AC430" s="47"/>
      <c r="AD430" s="47"/>
      <c r="AE430" s="47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7"/>
      <c r="Z431" s="46"/>
      <c r="AA431" s="46"/>
      <c r="AB431" s="46"/>
      <c r="AC431" s="47"/>
      <c r="AD431" s="47"/>
      <c r="AE431" s="47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7"/>
      <c r="Z432" s="46"/>
      <c r="AA432" s="46"/>
      <c r="AB432" s="46"/>
      <c r="AC432" s="47"/>
      <c r="AD432" s="47"/>
      <c r="AE432" s="47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7"/>
      <c r="Z433" s="46"/>
      <c r="AA433" s="46"/>
      <c r="AB433" s="46"/>
      <c r="AC433" s="47"/>
      <c r="AD433" s="47"/>
      <c r="AE433" s="47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7"/>
      <c r="Z434" s="46"/>
      <c r="AA434" s="46"/>
      <c r="AB434" s="46"/>
      <c r="AC434" s="47"/>
      <c r="AD434" s="47"/>
      <c r="AE434" s="47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7"/>
      <c r="Z435" s="46"/>
      <c r="AA435" s="46"/>
      <c r="AB435" s="46"/>
      <c r="AC435" s="47"/>
      <c r="AD435" s="47"/>
      <c r="AE435" s="47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7"/>
      <c r="Z436" s="46"/>
      <c r="AA436" s="46"/>
      <c r="AB436" s="46"/>
      <c r="AC436" s="47"/>
      <c r="AD436" s="47"/>
      <c r="AE436" s="47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7"/>
      <c r="Z437" s="46"/>
      <c r="AA437" s="46"/>
      <c r="AB437" s="46"/>
      <c r="AC437" s="47"/>
      <c r="AD437" s="47"/>
      <c r="AE437" s="47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7"/>
      <c r="Z438" s="46"/>
      <c r="AA438" s="46"/>
      <c r="AB438" s="46"/>
      <c r="AC438" s="47"/>
      <c r="AD438" s="47"/>
      <c r="AE438" s="47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7"/>
      <c r="Z439" s="46"/>
      <c r="AA439" s="46"/>
      <c r="AB439" s="46"/>
      <c r="AC439" s="47"/>
      <c r="AD439" s="47"/>
      <c r="AE439" s="47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7"/>
      <c r="Z440" s="46"/>
      <c r="AA440" s="46"/>
      <c r="AB440" s="46"/>
      <c r="AC440" s="47"/>
      <c r="AD440" s="47"/>
      <c r="AE440" s="47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7"/>
      <c r="Z441" s="46"/>
      <c r="AA441" s="46"/>
      <c r="AB441" s="46"/>
      <c r="AC441" s="47"/>
      <c r="AD441" s="47"/>
      <c r="AE441" s="47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7"/>
      <c r="Z442" s="46"/>
      <c r="AA442" s="46"/>
      <c r="AB442" s="46"/>
      <c r="AC442" s="47"/>
      <c r="AD442" s="47"/>
      <c r="AE442" s="47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7"/>
      <c r="Z443" s="46"/>
      <c r="AA443" s="46"/>
      <c r="AB443" s="46"/>
      <c r="AC443" s="47"/>
      <c r="AD443" s="47"/>
      <c r="AE443" s="47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7"/>
      <c r="Z444" s="46"/>
      <c r="AA444" s="46"/>
      <c r="AB444" s="46"/>
      <c r="AC444" s="47"/>
      <c r="AD444" s="47"/>
      <c r="AE444" s="47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7"/>
      <c r="Z445" s="46"/>
      <c r="AA445" s="46"/>
      <c r="AB445" s="46"/>
      <c r="AC445" s="47"/>
      <c r="AD445" s="47"/>
      <c r="AE445" s="47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7"/>
      <c r="Z446" s="46"/>
      <c r="AA446" s="46"/>
      <c r="AB446" s="46"/>
      <c r="AC446" s="47"/>
      <c r="AD446" s="47"/>
      <c r="AE446" s="47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7"/>
      <c r="Z447" s="46"/>
      <c r="AA447" s="46"/>
      <c r="AB447" s="46"/>
      <c r="AC447" s="47"/>
      <c r="AD447" s="47"/>
      <c r="AE447" s="47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7"/>
      <c r="Z448" s="46"/>
      <c r="AA448" s="46"/>
      <c r="AB448" s="46"/>
      <c r="AC448" s="47"/>
      <c r="AD448" s="47"/>
      <c r="AE448" s="47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7"/>
      <c r="Z449" s="46"/>
      <c r="AA449" s="46"/>
      <c r="AB449" s="46"/>
      <c r="AC449" s="47"/>
      <c r="AD449" s="47"/>
      <c r="AE449" s="47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7"/>
      <c r="Z450" s="46"/>
      <c r="AA450" s="46"/>
      <c r="AB450" s="46"/>
      <c r="AC450" s="47"/>
      <c r="AD450" s="47"/>
      <c r="AE450" s="47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7"/>
      <c r="Z451" s="46"/>
      <c r="AA451" s="46"/>
      <c r="AB451" s="46"/>
      <c r="AC451" s="47"/>
      <c r="AD451" s="47"/>
      <c r="AE451" s="47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7"/>
      <c r="Z452" s="46"/>
      <c r="AA452" s="46"/>
      <c r="AB452" s="46"/>
      <c r="AC452" s="47"/>
      <c r="AD452" s="47"/>
      <c r="AE452" s="47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7"/>
      <c r="Z453" s="46"/>
      <c r="AA453" s="46"/>
      <c r="AB453" s="46"/>
      <c r="AC453" s="47"/>
      <c r="AD453" s="47"/>
      <c r="AE453" s="47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7"/>
      <c r="Z454" s="46"/>
      <c r="AA454" s="46"/>
      <c r="AB454" s="46"/>
      <c r="AC454" s="47"/>
      <c r="AD454" s="47"/>
      <c r="AE454" s="47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7"/>
      <c r="Z455" s="46"/>
      <c r="AA455" s="46"/>
      <c r="AB455" s="46"/>
      <c r="AC455" s="47"/>
      <c r="AD455" s="47"/>
      <c r="AE455" s="47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7"/>
      <c r="Z456" s="46"/>
      <c r="AA456" s="46"/>
      <c r="AB456" s="46"/>
      <c r="AC456" s="47"/>
      <c r="AD456" s="47"/>
      <c r="AE456" s="47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7"/>
      <c r="Z457" s="46"/>
      <c r="AA457" s="46"/>
      <c r="AB457" s="46"/>
      <c r="AC457" s="47"/>
      <c r="AD457" s="47"/>
      <c r="AE457" s="47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7"/>
      <c r="Z458" s="46"/>
      <c r="AA458" s="46"/>
      <c r="AB458" s="46"/>
      <c r="AC458" s="47"/>
      <c r="AD458" s="47"/>
      <c r="AE458" s="47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7"/>
      <c r="Z459" s="46"/>
      <c r="AA459" s="46"/>
      <c r="AB459" s="46"/>
      <c r="AC459" s="47"/>
      <c r="AD459" s="47"/>
      <c r="AE459" s="47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7"/>
      <c r="Z460" s="46"/>
      <c r="AA460" s="46"/>
      <c r="AB460" s="46"/>
      <c r="AC460" s="47"/>
      <c r="AD460" s="47"/>
      <c r="AE460" s="47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7"/>
      <c r="Z461" s="46"/>
      <c r="AA461" s="46"/>
      <c r="AB461" s="46"/>
      <c r="AC461" s="47"/>
      <c r="AD461" s="47"/>
      <c r="AE461" s="47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7"/>
      <c r="Z462" s="46"/>
      <c r="AA462" s="46"/>
      <c r="AB462" s="46"/>
      <c r="AC462" s="47"/>
      <c r="AD462" s="47"/>
      <c r="AE462" s="47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7"/>
      <c r="Z463" s="46"/>
      <c r="AA463" s="46"/>
      <c r="AB463" s="46"/>
      <c r="AC463" s="47"/>
      <c r="AD463" s="47"/>
      <c r="AE463" s="47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7"/>
      <c r="Z464" s="46"/>
      <c r="AA464" s="46"/>
      <c r="AB464" s="46"/>
      <c r="AC464" s="47"/>
      <c r="AD464" s="47"/>
      <c r="AE464" s="47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7"/>
      <c r="Z465" s="46"/>
      <c r="AA465" s="46"/>
      <c r="AB465" s="46"/>
      <c r="AC465" s="47"/>
      <c r="AD465" s="47"/>
      <c r="AE465" s="47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7"/>
      <c r="Z466" s="46"/>
      <c r="AA466" s="46"/>
      <c r="AB466" s="46"/>
      <c r="AC466" s="47"/>
      <c r="AD466" s="47"/>
      <c r="AE466" s="47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7"/>
      <c r="Z467" s="46"/>
      <c r="AA467" s="46"/>
      <c r="AB467" s="46"/>
      <c r="AC467" s="47"/>
      <c r="AD467" s="47"/>
      <c r="AE467" s="47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7"/>
      <c r="Z468" s="46"/>
      <c r="AA468" s="46"/>
      <c r="AB468" s="46"/>
      <c r="AC468" s="47"/>
      <c r="AD468" s="47"/>
      <c r="AE468" s="47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7"/>
      <c r="Z469" s="46"/>
      <c r="AA469" s="46"/>
      <c r="AB469" s="46"/>
      <c r="AC469" s="47"/>
      <c r="AD469" s="47"/>
      <c r="AE469" s="47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7"/>
      <c r="Z470" s="46"/>
      <c r="AA470" s="46"/>
      <c r="AB470" s="46"/>
      <c r="AC470" s="47"/>
      <c r="AD470" s="47"/>
      <c r="AE470" s="47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7"/>
      <c r="Z471" s="46"/>
      <c r="AA471" s="46"/>
      <c r="AB471" s="46"/>
      <c r="AC471" s="47"/>
      <c r="AD471" s="47"/>
      <c r="AE471" s="47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7"/>
      <c r="Z472" s="46"/>
      <c r="AA472" s="46"/>
      <c r="AB472" s="46"/>
      <c r="AC472" s="47"/>
      <c r="AD472" s="47"/>
      <c r="AE472" s="47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7"/>
      <c r="Z473" s="46"/>
      <c r="AA473" s="46"/>
      <c r="AB473" s="46"/>
      <c r="AC473" s="47"/>
      <c r="AD473" s="47"/>
      <c r="AE473" s="47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7"/>
      <c r="Z474" s="46"/>
      <c r="AA474" s="46"/>
      <c r="AB474" s="46"/>
      <c r="AC474" s="47"/>
      <c r="AD474" s="47"/>
      <c r="AE474" s="47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7"/>
      <c r="Z475" s="46"/>
      <c r="AA475" s="46"/>
      <c r="AB475" s="46"/>
      <c r="AC475" s="47"/>
      <c r="AD475" s="47"/>
      <c r="AE475" s="47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7"/>
      <c r="Z476" s="46"/>
      <c r="AA476" s="46"/>
      <c r="AB476" s="46"/>
      <c r="AC476" s="47"/>
      <c r="AD476" s="47"/>
      <c r="AE476" s="47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7"/>
      <c r="Z477" s="46"/>
      <c r="AA477" s="46"/>
      <c r="AB477" s="46"/>
      <c r="AC477" s="47"/>
      <c r="AD477" s="47"/>
      <c r="AE477" s="47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7"/>
      <c r="Z478" s="46"/>
      <c r="AA478" s="46"/>
      <c r="AB478" s="46"/>
      <c r="AC478" s="47"/>
      <c r="AD478" s="47"/>
      <c r="AE478" s="47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7"/>
      <c r="Z479" s="46"/>
      <c r="AA479" s="46"/>
      <c r="AB479" s="46"/>
      <c r="AC479" s="47"/>
      <c r="AD479" s="47"/>
      <c r="AE479" s="47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7"/>
      <c r="Z480" s="46"/>
      <c r="AA480" s="46"/>
      <c r="AB480" s="46"/>
      <c r="AC480" s="47"/>
      <c r="AD480" s="47"/>
      <c r="AE480" s="47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7"/>
      <c r="Z481" s="46"/>
      <c r="AA481" s="46"/>
      <c r="AB481" s="46"/>
      <c r="AC481" s="47"/>
      <c r="AD481" s="47"/>
      <c r="AE481" s="47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7"/>
      <c r="Z482" s="46"/>
      <c r="AA482" s="46"/>
      <c r="AB482" s="46"/>
      <c r="AC482" s="47"/>
      <c r="AD482" s="47"/>
      <c r="AE482" s="47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7"/>
      <c r="Z483" s="46"/>
      <c r="AA483" s="46"/>
      <c r="AB483" s="46"/>
      <c r="AC483" s="47"/>
      <c r="AD483" s="47"/>
      <c r="AE483" s="47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7"/>
      <c r="Z484" s="46"/>
      <c r="AA484" s="46"/>
      <c r="AB484" s="46"/>
      <c r="AC484" s="47"/>
      <c r="AD484" s="47"/>
      <c r="AE484" s="47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7"/>
      <c r="Z485" s="46"/>
      <c r="AA485" s="46"/>
      <c r="AB485" s="46"/>
      <c r="AC485" s="47"/>
      <c r="AD485" s="47"/>
      <c r="AE485" s="47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7"/>
      <c r="Z486" s="46"/>
      <c r="AA486" s="46"/>
      <c r="AB486" s="46"/>
      <c r="AC486" s="47"/>
      <c r="AD486" s="47"/>
      <c r="AE486" s="47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7"/>
      <c r="Z487" s="46"/>
      <c r="AA487" s="46"/>
      <c r="AB487" s="46"/>
      <c r="AC487" s="47"/>
      <c r="AD487" s="47"/>
      <c r="AE487" s="47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7"/>
      <c r="Z488" s="46"/>
      <c r="AA488" s="46"/>
      <c r="AB488" s="46"/>
      <c r="AC488" s="47"/>
      <c r="AD488" s="47"/>
      <c r="AE488" s="47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7"/>
      <c r="Z489" s="46"/>
      <c r="AA489" s="46"/>
      <c r="AB489" s="46"/>
      <c r="AC489" s="47"/>
      <c r="AD489" s="47"/>
      <c r="AE489" s="47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7"/>
      <c r="Z490" s="46"/>
      <c r="AA490" s="46"/>
      <c r="AB490" s="46"/>
      <c r="AC490" s="47"/>
      <c r="AD490" s="47"/>
      <c r="AE490" s="47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7"/>
      <c r="Z491" s="46"/>
      <c r="AA491" s="46"/>
      <c r="AB491" s="46"/>
      <c r="AC491" s="47"/>
      <c r="AD491" s="47"/>
      <c r="AE491" s="47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7"/>
      <c r="Z492" s="46"/>
      <c r="AA492" s="46"/>
      <c r="AB492" s="46"/>
      <c r="AC492" s="47"/>
      <c r="AD492" s="47"/>
      <c r="AE492" s="47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7"/>
      <c r="Z493" s="46"/>
      <c r="AA493" s="46"/>
      <c r="AB493" s="46"/>
      <c r="AC493" s="47"/>
      <c r="AD493" s="47"/>
      <c r="AE493" s="47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7"/>
      <c r="Z494" s="46"/>
      <c r="AA494" s="46"/>
      <c r="AB494" s="46"/>
      <c r="AC494" s="47"/>
      <c r="AD494" s="47"/>
      <c r="AE494" s="47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7"/>
      <c r="Z495" s="46"/>
      <c r="AA495" s="46"/>
      <c r="AB495" s="46"/>
      <c r="AC495" s="47"/>
      <c r="AD495" s="47"/>
      <c r="AE495" s="47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7"/>
      <c r="Z496" s="46"/>
      <c r="AA496" s="46"/>
      <c r="AB496" s="46"/>
      <c r="AC496" s="47"/>
      <c r="AD496" s="47"/>
      <c r="AE496" s="47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7"/>
      <c r="Z497" s="46"/>
      <c r="AA497" s="46"/>
      <c r="AB497" s="46"/>
      <c r="AC497" s="47"/>
      <c r="AD497" s="47"/>
      <c r="AE497" s="47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7"/>
      <c r="Z498" s="46"/>
      <c r="AA498" s="46"/>
      <c r="AB498" s="46"/>
      <c r="AC498" s="47"/>
      <c r="AD498" s="47"/>
      <c r="AE498" s="47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7"/>
      <c r="Z499" s="46"/>
      <c r="AA499" s="46"/>
      <c r="AB499" s="46"/>
      <c r="AC499" s="47"/>
      <c r="AD499" s="47"/>
      <c r="AE499" s="47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7"/>
      <c r="Z500" s="46"/>
      <c r="AA500" s="46"/>
      <c r="AB500" s="46"/>
      <c r="AC500" s="47"/>
      <c r="AD500" s="47"/>
      <c r="AE500" s="47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7"/>
      <c r="Z501" s="46"/>
      <c r="AA501" s="46"/>
      <c r="AB501" s="46"/>
      <c r="AC501" s="47"/>
      <c r="AD501" s="47"/>
      <c r="AE501" s="47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7"/>
      <c r="Z502" s="46"/>
      <c r="AA502" s="46"/>
      <c r="AB502" s="46"/>
      <c r="AC502" s="47"/>
      <c r="AD502" s="47"/>
      <c r="AE502" s="47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7"/>
      <c r="Z503" s="46"/>
      <c r="AA503" s="46"/>
      <c r="AB503" s="46"/>
      <c r="AC503" s="47"/>
      <c r="AD503" s="47"/>
      <c r="AE503" s="47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7"/>
      <c r="Z504" s="46"/>
      <c r="AA504" s="46"/>
      <c r="AB504" s="46"/>
      <c r="AC504" s="47"/>
      <c r="AD504" s="47"/>
      <c r="AE504" s="47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7"/>
      <c r="Z505" s="46"/>
      <c r="AA505" s="46"/>
      <c r="AB505" s="46"/>
      <c r="AC505" s="47"/>
      <c r="AD505" s="47"/>
      <c r="AE505" s="47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7"/>
      <c r="Z506" s="46"/>
      <c r="AA506" s="46"/>
      <c r="AB506" s="46"/>
      <c r="AC506" s="47"/>
      <c r="AD506" s="47"/>
      <c r="AE506" s="47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7"/>
      <c r="Z507" s="46"/>
      <c r="AA507" s="46"/>
      <c r="AB507" s="46"/>
      <c r="AC507" s="47"/>
      <c r="AD507" s="47"/>
      <c r="AE507" s="47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7"/>
      <c r="Z508" s="46"/>
      <c r="AA508" s="46"/>
      <c r="AB508" s="46"/>
      <c r="AC508" s="47"/>
      <c r="AD508" s="47"/>
      <c r="AE508" s="47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7"/>
      <c r="Z509" s="46"/>
      <c r="AA509" s="46"/>
      <c r="AB509" s="46"/>
      <c r="AC509" s="47"/>
      <c r="AD509" s="47"/>
      <c r="AE509" s="47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7"/>
      <c r="Z510" s="46"/>
      <c r="AA510" s="46"/>
      <c r="AB510" s="46"/>
      <c r="AC510" s="47"/>
      <c r="AD510" s="47"/>
      <c r="AE510" s="47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7"/>
      <c r="Z511" s="46"/>
      <c r="AA511" s="46"/>
      <c r="AB511" s="46"/>
      <c r="AC511" s="47"/>
      <c r="AD511" s="47"/>
      <c r="AE511" s="47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7"/>
      <c r="Z512" s="46"/>
      <c r="AA512" s="46"/>
      <c r="AB512" s="46"/>
      <c r="AC512" s="47"/>
      <c r="AD512" s="47"/>
      <c r="AE512" s="47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7"/>
      <c r="Z513" s="46"/>
      <c r="AA513" s="46"/>
      <c r="AB513" s="46"/>
      <c r="AC513" s="47"/>
      <c r="AD513" s="47"/>
      <c r="AE513" s="47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7"/>
      <c r="Z514" s="46"/>
      <c r="AA514" s="46"/>
      <c r="AB514" s="46"/>
      <c r="AC514" s="47"/>
      <c r="AD514" s="47"/>
      <c r="AE514" s="47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7"/>
      <c r="Z515" s="46"/>
      <c r="AA515" s="46"/>
      <c r="AB515" s="46"/>
      <c r="AC515" s="47"/>
      <c r="AD515" s="47"/>
      <c r="AE515" s="47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7"/>
      <c r="Z516" s="46"/>
      <c r="AA516" s="46"/>
      <c r="AB516" s="46"/>
      <c r="AC516" s="47"/>
      <c r="AD516" s="47"/>
      <c r="AE516" s="47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7"/>
      <c r="Z517" s="46"/>
      <c r="AA517" s="46"/>
      <c r="AB517" s="46"/>
      <c r="AC517" s="47"/>
      <c r="AD517" s="47"/>
      <c r="AE517" s="47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7"/>
      <c r="Z518" s="46"/>
      <c r="AA518" s="46"/>
      <c r="AB518" s="46"/>
      <c r="AC518" s="47"/>
      <c r="AD518" s="47"/>
      <c r="AE518" s="47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7"/>
      <c r="Z519" s="46"/>
      <c r="AA519" s="46"/>
      <c r="AB519" s="46"/>
      <c r="AC519" s="47"/>
      <c r="AD519" s="47"/>
      <c r="AE519" s="47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7"/>
      <c r="Z520" s="46"/>
      <c r="AA520" s="46"/>
      <c r="AB520" s="46"/>
      <c r="AC520" s="47"/>
      <c r="AD520" s="47"/>
      <c r="AE520" s="47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7"/>
      <c r="Z521" s="46"/>
      <c r="AA521" s="46"/>
      <c r="AB521" s="46"/>
      <c r="AC521" s="47"/>
      <c r="AD521" s="47"/>
      <c r="AE521" s="47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7"/>
      <c r="Z522" s="46"/>
      <c r="AA522" s="46"/>
      <c r="AB522" s="46"/>
      <c r="AC522" s="47"/>
      <c r="AD522" s="47"/>
      <c r="AE522" s="47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7"/>
      <c r="Z523" s="46"/>
      <c r="AA523" s="46"/>
      <c r="AB523" s="46"/>
      <c r="AC523" s="47"/>
      <c r="AD523" s="47"/>
      <c r="AE523" s="47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7"/>
      <c r="Z524" s="46"/>
      <c r="AA524" s="46"/>
      <c r="AB524" s="46"/>
      <c r="AC524" s="47"/>
      <c r="AD524" s="47"/>
      <c r="AE524" s="47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7"/>
      <c r="Z525" s="46"/>
      <c r="AA525" s="46"/>
      <c r="AB525" s="46"/>
      <c r="AC525" s="47"/>
      <c r="AD525" s="47"/>
      <c r="AE525" s="47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7"/>
      <c r="Z526" s="46"/>
      <c r="AA526" s="46"/>
      <c r="AB526" s="46"/>
      <c r="AC526" s="47"/>
      <c r="AD526" s="47"/>
      <c r="AE526" s="47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7"/>
      <c r="Z527" s="46"/>
      <c r="AA527" s="46"/>
      <c r="AB527" s="46"/>
      <c r="AC527" s="47"/>
      <c r="AD527" s="47"/>
      <c r="AE527" s="47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7"/>
      <c r="Z528" s="46"/>
      <c r="AA528" s="46"/>
      <c r="AB528" s="46"/>
      <c r="AC528" s="47"/>
      <c r="AD528" s="47"/>
      <c r="AE528" s="47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7"/>
      <c r="Z529" s="46"/>
      <c r="AA529" s="46"/>
      <c r="AB529" s="46"/>
      <c r="AC529" s="47"/>
      <c r="AD529" s="47"/>
      <c r="AE529" s="47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7"/>
      <c r="Z530" s="46"/>
      <c r="AA530" s="46"/>
      <c r="AB530" s="46"/>
      <c r="AC530" s="47"/>
      <c r="AD530" s="47"/>
      <c r="AE530" s="47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7"/>
      <c r="Z531" s="46"/>
      <c r="AA531" s="46"/>
      <c r="AB531" s="46"/>
      <c r="AC531" s="47"/>
      <c r="AD531" s="47"/>
      <c r="AE531" s="47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7"/>
      <c r="Z532" s="46"/>
      <c r="AA532" s="46"/>
      <c r="AB532" s="46"/>
      <c r="AC532" s="47"/>
      <c r="AD532" s="47"/>
      <c r="AE532" s="47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7"/>
      <c r="Z533" s="46"/>
      <c r="AA533" s="46"/>
      <c r="AB533" s="46"/>
      <c r="AC533" s="47"/>
      <c r="AD533" s="47"/>
      <c r="AE533" s="47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7"/>
      <c r="Z534" s="46"/>
      <c r="AA534" s="46"/>
      <c r="AB534" s="46"/>
      <c r="AC534" s="47"/>
      <c r="AD534" s="47"/>
      <c r="AE534" s="47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7"/>
      <c r="Z535" s="46"/>
      <c r="AA535" s="46"/>
      <c r="AB535" s="46"/>
      <c r="AC535" s="47"/>
      <c r="AD535" s="47"/>
      <c r="AE535" s="47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7"/>
      <c r="Z536" s="46"/>
      <c r="AA536" s="46"/>
      <c r="AB536" s="46"/>
      <c r="AC536" s="47"/>
      <c r="AD536" s="47"/>
      <c r="AE536" s="47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7"/>
      <c r="Z537" s="46"/>
      <c r="AA537" s="46"/>
      <c r="AB537" s="46"/>
      <c r="AC537" s="47"/>
      <c r="AD537" s="47"/>
      <c r="AE537" s="47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7"/>
      <c r="Z538" s="46"/>
      <c r="AA538" s="46"/>
      <c r="AB538" s="46"/>
      <c r="AC538" s="47"/>
      <c r="AD538" s="47"/>
      <c r="AE538" s="47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7"/>
      <c r="Z539" s="46"/>
      <c r="AA539" s="46"/>
      <c r="AB539" s="46"/>
      <c r="AC539" s="47"/>
      <c r="AD539" s="47"/>
      <c r="AE539" s="47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7"/>
      <c r="Z540" s="46"/>
      <c r="AA540" s="46"/>
      <c r="AB540" s="46"/>
      <c r="AC540" s="47"/>
      <c r="AD540" s="47"/>
      <c r="AE540" s="47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7"/>
      <c r="Z541" s="46"/>
      <c r="AA541" s="46"/>
      <c r="AB541" s="46"/>
      <c r="AC541" s="47"/>
      <c r="AD541" s="47"/>
      <c r="AE541" s="47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7"/>
      <c r="Z542" s="46"/>
      <c r="AA542" s="46"/>
      <c r="AB542" s="46"/>
      <c r="AC542" s="47"/>
      <c r="AD542" s="47"/>
      <c r="AE542" s="47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7"/>
      <c r="Z543" s="46"/>
      <c r="AA543" s="46"/>
      <c r="AB543" s="46"/>
      <c r="AC543" s="47"/>
      <c r="AD543" s="47"/>
      <c r="AE543" s="47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7"/>
      <c r="Z544" s="46"/>
      <c r="AA544" s="46"/>
      <c r="AB544" s="46"/>
      <c r="AC544" s="47"/>
      <c r="AD544" s="47"/>
      <c r="AE544" s="47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7"/>
      <c r="Z545" s="46"/>
      <c r="AA545" s="46"/>
      <c r="AB545" s="46"/>
      <c r="AC545" s="47"/>
      <c r="AD545" s="47"/>
      <c r="AE545" s="47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7"/>
      <c r="Z546" s="46"/>
      <c r="AA546" s="46"/>
      <c r="AB546" s="46"/>
      <c r="AC546" s="47"/>
      <c r="AD546" s="47"/>
      <c r="AE546" s="47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7"/>
      <c r="Z547" s="46"/>
      <c r="AA547" s="46"/>
      <c r="AB547" s="46"/>
      <c r="AC547" s="47"/>
      <c r="AD547" s="47"/>
      <c r="AE547" s="47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7"/>
      <c r="Z548" s="46"/>
      <c r="AA548" s="46"/>
      <c r="AB548" s="46"/>
      <c r="AC548" s="47"/>
      <c r="AD548" s="47"/>
      <c r="AE548" s="47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7"/>
      <c r="Z549" s="46"/>
      <c r="AA549" s="46"/>
      <c r="AB549" s="46"/>
      <c r="AC549" s="47"/>
      <c r="AD549" s="47"/>
      <c r="AE549" s="47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7"/>
      <c r="Z550" s="46"/>
      <c r="AA550" s="46"/>
      <c r="AB550" s="46"/>
      <c r="AC550" s="47"/>
      <c r="AD550" s="47"/>
      <c r="AE550" s="47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7"/>
      <c r="Z551" s="46"/>
      <c r="AA551" s="46"/>
      <c r="AB551" s="46"/>
      <c r="AC551" s="47"/>
      <c r="AD551" s="47"/>
      <c r="AE551" s="47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7"/>
      <c r="Z552" s="46"/>
      <c r="AA552" s="46"/>
      <c r="AB552" s="46"/>
      <c r="AC552" s="47"/>
      <c r="AD552" s="47"/>
      <c r="AE552" s="47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7"/>
      <c r="Z553" s="46"/>
      <c r="AA553" s="46"/>
      <c r="AB553" s="46"/>
      <c r="AC553" s="47"/>
      <c r="AD553" s="47"/>
      <c r="AE553" s="47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7"/>
      <c r="Z554" s="46"/>
      <c r="AA554" s="46"/>
      <c r="AB554" s="46"/>
      <c r="AC554" s="47"/>
      <c r="AD554" s="47"/>
      <c r="AE554" s="47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7"/>
      <c r="Z555" s="46"/>
      <c r="AA555" s="46"/>
      <c r="AB555" s="46"/>
      <c r="AC555" s="47"/>
      <c r="AD555" s="47"/>
      <c r="AE555" s="47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7"/>
      <c r="Z556" s="46"/>
      <c r="AA556" s="46"/>
      <c r="AB556" s="46"/>
      <c r="AC556" s="47"/>
      <c r="AD556" s="47"/>
      <c r="AE556" s="47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7"/>
      <c r="Z557" s="46"/>
      <c r="AA557" s="46"/>
      <c r="AB557" s="46"/>
      <c r="AC557" s="47"/>
      <c r="AD557" s="47"/>
      <c r="AE557" s="47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7"/>
      <c r="Z558" s="46"/>
      <c r="AA558" s="46"/>
      <c r="AB558" s="46"/>
      <c r="AC558" s="47"/>
      <c r="AD558" s="47"/>
      <c r="AE558" s="47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7"/>
      <c r="Z559" s="46"/>
      <c r="AA559" s="46"/>
      <c r="AB559" s="46"/>
      <c r="AC559" s="47"/>
      <c r="AD559" s="47"/>
      <c r="AE559" s="47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7"/>
      <c r="Z560" s="46"/>
      <c r="AA560" s="46"/>
      <c r="AB560" s="46"/>
      <c r="AC560" s="47"/>
      <c r="AD560" s="47"/>
      <c r="AE560" s="47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7"/>
      <c r="Z561" s="46"/>
      <c r="AA561" s="46"/>
      <c r="AB561" s="46"/>
      <c r="AC561" s="47"/>
      <c r="AD561" s="47"/>
      <c r="AE561" s="47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7"/>
      <c r="Z562" s="46"/>
      <c r="AA562" s="46"/>
      <c r="AB562" s="46"/>
      <c r="AC562" s="47"/>
      <c r="AD562" s="47"/>
      <c r="AE562" s="47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7"/>
      <c r="Z563" s="46"/>
      <c r="AA563" s="46"/>
      <c r="AB563" s="46"/>
      <c r="AC563" s="47"/>
      <c r="AD563" s="47"/>
      <c r="AE563" s="47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7"/>
      <c r="Z564" s="46"/>
      <c r="AA564" s="46"/>
      <c r="AB564" s="46"/>
      <c r="AC564" s="47"/>
      <c r="AD564" s="47"/>
      <c r="AE564" s="47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7"/>
      <c r="Z565" s="46"/>
      <c r="AA565" s="46"/>
      <c r="AB565" s="46"/>
      <c r="AC565" s="47"/>
      <c r="AD565" s="47"/>
      <c r="AE565" s="47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7"/>
      <c r="Z566" s="46"/>
      <c r="AA566" s="46"/>
      <c r="AB566" s="46"/>
      <c r="AC566" s="47"/>
      <c r="AD566" s="47"/>
      <c r="AE566" s="47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7"/>
      <c r="Z567" s="46"/>
      <c r="AA567" s="46"/>
      <c r="AB567" s="46"/>
      <c r="AC567" s="47"/>
      <c r="AD567" s="47"/>
      <c r="AE567" s="47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7"/>
      <c r="Z568" s="46"/>
      <c r="AA568" s="46"/>
      <c r="AB568" s="46"/>
      <c r="AC568" s="47"/>
      <c r="AD568" s="47"/>
      <c r="AE568" s="47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7"/>
      <c r="Z569" s="46"/>
      <c r="AA569" s="46"/>
      <c r="AB569" s="46"/>
      <c r="AC569" s="47"/>
      <c r="AD569" s="47"/>
      <c r="AE569" s="47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7"/>
      <c r="Z570" s="46"/>
      <c r="AA570" s="46"/>
      <c r="AB570" s="46"/>
      <c r="AC570" s="47"/>
      <c r="AD570" s="47"/>
      <c r="AE570" s="47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7"/>
      <c r="Z571" s="46"/>
      <c r="AA571" s="46"/>
      <c r="AB571" s="46"/>
      <c r="AC571" s="47"/>
      <c r="AD571" s="47"/>
      <c r="AE571" s="47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7"/>
      <c r="Z572" s="46"/>
      <c r="AA572" s="46"/>
      <c r="AB572" s="46"/>
      <c r="AC572" s="47"/>
      <c r="AD572" s="47"/>
      <c r="AE572" s="47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7"/>
      <c r="Z573" s="46"/>
      <c r="AA573" s="46"/>
      <c r="AB573" s="46"/>
      <c r="AC573" s="47"/>
      <c r="AD573" s="47"/>
      <c r="AE573" s="47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7"/>
      <c r="Z574" s="46"/>
      <c r="AA574" s="46"/>
      <c r="AB574" s="46"/>
      <c r="AC574" s="47"/>
      <c r="AD574" s="47"/>
      <c r="AE574" s="47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7"/>
      <c r="Z575" s="46"/>
      <c r="AA575" s="46"/>
      <c r="AB575" s="46"/>
      <c r="AC575" s="47"/>
      <c r="AD575" s="47"/>
      <c r="AE575" s="47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7"/>
      <c r="Z576" s="46"/>
      <c r="AA576" s="46"/>
      <c r="AB576" s="46"/>
      <c r="AC576" s="47"/>
      <c r="AD576" s="47"/>
      <c r="AE576" s="47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7"/>
      <c r="Z577" s="46"/>
      <c r="AA577" s="46"/>
      <c r="AB577" s="46"/>
      <c r="AC577" s="47"/>
      <c r="AD577" s="47"/>
      <c r="AE577" s="47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7"/>
      <c r="Z578" s="46"/>
      <c r="AA578" s="46"/>
      <c r="AB578" s="46"/>
      <c r="AC578" s="47"/>
      <c r="AD578" s="47"/>
      <c r="AE578" s="47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7"/>
      <c r="Z579" s="46"/>
      <c r="AA579" s="46"/>
      <c r="AB579" s="46"/>
      <c r="AC579" s="47"/>
      <c r="AD579" s="47"/>
      <c r="AE579" s="47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7"/>
      <c r="Z580" s="46"/>
      <c r="AA580" s="46"/>
      <c r="AB580" s="46"/>
      <c r="AC580" s="47"/>
      <c r="AD580" s="47"/>
      <c r="AE580" s="47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7"/>
      <c r="Z581" s="46"/>
      <c r="AA581" s="46"/>
      <c r="AB581" s="46"/>
      <c r="AC581" s="47"/>
      <c r="AD581" s="47"/>
      <c r="AE581" s="47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7"/>
      <c r="Z582" s="46"/>
      <c r="AA582" s="46"/>
      <c r="AB582" s="46"/>
      <c r="AC582" s="47"/>
      <c r="AD582" s="47"/>
      <c r="AE582" s="47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7"/>
      <c r="Z583" s="46"/>
      <c r="AA583" s="46"/>
      <c r="AB583" s="46"/>
      <c r="AC583" s="47"/>
      <c r="AD583" s="47"/>
      <c r="AE583" s="47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7"/>
      <c r="Z584" s="46"/>
      <c r="AA584" s="46"/>
      <c r="AB584" s="46"/>
      <c r="AC584" s="47"/>
      <c r="AD584" s="47"/>
      <c r="AE584" s="47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7"/>
      <c r="Z585" s="46"/>
      <c r="AA585" s="46"/>
      <c r="AB585" s="46"/>
      <c r="AC585" s="47"/>
      <c r="AD585" s="47"/>
      <c r="AE585" s="47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7"/>
      <c r="Z586" s="46"/>
      <c r="AA586" s="46"/>
      <c r="AB586" s="46"/>
      <c r="AC586" s="47"/>
      <c r="AD586" s="47"/>
      <c r="AE586" s="47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7"/>
      <c r="Z587" s="46"/>
      <c r="AA587" s="46"/>
      <c r="AB587" s="46"/>
      <c r="AC587" s="47"/>
      <c r="AD587" s="47"/>
      <c r="AE587" s="47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7"/>
      <c r="Z588" s="46"/>
      <c r="AA588" s="46"/>
      <c r="AB588" s="46"/>
      <c r="AC588" s="47"/>
      <c r="AD588" s="47"/>
      <c r="AE588" s="47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7"/>
      <c r="Z589" s="46"/>
      <c r="AA589" s="46"/>
      <c r="AB589" s="46"/>
      <c r="AC589" s="47"/>
      <c r="AD589" s="47"/>
      <c r="AE589" s="47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7"/>
      <c r="Z590" s="46"/>
      <c r="AA590" s="46"/>
      <c r="AB590" s="46"/>
      <c r="AC590" s="47"/>
      <c r="AD590" s="47"/>
      <c r="AE590" s="47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7"/>
      <c r="Z591" s="46"/>
      <c r="AA591" s="46"/>
      <c r="AB591" s="46"/>
      <c r="AC591" s="47"/>
      <c r="AD591" s="47"/>
      <c r="AE591" s="47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7"/>
      <c r="Z592" s="46"/>
      <c r="AA592" s="46"/>
      <c r="AB592" s="46"/>
      <c r="AC592" s="47"/>
      <c r="AD592" s="47"/>
      <c r="AE592" s="47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7"/>
      <c r="Z593" s="46"/>
      <c r="AA593" s="46"/>
      <c r="AB593" s="46"/>
      <c r="AC593" s="47"/>
      <c r="AD593" s="47"/>
      <c r="AE593" s="47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7"/>
      <c r="Z594" s="46"/>
      <c r="AA594" s="46"/>
      <c r="AB594" s="46"/>
      <c r="AC594" s="47"/>
      <c r="AD594" s="47"/>
      <c r="AE594" s="47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7"/>
      <c r="Z595" s="46"/>
      <c r="AA595" s="46"/>
      <c r="AB595" s="46"/>
      <c r="AC595" s="47"/>
      <c r="AD595" s="47"/>
      <c r="AE595" s="47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7"/>
      <c r="Z596" s="46"/>
      <c r="AA596" s="46"/>
      <c r="AB596" s="46"/>
      <c r="AC596" s="47"/>
      <c r="AD596" s="47"/>
      <c r="AE596" s="47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7"/>
      <c r="Z597" s="46"/>
      <c r="AA597" s="46"/>
      <c r="AB597" s="46"/>
      <c r="AC597" s="47"/>
      <c r="AD597" s="47"/>
      <c r="AE597" s="47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7"/>
      <c r="Z598" s="46"/>
      <c r="AA598" s="46"/>
      <c r="AB598" s="46"/>
      <c r="AC598" s="47"/>
      <c r="AD598" s="47"/>
      <c r="AE598" s="47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7"/>
      <c r="Z599" s="46"/>
      <c r="AA599" s="46"/>
      <c r="AB599" s="46"/>
      <c r="AC599" s="47"/>
      <c r="AD599" s="47"/>
      <c r="AE599" s="47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7"/>
      <c r="Z600" s="46"/>
      <c r="AA600" s="46"/>
      <c r="AB600" s="46"/>
      <c r="AC600" s="47"/>
      <c r="AD600" s="47"/>
      <c r="AE600" s="47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7"/>
      <c r="Z601" s="46"/>
      <c r="AA601" s="46"/>
      <c r="AB601" s="46"/>
      <c r="AC601" s="47"/>
      <c r="AD601" s="47"/>
      <c r="AE601" s="47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7"/>
      <c r="Z602" s="46"/>
      <c r="AA602" s="46"/>
      <c r="AB602" s="46"/>
      <c r="AC602" s="47"/>
      <c r="AD602" s="47"/>
      <c r="AE602" s="47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7"/>
      <c r="Z603" s="46"/>
      <c r="AA603" s="46"/>
      <c r="AB603" s="46"/>
      <c r="AC603" s="47"/>
      <c r="AD603" s="47"/>
      <c r="AE603" s="47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7"/>
      <c r="Z604" s="46"/>
      <c r="AA604" s="46"/>
      <c r="AB604" s="46"/>
      <c r="AC604" s="47"/>
      <c r="AD604" s="47"/>
      <c r="AE604" s="47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7"/>
      <c r="Z605" s="46"/>
      <c r="AA605" s="46"/>
      <c r="AB605" s="46"/>
      <c r="AC605" s="47"/>
      <c r="AD605" s="47"/>
      <c r="AE605" s="47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7"/>
      <c r="Z606" s="46"/>
      <c r="AA606" s="46"/>
      <c r="AB606" s="46"/>
      <c r="AC606" s="47"/>
      <c r="AD606" s="47"/>
      <c r="AE606" s="47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7"/>
      <c r="Z607" s="46"/>
      <c r="AA607" s="46"/>
      <c r="AB607" s="46"/>
      <c r="AC607" s="47"/>
      <c r="AD607" s="47"/>
      <c r="AE607" s="47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7"/>
      <c r="Z608" s="46"/>
      <c r="AA608" s="46"/>
      <c r="AB608" s="46"/>
      <c r="AC608" s="47"/>
      <c r="AD608" s="47"/>
      <c r="AE608" s="47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7"/>
      <c r="Z609" s="46"/>
      <c r="AA609" s="46"/>
      <c r="AB609" s="46"/>
      <c r="AC609" s="47"/>
      <c r="AD609" s="47"/>
      <c r="AE609" s="47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7"/>
      <c r="Z610" s="46"/>
      <c r="AA610" s="46"/>
      <c r="AB610" s="46"/>
      <c r="AC610" s="47"/>
      <c r="AD610" s="47"/>
      <c r="AE610" s="47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7"/>
      <c r="Z611" s="46"/>
      <c r="AA611" s="46"/>
      <c r="AB611" s="46"/>
      <c r="AC611" s="47"/>
      <c r="AD611" s="47"/>
      <c r="AE611" s="47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7"/>
      <c r="Z612" s="46"/>
      <c r="AA612" s="46"/>
      <c r="AB612" s="46"/>
      <c r="AC612" s="47"/>
      <c r="AD612" s="47"/>
      <c r="AE612" s="47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7"/>
      <c r="Z613" s="46"/>
      <c r="AA613" s="46"/>
      <c r="AB613" s="46"/>
      <c r="AC613" s="47"/>
      <c r="AD613" s="47"/>
      <c r="AE613" s="47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7"/>
      <c r="Z614" s="46"/>
      <c r="AA614" s="46"/>
      <c r="AB614" s="46"/>
      <c r="AC614" s="47"/>
      <c r="AD614" s="47"/>
      <c r="AE614" s="47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7"/>
      <c r="Z615" s="46"/>
      <c r="AA615" s="46"/>
      <c r="AB615" s="46"/>
      <c r="AC615" s="47"/>
      <c r="AD615" s="47"/>
      <c r="AE615" s="47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7"/>
      <c r="Z616" s="46"/>
      <c r="AA616" s="46"/>
      <c r="AB616" s="46"/>
      <c r="AC616" s="47"/>
      <c r="AD616" s="47"/>
      <c r="AE616" s="47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7"/>
      <c r="Z617" s="46"/>
      <c r="AA617" s="46"/>
      <c r="AB617" s="46"/>
      <c r="AC617" s="47"/>
      <c r="AD617" s="47"/>
      <c r="AE617" s="47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7"/>
      <c r="Z618" s="46"/>
      <c r="AA618" s="46"/>
      <c r="AB618" s="46"/>
      <c r="AC618" s="47"/>
      <c r="AD618" s="47"/>
      <c r="AE618" s="47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7"/>
      <c r="Z619" s="46"/>
      <c r="AA619" s="46"/>
      <c r="AB619" s="46"/>
      <c r="AC619" s="47"/>
      <c r="AD619" s="47"/>
      <c r="AE619" s="47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7"/>
      <c r="Z620" s="46"/>
      <c r="AA620" s="46"/>
      <c r="AB620" s="46"/>
      <c r="AC620" s="47"/>
      <c r="AD620" s="47"/>
      <c r="AE620" s="47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7"/>
      <c r="Z621" s="46"/>
      <c r="AA621" s="46"/>
      <c r="AB621" s="46"/>
      <c r="AC621" s="47"/>
      <c r="AD621" s="47"/>
      <c r="AE621" s="47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7"/>
      <c r="Z622" s="46"/>
      <c r="AA622" s="46"/>
      <c r="AB622" s="46"/>
      <c r="AC622" s="47"/>
      <c r="AD622" s="47"/>
      <c r="AE622" s="47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7"/>
      <c r="Z623" s="46"/>
      <c r="AA623" s="46"/>
      <c r="AB623" s="46"/>
      <c r="AC623" s="47"/>
      <c r="AD623" s="47"/>
      <c r="AE623" s="47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7"/>
      <c r="Z624" s="46"/>
      <c r="AA624" s="46"/>
      <c r="AB624" s="46"/>
      <c r="AC624" s="47"/>
      <c r="AD624" s="47"/>
      <c r="AE624" s="47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7"/>
      <c r="Z625" s="46"/>
      <c r="AA625" s="46"/>
      <c r="AB625" s="46"/>
      <c r="AC625" s="47"/>
      <c r="AD625" s="47"/>
      <c r="AE625" s="47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7"/>
      <c r="Z626" s="46"/>
      <c r="AA626" s="46"/>
      <c r="AB626" s="46"/>
      <c r="AC626" s="47"/>
      <c r="AD626" s="47"/>
      <c r="AE626" s="47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7"/>
      <c r="Z627" s="46"/>
      <c r="AA627" s="46"/>
      <c r="AB627" s="46"/>
      <c r="AC627" s="47"/>
      <c r="AD627" s="47"/>
      <c r="AE627" s="47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7"/>
      <c r="Z628" s="46"/>
      <c r="AA628" s="46"/>
      <c r="AB628" s="46"/>
      <c r="AC628" s="47"/>
      <c r="AD628" s="47"/>
      <c r="AE628" s="47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7"/>
      <c r="Z629" s="46"/>
      <c r="AA629" s="46"/>
      <c r="AB629" s="46"/>
      <c r="AC629" s="47"/>
      <c r="AD629" s="47"/>
      <c r="AE629" s="47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7"/>
      <c r="Z630" s="46"/>
      <c r="AA630" s="46"/>
      <c r="AB630" s="46"/>
      <c r="AC630" s="47"/>
      <c r="AD630" s="47"/>
      <c r="AE630" s="47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7"/>
      <c r="Z631" s="46"/>
      <c r="AA631" s="46"/>
      <c r="AB631" s="46"/>
      <c r="AC631" s="47"/>
      <c r="AD631" s="47"/>
      <c r="AE631" s="47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7"/>
      <c r="Z632" s="46"/>
      <c r="AA632" s="46"/>
      <c r="AB632" s="46"/>
      <c r="AC632" s="47"/>
      <c r="AD632" s="47"/>
      <c r="AE632" s="47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7"/>
      <c r="Z633" s="46"/>
      <c r="AA633" s="46"/>
      <c r="AB633" s="46"/>
      <c r="AC633" s="47"/>
      <c r="AD633" s="47"/>
      <c r="AE633" s="47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7"/>
      <c r="Z634" s="46"/>
      <c r="AA634" s="46"/>
      <c r="AB634" s="46"/>
      <c r="AC634" s="47"/>
      <c r="AD634" s="47"/>
      <c r="AE634" s="47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7"/>
      <c r="Z635" s="46"/>
      <c r="AA635" s="46"/>
      <c r="AB635" s="46"/>
      <c r="AC635" s="47"/>
      <c r="AD635" s="47"/>
      <c r="AE635" s="47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7"/>
      <c r="Z636" s="46"/>
      <c r="AA636" s="46"/>
      <c r="AB636" s="46"/>
      <c r="AC636" s="47"/>
      <c r="AD636" s="47"/>
      <c r="AE636" s="47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7"/>
      <c r="Z637" s="46"/>
      <c r="AA637" s="46"/>
      <c r="AB637" s="46"/>
      <c r="AC637" s="47"/>
      <c r="AD637" s="47"/>
      <c r="AE637" s="47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7"/>
      <c r="Z638" s="46"/>
      <c r="AA638" s="46"/>
      <c r="AB638" s="46"/>
      <c r="AC638" s="47"/>
      <c r="AD638" s="47"/>
      <c r="AE638" s="47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7"/>
      <c r="Z639" s="46"/>
      <c r="AA639" s="46"/>
      <c r="AB639" s="46"/>
      <c r="AC639" s="47"/>
      <c r="AD639" s="47"/>
      <c r="AE639" s="47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7"/>
      <c r="Z640" s="46"/>
      <c r="AA640" s="46"/>
      <c r="AB640" s="46"/>
      <c r="AC640" s="47"/>
      <c r="AD640" s="47"/>
      <c r="AE640" s="47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7"/>
      <c r="Z641" s="46"/>
      <c r="AA641" s="46"/>
      <c r="AB641" s="46"/>
      <c r="AC641" s="47"/>
      <c r="AD641" s="47"/>
      <c r="AE641" s="47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7"/>
      <c r="Z642" s="46"/>
      <c r="AA642" s="46"/>
      <c r="AB642" s="46"/>
      <c r="AC642" s="47"/>
      <c r="AD642" s="47"/>
      <c r="AE642" s="47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7"/>
      <c r="Z643" s="46"/>
      <c r="AA643" s="46"/>
      <c r="AB643" s="46"/>
      <c r="AC643" s="47"/>
      <c r="AD643" s="47"/>
      <c r="AE643" s="47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7"/>
      <c r="Z644" s="46"/>
      <c r="AA644" s="46"/>
      <c r="AB644" s="46"/>
      <c r="AC644" s="47"/>
      <c r="AD644" s="47"/>
      <c r="AE644" s="47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7"/>
      <c r="Z645" s="46"/>
      <c r="AA645" s="46"/>
      <c r="AB645" s="46"/>
      <c r="AC645" s="47"/>
      <c r="AD645" s="47"/>
      <c r="AE645" s="47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7"/>
      <c r="Z646" s="46"/>
      <c r="AA646" s="46"/>
      <c r="AB646" s="46"/>
      <c r="AC646" s="47"/>
      <c r="AD646" s="47"/>
      <c r="AE646" s="47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7"/>
      <c r="Z647" s="46"/>
      <c r="AA647" s="46"/>
      <c r="AB647" s="46"/>
      <c r="AC647" s="47"/>
      <c r="AD647" s="47"/>
      <c r="AE647" s="47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7"/>
      <c r="Z648" s="46"/>
      <c r="AA648" s="46"/>
      <c r="AB648" s="46"/>
      <c r="AC648" s="47"/>
      <c r="AD648" s="47"/>
      <c r="AE648" s="47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7"/>
      <c r="Z649" s="46"/>
      <c r="AA649" s="46"/>
      <c r="AB649" s="46"/>
      <c r="AC649" s="47"/>
      <c r="AD649" s="47"/>
      <c r="AE649" s="47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7"/>
      <c r="Z650" s="46"/>
      <c r="AA650" s="46"/>
      <c r="AB650" s="46"/>
      <c r="AC650" s="47"/>
      <c r="AD650" s="47"/>
      <c r="AE650" s="47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7"/>
      <c r="Z651" s="46"/>
      <c r="AA651" s="46"/>
      <c r="AB651" s="46"/>
      <c r="AC651" s="47"/>
      <c r="AD651" s="47"/>
      <c r="AE651" s="47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7"/>
      <c r="Z652" s="46"/>
      <c r="AA652" s="46"/>
      <c r="AB652" s="46"/>
      <c r="AC652" s="47"/>
      <c r="AD652" s="47"/>
      <c r="AE652" s="47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7"/>
      <c r="Z653" s="46"/>
      <c r="AA653" s="46"/>
      <c r="AB653" s="46"/>
      <c r="AC653" s="47"/>
      <c r="AD653" s="47"/>
      <c r="AE653" s="47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7"/>
      <c r="Z654" s="46"/>
      <c r="AA654" s="46"/>
      <c r="AB654" s="46"/>
      <c r="AC654" s="47"/>
      <c r="AD654" s="47"/>
      <c r="AE654" s="47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7"/>
      <c r="Z655" s="46"/>
      <c r="AA655" s="46"/>
      <c r="AB655" s="46"/>
      <c r="AC655" s="47"/>
      <c r="AD655" s="47"/>
      <c r="AE655" s="47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7"/>
      <c r="Z656" s="46"/>
      <c r="AA656" s="46"/>
      <c r="AB656" s="46"/>
      <c r="AC656" s="47"/>
      <c r="AD656" s="47"/>
      <c r="AE656" s="47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7"/>
      <c r="Z657" s="46"/>
      <c r="AA657" s="46"/>
      <c r="AB657" s="46"/>
      <c r="AC657" s="47"/>
      <c r="AD657" s="47"/>
      <c r="AE657" s="47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7"/>
      <c r="Z658" s="46"/>
      <c r="AA658" s="46"/>
      <c r="AB658" s="46"/>
      <c r="AC658" s="47"/>
      <c r="AD658" s="47"/>
      <c r="AE658" s="47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7"/>
      <c r="Z659" s="46"/>
      <c r="AA659" s="46"/>
      <c r="AB659" s="46"/>
      <c r="AC659" s="47"/>
      <c r="AD659" s="47"/>
      <c r="AE659" s="47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7"/>
      <c r="Z660" s="46"/>
      <c r="AA660" s="46"/>
      <c r="AB660" s="46"/>
      <c r="AC660" s="47"/>
      <c r="AD660" s="47"/>
      <c r="AE660" s="47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7"/>
      <c r="Z661" s="46"/>
      <c r="AA661" s="46"/>
      <c r="AB661" s="46"/>
      <c r="AC661" s="47"/>
      <c r="AD661" s="47"/>
      <c r="AE661" s="47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7"/>
      <c r="Z662" s="46"/>
      <c r="AA662" s="46"/>
      <c r="AB662" s="46"/>
      <c r="AC662" s="47"/>
      <c r="AD662" s="47"/>
      <c r="AE662" s="47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7"/>
      <c r="Z663" s="46"/>
      <c r="AA663" s="46"/>
      <c r="AB663" s="46"/>
      <c r="AC663" s="47"/>
      <c r="AD663" s="47"/>
      <c r="AE663" s="47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7"/>
      <c r="Z664" s="46"/>
      <c r="AA664" s="46"/>
      <c r="AB664" s="46"/>
      <c r="AC664" s="47"/>
      <c r="AD664" s="47"/>
      <c r="AE664" s="47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7"/>
      <c r="Z665" s="46"/>
      <c r="AA665" s="46"/>
      <c r="AB665" s="46"/>
      <c r="AC665" s="47"/>
      <c r="AD665" s="47"/>
      <c r="AE665" s="47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7"/>
      <c r="Z666" s="46"/>
      <c r="AA666" s="46"/>
      <c r="AB666" s="46"/>
      <c r="AC666" s="47"/>
      <c r="AD666" s="47"/>
      <c r="AE666" s="47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7"/>
      <c r="Z667" s="46"/>
      <c r="AA667" s="46"/>
      <c r="AB667" s="46"/>
      <c r="AC667" s="47"/>
      <c r="AD667" s="47"/>
      <c r="AE667" s="47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7"/>
      <c r="Z668" s="46"/>
      <c r="AA668" s="46"/>
      <c r="AB668" s="46"/>
      <c r="AC668" s="47"/>
      <c r="AD668" s="47"/>
      <c r="AE668" s="47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7"/>
      <c r="Z669" s="46"/>
      <c r="AA669" s="46"/>
      <c r="AB669" s="46"/>
      <c r="AC669" s="47"/>
      <c r="AD669" s="47"/>
      <c r="AE669" s="47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7"/>
      <c r="Z670" s="46"/>
      <c r="AA670" s="46"/>
      <c r="AB670" s="46"/>
      <c r="AC670" s="47"/>
      <c r="AD670" s="47"/>
      <c r="AE670" s="47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7"/>
      <c r="Z671" s="46"/>
      <c r="AA671" s="46"/>
      <c r="AB671" s="46"/>
      <c r="AC671" s="47"/>
      <c r="AD671" s="47"/>
      <c r="AE671" s="47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7"/>
      <c r="Z672" s="46"/>
      <c r="AA672" s="46"/>
      <c r="AB672" s="46"/>
      <c r="AC672" s="47"/>
      <c r="AD672" s="47"/>
      <c r="AE672" s="47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7"/>
      <c r="Z673" s="46"/>
      <c r="AA673" s="46"/>
      <c r="AB673" s="46"/>
      <c r="AC673" s="47"/>
      <c r="AD673" s="47"/>
      <c r="AE673" s="47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7"/>
      <c r="Z674" s="46"/>
      <c r="AA674" s="46"/>
      <c r="AB674" s="46"/>
      <c r="AC674" s="47"/>
      <c r="AD674" s="47"/>
      <c r="AE674" s="47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7"/>
      <c r="Z675" s="46"/>
      <c r="AA675" s="46"/>
      <c r="AB675" s="46"/>
      <c r="AC675" s="47"/>
      <c r="AD675" s="47"/>
      <c r="AE675" s="47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7"/>
      <c r="Z676" s="46"/>
      <c r="AA676" s="46"/>
      <c r="AB676" s="46"/>
      <c r="AC676" s="47"/>
      <c r="AD676" s="47"/>
      <c r="AE676" s="47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7"/>
      <c r="Z677" s="46"/>
      <c r="AA677" s="46"/>
      <c r="AB677" s="46"/>
      <c r="AC677" s="47"/>
      <c r="AD677" s="47"/>
      <c r="AE677" s="47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7"/>
      <c r="Z678" s="46"/>
      <c r="AA678" s="46"/>
      <c r="AB678" s="46"/>
      <c r="AC678" s="47"/>
      <c r="AD678" s="47"/>
      <c r="AE678" s="47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7"/>
      <c r="Z679" s="46"/>
      <c r="AA679" s="46"/>
      <c r="AB679" s="46"/>
      <c r="AC679" s="47"/>
      <c r="AD679" s="47"/>
      <c r="AE679" s="47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7"/>
      <c r="Z680" s="46"/>
      <c r="AA680" s="46"/>
      <c r="AB680" s="46"/>
      <c r="AC680" s="47"/>
      <c r="AD680" s="47"/>
      <c r="AE680" s="47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7"/>
      <c r="Z681" s="46"/>
      <c r="AA681" s="46"/>
      <c r="AB681" s="46"/>
      <c r="AC681" s="47"/>
      <c r="AD681" s="47"/>
      <c r="AE681" s="47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7"/>
      <c r="Z682" s="46"/>
      <c r="AA682" s="46"/>
      <c r="AB682" s="46"/>
      <c r="AC682" s="47"/>
      <c r="AD682" s="47"/>
      <c r="AE682" s="47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7"/>
      <c r="Z683" s="46"/>
      <c r="AA683" s="46"/>
      <c r="AB683" s="46"/>
      <c r="AC683" s="47"/>
      <c r="AD683" s="47"/>
      <c r="AE683" s="47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7"/>
      <c r="Z684" s="46"/>
      <c r="AA684" s="46"/>
      <c r="AB684" s="46"/>
      <c r="AC684" s="47"/>
      <c r="AD684" s="47"/>
      <c r="AE684" s="47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7"/>
      <c r="Z685" s="46"/>
      <c r="AA685" s="46"/>
      <c r="AB685" s="46"/>
      <c r="AC685" s="47"/>
      <c r="AD685" s="47"/>
      <c r="AE685" s="47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7"/>
      <c r="Z686" s="46"/>
      <c r="AA686" s="46"/>
      <c r="AB686" s="46"/>
      <c r="AC686" s="47"/>
      <c r="AD686" s="47"/>
      <c r="AE686" s="47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7"/>
      <c r="Z687" s="46"/>
      <c r="AA687" s="46"/>
      <c r="AB687" s="46"/>
      <c r="AC687" s="47"/>
      <c r="AD687" s="47"/>
      <c r="AE687" s="47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7"/>
      <c r="Z688" s="46"/>
      <c r="AA688" s="46"/>
      <c r="AB688" s="46"/>
      <c r="AC688" s="47"/>
      <c r="AD688" s="47"/>
      <c r="AE688" s="47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7"/>
      <c r="Z689" s="46"/>
      <c r="AA689" s="46"/>
      <c r="AB689" s="46"/>
      <c r="AC689" s="47"/>
      <c r="AD689" s="47"/>
      <c r="AE689" s="47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7"/>
      <c r="Z690" s="46"/>
      <c r="AA690" s="46"/>
      <c r="AB690" s="46"/>
      <c r="AC690" s="47"/>
      <c r="AD690" s="47"/>
      <c r="AE690" s="47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7"/>
      <c r="Z691" s="46"/>
      <c r="AA691" s="46"/>
      <c r="AB691" s="46"/>
      <c r="AC691" s="47"/>
      <c r="AD691" s="47"/>
      <c r="AE691" s="47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7"/>
      <c r="Z692" s="46"/>
      <c r="AA692" s="46"/>
      <c r="AB692" s="46"/>
      <c r="AC692" s="47"/>
      <c r="AD692" s="47"/>
      <c r="AE692" s="47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7"/>
      <c r="Z693" s="46"/>
      <c r="AA693" s="46"/>
      <c r="AB693" s="46"/>
      <c r="AC693" s="47"/>
      <c r="AD693" s="47"/>
      <c r="AE693" s="47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7"/>
      <c r="Z694" s="46"/>
      <c r="AA694" s="46"/>
      <c r="AB694" s="46"/>
      <c r="AC694" s="47"/>
      <c r="AD694" s="47"/>
      <c r="AE694" s="47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7"/>
      <c r="Z695" s="46"/>
      <c r="AA695" s="46"/>
      <c r="AB695" s="46"/>
      <c r="AC695" s="47"/>
      <c r="AD695" s="47"/>
      <c r="AE695" s="47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7"/>
      <c r="Z696" s="46"/>
      <c r="AA696" s="46"/>
      <c r="AB696" s="46"/>
      <c r="AC696" s="47"/>
      <c r="AD696" s="47"/>
      <c r="AE696" s="47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7"/>
      <c r="Z697" s="46"/>
      <c r="AA697" s="46"/>
      <c r="AB697" s="46"/>
      <c r="AC697" s="47"/>
      <c r="AD697" s="47"/>
      <c r="AE697" s="47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7"/>
      <c r="Z698" s="46"/>
      <c r="AA698" s="46"/>
      <c r="AB698" s="46"/>
      <c r="AC698" s="47"/>
      <c r="AD698" s="47"/>
      <c r="AE698" s="47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7"/>
      <c r="Z699" s="46"/>
      <c r="AA699" s="46"/>
      <c r="AB699" s="46"/>
      <c r="AC699" s="47"/>
      <c r="AD699" s="47"/>
      <c r="AE699" s="47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7"/>
      <c r="Z700" s="46"/>
      <c r="AA700" s="46"/>
      <c r="AB700" s="46"/>
      <c r="AC700" s="47"/>
      <c r="AD700" s="47"/>
      <c r="AE700" s="47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7"/>
      <c r="Z701" s="46"/>
      <c r="AA701" s="46"/>
      <c r="AB701" s="46"/>
      <c r="AC701" s="47"/>
      <c r="AD701" s="47"/>
      <c r="AE701" s="47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7"/>
      <c r="Z702" s="46"/>
      <c r="AA702" s="46"/>
      <c r="AB702" s="46"/>
      <c r="AC702" s="47"/>
      <c r="AD702" s="47"/>
      <c r="AE702" s="47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7"/>
      <c r="Z703" s="46"/>
      <c r="AA703" s="46"/>
      <c r="AB703" s="46"/>
      <c r="AC703" s="47"/>
      <c r="AD703" s="47"/>
      <c r="AE703" s="47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7"/>
      <c r="Z704" s="46"/>
      <c r="AA704" s="46"/>
      <c r="AB704" s="46"/>
      <c r="AC704" s="47"/>
      <c r="AD704" s="47"/>
      <c r="AE704" s="47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7"/>
      <c r="Z705" s="46"/>
      <c r="AA705" s="46"/>
      <c r="AB705" s="46"/>
      <c r="AC705" s="47"/>
      <c r="AD705" s="47"/>
      <c r="AE705" s="47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7"/>
      <c r="Z706" s="46"/>
      <c r="AA706" s="46"/>
      <c r="AB706" s="46"/>
      <c r="AC706" s="47"/>
      <c r="AD706" s="47"/>
      <c r="AE706" s="47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7"/>
      <c r="Z707" s="46"/>
      <c r="AA707" s="46"/>
      <c r="AB707" s="46"/>
      <c r="AC707" s="47"/>
      <c r="AD707" s="47"/>
      <c r="AE707" s="47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7"/>
      <c r="Z708" s="46"/>
      <c r="AA708" s="46"/>
      <c r="AB708" s="46"/>
      <c r="AC708" s="47"/>
      <c r="AD708" s="47"/>
      <c r="AE708" s="47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7"/>
      <c r="Z709" s="46"/>
      <c r="AA709" s="46"/>
      <c r="AB709" s="46"/>
      <c r="AC709" s="47"/>
      <c r="AD709" s="47"/>
      <c r="AE709" s="47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7"/>
      <c r="Z710" s="46"/>
      <c r="AA710" s="46"/>
      <c r="AB710" s="46"/>
      <c r="AC710" s="47"/>
      <c r="AD710" s="47"/>
      <c r="AE710" s="47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7"/>
      <c r="Z711" s="46"/>
      <c r="AA711" s="46"/>
      <c r="AB711" s="46"/>
      <c r="AC711" s="47"/>
      <c r="AD711" s="47"/>
      <c r="AE711" s="47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7"/>
      <c r="Z712" s="46"/>
      <c r="AA712" s="46"/>
      <c r="AB712" s="46"/>
      <c r="AC712" s="47"/>
      <c r="AD712" s="47"/>
      <c r="AE712" s="47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7"/>
      <c r="Z713" s="46"/>
      <c r="AA713" s="46"/>
      <c r="AB713" s="46"/>
      <c r="AC713" s="47"/>
      <c r="AD713" s="47"/>
      <c r="AE713" s="47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7"/>
      <c r="Z714" s="46"/>
      <c r="AA714" s="46"/>
      <c r="AB714" s="46"/>
      <c r="AC714" s="47"/>
      <c r="AD714" s="47"/>
      <c r="AE714" s="47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7"/>
      <c r="Z715" s="46"/>
      <c r="AA715" s="46"/>
      <c r="AB715" s="46"/>
      <c r="AC715" s="47"/>
      <c r="AD715" s="47"/>
      <c r="AE715" s="47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7"/>
      <c r="Z716" s="46"/>
      <c r="AA716" s="46"/>
      <c r="AB716" s="46"/>
      <c r="AC716" s="47"/>
      <c r="AD716" s="47"/>
      <c r="AE716" s="47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7"/>
      <c r="Z717" s="46"/>
      <c r="AA717" s="46"/>
      <c r="AB717" s="46"/>
      <c r="AC717" s="47"/>
      <c r="AD717" s="47"/>
      <c r="AE717" s="47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7"/>
      <c r="Z718" s="46"/>
      <c r="AA718" s="46"/>
      <c r="AB718" s="46"/>
      <c r="AC718" s="47"/>
      <c r="AD718" s="47"/>
      <c r="AE718" s="47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7"/>
      <c r="Z719" s="46"/>
      <c r="AA719" s="46"/>
      <c r="AB719" s="46"/>
      <c r="AC719" s="47"/>
      <c r="AD719" s="47"/>
      <c r="AE719" s="47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7"/>
      <c r="Z720" s="46"/>
      <c r="AA720" s="46"/>
      <c r="AB720" s="46"/>
      <c r="AC720" s="47"/>
      <c r="AD720" s="47"/>
      <c r="AE720" s="47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7"/>
      <c r="Z721" s="46"/>
      <c r="AA721" s="46"/>
      <c r="AB721" s="46"/>
      <c r="AC721" s="47"/>
      <c r="AD721" s="47"/>
      <c r="AE721" s="47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7"/>
      <c r="Z722" s="46"/>
      <c r="AA722" s="46"/>
      <c r="AB722" s="46"/>
      <c r="AC722" s="47"/>
      <c r="AD722" s="47"/>
      <c r="AE722" s="47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7"/>
      <c r="Z723" s="46"/>
      <c r="AA723" s="46"/>
      <c r="AB723" s="46"/>
      <c r="AC723" s="47"/>
      <c r="AD723" s="47"/>
      <c r="AE723" s="47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7"/>
      <c r="Z724" s="46"/>
      <c r="AA724" s="46"/>
      <c r="AB724" s="46"/>
      <c r="AC724" s="47"/>
      <c r="AD724" s="47"/>
      <c r="AE724" s="47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7"/>
      <c r="Z725" s="46"/>
      <c r="AA725" s="46"/>
      <c r="AB725" s="46"/>
      <c r="AC725" s="47"/>
      <c r="AD725" s="47"/>
      <c r="AE725" s="47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7"/>
      <c r="Z726" s="46"/>
      <c r="AA726" s="46"/>
      <c r="AB726" s="46"/>
      <c r="AC726" s="47"/>
      <c r="AD726" s="47"/>
      <c r="AE726" s="47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7"/>
      <c r="Z727" s="46"/>
      <c r="AA727" s="46"/>
      <c r="AB727" s="46"/>
      <c r="AC727" s="47"/>
      <c r="AD727" s="47"/>
      <c r="AE727" s="47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7"/>
      <c r="Z728" s="46"/>
      <c r="AA728" s="46"/>
      <c r="AB728" s="46"/>
      <c r="AC728" s="47"/>
      <c r="AD728" s="47"/>
      <c r="AE728" s="47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7"/>
      <c r="Z729" s="46"/>
      <c r="AA729" s="46"/>
      <c r="AB729" s="46"/>
      <c r="AC729" s="47"/>
      <c r="AD729" s="47"/>
      <c r="AE729" s="47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7"/>
      <c r="Z730" s="46"/>
      <c r="AA730" s="46"/>
      <c r="AB730" s="46"/>
      <c r="AC730" s="47"/>
      <c r="AD730" s="47"/>
      <c r="AE730" s="47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7"/>
      <c r="Z731" s="46"/>
      <c r="AA731" s="46"/>
      <c r="AB731" s="46"/>
      <c r="AC731" s="47"/>
      <c r="AD731" s="47"/>
      <c r="AE731" s="47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7"/>
      <c r="Z732" s="46"/>
      <c r="AA732" s="46"/>
      <c r="AB732" s="46"/>
      <c r="AC732" s="47"/>
      <c r="AD732" s="47"/>
      <c r="AE732" s="47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7"/>
      <c r="Z733" s="46"/>
      <c r="AA733" s="46"/>
      <c r="AB733" s="46"/>
      <c r="AC733" s="47"/>
      <c r="AD733" s="47"/>
      <c r="AE733" s="47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7"/>
      <c r="Z734" s="46"/>
      <c r="AA734" s="46"/>
      <c r="AB734" s="46"/>
      <c r="AC734" s="47"/>
      <c r="AD734" s="47"/>
      <c r="AE734" s="47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7"/>
      <c r="Z735" s="46"/>
      <c r="AA735" s="46"/>
      <c r="AB735" s="46"/>
      <c r="AC735" s="47"/>
      <c r="AD735" s="47"/>
      <c r="AE735" s="47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7"/>
      <c r="Z736" s="46"/>
      <c r="AA736" s="46"/>
      <c r="AB736" s="46"/>
      <c r="AC736" s="47"/>
      <c r="AD736" s="47"/>
      <c r="AE736" s="47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7"/>
      <c r="Z737" s="46"/>
      <c r="AA737" s="46"/>
      <c r="AB737" s="46"/>
      <c r="AC737" s="47"/>
      <c r="AD737" s="47"/>
      <c r="AE737" s="47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7"/>
      <c r="Z738" s="46"/>
      <c r="AA738" s="46"/>
      <c r="AB738" s="46"/>
      <c r="AC738" s="47"/>
      <c r="AD738" s="47"/>
      <c r="AE738" s="47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7"/>
      <c r="Z739" s="46"/>
      <c r="AA739" s="46"/>
      <c r="AB739" s="46"/>
      <c r="AC739" s="47"/>
      <c r="AD739" s="47"/>
      <c r="AE739" s="47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7"/>
      <c r="Z740" s="46"/>
      <c r="AA740" s="46"/>
      <c r="AB740" s="46"/>
      <c r="AC740" s="47"/>
      <c r="AD740" s="47"/>
      <c r="AE740" s="47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7"/>
      <c r="Z741" s="46"/>
      <c r="AA741" s="46"/>
      <c r="AB741" s="46"/>
      <c r="AC741" s="47"/>
      <c r="AD741" s="47"/>
      <c r="AE741" s="47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7"/>
      <c r="Z742" s="46"/>
      <c r="AA742" s="46"/>
      <c r="AB742" s="46"/>
      <c r="AC742" s="47"/>
      <c r="AD742" s="47"/>
      <c r="AE742" s="47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7"/>
      <c r="Z743" s="46"/>
      <c r="AA743" s="46"/>
      <c r="AB743" s="46"/>
      <c r="AC743" s="47"/>
      <c r="AD743" s="47"/>
      <c r="AE743" s="47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7"/>
      <c r="Z744" s="46"/>
      <c r="AA744" s="46"/>
      <c r="AB744" s="46"/>
      <c r="AC744" s="47"/>
      <c r="AD744" s="47"/>
      <c r="AE744" s="47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7"/>
      <c r="Z745" s="46"/>
      <c r="AA745" s="46"/>
      <c r="AB745" s="46"/>
      <c r="AC745" s="47"/>
      <c r="AD745" s="47"/>
      <c r="AE745" s="47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7"/>
      <c r="Z746" s="46"/>
      <c r="AA746" s="46"/>
      <c r="AB746" s="46"/>
      <c r="AC746" s="47"/>
      <c r="AD746" s="47"/>
      <c r="AE746" s="47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7"/>
      <c r="Z747" s="46"/>
      <c r="AA747" s="46"/>
      <c r="AB747" s="46"/>
      <c r="AC747" s="47"/>
      <c r="AD747" s="47"/>
      <c r="AE747" s="47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7"/>
      <c r="Z748" s="46"/>
      <c r="AA748" s="46"/>
      <c r="AB748" s="46"/>
      <c r="AC748" s="47"/>
      <c r="AD748" s="47"/>
      <c r="AE748" s="47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7"/>
      <c r="Z749" s="46"/>
      <c r="AA749" s="46"/>
      <c r="AB749" s="46"/>
      <c r="AC749" s="47"/>
      <c r="AD749" s="47"/>
      <c r="AE749" s="47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7"/>
      <c r="Z750" s="46"/>
      <c r="AA750" s="46"/>
      <c r="AB750" s="46"/>
      <c r="AC750" s="47"/>
      <c r="AD750" s="47"/>
      <c r="AE750" s="47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7"/>
      <c r="Z751" s="46"/>
      <c r="AA751" s="46"/>
      <c r="AB751" s="46"/>
      <c r="AC751" s="47"/>
      <c r="AD751" s="47"/>
      <c r="AE751" s="47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7"/>
      <c r="Z752" s="46"/>
      <c r="AA752" s="46"/>
      <c r="AB752" s="46"/>
      <c r="AC752" s="47"/>
      <c r="AD752" s="47"/>
      <c r="AE752" s="47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7"/>
      <c r="Z753" s="46"/>
      <c r="AA753" s="46"/>
      <c r="AB753" s="46"/>
      <c r="AC753" s="47"/>
      <c r="AD753" s="47"/>
      <c r="AE753" s="47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7"/>
      <c r="Z754" s="46"/>
      <c r="AA754" s="46"/>
      <c r="AB754" s="46"/>
      <c r="AC754" s="47"/>
      <c r="AD754" s="47"/>
      <c r="AE754" s="47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7"/>
      <c r="Z755" s="46"/>
      <c r="AA755" s="46"/>
      <c r="AB755" s="46"/>
      <c r="AC755" s="47"/>
      <c r="AD755" s="47"/>
      <c r="AE755" s="47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7"/>
      <c r="Z756" s="46"/>
      <c r="AA756" s="46"/>
      <c r="AB756" s="46"/>
      <c r="AC756" s="47"/>
      <c r="AD756" s="47"/>
      <c r="AE756" s="47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7"/>
      <c r="Z757" s="46"/>
      <c r="AA757" s="46"/>
      <c r="AB757" s="46"/>
      <c r="AC757" s="47"/>
      <c r="AD757" s="47"/>
      <c r="AE757" s="47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7"/>
      <c r="Z758" s="46"/>
      <c r="AA758" s="46"/>
      <c r="AB758" s="46"/>
      <c r="AC758" s="47"/>
      <c r="AD758" s="47"/>
      <c r="AE758" s="47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7"/>
      <c r="Z759" s="46"/>
      <c r="AA759" s="46"/>
      <c r="AB759" s="46"/>
      <c r="AC759" s="47"/>
      <c r="AD759" s="47"/>
      <c r="AE759" s="47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7"/>
      <c r="Z760" s="46"/>
      <c r="AA760" s="46"/>
      <c r="AB760" s="46"/>
      <c r="AC760" s="47"/>
      <c r="AD760" s="47"/>
      <c r="AE760" s="47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7"/>
      <c r="Z761" s="46"/>
      <c r="AA761" s="46"/>
      <c r="AB761" s="46"/>
      <c r="AC761" s="47"/>
      <c r="AD761" s="47"/>
      <c r="AE761" s="47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7"/>
      <c r="Z762" s="46"/>
      <c r="AA762" s="46"/>
      <c r="AB762" s="46"/>
      <c r="AC762" s="47"/>
      <c r="AD762" s="47"/>
      <c r="AE762" s="47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7"/>
      <c r="Z763" s="46"/>
      <c r="AA763" s="46"/>
      <c r="AB763" s="46"/>
      <c r="AC763" s="47"/>
      <c r="AD763" s="47"/>
      <c r="AE763" s="47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7"/>
      <c r="Z764" s="46"/>
      <c r="AA764" s="46"/>
      <c r="AB764" s="46"/>
      <c r="AC764" s="47"/>
      <c r="AD764" s="47"/>
      <c r="AE764" s="47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7"/>
      <c r="Z765" s="46"/>
      <c r="AA765" s="46"/>
      <c r="AB765" s="46"/>
      <c r="AC765" s="47"/>
      <c r="AD765" s="47"/>
      <c r="AE765" s="47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7"/>
      <c r="Z766" s="46"/>
      <c r="AA766" s="46"/>
      <c r="AB766" s="46"/>
      <c r="AC766" s="47"/>
      <c r="AD766" s="47"/>
      <c r="AE766" s="47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7"/>
      <c r="Z767" s="46"/>
      <c r="AA767" s="46"/>
      <c r="AB767" s="46"/>
      <c r="AC767" s="47"/>
      <c r="AD767" s="47"/>
      <c r="AE767" s="47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7"/>
      <c r="Z768" s="46"/>
      <c r="AA768" s="46"/>
      <c r="AB768" s="46"/>
      <c r="AC768" s="47"/>
      <c r="AD768" s="47"/>
      <c r="AE768" s="47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7"/>
      <c r="Z769" s="46"/>
      <c r="AA769" s="46"/>
      <c r="AB769" s="46"/>
      <c r="AC769" s="47"/>
      <c r="AD769" s="47"/>
      <c r="AE769" s="47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7"/>
      <c r="Z770" s="46"/>
      <c r="AA770" s="46"/>
      <c r="AB770" s="46"/>
      <c r="AC770" s="47"/>
      <c r="AD770" s="47"/>
      <c r="AE770" s="47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7"/>
      <c r="Z771" s="46"/>
      <c r="AA771" s="46"/>
      <c r="AB771" s="46"/>
      <c r="AC771" s="47"/>
      <c r="AD771" s="47"/>
      <c r="AE771" s="47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7"/>
      <c r="Z772" s="46"/>
      <c r="AA772" s="46"/>
      <c r="AB772" s="46"/>
      <c r="AC772" s="47"/>
      <c r="AD772" s="47"/>
      <c r="AE772" s="47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7"/>
      <c r="Z773" s="46"/>
      <c r="AA773" s="46"/>
      <c r="AB773" s="46"/>
      <c r="AC773" s="47"/>
      <c r="AD773" s="47"/>
      <c r="AE773" s="47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7"/>
      <c r="Z774" s="46"/>
      <c r="AA774" s="46"/>
      <c r="AB774" s="46"/>
      <c r="AC774" s="47"/>
      <c r="AD774" s="47"/>
      <c r="AE774" s="47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7"/>
      <c r="Z775" s="46"/>
      <c r="AA775" s="46"/>
      <c r="AB775" s="46"/>
      <c r="AC775" s="47"/>
      <c r="AD775" s="47"/>
      <c r="AE775" s="47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7"/>
      <c r="Z776" s="46"/>
      <c r="AA776" s="46"/>
      <c r="AB776" s="46"/>
      <c r="AC776" s="47"/>
      <c r="AD776" s="47"/>
      <c r="AE776" s="47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7"/>
      <c r="Z777" s="46"/>
      <c r="AA777" s="46"/>
      <c r="AB777" s="46"/>
      <c r="AC777" s="47"/>
      <c r="AD777" s="47"/>
      <c r="AE777" s="47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7"/>
      <c r="Z778" s="46"/>
      <c r="AA778" s="46"/>
      <c r="AB778" s="46"/>
      <c r="AC778" s="47"/>
      <c r="AD778" s="47"/>
      <c r="AE778" s="47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7"/>
      <c r="Z779" s="46"/>
      <c r="AA779" s="46"/>
      <c r="AB779" s="46"/>
      <c r="AC779" s="47"/>
      <c r="AD779" s="47"/>
      <c r="AE779" s="47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7"/>
      <c r="Z780" s="46"/>
      <c r="AA780" s="46"/>
      <c r="AB780" s="46"/>
      <c r="AC780" s="47"/>
      <c r="AD780" s="47"/>
      <c r="AE780" s="47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7"/>
      <c r="Z781" s="46"/>
      <c r="AA781" s="46"/>
      <c r="AB781" s="46"/>
      <c r="AC781" s="47"/>
      <c r="AD781" s="47"/>
      <c r="AE781" s="47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7"/>
      <c r="Z782" s="46"/>
      <c r="AA782" s="46"/>
      <c r="AB782" s="46"/>
      <c r="AC782" s="47"/>
      <c r="AD782" s="47"/>
      <c r="AE782" s="47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7"/>
      <c r="Z783" s="46"/>
      <c r="AA783" s="46"/>
      <c r="AB783" s="46"/>
      <c r="AC783" s="47"/>
      <c r="AD783" s="47"/>
      <c r="AE783" s="47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7"/>
      <c r="Z784" s="46"/>
      <c r="AA784" s="46"/>
      <c r="AB784" s="46"/>
      <c r="AC784" s="47"/>
      <c r="AD784" s="47"/>
      <c r="AE784" s="47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7"/>
      <c r="Z785" s="46"/>
      <c r="AA785" s="46"/>
      <c r="AB785" s="46"/>
      <c r="AC785" s="47"/>
      <c r="AD785" s="47"/>
      <c r="AE785" s="47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7"/>
      <c r="Z786" s="46"/>
      <c r="AA786" s="46"/>
      <c r="AB786" s="46"/>
      <c r="AC786" s="47"/>
      <c r="AD786" s="47"/>
      <c r="AE786" s="47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7"/>
      <c r="Z787" s="46"/>
      <c r="AA787" s="46"/>
      <c r="AB787" s="46"/>
      <c r="AC787" s="47"/>
      <c r="AD787" s="47"/>
      <c r="AE787" s="47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7"/>
      <c r="Z788" s="46"/>
      <c r="AA788" s="46"/>
      <c r="AB788" s="46"/>
      <c r="AC788" s="47"/>
      <c r="AD788" s="47"/>
      <c r="AE788" s="47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7"/>
      <c r="Z789" s="46"/>
      <c r="AA789" s="46"/>
      <c r="AB789" s="46"/>
      <c r="AC789" s="47"/>
      <c r="AD789" s="47"/>
      <c r="AE789" s="47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7"/>
      <c r="Z790" s="46"/>
      <c r="AA790" s="46"/>
      <c r="AB790" s="46"/>
      <c r="AC790" s="47"/>
      <c r="AD790" s="47"/>
      <c r="AE790" s="47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7"/>
      <c r="Z791" s="46"/>
      <c r="AA791" s="46"/>
      <c r="AB791" s="46"/>
      <c r="AC791" s="47"/>
      <c r="AD791" s="47"/>
      <c r="AE791" s="47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7"/>
      <c r="Z792" s="46"/>
      <c r="AA792" s="46"/>
      <c r="AB792" s="46"/>
      <c r="AC792" s="47"/>
      <c r="AD792" s="47"/>
      <c r="AE792" s="47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7"/>
      <c r="Z793" s="46"/>
      <c r="AA793" s="46"/>
      <c r="AB793" s="46"/>
      <c r="AC793" s="47"/>
      <c r="AD793" s="47"/>
      <c r="AE793" s="47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7"/>
      <c r="Z794" s="46"/>
      <c r="AA794" s="46"/>
      <c r="AB794" s="46"/>
      <c r="AC794" s="47"/>
      <c r="AD794" s="47"/>
      <c r="AE794" s="47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7"/>
      <c r="Z795" s="46"/>
      <c r="AA795" s="46"/>
      <c r="AB795" s="46"/>
      <c r="AC795" s="47"/>
      <c r="AD795" s="47"/>
      <c r="AE795" s="47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7"/>
      <c r="Z796" s="46"/>
      <c r="AA796" s="46"/>
      <c r="AB796" s="46"/>
      <c r="AC796" s="47"/>
      <c r="AD796" s="47"/>
      <c r="AE796" s="47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7"/>
      <c r="Z797" s="46"/>
      <c r="AA797" s="46"/>
      <c r="AB797" s="46"/>
      <c r="AC797" s="47"/>
      <c r="AD797" s="47"/>
      <c r="AE797" s="47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7"/>
      <c r="Z798" s="46"/>
      <c r="AA798" s="46"/>
      <c r="AB798" s="46"/>
      <c r="AC798" s="47"/>
      <c r="AD798" s="47"/>
      <c r="AE798" s="47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7"/>
      <c r="Z799" s="46"/>
      <c r="AA799" s="46"/>
      <c r="AB799" s="46"/>
      <c r="AC799" s="47"/>
      <c r="AD799" s="47"/>
      <c r="AE799" s="47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7"/>
      <c r="Z800" s="46"/>
      <c r="AA800" s="46"/>
      <c r="AB800" s="46"/>
      <c r="AC800" s="47"/>
      <c r="AD800" s="47"/>
      <c r="AE800" s="47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7"/>
      <c r="Z801" s="46"/>
      <c r="AA801" s="46"/>
      <c r="AB801" s="46"/>
      <c r="AC801" s="47"/>
      <c r="AD801" s="47"/>
      <c r="AE801" s="47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7"/>
      <c r="Z802" s="46"/>
      <c r="AA802" s="46"/>
      <c r="AB802" s="46"/>
      <c r="AC802" s="47"/>
      <c r="AD802" s="47"/>
      <c r="AE802" s="47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7"/>
      <c r="Z803" s="46"/>
      <c r="AA803" s="46"/>
      <c r="AB803" s="46"/>
      <c r="AC803" s="47"/>
      <c r="AD803" s="47"/>
      <c r="AE803" s="47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7"/>
      <c r="Z804" s="46"/>
      <c r="AA804" s="46"/>
      <c r="AB804" s="46"/>
      <c r="AC804" s="47"/>
      <c r="AD804" s="47"/>
      <c r="AE804" s="47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7"/>
      <c r="Z805" s="46"/>
      <c r="AA805" s="46"/>
      <c r="AB805" s="46"/>
      <c r="AC805" s="47"/>
      <c r="AD805" s="47"/>
      <c r="AE805" s="47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7"/>
      <c r="Z806" s="46"/>
      <c r="AA806" s="46"/>
      <c r="AB806" s="46"/>
      <c r="AC806" s="47"/>
      <c r="AD806" s="47"/>
      <c r="AE806" s="47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7"/>
      <c r="Z807" s="46"/>
      <c r="AA807" s="46"/>
      <c r="AB807" s="46"/>
      <c r="AC807" s="47"/>
      <c r="AD807" s="47"/>
      <c r="AE807" s="47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7"/>
      <c r="Z808" s="46"/>
      <c r="AA808" s="46"/>
      <c r="AB808" s="46"/>
      <c r="AC808" s="47"/>
      <c r="AD808" s="47"/>
      <c r="AE808" s="47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7"/>
      <c r="Z809" s="46"/>
      <c r="AA809" s="46"/>
      <c r="AB809" s="46"/>
      <c r="AC809" s="47"/>
      <c r="AD809" s="47"/>
      <c r="AE809" s="47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7"/>
      <c r="Z810" s="46"/>
      <c r="AA810" s="46"/>
      <c r="AB810" s="46"/>
      <c r="AC810" s="47"/>
      <c r="AD810" s="47"/>
      <c r="AE810" s="47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7"/>
      <c r="Z811" s="46"/>
      <c r="AA811" s="46"/>
      <c r="AB811" s="46"/>
      <c r="AC811" s="47"/>
      <c r="AD811" s="47"/>
      <c r="AE811" s="47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7"/>
      <c r="Z812" s="46"/>
      <c r="AA812" s="46"/>
      <c r="AB812" s="46"/>
      <c r="AC812" s="47"/>
      <c r="AD812" s="47"/>
      <c r="AE812" s="47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7"/>
      <c r="Z813" s="46"/>
      <c r="AA813" s="46"/>
      <c r="AB813" s="46"/>
      <c r="AC813" s="47"/>
      <c r="AD813" s="47"/>
      <c r="AE813" s="47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7"/>
      <c r="Z814" s="46"/>
      <c r="AA814" s="46"/>
      <c r="AB814" s="46"/>
      <c r="AC814" s="47"/>
      <c r="AD814" s="47"/>
      <c r="AE814" s="47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7"/>
      <c r="Z815" s="46"/>
      <c r="AA815" s="46"/>
      <c r="AB815" s="46"/>
      <c r="AC815" s="47"/>
      <c r="AD815" s="47"/>
      <c r="AE815" s="47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7"/>
      <c r="Z816" s="46"/>
      <c r="AA816" s="46"/>
      <c r="AB816" s="46"/>
      <c r="AC816" s="47"/>
      <c r="AD816" s="47"/>
      <c r="AE816" s="47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7"/>
      <c r="Z817" s="46"/>
      <c r="AA817" s="46"/>
      <c r="AB817" s="46"/>
      <c r="AC817" s="47"/>
      <c r="AD817" s="47"/>
      <c r="AE817" s="47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7"/>
      <c r="Z818" s="46"/>
      <c r="AA818" s="46"/>
      <c r="AB818" s="46"/>
      <c r="AC818" s="47"/>
      <c r="AD818" s="47"/>
      <c r="AE818" s="47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7"/>
      <c r="Z819" s="46"/>
      <c r="AA819" s="46"/>
      <c r="AB819" s="46"/>
      <c r="AC819" s="47"/>
      <c r="AD819" s="47"/>
      <c r="AE819" s="47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7"/>
      <c r="Z820" s="46"/>
      <c r="AA820" s="46"/>
      <c r="AB820" s="46"/>
      <c r="AC820" s="47"/>
      <c r="AD820" s="47"/>
      <c r="AE820" s="47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7"/>
      <c r="Z821" s="46"/>
      <c r="AA821" s="46"/>
      <c r="AB821" s="46"/>
      <c r="AC821" s="47"/>
      <c r="AD821" s="47"/>
      <c r="AE821" s="47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7"/>
      <c r="Z822" s="46"/>
      <c r="AA822" s="46"/>
      <c r="AB822" s="46"/>
      <c r="AC822" s="47"/>
      <c r="AD822" s="47"/>
      <c r="AE822" s="47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7"/>
      <c r="Z823" s="46"/>
      <c r="AA823" s="46"/>
      <c r="AB823" s="46"/>
      <c r="AC823" s="47"/>
      <c r="AD823" s="47"/>
      <c r="AE823" s="47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7"/>
      <c r="Z824" s="46"/>
      <c r="AA824" s="46"/>
      <c r="AB824" s="46"/>
      <c r="AC824" s="47"/>
      <c r="AD824" s="47"/>
      <c r="AE824" s="47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7"/>
      <c r="Z825" s="46"/>
      <c r="AA825" s="46"/>
      <c r="AB825" s="46"/>
      <c r="AC825" s="47"/>
      <c r="AD825" s="47"/>
      <c r="AE825" s="47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7"/>
      <c r="Z826" s="46"/>
      <c r="AA826" s="46"/>
      <c r="AB826" s="46"/>
      <c r="AC826" s="47"/>
      <c r="AD826" s="47"/>
      <c r="AE826" s="47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7"/>
      <c r="Z827" s="46"/>
      <c r="AA827" s="46"/>
      <c r="AB827" s="46"/>
      <c r="AC827" s="47"/>
      <c r="AD827" s="47"/>
      <c r="AE827" s="47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7"/>
      <c r="Z828" s="46"/>
      <c r="AA828" s="46"/>
      <c r="AB828" s="46"/>
      <c r="AC828" s="47"/>
      <c r="AD828" s="47"/>
      <c r="AE828" s="47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7"/>
      <c r="Z829" s="46"/>
      <c r="AA829" s="46"/>
      <c r="AB829" s="46"/>
      <c r="AC829" s="47"/>
      <c r="AD829" s="47"/>
      <c r="AE829" s="47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7"/>
      <c r="Z830" s="46"/>
      <c r="AA830" s="46"/>
      <c r="AB830" s="46"/>
      <c r="AC830" s="47"/>
      <c r="AD830" s="47"/>
      <c r="AE830" s="47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7"/>
      <c r="Z831" s="46"/>
      <c r="AA831" s="46"/>
      <c r="AB831" s="46"/>
      <c r="AC831" s="47"/>
      <c r="AD831" s="47"/>
      <c r="AE831" s="47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7"/>
      <c r="Z832" s="46"/>
      <c r="AA832" s="46"/>
      <c r="AB832" s="46"/>
      <c r="AC832" s="47"/>
      <c r="AD832" s="47"/>
      <c r="AE832" s="47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7"/>
      <c r="Z833" s="46"/>
      <c r="AA833" s="46"/>
      <c r="AB833" s="46"/>
      <c r="AC833" s="47"/>
      <c r="AD833" s="47"/>
      <c r="AE833" s="47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7"/>
      <c r="Z834" s="46"/>
      <c r="AA834" s="46"/>
      <c r="AB834" s="46"/>
      <c r="AC834" s="47"/>
      <c r="AD834" s="47"/>
      <c r="AE834" s="47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7"/>
      <c r="Z835" s="46"/>
      <c r="AA835" s="46"/>
      <c r="AB835" s="46"/>
      <c r="AC835" s="47"/>
      <c r="AD835" s="47"/>
      <c r="AE835" s="47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7"/>
      <c r="Z836" s="46"/>
      <c r="AA836" s="46"/>
      <c r="AB836" s="46"/>
      <c r="AC836" s="47"/>
      <c r="AD836" s="47"/>
      <c r="AE836" s="47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7"/>
      <c r="Z837" s="46"/>
      <c r="AA837" s="46"/>
      <c r="AB837" s="46"/>
      <c r="AC837" s="47"/>
      <c r="AD837" s="47"/>
      <c r="AE837" s="47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7"/>
      <c r="Z838" s="46"/>
      <c r="AA838" s="46"/>
      <c r="AB838" s="46"/>
      <c r="AC838" s="47"/>
      <c r="AD838" s="47"/>
      <c r="AE838" s="47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7"/>
      <c r="Z839" s="46"/>
      <c r="AA839" s="46"/>
      <c r="AB839" s="46"/>
      <c r="AC839" s="47"/>
      <c r="AD839" s="47"/>
      <c r="AE839" s="47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7"/>
      <c r="Z840" s="46"/>
      <c r="AA840" s="46"/>
      <c r="AB840" s="46"/>
      <c r="AC840" s="47"/>
      <c r="AD840" s="47"/>
      <c r="AE840" s="47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7"/>
      <c r="Z841" s="46"/>
      <c r="AA841" s="46"/>
      <c r="AB841" s="46"/>
      <c r="AC841" s="47"/>
      <c r="AD841" s="47"/>
      <c r="AE841" s="47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7"/>
      <c r="Z842" s="46"/>
      <c r="AA842" s="46"/>
      <c r="AB842" s="46"/>
      <c r="AC842" s="47"/>
      <c r="AD842" s="47"/>
      <c r="AE842" s="47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7"/>
      <c r="Z843" s="46"/>
      <c r="AA843" s="46"/>
      <c r="AB843" s="46"/>
      <c r="AC843" s="47"/>
      <c r="AD843" s="47"/>
      <c r="AE843" s="47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7"/>
      <c r="Z844" s="46"/>
      <c r="AA844" s="46"/>
      <c r="AB844" s="46"/>
      <c r="AC844" s="47"/>
      <c r="AD844" s="47"/>
      <c r="AE844" s="47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7"/>
      <c r="Z845" s="46"/>
      <c r="AA845" s="46"/>
      <c r="AB845" s="46"/>
      <c r="AC845" s="47"/>
      <c r="AD845" s="47"/>
      <c r="AE845" s="47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7"/>
      <c r="Z846" s="46"/>
      <c r="AA846" s="46"/>
      <c r="AB846" s="46"/>
      <c r="AC846" s="47"/>
      <c r="AD846" s="47"/>
      <c r="AE846" s="47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7"/>
      <c r="Z847" s="46"/>
      <c r="AA847" s="46"/>
      <c r="AB847" s="46"/>
      <c r="AC847" s="47"/>
      <c r="AD847" s="47"/>
      <c r="AE847" s="47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7"/>
      <c r="Z848" s="46"/>
      <c r="AA848" s="46"/>
      <c r="AB848" s="46"/>
      <c r="AC848" s="47"/>
      <c r="AD848" s="47"/>
      <c r="AE848" s="47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7"/>
      <c r="Z849" s="46"/>
      <c r="AA849" s="46"/>
      <c r="AB849" s="46"/>
      <c r="AC849" s="47"/>
      <c r="AD849" s="47"/>
      <c r="AE849" s="47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7"/>
      <c r="Z850" s="46"/>
      <c r="AA850" s="46"/>
      <c r="AB850" s="46"/>
      <c r="AC850" s="47"/>
      <c r="AD850" s="47"/>
      <c r="AE850" s="47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7"/>
      <c r="Z851" s="46"/>
      <c r="AA851" s="46"/>
      <c r="AB851" s="46"/>
      <c r="AC851" s="47"/>
      <c r="AD851" s="47"/>
      <c r="AE851" s="47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7"/>
      <c r="Z852" s="46"/>
      <c r="AA852" s="46"/>
      <c r="AB852" s="46"/>
      <c r="AC852" s="47"/>
      <c r="AD852" s="47"/>
      <c r="AE852" s="47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7"/>
      <c r="Z853" s="46"/>
      <c r="AA853" s="46"/>
      <c r="AB853" s="46"/>
      <c r="AC853" s="47"/>
      <c r="AD853" s="47"/>
      <c r="AE853" s="47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7"/>
      <c r="Z854" s="46"/>
      <c r="AA854" s="46"/>
      <c r="AB854" s="46"/>
      <c r="AC854" s="47"/>
      <c r="AD854" s="47"/>
      <c r="AE854" s="47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7"/>
      <c r="Z855" s="46"/>
      <c r="AA855" s="46"/>
      <c r="AB855" s="46"/>
      <c r="AC855" s="47"/>
      <c r="AD855" s="47"/>
      <c r="AE855" s="47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7"/>
      <c r="Z856" s="46"/>
      <c r="AA856" s="46"/>
      <c r="AB856" s="46"/>
      <c r="AC856" s="47"/>
      <c r="AD856" s="47"/>
      <c r="AE856" s="47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7"/>
      <c r="Z857" s="46"/>
      <c r="AA857" s="46"/>
      <c r="AB857" s="46"/>
      <c r="AC857" s="47"/>
      <c r="AD857" s="47"/>
      <c r="AE857" s="47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7"/>
      <c r="Z858" s="46"/>
      <c r="AA858" s="46"/>
      <c r="AB858" s="46"/>
      <c r="AC858" s="47"/>
      <c r="AD858" s="47"/>
      <c r="AE858" s="47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7"/>
      <c r="Z859" s="46"/>
      <c r="AA859" s="46"/>
      <c r="AB859" s="46"/>
      <c r="AC859" s="47"/>
      <c r="AD859" s="47"/>
      <c r="AE859" s="47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7"/>
      <c r="Z860" s="46"/>
      <c r="AA860" s="46"/>
      <c r="AB860" s="46"/>
      <c r="AC860" s="47"/>
      <c r="AD860" s="47"/>
      <c r="AE860" s="47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7"/>
      <c r="Z861" s="46"/>
      <c r="AA861" s="46"/>
      <c r="AB861" s="46"/>
      <c r="AC861" s="47"/>
      <c r="AD861" s="47"/>
      <c r="AE861" s="47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7"/>
      <c r="Z862" s="46"/>
      <c r="AA862" s="46"/>
      <c r="AB862" s="46"/>
      <c r="AC862" s="47"/>
      <c r="AD862" s="47"/>
      <c r="AE862" s="47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7"/>
      <c r="Z863" s="46"/>
      <c r="AA863" s="46"/>
      <c r="AB863" s="46"/>
      <c r="AC863" s="47"/>
      <c r="AD863" s="47"/>
      <c r="AE863" s="47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7"/>
      <c r="Z864" s="46"/>
      <c r="AA864" s="46"/>
      <c r="AB864" s="46"/>
      <c r="AC864" s="47"/>
      <c r="AD864" s="47"/>
      <c r="AE864" s="47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7"/>
      <c r="Z865" s="46"/>
      <c r="AA865" s="46"/>
      <c r="AB865" s="46"/>
      <c r="AC865" s="47"/>
      <c r="AD865" s="47"/>
      <c r="AE865" s="47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7"/>
      <c r="Z866" s="46"/>
      <c r="AA866" s="46"/>
      <c r="AB866" s="46"/>
      <c r="AC866" s="47"/>
      <c r="AD866" s="47"/>
      <c r="AE866" s="47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7"/>
      <c r="Z867" s="46"/>
      <c r="AA867" s="46"/>
      <c r="AB867" s="46"/>
      <c r="AC867" s="47"/>
      <c r="AD867" s="47"/>
      <c r="AE867" s="47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7"/>
      <c r="Z868" s="46"/>
      <c r="AA868" s="46"/>
      <c r="AB868" s="46"/>
      <c r="AC868" s="47"/>
      <c r="AD868" s="47"/>
      <c r="AE868" s="47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7"/>
      <c r="Z869" s="46"/>
      <c r="AA869" s="46"/>
      <c r="AB869" s="46"/>
      <c r="AC869" s="47"/>
      <c r="AD869" s="47"/>
      <c r="AE869" s="47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7"/>
      <c r="Z870" s="46"/>
      <c r="AA870" s="46"/>
      <c r="AB870" s="46"/>
      <c r="AC870" s="47"/>
      <c r="AD870" s="47"/>
      <c r="AE870" s="47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7"/>
      <c r="Z871" s="46"/>
      <c r="AA871" s="46"/>
      <c r="AB871" s="46"/>
      <c r="AC871" s="47"/>
      <c r="AD871" s="47"/>
      <c r="AE871" s="47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7"/>
      <c r="Z872" s="46"/>
      <c r="AA872" s="46"/>
      <c r="AB872" s="46"/>
      <c r="AC872" s="47"/>
      <c r="AD872" s="47"/>
      <c r="AE872" s="47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7"/>
      <c r="Z873" s="46"/>
      <c r="AA873" s="46"/>
      <c r="AB873" s="46"/>
      <c r="AC873" s="47"/>
      <c r="AD873" s="47"/>
      <c r="AE873" s="47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7"/>
      <c r="Z874" s="46"/>
      <c r="AA874" s="46"/>
      <c r="AB874" s="46"/>
      <c r="AC874" s="47"/>
      <c r="AD874" s="47"/>
      <c r="AE874" s="47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7"/>
      <c r="Z875" s="46"/>
      <c r="AA875" s="46"/>
      <c r="AB875" s="46"/>
      <c r="AC875" s="47"/>
      <c r="AD875" s="47"/>
      <c r="AE875" s="47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7"/>
      <c r="Z876" s="46"/>
      <c r="AA876" s="46"/>
      <c r="AB876" s="46"/>
      <c r="AC876" s="47"/>
      <c r="AD876" s="47"/>
      <c r="AE876" s="47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7"/>
      <c r="Z877" s="46"/>
      <c r="AA877" s="46"/>
      <c r="AB877" s="46"/>
      <c r="AC877" s="47"/>
      <c r="AD877" s="47"/>
      <c r="AE877" s="47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7"/>
      <c r="Z878" s="46"/>
      <c r="AA878" s="46"/>
      <c r="AB878" s="46"/>
      <c r="AC878" s="47"/>
      <c r="AD878" s="47"/>
      <c r="AE878" s="47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7"/>
      <c r="Z879" s="46"/>
      <c r="AA879" s="46"/>
      <c r="AB879" s="46"/>
      <c r="AC879" s="47"/>
      <c r="AD879" s="47"/>
      <c r="AE879" s="47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7"/>
      <c r="Z880" s="46"/>
      <c r="AA880" s="46"/>
      <c r="AB880" s="46"/>
      <c r="AC880" s="47"/>
      <c r="AD880" s="47"/>
      <c r="AE880" s="47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7"/>
      <c r="Z881" s="46"/>
      <c r="AA881" s="46"/>
      <c r="AB881" s="46"/>
      <c r="AC881" s="47"/>
      <c r="AD881" s="47"/>
      <c r="AE881" s="47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7"/>
      <c r="Z882" s="46"/>
      <c r="AA882" s="46"/>
      <c r="AB882" s="46"/>
      <c r="AC882" s="47"/>
      <c r="AD882" s="47"/>
      <c r="AE882" s="47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7"/>
      <c r="Z883" s="46"/>
      <c r="AA883" s="46"/>
      <c r="AB883" s="46"/>
      <c r="AC883" s="47"/>
      <c r="AD883" s="47"/>
      <c r="AE883" s="47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7"/>
      <c r="Z884" s="46"/>
      <c r="AA884" s="46"/>
      <c r="AB884" s="46"/>
      <c r="AC884" s="47"/>
      <c r="AD884" s="47"/>
      <c r="AE884" s="47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7"/>
      <c r="Z885" s="46"/>
      <c r="AA885" s="46"/>
      <c r="AB885" s="46"/>
      <c r="AC885" s="47"/>
      <c r="AD885" s="47"/>
      <c r="AE885" s="47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7"/>
      <c r="Z886" s="46"/>
      <c r="AA886" s="46"/>
      <c r="AB886" s="46"/>
      <c r="AC886" s="47"/>
      <c r="AD886" s="47"/>
      <c r="AE886" s="47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7"/>
      <c r="Z887" s="46"/>
      <c r="AA887" s="46"/>
      <c r="AB887" s="46"/>
      <c r="AC887" s="47"/>
      <c r="AD887" s="47"/>
      <c r="AE887" s="47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7"/>
      <c r="Z888" s="46"/>
      <c r="AA888" s="46"/>
      <c r="AB888" s="46"/>
      <c r="AC888" s="47"/>
      <c r="AD888" s="47"/>
      <c r="AE888" s="47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7"/>
      <c r="Z889" s="46"/>
      <c r="AA889" s="46"/>
      <c r="AB889" s="46"/>
      <c r="AC889" s="47"/>
      <c r="AD889" s="47"/>
      <c r="AE889" s="47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7"/>
      <c r="Z890" s="46"/>
      <c r="AA890" s="46"/>
      <c r="AB890" s="46"/>
      <c r="AC890" s="47"/>
      <c r="AD890" s="47"/>
      <c r="AE890" s="47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7"/>
      <c r="Z891" s="46"/>
      <c r="AA891" s="46"/>
      <c r="AB891" s="46"/>
      <c r="AC891" s="47"/>
      <c r="AD891" s="47"/>
      <c r="AE891" s="47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7"/>
      <c r="Z892" s="46"/>
      <c r="AA892" s="46"/>
      <c r="AB892" s="46"/>
      <c r="AC892" s="47"/>
      <c r="AD892" s="47"/>
      <c r="AE892" s="47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7"/>
      <c r="Z893" s="46"/>
      <c r="AA893" s="46"/>
      <c r="AB893" s="46"/>
      <c r="AC893" s="47"/>
      <c r="AD893" s="47"/>
      <c r="AE893" s="47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7"/>
      <c r="Z894" s="46"/>
      <c r="AA894" s="46"/>
      <c r="AB894" s="46"/>
      <c r="AC894" s="47"/>
      <c r="AD894" s="47"/>
      <c r="AE894" s="47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7"/>
      <c r="Z895" s="46"/>
      <c r="AA895" s="46"/>
      <c r="AB895" s="46"/>
      <c r="AC895" s="47"/>
      <c r="AD895" s="47"/>
      <c r="AE895" s="47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7"/>
      <c r="Z896" s="46"/>
      <c r="AA896" s="46"/>
      <c r="AB896" s="46"/>
      <c r="AC896" s="47"/>
      <c r="AD896" s="47"/>
      <c r="AE896" s="47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7"/>
      <c r="Z897" s="46"/>
      <c r="AA897" s="46"/>
      <c r="AB897" s="46"/>
      <c r="AC897" s="47"/>
      <c r="AD897" s="47"/>
      <c r="AE897" s="47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7"/>
      <c r="Z898" s="46"/>
      <c r="AA898" s="46"/>
      <c r="AB898" s="46"/>
      <c r="AC898" s="47"/>
      <c r="AD898" s="47"/>
      <c r="AE898" s="47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7"/>
      <c r="Z899" s="46"/>
      <c r="AA899" s="46"/>
      <c r="AB899" s="46"/>
      <c r="AC899" s="47"/>
      <c r="AD899" s="47"/>
      <c r="AE899" s="47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7"/>
      <c r="Z900" s="46"/>
      <c r="AA900" s="46"/>
      <c r="AB900" s="46"/>
      <c r="AC900" s="47"/>
      <c r="AD900" s="47"/>
      <c r="AE900" s="47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7"/>
      <c r="Z901" s="46"/>
      <c r="AA901" s="46"/>
      <c r="AB901" s="46"/>
      <c r="AC901" s="47"/>
      <c r="AD901" s="47"/>
      <c r="AE901" s="47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7"/>
      <c r="Z902" s="46"/>
      <c r="AA902" s="46"/>
      <c r="AB902" s="46"/>
      <c r="AC902" s="47"/>
      <c r="AD902" s="47"/>
      <c r="AE902" s="47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7"/>
      <c r="Z903" s="46"/>
      <c r="AA903" s="46"/>
      <c r="AB903" s="46"/>
      <c r="AC903" s="47"/>
      <c r="AD903" s="47"/>
      <c r="AE903" s="47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7"/>
      <c r="Z904" s="46"/>
      <c r="AA904" s="46"/>
      <c r="AB904" s="46"/>
      <c r="AC904" s="47"/>
      <c r="AD904" s="47"/>
      <c r="AE904" s="47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7"/>
      <c r="Z905" s="46"/>
      <c r="AA905" s="46"/>
      <c r="AB905" s="46"/>
      <c r="AC905" s="47"/>
      <c r="AD905" s="47"/>
      <c r="AE905" s="47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7"/>
      <c r="Z906" s="46"/>
      <c r="AA906" s="46"/>
      <c r="AB906" s="46"/>
      <c r="AC906" s="47"/>
      <c r="AD906" s="47"/>
      <c r="AE906" s="47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7"/>
      <c r="Z907" s="46"/>
      <c r="AA907" s="46"/>
      <c r="AB907" s="46"/>
      <c r="AC907" s="47"/>
      <c r="AD907" s="47"/>
      <c r="AE907" s="47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7"/>
      <c r="Z908" s="46"/>
      <c r="AA908" s="46"/>
      <c r="AB908" s="46"/>
      <c r="AC908" s="47"/>
      <c r="AD908" s="47"/>
      <c r="AE908" s="47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7"/>
      <c r="Z909" s="46"/>
      <c r="AA909" s="46"/>
      <c r="AB909" s="46"/>
      <c r="AC909" s="47"/>
      <c r="AD909" s="47"/>
      <c r="AE909" s="47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7"/>
      <c r="Z910" s="46"/>
      <c r="AA910" s="46"/>
      <c r="AB910" s="46"/>
      <c r="AC910" s="47"/>
      <c r="AD910" s="47"/>
      <c r="AE910" s="47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7"/>
      <c r="Z911" s="46"/>
      <c r="AA911" s="46"/>
      <c r="AB911" s="46"/>
      <c r="AC911" s="47"/>
      <c r="AD911" s="47"/>
      <c r="AE911" s="47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7"/>
      <c r="Z912" s="46"/>
      <c r="AA912" s="46"/>
      <c r="AB912" s="46"/>
      <c r="AC912" s="47"/>
      <c r="AD912" s="47"/>
      <c r="AE912" s="47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7"/>
      <c r="Z913" s="46"/>
      <c r="AA913" s="46"/>
      <c r="AB913" s="46"/>
      <c r="AC913" s="47"/>
      <c r="AD913" s="47"/>
      <c r="AE913" s="47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7"/>
      <c r="Z914" s="46"/>
      <c r="AA914" s="46"/>
      <c r="AB914" s="46"/>
      <c r="AC914" s="47"/>
      <c r="AD914" s="47"/>
      <c r="AE914" s="47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7"/>
      <c r="Z915" s="46"/>
      <c r="AA915" s="46"/>
      <c r="AB915" s="46"/>
      <c r="AC915" s="47"/>
      <c r="AD915" s="47"/>
      <c r="AE915" s="47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7"/>
      <c r="Z916" s="46"/>
      <c r="AA916" s="46"/>
      <c r="AB916" s="46"/>
      <c r="AC916" s="47"/>
      <c r="AD916" s="47"/>
      <c r="AE916" s="47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7"/>
      <c r="Z917" s="46"/>
      <c r="AA917" s="46"/>
      <c r="AB917" s="46"/>
      <c r="AC917" s="47"/>
      <c r="AD917" s="47"/>
      <c r="AE917" s="47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7"/>
      <c r="Z918" s="46"/>
      <c r="AA918" s="46"/>
      <c r="AB918" s="46"/>
      <c r="AC918" s="47"/>
      <c r="AD918" s="47"/>
      <c r="AE918" s="47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7"/>
      <c r="Z919" s="46"/>
      <c r="AA919" s="46"/>
      <c r="AB919" s="46"/>
      <c r="AC919" s="47"/>
      <c r="AD919" s="47"/>
      <c r="AE919" s="47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7"/>
      <c r="Z920" s="46"/>
      <c r="AA920" s="46"/>
      <c r="AB920" s="46"/>
      <c r="AC920" s="47"/>
      <c r="AD920" s="47"/>
      <c r="AE920" s="47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7"/>
      <c r="Z921" s="46"/>
      <c r="AA921" s="46"/>
      <c r="AB921" s="46"/>
      <c r="AC921" s="47"/>
      <c r="AD921" s="47"/>
      <c r="AE921" s="47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7"/>
      <c r="Z922" s="46"/>
      <c r="AA922" s="46"/>
      <c r="AB922" s="46"/>
      <c r="AC922" s="47"/>
      <c r="AD922" s="47"/>
      <c r="AE922" s="47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7"/>
      <c r="Z923" s="46"/>
      <c r="AA923" s="46"/>
      <c r="AB923" s="46"/>
      <c r="AC923" s="47"/>
      <c r="AD923" s="47"/>
      <c r="AE923" s="47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7"/>
      <c r="Z924" s="46"/>
      <c r="AA924" s="46"/>
      <c r="AB924" s="46"/>
      <c r="AC924" s="47"/>
      <c r="AD924" s="47"/>
      <c r="AE924" s="47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7"/>
      <c r="Z925" s="46"/>
      <c r="AA925" s="46"/>
      <c r="AB925" s="46"/>
      <c r="AC925" s="47"/>
      <c r="AD925" s="47"/>
      <c r="AE925" s="47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7"/>
      <c r="Z926" s="46"/>
      <c r="AA926" s="46"/>
      <c r="AB926" s="46"/>
      <c r="AC926" s="47"/>
      <c r="AD926" s="47"/>
      <c r="AE926" s="47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7"/>
      <c r="Z927" s="46"/>
      <c r="AA927" s="46"/>
      <c r="AB927" s="46"/>
      <c r="AC927" s="47"/>
      <c r="AD927" s="47"/>
      <c r="AE927" s="47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7"/>
      <c r="Z928" s="46"/>
      <c r="AA928" s="46"/>
      <c r="AB928" s="46"/>
      <c r="AC928" s="47"/>
      <c r="AD928" s="47"/>
      <c r="AE928" s="47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7"/>
      <c r="Z929" s="46"/>
      <c r="AA929" s="46"/>
      <c r="AB929" s="46"/>
      <c r="AC929" s="47"/>
      <c r="AD929" s="47"/>
      <c r="AE929" s="47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7"/>
      <c r="Z930" s="46"/>
      <c r="AA930" s="46"/>
      <c r="AB930" s="46"/>
      <c r="AC930" s="47"/>
      <c r="AD930" s="47"/>
      <c r="AE930" s="47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7"/>
      <c r="Z931" s="46"/>
      <c r="AA931" s="46"/>
      <c r="AB931" s="46"/>
      <c r="AC931" s="47"/>
      <c r="AD931" s="47"/>
      <c r="AE931" s="47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7"/>
      <c r="Z932" s="46"/>
      <c r="AA932" s="46"/>
      <c r="AB932" s="46"/>
      <c r="AC932" s="47"/>
      <c r="AD932" s="47"/>
      <c r="AE932" s="47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7"/>
      <c r="Z933" s="46"/>
      <c r="AA933" s="46"/>
      <c r="AB933" s="46"/>
      <c r="AC933" s="47"/>
      <c r="AD933" s="47"/>
      <c r="AE933" s="47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7"/>
      <c r="Z934" s="46"/>
      <c r="AA934" s="46"/>
      <c r="AB934" s="46"/>
      <c r="AC934" s="47"/>
      <c r="AD934" s="47"/>
      <c r="AE934" s="47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7"/>
      <c r="Z935" s="46"/>
      <c r="AA935" s="46"/>
      <c r="AB935" s="46"/>
      <c r="AC935" s="47"/>
      <c r="AD935" s="47"/>
      <c r="AE935" s="47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7"/>
      <c r="Z936" s="46"/>
      <c r="AA936" s="46"/>
      <c r="AB936" s="46"/>
      <c r="AC936" s="47"/>
      <c r="AD936" s="47"/>
      <c r="AE936" s="47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7"/>
      <c r="Z937" s="46"/>
      <c r="AA937" s="46"/>
      <c r="AB937" s="46"/>
      <c r="AC937" s="47"/>
      <c r="AD937" s="47"/>
      <c r="AE937" s="47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7"/>
      <c r="Z938" s="46"/>
      <c r="AA938" s="46"/>
      <c r="AB938" s="46"/>
      <c r="AC938" s="47"/>
      <c r="AD938" s="47"/>
      <c r="AE938" s="47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7"/>
      <c r="Z939" s="46"/>
      <c r="AA939" s="46"/>
      <c r="AB939" s="46"/>
      <c r="AC939" s="47"/>
      <c r="AD939" s="47"/>
      <c r="AE939" s="47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7"/>
      <c r="Z940" s="46"/>
      <c r="AA940" s="46"/>
      <c r="AB940" s="46"/>
      <c r="AC940" s="47"/>
      <c r="AD940" s="47"/>
      <c r="AE940" s="47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7"/>
      <c r="Z941" s="46"/>
      <c r="AA941" s="46"/>
      <c r="AB941" s="46"/>
      <c r="AC941" s="47"/>
      <c r="AD941" s="47"/>
      <c r="AE941" s="47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7"/>
      <c r="Z942" s="46"/>
      <c r="AA942" s="46"/>
      <c r="AB942" s="46"/>
      <c r="AC942" s="47"/>
      <c r="AD942" s="47"/>
      <c r="AE942" s="47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7"/>
      <c r="Z943" s="46"/>
      <c r="AA943" s="46"/>
      <c r="AB943" s="46"/>
      <c r="AC943" s="47"/>
      <c r="AD943" s="47"/>
      <c r="AE943" s="47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7"/>
      <c r="Z944" s="46"/>
      <c r="AA944" s="46"/>
      <c r="AB944" s="46"/>
      <c r="AC944" s="47"/>
      <c r="AD944" s="47"/>
      <c r="AE944" s="47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7"/>
      <c r="Z945" s="46"/>
      <c r="AA945" s="46"/>
      <c r="AB945" s="46"/>
      <c r="AC945" s="47"/>
      <c r="AD945" s="47"/>
      <c r="AE945" s="47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7"/>
      <c r="Z946" s="46"/>
      <c r="AA946" s="46"/>
      <c r="AB946" s="46"/>
      <c r="AC946" s="47"/>
      <c r="AD946" s="47"/>
      <c r="AE946" s="47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7"/>
      <c r="Z947" s="46"/>
      <c r="AA947" s="46"/>
      <c r="AB947" s="46"/>
      <c r="AC947" s="47"/>
      <c r="AD947" s="47"/>
      <c r="AE947" s="47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7"/>
      <c r="Z948" s="46"/>
      <c r="AA948" s="46"/>
      <c r="AB948" s="46"/>
      <c r="AC948" s="47"/>
      <c r="AD948" s="47"/>
      <c r="AE948" s="47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7"/>
      <c r="Z949" s="46"/>
      <c r="AA949" s="46"/>
      <c r="AB949" s="46"/>
      <c r="AC949" s="47"/>
      <c r="AD949" s="47"/>
      <c r="AE949" s="47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7"/>
      <c r="Z950" s="46"/>
      <c r="AA950" s="46"/>
      <c r="AB950" s="46"/>
      <c r="AC950" s="47"/>
      <c r="AD950" s="47"/>
      <c r="AE950" s="47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7"/>
      <c r="Z951" s="46"/>
      <c r="AA951" s="46"/>
      <c r="AB951" s="46"/>
      <c r="AC951" s="47"/>
      <c r="AD951" s="47"/>
      <c r="AE951" s="47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7"/>
      <c r="Z952" s="46"/>
      <c r="AA952" s="46"/>
      <c r="AB952" s="46"/>
      <c r="AC952" s="47"/>
      <c r="AD952" s="47"/>
      <c r="AE952" s="47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7"/>
      <c r="Z953" s="46"/>
      <c r="AA953" s="46"/>
      <c r="AB953" s="46"/>
      <c r="AC953" s="47"/>
      <c r="AD953" s="47"/>
      <c r="AE953" s="47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7"/>
      <c r="Z954" s="46"/>
      <c r="AA954" s="46"/>
      <c r="AB954" s="46"/>
      <c r="AC954" s="47"/>
      <c r="AD954" s="47"/>
      <c r="AE954" s="47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7"/>
      <c r="Z955" s="46"/>
      <c r="AA955" s="46"/>
      <c r="AB955" s="46"/>
      <c r="AC955" s="47"/>
      <c r="AD955" s="47"/>
      <c r="AE955" s="47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7"/>
      <c r="Z956" s="46"/>
      <c r="AA956" s="46"/>
      <c r="AB956" s="46"/>
      <c r="AC956" s="47"/>
      <c r="AD956" s="47"/>
      <c r="AE956" s="47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7"/>
      <c r="Z957" s="46"/>
      <c r="AA957" s="46"/>
      <c r="AB957" s="46"/>
      <c r="AC957" s="47"/>
      <c r="AD957" s="47"/>
      <c r="AE957" s="47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7"/>
      <c r="Z958" s="46"/>
      <c r="AA958" s="46"/>
      <c r="AB958" s="46"/>
      <c r="AC958" s="47"/>
      <c r="AD958" s="47"/>
      <c r="AE958" s="47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7"/>
      <c r="Z959" s="46"/>
      <c r="AA959" s="46"/>
      <c r="AB959" s="46"/>
      <c r="AC959" s="47"/>
      <c r="AD959" s="47"/>
      <c r="AE959" s="47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7"/>
      <c r="Z960" s="46"/>
      <c r="AA960" s="46"/>
      <c r="AB960" s="46"/>
      <c r="AC960" s="47"/>
      <c r="AD960" s="47"/>
      <c r="AE960" s="47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7"/>
      <c r="Z961" s="46"/>
      <c r="AA961" s="46"/>
      <c r="AB961" s="46"/>
      <c r="AC961" s="47"/>
      <c r="AD961" s="47"/>
      <c r="AE961" s="47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7"/>
      <c r="Z962" s="46"/>
      <c r="AA962" s="46"/>
      <c r="AB962" s="46"/>
      <c r="AC962" s="47"/>
      <c r="AD962" s="47"/>
      <c r="AE962" s="47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7"/>
      <c r="Z963" s="46"/>
      <c r="AA963" s="46"/>
      <c r="AB963" s="46"/>
      <c r="AC963" s="47"/>
      <c r="AD963" s="47"/>
      <c r="AE963" s="47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7"/>
      <c r="Z964" s="46"/>
      <c r="AA964" s="46"/>
      <c r="AB964" s="46"/>
      <c r="AC964" s="47"/>
      <c r="AD964" s="47"/>
      <c r="AE964" s="47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7"/>
      <c r="Z965" s="46"/>
      <c r="AA965" s="46"/>
      <c r="AB965" s="46"/>
      <c r="AC965" s="47"/>
      <c r="AD965" s="47"/>
      <c r="AE965" s="47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7"/>
      <c r="Z966" s="46"/>
      <c r="AA966" s="46"/>
      <c r="AB966" s="46"/>
      <c r="AC966" s="47"/>
      <c r="AD966" s="47"/>
      <c r="AE966" s="47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7"/>
      <c r="Z967" s="46"/>
      <c r="AA967" s="46"/>
      <c r="AB967" s="46"/>
      <c r="AC967" s="47"/>
      <c r="AD967" s="47"/>
      <c r="AE967" s="47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7"/>
      <c r="Z968" s="46"/>
      <c r="AA968" s="46"/>
      <c r="AB968" s="46"/>
      <c r="AC968" s="47"/>
      <c r="AD968" s="47"/>
      <c r="AE968" s="47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7"/>
      <c r="Z969" s="46"/>
      <c r="AA969" s="46"/>
      <c r="AB969" s="46"/>
      <c r="AC969" s="47"/>
      <c r="AD969" s="47"/>
      <c r="AE969" s="47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7"/>
      <c r="Z970" s="46"/>
      <c r="AA970" s="46"/>
      <c r="AB970" s="46"/>
      <c r="AC970" s="47"/>
      <c r="AD970" s="47"/>
      <c r="AE970" s="47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7"/>
      <c r="Z971" s="46"/>
      <c r="AA971" s="46"/>
      <c r="AB971" s="46"/>
      <c r="AC971" s="47"/>
      <c r="AD971" s="47"/>
      <c r="AE971" s="47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7"/>
      <c r="Z972" s="46"/>
      <c r="AA972" s="46"/>
      <c r="AB972" s="46"/>
      <c r="AC972" s="47"/>
      <c r="AD972" s="47"/>
      <c r="AE972" s="47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7"/>
      <c r="Z973" s="46"/>
      <c r="AA973" s="46"/>
      <c r="AB973" s="46"/>
      <c r="AC973" s="47"/>
      <c r="AD973" s="47"/>
      <c r="AE973" s="47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7"/>
      <c r="Z974" s="46"/>
      <c r="AA974" s="46"/>
      <c r="AB974" s="46"/>
      <c r="AC974" s="47"/>
      <c r="AD974" s="47"/>
      <c r="AE974" s="47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7"/>
      <c r="Z975" s="46"/>
      <c r="AA975" s="46"/>
      <c r="AB975" s="46"/>
      <c r="AC975" s="47"/>
      <c r="AD975" s="47"/>
      <c r="AE975" s="47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7"/>
      <c r="Z976" s="46"/>
      <c r="AA976" s="46"/>
      <c r="AB976" s="46"/>
      <c r="AC976" s="47"/>
      <c r="AD976" s="47"/>
      <c r="AE976" s="47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7"/>
      <c r="Z977" s="46"/>
      <c r="AA977" s="46"/>
      <c r="AB977" s="46"/>
      <c r="AC977" s="47"/>
      <c r="AD977" s="47"/>
      <c r="AE977" s="47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7"/>
      <c r="Z978" s="46"/>
      <c r="AA978" s="46"/>
      <c r="AB978" s="46"/>
      <c r="AC978" s="47"/>
      <c r="AD978" s="47"/>
      <c r="AE978" s="47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7"/>
      <c r="Z979" s="46"/>
      <c r="AA979" s="46"/>
      <c r="AB979" s="46"/>
      <c r="AC979" s="47"/>
      <c r="AD979" s="47"/>
      <c r="AE979" s="47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7"/>
      <c r="Z980" s="46"/>
      <c r="AA980" s="46"/>
      <c r="AB980" s="46"/>
      <c r="AC980" s="47"/>
      <c r="AD980" s="47"/>
      <c r="AE980" s="47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7"/>
      <c r="Z981" s="46"/>
      <c r="AA981" s="46"/>
      <c r="AB981" s="46"/>
      <c r="AC981" s="47"/>
      <c r="AD981" s="47"/>
      <c r="AE981" s="47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7"/>
      <c r="Z982" s="46"/>
      <c r="AA982" s="46"/>
      <c r="AB982" s="46"/>
      <c r="AC982" s="47"/>
      <c r="AD982" s="47"/>
      <c r="AE982" s="47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7"/>
      <c r="Z983" s="46"/>
      <c r="AA983" s="46"/>
      <c r="AB983" s="46"/>
      <c r="AC983" s="47"/>
      <c r="AD983" s="47"/>
      <c r="AE983" s="47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7"/>
      <c r="Z984" s="46"/>
      <c r="AA984" s="46"/>
      <c r="AB984" s="46"/>
      <c r="AC984" s="47"/>
      <c r="AD984" s="47"/>
      <c r="AE984" s="47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7"/>
      <c r="Z985" s="46"/>
      <c r="AA985" s="46"/>
      <c r="AB985" s="46"/>
      <c r="AC985" s="47"/>
      <c r="AD985" s="47"/>
      <c r="AE985" s="47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7"/>
      <c r="Z986" s="46"/>
      <c r="AA986" s="46"/>
      <c r="AB986" s="46"/>
      <c r="AC986" s="47"/>
      <c r="AD986" s="47"/>
      <c r="AE986" s="47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7"/>
      <c r="Z987" s="46"/>
      <c r="AA987" s="46"/>
      <c r="AB987" s="46"/>
      <c r="AC987" s="47"/>
      <c r="AD987" s="47"/>
      <c r="AE987" s="47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7"/>
      <c r="Z988" s="46"/>
      <c r="AA988" s="46"/>
      <c r="AB988" s="46"/>
      <c r="AC988" s="47"/>
      <c r="AD988" s="47"/>
      <c r="AE988" s="47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7"/>
      <c r="Z989" s="46"/>
      <c r="AA989" s="46"/>
      <c r="AB989" s="46"/>
      <c r="AC989" s="47"/>
      <c r="AD989" s="47"/>
      <c r="AE989" s="47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7"/>
      <c r="Z990" s="46"/>
      <c r="AA990" s="46"/>
      <c r="AB990" s="46"/>
      <c r="AC990" s="47"/>
      <c r="AD990" s="47"/>
      <c r="AE990" s="47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7"/>
      <c r="Z991" s="46"/>
      <c r="AA991" s="46"/>
      <c r="AB991" s="46"/>
      <c r="AC991" s="47"/>
      <c r="AD991" s="47"/>
      <c r="AE991" s="47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7"/>
      <c r="Z992" s="46"/>
      <c r="AA992" s="46"/>
      <c r="AB992" s="46"/>
      <c r="AC992" s="47"/>
      <c r="AD992" s="47"/>
      <c r="AE992" s="47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7"/>
      <c r="Z993" s="46"/>
      <c r="AA993" s="46"/>
      <c r="AB993" s="46"/>
      <c r="AC993" s="47"/>
      <c r="AD993" s="47"/>
      <c r="AE993" s="47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7"/>
      <c r="Z994" s="46"/>
      <c r="AA994" s="46"/>
      <c r="AB994" s="46"/>
      <c r="AC994" s="47"/>
      <c r="AD994" s="47"/>
      <c r="AE994" s="47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7"/>
      <c r="Z995" s="46"/>
      <c r="AA995" s="46"/>
      <c r="AB995" s="46"/>
      <c r="AC995" s="47"/>
      <c r="AD995" s="47"/>
      <c r="AE995" s="47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7"/>
      <c r="Z996" s="46"/>
      <c r="AA996" s="46"/>
      <c r="AB996" s="46"/>
      <c r="AC996" s="47"/>
      <c r="AD996" s="47"/>
      <c r="AE996" s="47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7"/>
      <c r="Z997" s="46"/>
      <c r="AA997" s="46"/>
      <c r="AB997" s="46"/>
      <c r="AC997" s="47"/>
      <c r="AD997" s="47"/>
      <c r="AE997" s="47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7"/>
      <c r="Z998" s="46"/>
      <c r="AA998" s="46"/>
      <c r="AB998" s="46"/>
      <c r="AC998" s="47"/>
      <c r="AD998" s="47"/>
      <c r="AE998" s="47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7"/>
      <c r="Z999" s="46"/>
      <c r="AA999" s="46"/>
      <c r="AB999" s="46"/>
      <c r="AC999" s="47"/>
      <c r="AD999" s="47"/>
      <c r="AE999" s="47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7"/>
      <c r="Z1000" s="46"/>
      <c r="AA1000" s="46"/>
      <c r="AB1000" s="46"/>
      <c r="AC1000" s="47"/>
      <c r="AD1000" s="47"/>
      <c r="AE1000" s="47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7"/>
      <c r="Z1001" s="46"/>
      <c r="AA1001" s="46"/>
      <c r="AB1001" s="46"/>
      <c r="AC1001" s="47"/>
      <c r="AD1001" s="47"/>
      <c r="AE1001" s="47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  <c r="BI1001" s="46"/>
      <c r="BJ1001" s="46"/>
      <c r="BK1001" s="46"/>
      <c r="BL1001" s="46"/>
      <c r="BM1001" s="46"/>
      <c r="BN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7"/>
      <c r="Z1002" s="46"/>
      <c r="AA1002" s="46"/>
      <c r="AB1002" s="46"/>
      <c r="AC1002" s="47"/>
      <c r="AD1002" s="47"/>
      <c r="AE1002" s="47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  <c r="BI1002" s="46"/>
      <c r="BJ1002" s="46"/>
      <c r="BK1002" s="46"/>
      <c r="BL1002" s="46"/>
      <c r="BM1002" s="46"/>
      <c r="BN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7"/>
      <c r="Z1003" s="46"/>
      <c r="AA1003" s="46"/>
      <c r="AB1003" s="46"/>
      <c r="AC1003" s="47"/>
      <c r="AD1003" s="47"/>
      <c r="AE1003" s="47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  <c r="BI1003" s="46"/>
      <c r="BJ1003" s="46"/>
      <c r="BK1003" s="46"/>
      <c r="BL1003" s="46"/>
      <c r="BM1003" s="46"/>
      <c r="BN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7"/>
      <c r="Z1004" s="46"/>
      <c r="AA1004" s="46"/>
      <c r="AB1004" s="46"/>
      <c r="AC1004" s="47"/>
      <c r="AD1004" s="47"/>
      <c r="AE1004" s="47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  <c r="BI1004" s="46"/>
      <c r="BJ1004" s="46"/>
      <c r="BK1004" s="46"/>
      <c r="BL1004" s="46"/>
      <c r="BM1004" s="46"/>
      <c r="BN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7"/>
      <c r="Z1005" s="46"/>
      <c r="AA1005" s="46"/>
      <c r="AB1005" s="46"/>
      <c r="AC1005" s="47"/>
      <c r="AD1005" s="47"/>
      <c r="AE1005" s="47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  <c r="BI1005" s="46"/>
      <c r="BJ1005" s="46"/>
      <c r="BK1005" s="46"/>
      <c r="BL1005" s="46"/>
      <c r="BM1005" s="46"/>
      <c r="BN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7"/>
      <c r="Z1006" s="46"/>
      <c r="AA1006" s="46"/>
      <c r="AB1006" s="46"/>
      <c r="AC1006" s="47"/>
      <c r="AD1006" s="47"/>
      <c r="AE1006" s="47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46"/>
      <c r="BJ1006" s="46"/>
      <c r="BK1006" s="46"/>
      <c r="BL1006" s="46"/>
      <c r="BM1006" s="46"/>
      <c r="BN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7"/>
      <c r="Z1007" s="46"/>
      <c r="AA1007" s="46"/>
      <c r="AB1007" s="46"/>
      <c r="AC1007" s="47"/>
      <c r="AD1007" s="47"/>
      <c r="AE1007" s="47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46"/>
      <c r="BJ1007" s="46"/>
      <c r="BK1007" s="46"/>
      <c r="BL1007" s="46"/>
      <c r="BM1007" s="46"/>
      <c r="BN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7"/>
      <c r="Z1008" s="46"/>
      <c r="AA1008" s="46"/>
      <c r="AB1008" s="46"/>
      <c r="AC1008" s="47"/>
      <c r="AD1008" s="47"/>
      <c r="AE1008" s="47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  <c r="BI1008" s="46"/>
      <c r="BJ1008" s="46"/>
      <c r="BK1008" s="46"/>
      <c r="BL1008" s="46"/>
      <c r="BM1008" s="46"/>
      <c r="BN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7"/>
      <c r="Z1009" s="46"/>
      <c r="AA1009" s="46"/>
      <c r="AB1009" s="46"/>
      <c r="AC1009" s="47"/>
      <c r="AD1009" s="47"/>
      <c r="AE1009" s="47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  <c r="BI1009" s="46"/>
      <c r="BJ1009" s="46"/>
      <c r="BK1009" s="46"/>
      <c r="BL1009" s="46"/>
      <c r="BM1009" s="46"/>
      <c r="BN1009" s="46"/>
    </row>
  </sheetData>
  <conditionalFormatting sqref="D2:D31">
    <cfRule type="expression" dxfId="4" priority="1">
      <formula> SUM($N2:$Y2) &gt;0</formula>
    </cfRule>
  </conditionalFormatting>
  <conditionalFormatting sqref="D2:F32 H2:H32 J2:Y32 AE2:AE32 G32">
    <cfRule type="expression" dxfId="4" priority="2">
      <formula> SUM($N2:$Y2) &gt; 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88"/>
    <col customWidth="1" min="2" max="2" width="5.75"/>
    <col customWidth="1" min="3" max="3" width="7.63"/>
    <col customWidth="1" min="4" max="4" width="11.88"/>
    <col customWidth="1" min="5" max="5" width="8.38"/>
    <col customWidth="1" min="6" max="6" width="8.13"/>
    <col customWidth="1" min="7" max="7" width="8.5"/>
    <col customWidth="1" min="8" max="8" width="8.0"/>
    <col customWidth="1" min="9" max="9" width="7.25"/>
    <col customWidth="1" min="10" max="10" width="8.0"/>
    <col customWidth="1" min="11" max="11" width="7.5"/>
    <col customWidth="1" min="12" max="12" width="7.75"/>
    <col customWidth="1" min="13" max="13" width="26.25"/>
    <col customWidth="1" min="14" max="15" width="8.0"/>
    <col customWidth="1" min="16" max="16" width="9.38"/>
    <col customWidth="1" min="17" max="17" width="9.0"/>
    <col customWidth="1" min="18" max="19" width="8.0"/>
    <col customWidth="1" min="20" max="20" width="8.75"/>
    <col customWidth="1" min="21" max="21" width="9.5"/>
    <col customWidth="1" min="22" max="22" width="9.13"/>
    <col customWidth="1" min="23" max="23" width="8.63"/>
    <col customWidth="1" min="24" max="24" width="10.0"/>
    <col customWidth="1" min="25" max="26" width="9.75"/>
    <col customWidth="1" min="27" max="27" width="8.88"/>
    <col customWidth="1" min="28" max="29" width="13.13"/>
    <col customWidth="1" hidden="1" min="30" max="30" width="7.63"/>
    <col customWidth="1" min="31" max="31" width="60.5"/>
  </cols>
  <sheetData>
    <row r="1">
      <c r="A1" s="2" t="s">
        <v>66</v>
      </c>
      <c r="B1" s="2" t="s">
        <v>0</v>
      </c>
      <c r="C1" s="2" t="s">
        <v>1</v>
      </c>
      <c r="D1" s="2" t="s">
        <v>2</v>
      </c>
      <c r="E1" s="4" t="s">
        <v>3</v>
      </c>
      <c r="F1" s="2" t="s">
        <v>4</v>
      </c>
      <c r="G1" s="2" t="s">
        <v>108</v>
      </c>
      <c r="H1" s="2" t="s">
        <v>6</v>
      </c>
      <c r="I1" s="2" t="s">
        <v>109</v>
      </c>
      <c r="J1" s="4" t="s">
        <v>8</v>
      </c>
      <c r="K1" s="4" t="s">
        <v>9</v>
      </c>
      <c r="L1" s="4" t="s">
        <v>10</v>
      </c>
      <c r="M1" s="2" t="s">
        <v>11</v>
      </c>
      <c r="N1" s="4" t="s">
        <v>12</v>
      </c>
      <c r="O1" s="4" t="s">
        <v>13</v>
      </c>
      <c r="P1" s="4" t="s">
        <v>110</v>
      </c>
      <c r="Q1" s="4" t="s">
        <v>111</v>
      </c>
      <c r="R1" s="4" t="s">
        <v>112</v>
      </c>
      <c r="S1" s="4" t="s">
        <v>113</v>
      </c>
      <c r="T1" s="4" t="s">
        <v>114</v>
      </c>
      <c r="U1" s="4" t="s">
        <v>115</v>
      </c>
      <c r="V1" s="4" t="s">
        <v>116</v>
      </c>
      <c r="W1" s="4" t="s">
        <v>117</v>
      </c>
      <c r="X1" s="4" t="s">
        <v>118</v>
      </c>
      <c r="Y1" s="4" t="s">
        <v>119</v>
      </c>
      <c r="Z1" s="4" t="s">
        <v>120</v>
      </c>
      <c r="AA1" s="4" t="s">
        <v>121</v>
      </c>
      <c r="AB1" s="4" t="s">
        <v>26</v>
      </c>
      <c r="AC1" s="4" t="s">
        <v>27</v>
      </c>
      <c r="AD1" s="4" t="s">
        <v>28</v>
      </c>
      <c r="AE1" s="4" t="s">
        <v>29</v>
      </c>
      <c r="AF1" s="240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</row>
    <row r="2">
      <c r="A2" s="6">
        <v>44136.0</v>
      </c>
      <c r="B2" s="19">
        <v>1757.0</v>
      </c>
      <c r="C2" s="19">
        <v>1829.0</v>
      </c>
      <c r="D2" s="8" t="str">
        <f t="shared" ref="D2:D31" si="1">choose(weekday(A2),"Phil/Fred", "Jane/Sarah", "Jim/John/Lena","Marsha/Anne","Shawn/Amber","Jeff", "Rob/Maggie")</f>
        <v>Phil/Fred</v>
      </c>
      <c r="E2" s="241"/>
      <c r="F2" s="103"/>
      <c r="G2" s="21">
        <v>44136.0</v>
      </c>
      <c r="H2" s="103"/>
      <c r="I2" s="23">
        <f t="shared" ref="I2:I31" si="2">iferror(24*( DATEDIF(A2,G2,"D")+TIMEVALUE(H2)-TIMEVALUE(F2)),0)</f>
        <v>0</v>
      </c>
      <c r="J2" s="242"/>
      <c r="K2" s="46"/>
      <c r="L2" s="46"/>
      <c r="M2" s="88"/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26">
        <f t="shared" ref="Z2:Z31" si="3">sum(N2:Q2)</f>
        <v>0</v>
      </c>
      <c r="AA2" s="26">
        <f t="shared" ref="AA2:AA31" si="4">sum(R2:V2)</f>
        <v>0</v>
      </c>
      <c r="AB2" s="27">
        <f t="shared" ref="AB2:AB31" si="5">sum(N2:O2)</f>
        <v>0</v>
      </c>
      <c r="AC2" s="27">
        <f t="shared" ref="AC2:AC31" si="6">sum(R2:S2,V2)</f>
        <v>0</v>
      </c>
      <c r="AD2" s="15">
        <v>0.43</v>
      </c>
      <c r="AE2" s="4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>
      <c r="A3" s="6">
        <v>44137.0</v>
      </c>
      <c r="B3" s="19">
        <v>1756.0</v>
      </c>
      <c r="C3" s="19">
        <v>1827.0</v>
      </c>
      <c r="D3" s="8" t="str">
        <f t="shared" si="1"/>
        <v>Jane/Sarah</v>
      </c>
      <c r="E3" s="241"/>
      <c r="F3" s="103"/>
      <c r="G3" s="21">
        <v>44137.0</v>
      </c>
      <c r="H3" s="103"/>
      <c r="I3" s="23">
        <f t="shared" si="2"/>
        <v>0</v>
      </c>
      <c r="J3" s="243"/>
      <c r="K3" s="94"/>
      <c r="L3" s="94"/>
      <c r="M3" s="94"/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26">
        <f t="shared" si="3"/>
        <v>0</v>
      </c>
      <c r="AA3" s="26">
        <f t="shared" si="4"/>
        <v>0</v>
      </c>
      <c r="AB3" s="27">
        <f t="shared" si="5"/>
        <v>0</v>
      </c>
      <c r="AC3" s="27">
        <f t="shared" si="6"/>
        <v>0</v>
      </c>
      <c r="AD3" s="15">
        <v>0.32</v>
      </c>
      <c r="AE3" s="9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>
      <c r="A4" s="6">
        <v>44138.0</v>
      </c>
      <c r="B4" s="19">
        <v>1755.0</v>
      </c>
      <c r="C4" s="19">
        <v>1826.0</v>
      </c>
      <c r="D4" s="8" t="str">
        <f t="shared" si="1"/>
        <v>Jim/John/Lena</v>
      </c>
      <c r="E4" s="241"/>
      <c r="F4" s="103"/>
      <c r="G4" s="21">
        <v>44138.0</v>
      </c>
      <c r="H4" s="103"/>
      <c r="I4" s="23">
        <f t="shared" si="2"/>
        <v>0</v>
      </c>
      <c r="J4" s="242"/>
      <c r="K4" s="46"/>
      <c r="L4" s="46"/>
      <c r="M4" s="88"/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26">
        <f t="shared" si="3"/>
        <v>0</v>
      </c>
      <c r="AA4" s="26">
        <f t="shared" si="4"/>
        <v>0</v>
      </c>
      <c r="AB4" s="27">
        <f t="shared" si="5"/>
        <v>0</v>
      </c>
      <c r="AC4" s="27">
        <f t="shared" si="6"/>
        <v>0</v>
      </c>
      <c r="AD4" s="15">
        <v>0.22</v>
      </c>
      <c r="AE4" s="4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>
      <c r="A5" s="6">
        <v>44139.0</v>
      </c>
      <c r="B5" s="18">
        <v>1653.0</v>
      </c>
      <c r="C5" s="18">
        <v>1725.0</v>
      </c>
      <c r="D5" s="8" t="str">
        <f t="shared" si="1"/>
        <v>Marsha/Anne</v>
      </c>
      <c r="E5" s="241"/>
      <c r="F5" s="103"/>
      <c r="G5" s="21">
        <v>44139.0</v>
      </c>
      <c r="H5" s="103"/>
      <c r="I5" s="23">
        <f t="shared" si="2"/>
        <v>0</v>
      </c>
      <c r="J5" s="243"/>
      <c r="K5" s="120"/>
      <c r="L5" s="120"/>
      <c r="M5" s="94"/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26">
        <f t="shared" si="3"/>
        <v>0</v>
      </c>
      <c r="AA5" s="26">
        <f t="shared" si="4"/>
        <v>0</v>
      </c>
      <c r="AB5" s="27">
        <f t="shared" si="5"/>
        <v>0</v>
      </c>
      <c r="AC5" s="27">
        <f t="shared" si="6"/>
        <v>0</v>
      </c>
      <c r="AD5" s="15">
        <v>0.13</v>
      </c>
      <c r="AE5" s="244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</row>
    <row r="6">
      <c r="A6" s="6">
        <v>44140.0</v>
      </c>
      <c r="B6" s="18">
        <v>1652.0</v>
      </c>
      <c r="C6" s="18">
        <v>1723.0</v>
      </c>
      <c r="D6" s="8" t="str">
        <f t="shared" si="1"/>
        <v>Shawn/Amber</v>
      </c>
      <c r="E6" s="241"/>
      <c r="F6" s="103"/>
      <c r="G6" s="21">
        <v>44140.0</v>
      </c>
      <c r="H6" s="103"/>
      <c r="I6" s="23">
        <f t="shared" si="2"/>
        <v>0</v>
      </c>
      <c r="J6" s="242"/>
      <c r="K6" s="88"/>
      <c r="L6" s="88"/>
      <c r="M6" s="88"/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26">
        <f t="shared" si="3"/>
        <v>0</v>
      </c>
      <c r="AA6" s="26">
        <f t="shared" si="4"/>
        <v>0</v>
      </c>
      <c r="AB6" s="27">
        <f t="shared" si="5"/>
        <v>0</v>
      </c>
      <c r="AC6" s="27">
        <f t="shared" si="6"/>
        <v>0</v>
      </c>
      <c r="AD6" s="15">
        <v>0.07</v>
      </c>
      <c r="AE6" s="4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</row>
    <row r="7">
      <c r="A7" s="6">
        <v>44141.0</v>
      </c>
      <c r="B7" s="18">
        <v>1651.0</v>
      </c>
      <c r="C7" s="18">
        <v>1722.0</v>
      </c>
      <c r="D7" s="8" t="str">
        <f t="shared" si="1"/>
        <v>Jeff</v>
      </c>
      <c r="E7" s="241"/>
      <c r="F7" s="103"/>
      <c r="G7" s="21">
        <v>44141.0</v>
      </c>
      <c r="H7" s="103"/>
      <c r="I7" s="23">
        <f t="shared" si="2"/>
        <v>0</v>
      </c>
      <c r="J7" s="243"/>
      <c r="K7" s="94"/>
      <c r="L7" s="94"/>
      <c r="M7" s="94"/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26">
        <f t="shared" si="3"/>
        <v>0</v>
      </c>
      <c r="AA7" s="26">
        <f t="shared" si="4"/>
        <v>0</v>
      </c>
      <c r="AB7" s="27">
        <f t="shared" si="5"/>
        <v>0</v>
      </c>
      <c r="AC7" s="27">
        <f t="shared" si="6"/>
        <v>0</v>
      </c>
      <c r="AD7" s="15">
        <v>0.02</v>
      </c>
      <c r="AE7" s="98"/>
      <c r="AF7" s="245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</row>
    <row r="8">
      <c r="A8" s="6">
        <v>44142.0</v>
      </c>
      <c r="B8" s="18">
        <v>1649.0</v>
      </c>
      <c r="C8" s="18">
        <v>1721.0</v>
      </c>
      <c r="D8" s="8" t="str">
        <f t="shared" si="1"/>
        <v>Rob/Maggie</v>
      </c>
      <c r="E8" s="241"/>
      <c r="F8" s="103"/>
      <c r="G8" s="21">
        <v>44142.0</v>
      </c>
      <c r="H8" s="103"/>
      <c r="I8" s="23">
        <f t="shared" si="2"/>
        <v>0</v>
      </c>
      <c r="J8" s="242"/>
      <c r="K8" s="88"/>
      <c r="L8" s="88"/>
      <c r="M8" s="88"/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26">
        <f t="shared" si="3"/>
        <v>0</v>
      </c>
      <c r="AA8" s="26">
        <f t="shared" si="4"/>
        <v>0</v>
      </c>
      <c r="AB8" s="27">
        <f t="shared" si="5"/>
        <v>0</v>
      </c>
      <c r="AC8" s="27">
        <f t="shared" si="6"/>
        <v>0</v>
      </c>
      <c r="AD8" s="15">
        <v>0.0</v>
      </c>
      <c r="AE8" s="92"/>
      <c r="AF8" s="165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</row>
    <row r="9">
      <c r="A9" s="6">
        <v>44143.0</v>
      </c>
      <c r="B9" s="18">
        <v>1648.0</v>
      </c>
      <c r="C9" s="18">
        <v>1720.0</v>
      </c>
      <c r="D9" s="8" t="str">
        <f t="shared" si="1"/>
        <v>Phil/Fred</v>
      </c>
      <c r="E9" s="241"/>
      <c r="F9" s="103"/>
      <c r="G9" s="21">
        <v>44143.0</v>
      </c>
      <c r="H9" s="103"/>
      <c r="I9" s="23">
        <f t="shared" si="2"/>
        <v>0</v>
      </c>
      <c r="J9" s="243"/>
      <c r="K9" s="94"/>
      <c r="L9" s="94"/>
      <c r="M9" s="94"/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26">
        <f t="shared" si="3"/>
        <v>0</v>
      </c>
      <c r="AA9" s="26">
        <f t="shared" si="4"/>
        <v>0</v>
      </c>
      <c r="AB9" s="27">
        <f t="shared" si="5"/>
        <v>0</v>
      </c>
      <c r="AC9" s="27">
        <f t="shared" si="6"/>
        <v>0</v>
      </c>
      <c r="AD9" s="15">
        <v>0.01</v>
      </c>
      <c r="AE9" s="98"/>
      <c r="AF9" s="245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</row>
    <row r="10">
      <c r="A10" s="6">
        <v>44144.0</v>
      </c>
      <c r="B10" s="18">
        <v>1647.0</v>
      </c>
      <c r="C10" s="18">
        <v>1719.0</v>
      </c>
      <c r="D10" s="8" t="str">
        <f t="shared" si="1"/>
        <v>Jane/Sarah</v>
      </c>
      <c r="E10" s="241"/>
      <c r="F10" s="103"/>
      <c r="G10" s="21">
        <v>44144.0</v>
      </c>
      <c r="H10" s="103"/>
      <c r="I10" s="23">
        <f t="shared" si="2"/>
        <v>0</v>
      </c>
      <c r="J10" s="242"/>
      <c r="K10" s="88"/>
      <c r="L10" s="88"/>
      <c r="M10" s="88"/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26">
        <f t="shared" si="3"/>
        <v>0</v>
      </c>
      <c r="AA10" s="26">
        <f t="shared" si="4"/>
        <v>0</v>
      </c>
      <c r="AB10" s="27">
        <f t="shared" si="5"/>
        <v>0</v>
      </c>
      <c r="AC10" s="27">
        <f t="shared" si="6"/>
        <v>0</v>
      </c>
      <c r="AD10" s="15">
        <v>0.03</v>
      </c>
      <c r="AE10" s="92"/>
      <c r="AF10" s="165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</row>
    <row r="11">
      <c r="A11" s="6">
        <v>44145.0</v>
      </c>
      <c r="B11" s="18">
        <v>1646.0</v>
      </c>
      <c r="C11" s="18">
        <v>1718.0</v>
      </c>
      <c r="D11" s="8" t="str">
        <f t="shared" si="1"/>
        <v>Jim/John/Lena</v>
      </c>
      <c r="E11" s="241"/>
      <c r="F11" s="103"/>
      <c r="G11" s="21">
        <v>44145.0</v>
      </c>
      <c r="H11" s="103"/>
      <c r="I11" s="23">
        <f t="shared" si="2"/>
        <v>0</v>
      </c>
      <c r="J11" s="243"/>
      <c r="K11" s="94"/>
      <c r="L11" s="94"/>
      <c r="M11" s="94"/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26">
        <f t="shared" si="3"/>
        <v>0</v>
      </c>
      <c r="AA11" s="26">
        <f t="shared" si="4"/>
        <v>0</v>
      </c>
      <c r="AB11" s="27">
        <f t="shared" si="5"/>
        <v>0</v>
      </c>
      <c r="AC11" s="27">
        <f t="shared" si="6"/>
        <v>0</v>
      </c>
      <c r="AD11" s="15">
        <v>0.08</v>
      </c>
      <c r="AE11" s="98"/>
      <c r="AF11" s="245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</row>
    <row r="12">
      <c r="A12" s="6">
        <v>44146.0</v>
      </c>
      <c r="B12" s="18">
        <v>1644.0</v>
      </c>
      <c r="C12" s="18">
        <v>1716.0</v>
      </c>
      <c r="D12" s="8" t="str">
        <f t="shared" si="1"/>
        <v>Marsha/Anne</v>
      </c>
      <c r="E12" s="241"/>
      <c r="F12" s="103"/>
      <c r="G12" s="21">
        <v>44146.0</v>
      </c>
      <c r="H12" s="103"/>
      <c r="I12" s="23">
        <f t="shared" si="2"/>
        <v>0</v>
      </c>
      <c r="J12" s="242"/>
      <c r="K12" s="88"/>
      <c r="L12" s="88"/>
      <c r="M12" s="88"/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0.0</v>
      </c>
      <c r="Y12" s="88">
        <v>0.0</v>
      </c>
      <c r="Z12" s="26">
        <f t="shared" si="3"/>
        <v>0</v>
      </c>
      <c r="AA12" s="26">
        <f t="shared" si="4"/>
        <v>0</v>
      </c>
      <c r="AB12" s="27">
        <f t="shared" si="5"/>
        <v>0</v>
      </c>
      <c r="AC12" s="27">
        <f t="shared" si="6"/>
        <v>0</v>
      </c>
      <c r="AD12" s="15">
        <v>0.14</v>
      </c>
      <c r="AE12" s="92"/>
      <c r="AF12" s="165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>
      <c r="A13" s="6">
        <v>44147.0</v>
      </c>
      <c r="B13" s="18">
        <v>1643.0</v>
      </c>
      <c r="C13" s="18">
        <v>1715.0</v>
      </c>
      <c r="D13" s="8" t="str">
        <f t="shared" si="1"/>
        <v>Shawn/Amber</v>
      </c>
      <c r="E13" s="241" t="s">
        <v>30</v>
      </c>
      <c r="F13" s="103">
        <v>0.8541666666666666</v>
      </c>
      <c r="G13" s="21">
        <v>44147.0</v>
      </c>
      <c r="H13" s="103">
        <v>0.8576388888888888</v>
      </c>
      <c r="I13" s="23">
        <f t="shared" si="2"/>
        <v>0.08333333333</v>
      </c>
      <c r="J13" s="243"/>
      <c r="K13" s="94">
        <v>45.0</v>
      </c>
      <c r="L13" s="94"/>
      <c r="M13" s="94" t="s">
        <v>52</v>
      </c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26">
        <f t="shared" si="3"/>
        <v>0</v>
      </c>
      <c r="AA13" s="26">
        <f t="shared" si="4"/>
        <v>0</v>
      </c>
      <c r="AB13" s="27">
        <f t="shared" si="5"/>
        <v>0</v>
      </c>
      <c r="AC13" s="27">
        <f t="shared" si="6"/>
        <v>0</v>
      </c>
      <c r="AD13" s="15">
        <v>0.21</v>
      </c>
      <c r="AE13" s="98" t="s">
        <v>122</v>
      </c>
      <c r="AF13" s="245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</row>
    <row r="14">
      <c r="A14" s="6">
        <v>44148.0</v>
      </c>
      <c r="B14" s="18">
        <v>1642.0</v>
      </c>
      <c r="C14" s="18">
        <v>1714.0</v>
      </c>
      <c r="D14" s="8" t="str">
        <f t="shared" si="1"/>
        <v>Jeff</v>
      </c>
      <c r="E14" s="241"/>
      <c r="F14" s="103"/>
      <c r="G14" s="21">
        <v>44148.0</v>
      </c>
      <c r="H14" s="103"/>
      <c r="I14" s="23">
        <f t="shared" si="2"/>
        <v>0</v>
      </c>
      <c r="J14" s="242"/>
      <c r="K14" s="88"/>
      <c r="L14" s="88"/>
      <c r="M14" s="88"/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26">
        <f t="shared" si="3"/>
        <v>0</v>
      </c>
      <c r="AA14" s="26">
        <f t="shared" si="4"/>
        <v>0</v>
      </c>
      <c r="AB14" s="27">
        <f t="shared" si="5"/>
        <v>0</v>
      </c>
      <c r="AC14" s="27">
        <f t="shared" si="6"/>
        <v>0</v>
      </c>
      <c r="AD14" s="15">
        <v>0.29</v>
      </c>
      <c r="AE14" s="92"/>
      <c r="AF14" s="165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</row>
    <row r="15">
      <c r="A15" s="6">
        <v>44149.0</v>
      </c>
      <c r="B15" s="18">
        <v>1641.0</v>
      </c>
      <c r="C15" s="18">
        <v>1713.0</v>
      </c>
      <c r="D15" s="8" t="str">
        <f t="shared" si="1"/>
        <v>Rob/Maggie</v>
      </c>
      <c r="E15" s="241"/>
      <c r="F15" s="103"/>
      <c r="G15" s="21">
        <v>44149.0</v>
      </c>
      <c r="H15" s="103"/>
      <c r="I15" s="23">
        <f t="shared" si="2"/>
        <v>0</v>
      </c>
      <c r="J15" s="101"/>
      <c r="K15" s="94"/>
      <c r="L15" s="94"/>
      <c r="M15" s="94"/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26">
        <f t="shared" si="3"/>
        <v>0</v>
      </c>
      <c r="AA15" s="26">
        <f t="shared" si="4"/>
        <v>0</v>
      </c>
      <c r="AB15" s="27">
        <f t="shared" si="5"/>
        <v>0</v>
      </c>
      <c r="AC15" s="27">
        <f t="shared" si="6"/>
        <v>0</v>
      </c>
      <c r="AD15" s="15">
        <v>0.38</v>
      </c>
      <c r="AE15" s="98"/>
      <c r="AF15" s="245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</row>
    <row r="16">
      <c r="A16" s="6">
        <v>44150.0</v>
      </c>
      <c r="B16" s="18">
        <v>1640.0</v>
      </c>
      <c r="C16" s="18">
        <v>1712.0</v>
      </c>
      <c r="D16" s="8" t="str">
        <f t="shared" si="1"/>
        <v>Phil/Fred</v>
      </c>
      <c r="E16" s="241"/>
      <c r="F16" s="103"/>
      <c r="G16" s="21">
        <v>44150.0</v>
      </c>
      <c r="H16" s="103"/>
      <c r="I16" s="23">
        <f t="shared" si="2"/>
        <v>0</v>
      </c>
      <c r="J16" s="103"/>
      <c r="K16" s="88"/>
      <c r="L16" s="88"/>
      <c r="M16" s="246"/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26">
        <f t="shared" si="3"/>
        <v>0</v>
      </c>
      <c r="AA16" s="26">
        <f t="shared" si="4"/>
        <v>0</v>
      </c>
      <c r="AB16" s="27">
        <f t="shared" si="5"/>
        <v>0</v>
      </c>
      <c r="AC16" s="27">
        <f t="shared" si="6"/>
        <v>0</v>
      </c>
      <c r="AD16" s="15">
        <v>0.47</v>
      </c>
      <c r="AE16" s="92"/>
      <c r="AF16" s="165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</row>
    <row r="17">
      <c r="A17" s="6">
        <v>44151.0</v>
      </c>
      <c r="B17" s="18">
        <v>1639.0</v>
      </c>
      <c r="C17" s="18">
        <v>1712.0</v>
      </c>
      <c r="D17" s="8" t="str">
        <f t="shared" si="1"/>
        <v>Jane/Sarah</v>
      </c>
      <c r="E17" s="241" t="s">
        <v>35</v>
      </c>
      <c r="F17" s="103"/>
      <c r="G17" s="21">
        <v>44151.0</v>
      </c>
      <c r="H17" s="103"/>
      <c r="I17" s="23">
        <f t="shared" si="2"/>
        <v>0</v>
      </c>
      <c r="J17" s="101"/>
      <c r="K17" s="94">
        <v>51.0</v>
      </c>
      <c r="L17" s="94"/>
      <c r="M17" s="94" t="s">
        <v>123</v>
      </c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26">
        <f t="shared" si="3"/>
        <v>0</v>
      </c>
      <c r="AA17" s="26">
        <f t="shared" si="4"/>
        <v>0</v>
      </c>
      <c r="AB17" s="27">
        <f t="shared" si="5"/>
        <v>0</v>
      </c>
      <c r="AC17" s="27">
        <f t="shared" si="6"/>
        <v>0</v>
      </c>
      <c r="AD17" s="15">
        <v>0.57</v>
      </c>
      <c r="AE17" s="98"/>
      <c r="AF17" s="245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</row>
    <row r="18">
      <c r="A18" s="6">
        <v>44152.0</v>
      </c>
      <c r="B18" s="18">
        <v>1638.0</v>
      </c>
      <c r="C18" s="18">
        <v>1711.0</v>
      </c>
      <c r="D18" s="8" t="str">
        <f t="shared" si="1"/>
        <v>Jim/John/Lena</v>
      </c>
      <c r="E18" s="241"/>
      <c r="F18" s="103"/>
      <c r="G18" s="21">
        <v>44152.0</v>
      </c>
      <c r="H18" s="103"/>
      <c r="I18" s="23">
        <f t="shared" si="2"/>
        <v>0</v>
      </c>
      <c r="J18" s="103"/>
      <c r="K18" s="88"/>
      <c r="L18" s="88"/>
      <c r="M18" s="88"/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26">
        <f t="shared" si="3"/>
        <v>0</v>
      </c>
      <c r="AA18" s="26">
        <f t="shared" si="4"/>
        <v>0</v>
      </c>
      <c r="AB18" s="27">
        <f t="shared" si="5"/>
        <v>0</v>
      </c>
      <c r="AC18" s="27">
        <f t="shared" si="6"/>
        <v>0</v>
      </c>
      <c r="AD18" s="15">
        <v>0.66</v>
      </c>
      <c r="AE18" s="4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</row>
    <row r="19">
      <c r="A19" s="6">
        <v>44153.0</v>
      </c>
      <c r="B19" s="18">
        <v>1637.0</v>
      </c>
      <c r="C19" s="18">
        <v>1710.0</v>
      </c>
      <c r="D19" s="8" t="str">
        <f t="shared" si="1"/>
        <v>Marsha/Anne</v>
      </c>
      <c r="E19" s="241"/>
      <c r="F19" s="103"/>
      <c r="G19" s="21">
        <v>44153.0</v>
      </c>
      <c r="H19" s="103"/>
      <c r="I19" s="23">
        <f t="shared" si="2"/>
        <v>0</v>
      </c>
      <c r="J19" s="94"/>
      <c r="K19" s="94"/>
      <c r="L19" s="94"/>
      <c r="M19" s="94"/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26">
        <f t="shared" si="3"/>
        <v>0</v>
      </c>
      <c r="AA19" s="26">
        <f t="shared" si="4"/>
        <v>0</v>
      </c>
      <c r="AB19" s="27">
        <f t="shared" si="5"/>
        <v>0</v>
      </c>
      <c r="AC19" s="27">
        <f t="shared" si="6"/>
        <v>0</v>
      </c>
      <c r="AD19" s="15">
        <v>0.75</v>
      </c>
      <c r="AE19" s="98"/>
      <c r="AF19" s="245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</row>
    <row r="20">
      <c r="A20" s="6">
        <v>44154.0</v>
      </c>
      <c r="B20" s="18">
        <v>1636.0</v>
      </c>
      <c r="C20" s="18">
        <v>1709.0</v>
      </c>
      <c r="D20" s="8" t="str">
        <f t="shared" si="1"/>
        <v>Shawn/Amber</v>
      </c>
      <c r="E20" s="241"/>
      <c r="F20" s="103"/>
      <c r="G20" s="21">
        <v>44154.0</v>
      </c>
      <c r="H20" s="103"/>
      <c r="I20" s="23">
        <f t="shared" si="2"/>
        <v>0</v>
      </c>
      <c r="J20" s="242"/>
      <c r="K20" s="88"/>
      <c r="L20" s="88"/>
      <c r="M20" s="88"/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26">
        <f t="shared" si="3"/>
        <v>0</v>
      </c>
      <c r="AA20" s="26">
        <f t="shared" si="4"/>
        <v>0</v>
      </c>
      <c r="AB20" s="27">
        <f t="shared" si="5"/>
        <v>0</v>
      </c>
      <c r="AC20" s="27">
        <f t="shared" si="6"/>
        <v>0</v>
      </c>
      <c r="AD20" s="15">
        <v>0.83</v>
      </c>
      <c r="AE20" s="92"/>
      <c r="AF20" s="82" t="s">
        <v>124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</row>
    <row r="21">
      <c r="A21" s="6">
        <v>44155.0</v>
      </c>
      <c r="B21" s="18">
        <v>1635.0</v>
      </c>
      <c r="C21" s="18">
        <v>1708.0</v>
      </c>
      <c r="D21" s="8" t="str">
        <f t="shared" si="1"/>
        <v>Jeff</v>
      </c>
      <c r="E21" s="241"/>
      <c r="F21" s="103"/>
      <c r="G21" s="21">
        <v>44155.0</v>
      </c>
      <c r="H21" s="103"/>
      <c r="I21" s="23">
        <f t="shared" si="2"/>
        <v>0</v>
      </c>
      <c r="J21" s="243"/>
      <c r="K21" s="94"/>
      <c r="L21" s="94"/>
      <c r="M21" s="94"/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26">
        <f t="shared" si="3"/>
        <v>0</v>
      </c>
      <c r="AA21" s="26">
        <f t="shared" si="4"/>
        <v>0</v>
      </c>
      <c r="AB21" s="27">
        <f t="shared" si="5"/>
        <v>0</v>
      </c>
      <c r="AC21" s="27">
        <f t="shared" si="6"/>
        <v>0</v>
      </c>
      <c r="AD21" s="15">
        <v>0.9</v>
      </c>
      <c r="AE21" s="98"/>
      <c r="AF21" s="245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</row>
    <row r="22">
      <c r="A22" s="6">
        <v>44156.0</v>
      </c>
      <c r="B22" s="18">
        <v>1635.0</v>
      </c>
      <c r="C22" s="18">
        <v>1707.0</v>
      </c>
      <c r="D22" s="8" t="str">
        <f t="shared" si="1"/>
        <v>Rob/Maggie</v>
      </c>
      <c r="E22" s="241"/>
      <c r="F22" s="103"/>
      <c r="G22" s="21">
        <v>44156.0</v>
      </c>
      <c r="H22" s="103"/>
      <c r="I22" s="23">
        <f t="shared" si="2"/>
        <v>0</v>
      </c>
      <c r="J22" s="242"/>
      <c r="K22" s="88"/>
      <c r="L22" s="88"/>
      <c r="M22" s="88"/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26">
        <f t="shared" si="3"/>
        <v>0</v>
      </c>
      <c r="AA22" s="26">
        <f t="shared" si="4"/>
        <v>0</v>
      </c>
      <c r="AB22" s="27">
        <f t="shared" si="5"/>
        <v>0</v>
      </c>
      <c r="AC22" s="27">
        <f t="shared" si="6"/>
        <v>0</v>
      </c>
      <c r="AD22" s="15">
        <v>0.95</v>
      </c>
      <c r="AE22" s="92"/>
      <c r="AF22" s="165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44157.0</v>
      </c>
      <c r="B23" s="18">
        <v>1634.0</v>
      </c>
      <c r="C23" s="18">
        <v>1707.0</v>
      </c>
      <c r="D23" s="8" t="str">
        <f t="shared" si="1"/>
        <v>Phil/Fred</v>
      </c>
      <c r="E23" s="241"/>
      <c r="F23" s="103"/>
      <c r="G23" s="21">
        <v>44157.0</v>
      </c>
      <c r="H23" s="103"/>
      <c r="I23" s="23">
        <f t="shared" si="2"/>
        <v>0</v>
      </c>
      <c r="J23" s="243"/>
      <c r="K23" s="94"/>
      <c r="L23" s="94"/>
      <c r="M23" s="94"/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26">
        <f t="shared" si="3"/>
        <v>0</v>
      </c>
      <c r="AA23" s="26">
        <f t="shared" si="4"/>
        <v>0</v>
      </c>
      <c r="AB23" s="27">
        <f t="shared" si="5"/>
        <v>0</v>
      </c>
      <c r="AC23" s="27">
        <f t="shared" si="6"/>
        <v>0</v>
      </c>
      <c r="AD23" s="15">
        <v>0.99</v>
      </c>
      <c r="AE23" s="98"/>
      <c r="AF23" s="245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</row>
    <row r="24">
      <c r="A24" s="6">
        <v>44158.0</v>
      </c>
      <c r="B24" s="18">
        <v>1633.0</v>
      </c>
      <c r="C24" s="18">
        <v>1706.0</v>
      </c>
      <c r="D24" s="8" t="str">
        <f t="shared" si="1"/>
        <v>Jane/Sarah</v>
      </c>
      <c r="E24" s="241" t="s">
        <v>30</v>
      </c>
      <c r="F24" s="103">
        <v>0.7395833333333334</v>
      </c>
      <c r="G24" s="21">
        <v>44158.0</v>
      </c>
      <c r="H24" s="103">
        <v>0.7430555555555556</v>
      </c>
      <c r="I24" s="23">
        <f t="shared" si="2"/>
        <v>0.08333333333</v>
      </c>
      <c r="J24" s="242"/>
      <c r="K24" s="88">
        <v>46.0</v>
      </c>
      <c r="L24" s="88"/>
      <c r="M24" s="88" t="s">
        <v>123</v>
      </c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26">
        <f t="shared" si="3"/>
        <v>0</v>
      </c>
      <c r="AA24" s="26">
        <f t="shared" si="4"/>
        <v>0</v>
      </c>
      <c r="AB24" s="27">
        <f t="shared" si="5"/>
        <v>0</v>
      </c>
      <c r="AC24" s="27">
        <f t="shared" si="6"/>
        <v>0</v>
      </c>
      <c r="AD24" s="15">
        <v>1.0</v>
      </c>
      <c r="AE24" s="92"/>
      <c r="AF24" s="165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</row>
    <row r="25">
      <c r="A25" s="6">
        <v>44159.0</v>
      </c>
      <c r="B25" s="18">
        <v>1632.0</v>
      </c>
      <c r="C25" s="18">
        <v>1705.0</v>
      </c>
      <c r="D25" s="8" t="str">
        <f t="shared" si="1"/>
        <v>Jim/John/Lena</v>
      </c>
      <c r="E25" s="241"/>
      <c r="F25" s="103"/>
      <c r="G25" s="21">
        <v>44159.0</v>
      </c>
      <c r="H25" s="103"/>
      <c r="I25" s="23">
        <f t="shared" si="2"/>
        <v>0</v>
      </c>
      <c r="J25" s="243"/>
      <c r="K25" s="94"/>
      <c r="L25" s="94"/>
      <c r="M25" s="94"/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26">
        <f t="shared" si="3"/>
        <v>0</v>
      </c>
      <c r="AA25" s="26">
        <f t="shared" si="4"/>
        <v>0</v>
      </c>
      <c r="AB25" s="27">
        <f t="shared" si="5"/>
        <v>0</v>
      </c>
      <c r="AC25" s="27">
        <f t="shared" si="6"/>
        <v>0</v>
      </c>
      <c r="AD25" s="15">
        <v>0.98</v>
      </c>
      <c r="AE25" s="98"/>
      <c r="AF25" s="245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</row>
    <row r="26">
      <c r="A26" s="6">
        <v>44160.0</v>
      </c>
      <c r="B26" s="18">
        <v>1632.0</v>
      </c>
      <c r="C26" s="18">
        <v>1705.0</v>
      </c>
      <c r="D26" s="8" t="str">
        <f t="shared" si="1"/>
        <v>Marsha/Anne</v>
      </c>
      <c r="E26" s="241"/>
      <c r="F26" s="103"/>
      <c r="G26" s="21">
        <v>44160.0</v>
      </c>
      <c r="H26" s="103"/>
      <c r="I26" s="23">
        <f t="shared" si="2"/>
        <v>0</v>
      </c>
      <c r="J26" s="242"/>
      <c r="K26" s="88"/>
      <c r="L26" s="88"/>
      <c r="M26" s="88"/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26">
        <f t="shared" si="3"/>
        <v>0</v>
      </c>
      <c r="AA26" s="26">
        <f t="shared" si="4"/>
        <v>0</v>
      </c>
      <c r="AB26" s="27">
        <f t="shared" si="5"/>
        <v>0</v>
      </c>
      <c r="AC26" s="27">
        <f t="shared" si="6"/>
        <v>0</v>
      </c>
      <c r="AD26" s="15">
        <v>0.94</v>
      </c>
      <c r="AE26" s="92"/>
      <c r="AF26" s="165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44161.0</v>
      </c>
      <c r="B27" s="18">
        <v>1631.0</v>
      </c>
      <c r="C27" s="18">
        <v>1704.0</v>
      </c>
      <c r="D27" s="8" t="str">
        <f t="shared" si="1"/>
        <v>Shawn/Amber</v>
      </c>
      <c r="E27" s="241" t="s">
        <v>35</v>
      </c>
      <c r="F27" s="103"/>
      <c r="G27" s="21">
        <v>44161.0</v>
      </c>
      <c r="H27" s="103"/>
      <c r="I27" s="23">
        <f t="shared" si="2"/>
        <v>0</v>
      </c>
      <c r="J27" s="243"/>
      <c r="K27" s="94">
        <v>50.0</v>
      </c>
      <c r="L27" s="94"/>
      <c r="M27" s="94" t="s">
        <v>125</v>
      </c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26">
        <f t="shared" si="3"/>
        <v>0</v>
      </c>
      <c r="AA27" s="26">
        <f t="shared" si="4"/>
        <v>0</v>
      </c>
      <c r="AB27" s="27">
        <f t="shared" si="5"/>
        <v>0</v>
      </c>
      <c r="AC27" s="27">
        <f t="shared" si="6"/>
        <v>0</v>
      </c>
      <c r="AD27" s="15">
        <v>0.88</v>
      </c>
      <c r="AE27" s="98"/>
      <c r="AF27" s="245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</row>
    <row r="28">
      <c r="A28" s="6">
        <v>44162.0</v>
      </c>
      <c r="B28" s="18">
        <v>1631.0</v>
      </c>
      <c r="C28" s="18">
        <v>1704.0</v>
      </c>
      <c r="D28" s="8" t="str">
        <f t="shared" si="1"/>
        <v>Jeff</v>
      </c>
      <c r="E28" s="241"/>
      <c r="F28" s="103"/>
      <c r="G28" s="21">
        <v>44162.0</v>
      </c>
      <c r="H28" s="103"/>
      <c r="I28" s="23">
        <f t="shared" si="2"/>
        <v>0</v>
      </c>
      <c r="J28" s="242"/>
      <c r="K28" s="88"/>
      <c r="L28" s="88"/>
      <c r="M28" s="88"/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26">
        <f t="shared" si="3"/>
        <v>0</v>
      </c>
      <c r="AA28" s="26">
        <f t="shared" si="4"/>
        <v>0</v>
      </c>
      <c r="AB28" s="27">
        <f t="shared" si="5"/>
        <v>0</v>
      </c>
      <c r="AC28" s="27">
        <f t="shared" si="6"/>
        <v>0</v>
      </c>
      <c r="AD28" s="15">
        <v>0.79</v>
      </c>
      <c r="AE28" s="92"/>
      <c r="AF28" s="165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</row>
    <row r="29">
      <c r="A29" s="6">
        <v>44163.0</v>
      </c>
      <c r="B29" s="18">
        <v>1630.0</v>
      </c>
      <c r="C29" s="18">
        <v>1703.0</v>
      </c>
      <c r="D29" s="8" t="str">
        <f t="shared" si="1"/>
        <v>Rob/Maggie</v>
      </c>
      <c r="E29" s="241"/>
      <c r="F29" s="103"/>
      <c r="G29" s="21">
        <v>44163.0</v>
      </c>
      <c r="H29" s="103"/>
      <c r="I29" s="23">
        <f t="shared" si="2"/>
        <v>0</v>
      </c>
      <c r="J29" s="243"/>
      <c r="K29" s="94"/>
      <c r="L29" s="94"/>
      <c r="M29" s="94"/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26">
        <f t="shared" si="3"/>
        <v>0</v>
      </c>
      <c r="AA29" s="26">
        <f t="shared" si="4"/>
        <v>0</v>
      </c>
      <c r="AB29" s="27">
        <f t="shared" si="5"/>
        <v>0</v>
      </c>
      <c r="AC29" s="27">
        <f t="shared" si="6"/>
        <v>0</v>
      </c>
      <c r="AD29" s="15">
        <v>0.69</v>
      </c>
      <c r="AE29" s="9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</row>
    <row r="30">
      <c r="A30" s="6">
        <v>44164.0</v>
      </c>
      <c r="B30" s="18">
        <v>1630.0</v>
      </c>
      <c r="C30" s="18">
        <v>1703.0</v>
      </c>
      <c r="D30" s="8" t="str">
        <f t="shared" si="1"/>
        <v>Phil/Fred</v>
      </c>
      <c r="E30" s="241"/>
      <c r="F30" s="103"/>
      <c r="G30" s="21">
        <v>44164.0</v>
      </c>
      <c r="H30" s="103"/>
      <c r="I30" s="23">
        <f t="shared" si="2"/>
        <v>0</v>
      </c>
      <c r="J30" s="242"/>
      <c r="K30" s="88"/>
      <c r="L30" s="88"/>
      <c r="M30" s="88"/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26">
        <f t="shared" si="3"/>
        <v>0</v>
      </c>
      <c r="AA30" s="26">
        <f t="shared" si="4"/>
        <v>0</v>
      </c>
      <c r="AB30" s="27">
        <f t="shared" si="5"/>
        <v>0</v>
      </c>
      <c r="AC30" s="27">
        <f t="shared" si="6"/>
        <v>0</v>
      </c>
      <c r="AD30" s="15">
        <v>0.58</v>
      </c>
      <c r="AE30" s="92"/>
      <c r="AF30" s="165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</row>
    <row r="31">
      <c r="A31" s="6">
        <v>44165.0</v>
      </c>
      <c r="B31" s="18">
        <v>1629.0</v>
      </c>
      <c r="C31" s="18">
        <v>1703.0</v>
      </c>
      <c r="D31" s="8" t="str">
        <f t="shared" si="1"/>
        <v>Jane/Sarah</v>
      </c>
      <c r="E31" s="241" t="s">
        <v>35</v>
      </c>
      <c r="F31" s="103"/>
      <c r="G31" s="21">
        <v>44165.0</v>
      </c>
      <c r="H31" s="103"/>
      <c r="I31" s="23">
        <f t="shared" si="2"/>
        <v>0</v>
      </c>
      <c r="J31" s="243"/>
      <c r="K31" s="94">
        <v>42.0</v>
      </c>
      <c r="L31" s="94"/>
      <c r="M31" s="94" t="s">
        <v>102</v>
      </c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26">
        <f t="shared" si="3"/>
        <v>0</v>
      </c>
      <c r="AA31" s="26">
        <f t="shared" si="4"/>
        <v>0</v>
      </c>
      <c r="AB31" s="27">
        <f t="shared" si="5"/>
        <v>0</v>
      </c>
      <c r="AC31" s="27">
        <f t="shared" si="6"/>
        <v>0</v>
      </c>
      <c r="AD31" s="15">
        <v>0.47</v>
      </c>
      <c r="AE31" s="98"/>
      <c r="AF31" s="245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</row>
    <row r="32">
      <c r="A32" s="26" t="s">
        <v>53</v>
      </c>
      <c r="B32" s="82"/>
      <c r="C32" t="s">
        <v>107</v>
      </c>
      <c r="D32" s="82"/>
      <c r="E32" s="247"/>
      <c r="F32" s="248"/>
      <c r="G32" s="82" t="s">
        <v>53</v>
      </c>
      <c r="H32" s="249"/>
      <c r="I32" s="26"/>
      <c r="J32" s="165"/>
      <c r="K32" s="165"/>
      <c r="L32" s="165"/>
      <c r="M32" s="165"/>
      <c r="N32" s="82" t="s">
        <v>126</v>
      </c>
      <c r="O32" s="82"/>
      <c r="P32" s="82"/>
      <c r="Q32" s="82"/>
      <c r="R32" s="82"/>
      <c r="S32" s="82"/>
      <c r="T32" s="82"/>
      <c r="U32" s="82"/>
      <c r="V32" s="82"/>
      <c r="W32" s="82"/>
      <c r="X32" s="82" t="s">
        <v>55</v>
      </c>
      <c r="Y32" s="82" t="s">
        <v>55</v>
      </c>
      <c r="Z32" s="26" t="s">
        <v>55</v>
      </c>
      <c r="AA32" s="26" t="s">
        <v>55</v>
      </c>
      <c r="AB32" s="26"/>
      <c r="AC32" s="26"/>
      <c r="AD32" s="184" t="s">
        <v>55</v>
      </c>
      <c r="AE32" s="250"/>
      <c r="AF32" s="165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>
      <c r="A33" s="82"/>
      <c r="B33" s="56"/>
      <c r="C33" s="56"/>
      <c r="D33" s="56"/>
      <c r="E33" s="53" t="s">
        <v>99</v>
      </c>
      <c r="F33" s="54"/>
      <c r="I33" s="49">
        <f t="shared" ref="I33:J33" si="7">sum(I2:I32)</f>
        <v>0.1666666667</v>
      </c>
      <c r="J33" s="49">
        <f t="shared" si="7"/>
        <v>0</v>
      </c>
      <c r="K33" s="251"/>
      <c r="L33" s="251"/>
      <c r="M33" s="56"/>
      <c r="N33" s="162">
        <f t="shared" ref="N33:AC33" si="8">sum(N2:N32)</f>
        <v>0</v>
      </c>
      <c r="O33" s="162">
        <f t="shared" si="8"/>
        <v>0</v>
      </c>
      <c r="P33" s="162">
        <f t="shared" si="8"/>
        <v>0</v>
      </c>
      <c r="Q33" s="162">
        <f t="shared" si="8"/>
        <v>0</v>
      </c>
      <c r="R33" s="162">
        <f t="shared" si="8"/>
        <v>0</v>
      </c>
      <c r="S33" s="162">
        <f t="shared" si="8"/>
        <v>0</v>
      </c>
      <c r="T33" s="162">
        <f t="shared" si="8"/>
        <v>0</v>
      </c>
      <c r="U33" s="162">
        <f t="shared" si="8"/>
        <v>0</v>
      </c>
      <c r="V33" s="162">
        <f t="shared" si="8"/>
        <v>0</v>
      </c>
      <c r="W33" s="162">
        <f t="shared" si="8"/>
        <v>0</v>
      </c>
      <c r="X33" s="162">
        <f t="shared" si="8"/>
        <v>0</v>
      </c>
      <c r="Y33" s="162">
        <f t="shared" si="8"/>
        <v>0</v>
      </c>
      <c r="Z33" s="162">
        <f t="shared" si="8"/>
        <v>0</v>
      </c>
      <c r="AA33" s="162">
        <f t="shared" si="8"/>
        <v>0</v>
      </c>
      <c r="AB33" s="162">
        <f t="shared" si="8"/>
        <v>0</v>
      </c>
      <c r="AC33" s="162">
        <f t="shared" si="8"/>
        <v>0</v>
      </c>
      <c r="AD33" s="17"/>
      <c r="AE33" s="50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</row>
    <row r="34">
      <c r="A34" s="17"/>
      <c r="B34" s="56"/>
      <c r="C34" s="56"/>
      <c r="D34" s="56"/>
      <c r="E34" s="53" t="s">
        <v>57</v>
      </c>
      <c r="F34" s="54"/>
      <c r="I34" s="55">
        <f>'November 2020'!I$33</f>
        <v>0.1666666667</v>
      </c>
      <c r="J34" s="55">
        <f>'November 2020'!J$33</f>
        <v>0</v>
      </c>
      <c r="K34" s="56"/>
      <c r="L34" s="56"/>
      <c r="M34" s="56"/>
      <c r="N34" s="57">
        <f>'November 2020'!N$33</f>
        <v>0</v>
      </c>
      <c r="O34" s="57">
        <f>'November 2020'!O$33</f>
        <v>0</v>
      </c>
      <c r="P34" s="57">
        <f>'November 2020'!P$33</f>
        <v>0</v>
      </c>
      <c r="Q34" s="57">
        <f>'November 2020'!Q$33</f>
        <v>0</v>
      </c>
      <c r="R34" s="57">
        <f>'November 2020'!R$33</f>
        <v>0</v>
      </c>
      <c r="S34" s="57">
        <f>'November 2020'!S$33</f>
        <v>0</v>
      </c>
      <c r="T34" s="57">
        <f>'November 2020'!T$33</f>
        <v>0</v>
      </c>
      <c r="U34" s="57">
        <f>'November 2020'!U$33</f>
        <v>0</v>
      </c>
      <c r="V34" s="57">
        <f>'November 2020'!V$33</f>
        <v>0</v>
      </c>
      <c r="W34" s="57">
        <f>'November 2020'!W$33</f>
        <v>0</v>
      </c>
      <c r="X34" s="57">
        <f>'November 2020'!X$33</f>
        <v>0</v>
      </c>
      <c r="Y34" s="57">
        <f>'November 2020'!Y$33</f>
        <v>0</v>
      </c>
      <c r="Z34" s="57">
        <f>'November 2020'!Z$33</f>
        <v>0</v>
      </c>
      <c r="AA34" s="57">
        <f>'November 2020'!AA$33</f>
        <v>0</v>
      </c>
      <c r="AB34" s="57">
        <f>'November 2020'!AB$33</f>
        <v>0</v>
      </c>
      <c r="AC34" s="252">
        <f>'November 2020'!AC33</f>
        <v>0</v>
      </c>
      <c r="AD34" s="17"/>
      <c r="AE34" s="50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</row>
    <row r="35">
      <c r="A35" s="17"/>
      <c r="B35" s="56"/>
      <c r="C35" s="56"/>
      <c r="D35" s="56"/>
      <c r="E35" s="53" t="s">
        <v>58</v>
      </c>
      <c r="F35" s="54"/>
      <c r="I35" s="55">
        <f>'November 2020'!I$33+'December 2020'!I$33+'January 2021'!I$33+'February 2021'!I$33+'March 2021'!I$33+'April 2021'!I$33</f>
        <v>112.6333333</v>
      </c>
      <c r="J35" s="55">
        <f>'November 2020'!J33+'December 2020'!J33+'January 2021'!J33+'February 2021'!J33+'March 2021'!J33+'April 2021'!J33</f>
        <v>474.1</v>
      </c>
      <c r="K35" s="56"/>
      <c r="L35" s="56"/>
      <c r="M35" s="56"/>
      <c r="N35" s="57">
        <f>'November 2020'!N33+'December 2020'!N33+'January 2021'!N33+'February 2021'!N33+'March 2021'!N33+'April 2021'!N33</f>
        <v>271</v>
      </c>
      <c r="O35" s="57">
        <f>'November 2020'!O33+'December 2020'!O33+'January 2021'!O33+'February 2021'!O33+'March 2021'!O33+'April 2021'!O33</f>
        <v>139</v>
      </c>
      <c r="P35" s="57">
        <f>'November 2020'!P33+'December 2020'!P33+'January 2021'!P33+'February 2021'!P33+'March 2021'!P33+'April 2021'!P33</f>
        <v>11</v>
      </c>
      <c r="Q35" s="57">
        <f>'November 2020'!Q33+'December 2020'!Q33+'January 2021'!Q33+'February 2021'!Q33+'March 2021'!Q33+'April 2021'!Q33</f>
        <v>0</v>
      </c>
      <c r="R35" s="57">
        <f>'November 2020'!R33+'December 2020'!R33+'January 2021'!R33+'February 2021'!R33+'March 2021'!R33+'April 2021'!R33</f>
        <v>147</v>
      </c>
      <c r="S35" s="57">
        <f>'November 2020'!S33+'December 2020'!S33+'January 2021'!S33+'February 2021'!S33+'March 2021'!S33+'April 2021'!S33</f>
        <v>28</v>
      </c>
      <c r="T35" s="57">
        <f>'November 2020'!T33+'December 2020'!T33+'January 2021'!T33+'February 2021'!T33+'March 2021'!T33+'April 2021'!T33</f>
        <v>8</v>
      </c>
      <c r="U35" s="57">
        <f>'November 2020'!U33+'December 2020'!U33+'January 2021'!U33+'February 2021'!U33+'March 2021'!U33+'April 2021'!U33</f>
        <v>0</v>
      </c>
      <c r="V35" s="57">
        <f>'November 2020'!V33+'December 2020'!V33+'January 2021'!V33+'February 2021'!V33+'March 2021'!V33+'April 2021'!V33</f>
        <v>10</v>
      </c>
      <c r="W35" s="57">
        <f>'November 2020'!W33+'December 2020'!W33+'January 2021'!W33+'February 2021'!W33+'March 2021'!W33+'April 2021'!W33</f>
        <v>0</v>
      </c>
      <c r="X35" s="57">
        <f>'November 2020'!X33+'December 2020'!X33+'January 2021'!X33+'February 2021'!X33+'March 2021'!X33+'April 2021'!X33</f>
        <v>0</v>
      </c>
      <c r="Y35" s="57">
        <f>'November 2020'!Y33+'December 2020'!Y33+'January 2021'!Y33+'February 2021'!Y33+'March 2021'!Y33+'April 2021'!Y33</f>
        <v>16</v>
      </c>
      <c r="Z35" s="57">
        <f>'November 2020'!Z33+'December 2020'!Z33+'January 2021'!Z33+'February 2021'!Z33+'March 2021'!Z33+'April 2021'!Z33</f>
        <v>423</v>
      </c>
      <c r="AA35" s="57">
        <f>'November 2020'!AA33+'December 2020'!AA33+'January 2021'!AA33+'February 2021'!AA33+'March 2021'!AA33+'April 2021'!AA33</f>
        <v>193</v>
      </c>
      <c r="AB35" s="57">
        <f>'November 2020'!AB33+'December 2020'!AB33+'January 2021'!AB33+'February 2021'!AB33+'March 2021'!AB33+'April 2021'!AB33</f>
        <v>412</v>
      </c>
      <c r="AC35" s="57">
        <f>'November 2020'!AC33+'December 2020'!AC33+'January 2021'!AC33+'February 2021'!AC33+'March 2021'!AC33+'April 2021'!AC33</f>
        <v>191</v>
      </c>
      <c r="AD35" s="17"/>
      <c r="AE35" s="50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</row>
    <row r="36">
      <c r="A36" s="56"/>
      <c r="B36" s="56"/>
      <c r="C36" s="56"/>
      <c r="D36" s="56"/>
      <c r="E36" s="48" t="s">
        <v>59</v>
      </c>
      <c r="F36" s="56"/>
      <c r="G36" s="56"/>
      <c r="H36" s="56"/>
      <c r="I36" s="61"/>
      <c r="J36" s="61"/>
      <c r="K36" s="62"/>
      <c r="L36" s="62"/>
      <c r="M36" s="62"/>
      <c r="N36" s="63">
        <v>811.0</v>
      </c>
      <c r="O36" s="63">
        <v>1180.0</v>
      </c>
      <c r="P36" s="63">
        <v>13.0</v>
      </c>
      <c r="Q36" s="63">
        <v>2.0</v>
      </c>
      <c r="R36" s="63">
        <v>386.0</v>
      </c>
      <c r="S36" s="63">
        <v>89.0</v>
      </c>
      <c r="T36" s="63">
        <v>35.0</v>
      </c>
      <c r="U36" s="64">
        <v>2.0</v>
      </c>
      <c r="V36" s="64">
        <v>0.0</v>
      </c>
      <c r="W36" s="64">
        <v>9.0</v>
      </c>
      <c r="X36" s="64">
        <v>7.0</v>
      </c>
      <c r="Y36" s="65">
        <v>28.0</v>
      </c>
      <c r="Z36" s="63">
        <v>2006.0</v>
      </c>
      <c r="AA36" s="63">
        <v>512.0</v>
      </c>
      <c r="AB36" s="63">
        <v>1991.0</v>
      </c>
      <c r="AC36" s="65">
        <v>475.0</v>
      </c>
      <c r="AD36" s="66"/>
      <c r="AE36" s="66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17"/>
      <c r="BM36" s="17"/>
      <c r="BN36" s="17"/>
    </row>
    <row r="37">
      <c r="A37" s="56"/>
      <c r="B37" s="56"/>
      <c r="C37" s="56"/>
      <c r="D37" s="56"/>
      <c r="E37" s="48" t="s">
        <v>60</v>
      </c>
      <c r="F37" s="56"/>
      <c r="G37" s="56"/>
      <c r="H37" s="56"/>
      <c r="I37" s="61"/>
      <c r="J37" s="61"/>
      <c r="K37" s="62"/>
      <c r="L37" s="62"/>
      <c r="M37" s="62"/>
      <c r="N37" s="63">
        <v>90.0</v>
      </c>
      <c r="O37" s="63">
        <v>1134.0</v>
      </c>
      <c r="P37" s="63">
        <v>3.0</v>
      </c>
      <c r="Q37" s="63">
        <v>4.0</v>
      </c>
      <c r="R37" s="63">
        <v>124.0</v>
      </c>
      <c r="S37" s="63">
        <v>791.0</v>
      </c>
      <c r="T37" s="63">
        <v>6.0</v>
      </c>
      <c r="U37" s="64">
        <v>17.0</v>
      </c>
      <c r="V37" s="64">
        <v>6.0</v>
      </c>
      <c r="W37" s="64">
        <v>4.0</v>
      </c>
      <c r="X37" s="64">
        <v>24.0</v>
      </c>
      <c r="Y37" s="65">
        <v>7.0</v>
      </c>
      <c r="Z37" s="63">
        <v>1231.0</v>
      </c>
      <c r="AA37" s="63">
        <v>944.0</v>
      </c>
      <c r="AB37" s="63">
        <v>1224.0</v>
      </c>
      <c r="AC37" s="65">
        <v>921.0</v>
      </c>
      <c r="AD37" s="68"/>
      <c r="AE37" s="68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17"/>
      <c r="BM37" s="17"/>
      <c r="BN37" s="17"/>
    </row>
    <row r="38">
      <c r="A38" s="56"/>
      <c r="B38" s="56"/>
      <c r="C38" s="56"/>
      <c r="D38" s="56"/>
      <c r="E38" s="48" t="s">
        <v>61</v>
      </c>
      <c r="F38" s="56"/>
      <c r="G38" s="56"/>
      <c r="H38" s="56"/>
      <c r="I38" s="56"/>
      <c r="J38" s="56"/>
      <c r="K38" s="56"/>
      <c r="L38" s="56"/>
      <c r="M38" s="56"/>
      <c r="N38" s="70"/>
      <c r="O38" s="71"/>
      <c r="P38" s="71"/>
      <c r="Q38" s="69"/>
      <c r="R38" s="69"/>
      <c r="S38" s="69"/>
      <c r="T38" s="69"/>
      <c r="U38" s="72"/>
      <c r="V38" s="73"/>
      <c r="W38" s="72"/>
      <c r="X38" s="72"/>
      <c r="Y38" s="68"/>
      <c r="Z38" s="69">
        <v>433.0</v>
      </c>
      <c r="AA38" s="69">
        <v>297.0</v>
      </c>
      <c r="AB38" s="69"/>
      <c r="AC38" s="68"/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17"/>
      <c r="BM38" s="17"/>
      <c r="BN38" s="17"/>
    </row>
    <row r="39">
      <c r="A39" s="56"/>
      <c r="B39" s="56"/>
      <c r="C39" s="56"/>
      <c r="D39" s="56"/>
      <c r="E39" s="48" t="s">
        <v>62</v>
      </c>
      <c r="F39" s="56"/>
      <c r="G39" s="56"/>
      <c r="H39" s="56"/>
      <c r="I39" s="56"/>
      <c r="J39" s="56"/>
      <c r="K39" s="56"/>
      <c r="L39" s="56"/>
      <c r="M39" s="56"/>
      <c r="N39" s="70"/>
      <c r="O39" s="71"/>
      <c r="P39" s="71"/>
      <c r="Q39" s="69"/>
      <c r="R39" s="69"/>
      <c r="S39" s="69"/>
      <c r="T39" s="69"/>
      <c r="U39" s="72"/>
      <c r="V39" s="73"/>
      <c r="W39" s="72"/>
      <c r="X39" s="72"/>
      <c r="Y39" s="68"/>
      <c r="Z39" s="69">
        <v>834.0</v>
      </c>
      <c r="AA39" s="69">
        <v>751.0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17"/>
      <c r="BM39" s="17"/>
      <c r="BN39" s="17"/>
    </row>
    <row r="40">
      <c r="A40" s="56"/>
      <c r="B40" s="56"/>
      <c r="C40" s="56"/>
      <c r="D40" s="56"/>
      <c r="E40" s="48" t="s">
        <v>63</v>
      </c>
      <c r="F40" s="56"/>
      <c r="G40" s="56"/>
      <c r="H40" s="56"/>
      <c r="I40" s="56"/>
      <c r="J40" s="56"/>
      <c r="K40" s="56"/>
      <c r="L40" s="56"/>
      <c r="M40" s="56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688.0</v>
      </c>
      <c r="AA40" s="69">
        <v>1040.0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17"/>
      <c r="BM40" s="17"/>
      <c r="BN40" s="17"/>
    </row>
    <row r="41">
      <c r="A41" s="56"/>
      <c r="B41" s="56"/>
      <c r="C41" s="56"/>
      <c r="D41" s="74"/>
      <c r="E41" s="48" t="s">
        <v>64</v>
      </c>
      <c r="F41" s="56"/>
      <c r="G41" s="56"/>
      <c r="H41" s="56"/>
      <c r="I41" s="56"/>
      <c r="J41" s="56"/>
      <c r="K41" s="56"/>
      <c r="L41" s="56"/>
      <c r="M41" s="74"/>
      <c r="N41" s="75"/>
      <c r="O41" s="60"/>
      <c r="P41" s="60"/>
      <c r="Q41" s="76"/>
      <c r="R41" s="76"/>
      <c r="S41" s="77"/>
      <c r="T41" s="77"/>
      <c r="U41" s="78"/>
      <c r="V41" s="79"/>
      <c r="W41" s="76"/>
      <c r="X41" s="76"/>
      <c r="Y41" s="80"/>
      <c r="Z41" s="76">
        <v>695.0</v>
      </c>
      <c r="AA41" s="76">
        <v>750.0</v>
      </c>
      <c r="AB41" s="76"/>
      <c r="AC41" s="80"/>
      <c r="AD41" s="80"/>
      <c r="AE41" s="80"/>
      <c r="AF41" s="48"/>
      <c r="AG41" s="48"/>
      <c r="AH41" s="48"/>
      <c r="AI41" s="48"/>
      <c r="AJ41" s="48"/>
      <c r="AK41" s="48"/>
      <c r="AL41" s="76"/>
      <c r="AM41" s="76"/>
      <c r="AN41" s="81"/>
      <c r="AO41" s="81"/>
      <c r="AP41" s="81"/>
      <c r="AQ41" s="80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17"/>
      <c r="BM41" s="17"/>
      <c r="BN41" s="17"/>
    </row>
    <row r="42">
      <c r="A42" s="56"/>
      <c r="B42" s="56"/>
      <c r="C42" s="56"/>
      <c r="D42" s="74"/>
      <c r="E42" s="48" t="s">
        <v>65</v>
      </c>
      <c r="F42" s="56"/>
      <c r="G42" s="56"/>
      <c r="H42" s="56"/>
      <c r="I42" s="56"/>
      <c r="J42" s="56"/>
      <c r="K42" s="56"/>
      <c r="L42" s="56"/>
      <c r="M42" s="74"/>
      <c r="N42" s="75"/>
      <c r="O42" s="60"/>
      <c r="P42" s="60"/>
      <c r="Q42" s="76"/>
      <c r="R42" s="76"/>
      <c r="S42" s="77"/>
      <c r="T42" s="77"/>
      <c r="U42" s="78"/>
      <c r="V42" s="79"/>
      <c r="W42" s="76"/>
      <c r="X42" s="76"/>
      <c r="Y42" s="80"/>
      <c r="Z42" s="76">
        <v>580.0</v>
      </c>
      <c r="AA42" s="76">
        <v>572.0</v>
      </c>
      <c r="AB42" s="76"/>
      <c r="AC42" s="80"/>
      <c r="AD42" s="80"/>
      <c r="AE42" s="80"/>
      <c r="AF42" s="48"/>
      <c r="AG42" s="48"/>
      <c r="AH42" s="48"/>
      <c r="AI42" s="48"/>
      <c r="AJ42" s="48"/>
      <c r="AK42" s="48"/>
      <c r="AL42" s="76"/>
      <c r="AM42" s="76"/>
      <c r="AN42" s="81"/>
      <c r="AO42" s="81"/>
      <c r="AP42" s="81"/>
      <c r="AQ42" s="80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17"/>
      <c r="BM42" s="17"/>
      <c r="BN42" s="17"/>
    </row>
    <row r="43">
      <c r="A43" s="17"/>
      <c r="B43" s="17"/>
      <c r="C43" s="17"/>
      <c r="D43" s="17"/>
      <c r="E43" s="86"/>
      <c r="F43" s="253"/>
      <c r="G43" s="253"/>
      <c r="H43" s="253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50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</row>
    <row r="44">
      <c r="A44" s="17"/>
      <c r="B44" s="17"/>
      <c r="C44" s="17"/>
      <c r="D44" s="17"/>
      <c r="E44" s="86"/>
      <c r="F44" s="253"/>
      <c r="G44" s="253"/>
      <c r="H44" s="253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50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</row>
    <row r="45">
      <c r="A45" s="17"/>
      <c r="B45" s="17"/>
      <c r="C45" s="17"/>
      <c r="D45" s="17"/>
      <c r="E45" s="86"/>
      <c r="F45" s="253"/>
      <c r="G45" s="253"/>
      <c r="H45" s="253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50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</row>
    <row r="46">
      <c r="A46" s="17"/>
      <c r="B46" s="17"/>
      <c r="C46" s="17"/>
      <c r="D46" s="17"/>
      <c r="E46" s="86"/>
      <c r="F46" s="253"/>
      <c r="G46" s="253"/>
      <c r="H46" s="253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50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</row>
    <row r="47">
      <c r="A47" s="17"/>
      <c r="B47" s="17"/>
      <c r="C47" s="17"/>
      <c r="D47" s="17"/>
      <c r="E47" s="86"/>
      <c r="F47" s="253"/>
      <c r="G47" s="253"/>
      <c r="H47" s="253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50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</row>
    <row r="48">
      <c r="A48" s="17"/>
      <c r="B48" s="17"/>
      <c r="C48" s="17"/>
      <c r="D48" s="17"/>
      <c r="E48" s="86"/>
      <c r="F48" s="253"/>
      <c r="G48" s="253"/>
      <c r="H48" s="253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50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</row>
    <row r="49">
      <c r="A49" s="17"/>
      <c r="B49" s="17"/>
      <c r="C49" s="17"/>
      <c r="D49" s="17"/>
      <c r="E49" s="86"/>
      <c r="F49" s="253"/>
      <c r="G49" s="253"/>
      <c r="H49" s="253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50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</row>
    <row r="50">
      <c r="A50" s="17"/>
      <c r="B50" s="17"/>
      <c r="C50" s="17"/>
      <c r="D50" s="17"/>
      <c r="E50" s="86"/>
      <c r="F50" s="253"/>
      <c r="G50" s="253"/>
      <c r="H50" s="253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50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</row>
    <row r="51">
      <c r="A51" s="17"/>
      <c r="B51" s="17"/>
      <c r="C51" s="17"/>
      <c r="D51" s="17"/>
      <c r="E51" s="86"/>
      <c r="F51" s="253"/>
      <c r="G51" s="253"/>
      <c r="H51" s="253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50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>
      <c r="A52" s="17"/>
      <c r="B52" s="17"/>
      <c r="C52" s="17"/>
      <c r="D52" s="17"/>
      <c r="E52" s="86"/>
      <c r="F52" s="253"/>
      <c r="G52" s="253"/>
      <c r="H52" s="253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50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</row>
    <row r="53">
      <c r="A53" s="17"/>
      <c r="B53" s="17"/>
      <c r="C53" s="17"/>
      <c r="D53" s="17"/>
      <c r="E53" s="86"/>
      <c r="F53" s="253"/>
      <c r="G53" s="253"/>
      <c r="H53" s="253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50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</row>
    <row r="54">
      <c r="A54" s="17"/>
      <c r="B54" s="17"/>
      <c r="C54" s="17"/>
      <c r="D54" s="17"/>
      <c r="E54" s="86"/>
      <c r="F54" s="253"/>
      <c r="G54" s="253"/>
      <c r="H54" s="253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50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</row>
    <row r="55">
      <c r="A55" s="17"/>
      <c r="B55" s="17"/>
      <c r="C55" s="17"/>
      <c r="D55" s="17"/>
      <c r="E55" s="86"/>
      <c r="F55" s="253"/>
      <c r="G55" s="253"/>
      <c r="H55" s="253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50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</row>
    <row r="56">
      <c r="A56" s="17"/>
      <c r="B56" s="17"/>
      <c r="C56" s="17"/>
      <c r="D56" s="17"/>
      <c r="E56" s="86"/>
      <c r="F56" s="253"/>
      <c r="G56" s="253"/>
      <c r="H56" s="253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50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</row>
    <row r="57">
      <c r="A57" s="17"/>
      <c r="B57" s="17"/>
      <c r="C57" s="17"/>
      <c r="D57" s="17"/>
      <c r="E57" s="86"/>
      <c r="F57" s="253"/>
      <c r="G57" s="253"/>
      <c r="H57" s="253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50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</row>
    <row r="58">
      <c r="A58" s="17"/>
      <c r="B58" s="17"/>
      <c r="C58" s="17"/>
      <c r="D58" s="17"/>
      <c r="E58" s="86"/>
      <c r="F58" s="253"/>
      <c r="G58" s="253"/>
      <c r="H58" s="253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50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</row>
    <row r="59">
      <c r="A59" s="17"/>
      <c r="B59" s="17"/>
      <c r="C59" s="17"/>
      <c r="D59" s="17"/>
      <c r="E59" s="86"/>
      <c r="F59" s="253"/>
      <c r="G59" s="253"/>
      <c r="H59" s="253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50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</row>
    <row r="60">
      <c r="A60" s="17"/>
      <c r="B60" s="17"/>
      <c r="C60" s="17"/>
      <c r="D60" s="17"/>
      <c r="E60" s="86"/>
      <c r="F60" s="253"/>
      <c r="G60" s="253"/>
      <c r="H60" s="253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50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</row>
    <row r="61">
      <c r="A61" s="17"/>
      <c r="B61" s="17"/>
      <c r="C61" s="17"/>
      <c r="D61" s="17"/>
      <c r="E61" s="86"/>
      <c r="F61" s="253"/>
      <c r="G61" s="253"/>
      <c r="H61" s="253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50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</row>
    <row r="62">
      <c r="A62" s="17"/>
      <c r="B62" s="17"/>
      <c r="C62" s="17"/>
      <c r="D62" s="17"/>
      <c r="E62" s="86"/>
      <c r="F62" s="253"/>
      <c r="G62" s="253"/>
      <c r="H62" s="253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50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</row>
    <row r="63">
      <c r="A63" s="17"/>
      <c r="B63" s="17"/>
      <c r="C63" s="17"/>
      <c r="D63" s="17"/>
      <c r="E63" s="86"/>
      <c r="F63" s="253"/>
      <c r="G63" s="253"/>
      <c r="H63" s="253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50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</row>
    <row r="64">
      <c r="A64" s="17"/>
      <c r="B64" s="17"/>
      <c r="C64" s="17"/>
      <c r="D64" s="17"/>
      <c r="E64" s="86"/>
      <c r="F64" s="253"/>
      <c r="G64" s="253"/>
      <c r="H64" s="253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50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</row>
    <row r="65">
      <c r="A65" s="17"/>
      <c r="B65" s="17"/>
      <c r="C65" s="17"/>
      <c r="D65" s="17"/>
      <c r="E65" s="86"/>
      <c r="F65" s="253"/>
      <c r="G65" s="253"/>
      <c r="H65" s="253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50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>
      <c r="A66" s="17"/>
      <c r="B66" s="17"/>
      <c r="C66" s="17"/>
      <c r="D66" s="17"/>
      <c r="E66" s="86"/>
      <c r="F66" s="253"/>
      <c r="G66" s="253"/>
      <c r="H66" s="253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50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</row>
    <row r="67">
      <c r="A67" s="17"/>
      <c r="B67" s="17"/>
      <c r="C67" s="17"/>
      <c r="D67" s="17"/>
      <c r="E67" s="86"/>
      <c r="F67" s="253"/>
      <c r="G67" s="253"/>
      <c r="H67" s="253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50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</row>
    <row r="68">
      <c r="A68" s="17"/>
      <c r="B68" s="17"/>
      <c r="C68" s="17"/>
      <c r="D68" s="17"/>
      <c r="E68" s="86"/>
      <c r="F68" s="253"/>
      <c r="G68" s="253"/>
      <c r="H68" s="253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50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</row>
    <row r="69">
      <c r="A69" s="17"/>
      <c r="B69" s="17"/>
      <c r="C69" s="17"/>
      <c r="D69" s="17"/>
      <c r="E69" s="86"/>
      <c r="F69" s="253"/>
      <c r="G69" s="253"/>
      <c r="H69" s="253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50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</row>
    <row r="70">
      <c r="A70" s="17"/>
      <c r="B70" s="17"/>
      <c r="C70" s="17"/>
      <c r="D70" s="17"/>
      <c r="E70" s="86"/>
      <c r="F70" s="253"/>
      <c r="G70" s="253"/>
      <c r="H70" s="253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50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</row>
    <row r="71">
      <c r="A71" s="17"/>
      <c r="B71" s="17"/>
      <c r="C71" s="17"/>
      <c r="D71" s="17"/>
      <c r="E71" s="86"/>
      <c r="F71" s="253"/>
      <c r="G71" s="253"/>
      <c r="H71" s="253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50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</row>
    <row r="72">
      <c r="A72" s="17"/>
      <c r="B72" s="17"/>
      <c r="C72" s="17"/>
      <c r="D72" s="17"/>
      <c r="E72" s="86"/>
      <c r="F72" s="253"/>
      <c r="G72" s="253"/>
      <c r="H72" s="253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50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</row>
    <row r="73">
      <c r="A73" s="17"/>
      <c r="B73" s="17"/>
      <c r="C73" s="17"/>
      <c r="D73" s="17"/>
      <c r="E73" s="86"/>
      <c r="F73" s="253"/>
      <c r="G73" s="253"/>
      <c r="H73" s="253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50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</row>
    <row r="74">
      <c r="A74" s="17"/>
      <c r="B74" s="17"/>
      <c r="C74" s="17"/>
      <c r="D74" s="17"/>
      <c r="E74" s="86"/>
      <c r="F74" s="253"/>
      <c r="G74" s="253"/>
      <c r="H74" s="253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50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</row>
    <row r="75">
      <c r="A75" s="17"/>
      <c r="B75" s="17"/>
      <c r="C75" s="17"/>
      <c r="D75" s="17"/>
      <c r="E75" s="86"/>
      <c r="F75" s="253"/>
      <c r="G75" s="253"/>
      <c r="H75" s="253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50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</row>
    <row r="76">
      <c r="A76" s="17"/>
      <c r="B76" s="17"/>
      <c r="C76" s="17"/>
      <c r="D76" s="17"/>
      <c r="E76" s="86"/>
      <c r="F76" s="253"/>
      <c r="G76" s="253"/>
      <c r="H76" s="253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50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</row>
    <row r="77">
      <c r="A77" s="17"/>
      <c r="B77" s="17"/>
      <c r="C77" s="17"/>
      <c r="D77" s="17"/>
      <c r="E77" s="86"/>
      <c r="F77" s="253"/>
      <c r="G77" s="253"/>
      <c r="H77" s="253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50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</row>
    <row r="78">
      <c r="A78" s="17"/>
      <c r="B78" s="17"/>
      <c r="C78" s="17"/>
      <c r="D78" s="17"/>
      <c r="E78" s="86"/>
      <c r="F78" s="253"/>
      <c r="G78" s="253"/>
      <c r="H78" s="253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50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</row>
    <row r="79">
      <c r="A79" s="17"/>
      <c r="B79" s="17"/>
      <c r="C79" s="17"/>
      <c r="D79" s="17"/>
      <c r="E79" s="86"/>
      <c r="F79" s="253"/>
      <c r="G79" s="253"/>
      <c r="H79" s="253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50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</row>
    <row r="80">
      <c r="A80" s="17"/>
      <c r="B80" s="17"/>
      <c r="C80" s="17"/>
      <c r="D80" s="17"/>
      <c r="E80" s="86"/>
      <c r="F80" s="253"/>
      <c r="G80" s="253"/>
      <c r="H80" s="253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50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</row>
    <row r="81">
      <c r="A81" s="17"/>
      <c r="B81" s="17"/>
      <c r="C81" s="17"/>
      <c r="D81" s="17"/>
      <c r="E81" s="86"/>
      <c r="F81" s="253"/>
      <c r="G81" s="253"/>
      <c r="H81" s="253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50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</row>
    <row r="82">
      <c r="A82" s="17"/>
      <c r="B82" s="17"/>
      <c r="C82" s="17"/>
      <c r="D82" s="17"/>
      <c r="E82" s="86"/>
      <c r="F82" s="253"/>
      <c r="G82" s="253"/>
      <c r="H82" s="253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50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</row>
    <row r="83">
      <c r="A83" s="17"/>
      <c r="B83" s="17"/>
      <c r="C83" s="17"/>
      <c r="D83" s="17"/>
      <c r="E83" s="86"/>
      <c r="F83" s="253"/>
      <c r="G83" s="253"/>
      <c r="H83" s="253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50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</row>
    <row r="84">
      <c r="A84" s="17"/>
      <c r="B84" s="17"/>
      <c r="C84" s="17"/>
      <c r="D84" s="17"/>
      <c r="E84" s="86"/>
      <c r="F84" s="253"/>
      <c r="G84" s="253"/>
      <c r="H84" s="253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50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</row>
    <row r="85">
      <c r="A85" s="17"/>
      <c r="B85" s="17"/>
      <c r="C85" s="17"/>
      <c r="D85" s="17"/>
      <c r="E85" s="86"/>
      <c r="F85" s="253"/>
      <c r="G85" s="253"/>
      <c r="H85" s="253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50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</row>
    <row r="86">
      <c r="A86" s="17"/>
      <c r="B86" s="17"/>
      <c r="C86" s="17"/>
      <c r="D86" s="17"/>
      <c r="E86" s="86"/>
      <c r="F86" s="253"/>
      <c r="G86" s="253"/>
      <c r="H86" s="253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50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</row>
    <row r="87">
      <c r="A87" s="17"/>
      <c r="B87" s="17"/>
      <c r="C87" s="17"/>
      <c r="D87" s="17"/>
      <c r="E87" s="86"/>
      <c r="F87" s="253"/>
      <c r="G87" s="253"/>
      <c r="H87" s="253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50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</row>
    <row r="88">
      <c r="A88" s="17"/>
      <c r="B88" s="17"/>
      <c r="C88" s="17"/>
      <c r="D88" s="17"/>
      <c r="E88" s="86"/>
      <c r="F88" s="253"/>
      <c r="G88" s="253"/>
      <c r="H88" s="253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50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</row>
    <row r="89">
      <c r="A89" s="17"/>
      <c r="B89" s="17"/>
      <c r="C89" s="17"/>
      <c r="D89" s="17"/>
      <c r="E89" s="86"/>
      <c r="F89" s="253"/>
      <c r="G89" s="253"/>
      <c r="H89" s="253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50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</row>
    <row r="90">
      <c r="A90" s="17"/>
      <c r="B90" s="17"/>
      <c r="C90" s="17"/>
      <c r="D90" s="17"/>
      <c r="E90" s="86"/>
      <c r="F90" s="253"/>
      <c r="G90" s="253"/>
      <c r="H90" s="253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50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</row>
    <row r="91">
      <c r="A91" s="17"/>
      <c r="B91" s="17"/>
      <c r="C91" s="17"/>
      <c r="D91" s="17"/>
      <c r="E91" s="86"/>
      <c r="F91" s="253"/>
      <c r="G91" s="253"/>
      <c r="H91" s="253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50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</row>
    <row r="92">
      <c r="A92" s="17"/>
      <c r="B92" s="17"/>
      <c r="C92" s="17"/>
      <c r="D92" s="17"/>
      <c r="E92" s="86"/>
      <c r="F92" s="253"/>
      <c r="G92" s="253"/>
      <c r="H92" s="253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50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</row>
    <row r="93">
      <c r="A93" s="17"/>
      <c r="B93" s="17"/>
      <c r="C93" s="17"/>
      <c r="D93" s="17"/>
      <c r="E93" s="86"/>
      <c r="F93" s="253"/>
      <c r="G93" s="253"/>
      <c r="H93" s="253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50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</row>
    <row r="94">
      <c r="A94" s="17"/>
      <c r="B94" s="17"/>
      <c r="C94" s="17"/>
      <c r="D94" s="17"/>
      <c r="E94" s="86"/>
      <c r="F94" s="253"/>
      <c r="G94" s="253"/>
      <c r="H94" s="253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50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</row>
    <row r="95">
      <c r="A95" s="17"/>
      <c r="B95" s="17"/>
      <c r="C95" s="17"/>
      <c r="D95" s="17"/>
      <c r="E95" s="86"/>
      <c r="F95" s="253"/>
      <c r="G95" s="253"/>
      <c r="H95" s="253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50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</row>
    <row r="96">
      <c r="A96" s="17"/>
      <c r="B96" s="17"/>
      <c r="C96" s="17"/>
      <c r="D96" s="17"/>
      <c r="E96" s="86"/>
      <c r="F96" s="253"/>
      <c r="G96" s="253"/>
      <c r="H96" s="253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50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</row>
    <row r="97">
      <c r="A97" s="17"/>
      <c r="B97" s="17"/>
      <c r="C97" s="17"/>
      <c r="D97" s="17"/>
      <c r="E97" s="86"/>
      <c r="F97" s="253"/>
      <c r="G97" s="253"/>
      <c r="H97" s="253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50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</row>
    <row r="98">
      <c r="A98" s="17"/>
      <c r="B98" s="17"/>
      <c r="C98" s="17"/>
      <c r="D98" s="17"/>
      <c r="E98" s="86"/>
      <c r="F98" s="253"/>
      <c r="G98" s="253"/>
      <c r="H98" s="253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50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</row>
    <row r="99">
      <c r="A99" s="17"/>
      <c r="B99" s="17"/>
      <c r="C99" s="17"/>
      <c r="D99" s="17"/>
      <c r="E99" s="86"/>
      <c r="F99" s="253"/>
      <c r="G99" s="253"/>
      <c r="H99" s="253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50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</row>
    <row r="100">
      <c r="A100" s="17"/>
      <c r="B100" s="17"/>
      <c r="C100" s="17"/>
      <c r="D100" s="17"/>
      <c r="E100" s="86"/>
      <c r="F100" s="253"/>
      <c r="G100" s="253"/>
      <c r="H100" s="253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50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</row>
    <row r="101">
      <c r="A101" s="17"/>
      <c r="B101" s="17"/>
      <c r="C101" s="17"/>
      <c r="D101" s="17"/>
      <c r="E101" s="86"/>
      <c r="F101" s="253"/>
      <c r="G101" s="253"/>
      <c r="H101" s="253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50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</row>
    <row r="102">
      <c r="A102" s="17"/>
      <c r="B102" s="17"/>
      <c r="C102" s="17"/>
      <c r="D102" s="17"/>
      <c r="E102" s="86"/>
      <c r="F102" s="253"/>
      <c r="G102" s="253"/>
      <c r="H102" s="253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50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</row>
    <row r="103">
      <c r="A103" s="17"/>
      <c r="B103" s="17"/>
      <c r="C103" s="17"/>
      <c r="D103" s="17"/>
      <c r="E103" s="86"/>
      <c r="F103" s="253"/>
      <c r="G103" s="253"/>
      <c r="H103" s="253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50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</row>
    <row r="104">
      <c r="A104" s="17"/>
      <c r="B104" s="17"/>
      <c r="C104" s="17"/>
      <c r="D104" s="17"/>
      <c r="E104" s="86"/>
      <c r="F104" s="253"/>
      <c r="G104" s="253"/>
      <c r="H104" s="253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50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</row>
    <row r="105">
      <c r="A105" s="17"/>
      <c r="B105" s="17"/>
      <c r="C105" s="17"/>
      <c r="D105" s="17"/>
      <c r="E105" s="86"/>
      <c r="F105" s="253"/>
      <c r="G105" s="253"/>
      <c r="H105" s="253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50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</row>
    <row r="106">
      <c r="A106" s="17"/>
      <c r="B106" s="17"/>
      <c r="C106" s="17"/>
      <c r="D106" s="17"/>
      <c r="E106" s="86"/>
      <c r="F106" s="253"/>
      <c r="G106" s="253"/>
      <c r="H106" s="253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50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</row>
    <row r="107">
      <c r="A107" s="17"/>
      <c r="B107" s="17"/>
      <c r="C107" s="17"/>
      <c r="D107" s="17"/>
      <c r="E107" s="86"/>
      <c r="F107" s="253"/>
      <c r="G107" s="253"/>
      <c r="H107" s="253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50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</row>
    <row r="108">
      <c r="A108" s="17"/>
      <c r="B108" s="17"/>
      <c r="C108" s="17"/>
      <c r="D108" s="17"/>
      <c r="E108" s="86"/>
      <c r="F108" s="253"/>
      <c r="G108" s="253"/>
      <c r="H108" s="253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50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</row>
    <row r="109">
      <c r="A109" s="17"/>
      <c r="B109" s="17"/>
      <c r="C109" s="17"/>
      <c r="D109" s="17"/>
      <c r="E109" s="86"/>
      <c r="F109" s="253"/>
      <c r="G109" s="253"/>
      <c r="H109" s="253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50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</row>
    <row r="110">
      <c r="A110" s="17"/>
      <c r="B110" s="17"/>
      <c r="C110" s="17"/>
      <c r="D110" s="17"/>
      <c r="E110" s="86"/>
      <c r="F110" s="253"/>
      <c r="G110" s="253"/>
      <c r="H110" s="253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50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</row>
    <row r="111">
      <c r="A111" s="17"/>
      <c r="B111" s="17"/>
      <c r="C111" s="17"/>
      <c r="D111" s="17"/>
      <c r="E111" s="86"/>
      <c r="F111" s="253"/>
      <c r="G111" s="253"/>
      <c r="H111" s="253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50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</row>
    <row r="112">
      <c r="A112" s="17"/>
      <c r="B112" s="17"/>
      <c r="C112" s="17"/>
      <c r="D112" s="17"/>
      <c r="E112" s="86"/>
      <c r="F112" s="253"/>
      <c r="G112" s="253"/>
      <c r="H112" s="253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50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</row>
    <row r="113">
      <c r="A113" s="17"/>
      <c r="B113" s="17"/>
      <c r="C113" s="17"/>
      <c r="D113" s="17"/>
      <c r="E113" s="86"/>
      <c r="F113" s="253"/>
      <c r="G113" s="253"/>
      <c r="H113" s="253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50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</row>
    <row r="114">
      <c r="A114" s="17"/>
      <c r="B114" s="17"/>
      <c r="C114" s="17"/>
      <c r="D114" s="17"/>
      <c r="E114" s="86"/>
      <c r="F114" s="253"/>
      <c r="G114" s="253"/>
      <c r="H114" s="253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50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</row>
    <row r="115">
      <c r="A115" s="17"/>
      <c r="B115" s="17"/>
      <c r="C115" s="17"/>
      <c r="D115" s="17"/>
      <c r="E115" s="86"/>
      <c r="F115" s="253"/>
      <c r="G115" s="253"/>
      <c r="H115" s="253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50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</row>
    <row r="116">
      <c r="A116" s="17"/>
      <c r="B116" s="17"/>
      <c r="C116" s="17"/>
      <c r="D116" s="17"/>
      <c r="E116" s="86"/>
      <c r="F116" s="253"/>
      <c r="G116" s="253"/>
      <c r="H116" s="253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50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</row>
    <row r="117">
      <c r="A117" s="17"/>
      <c r="B117" s="17"/>
      <c r="C117" s="17"/>
      <c r="D117" s="17"/>
      <c r="E117" s="86"/>
      <c r="F117" s="253"/>
      <c r="G117" s="253"/>
      <c r="H117" s="253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50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</row>
    <row r="118">
      <c r="A118" s="17"/>
      <c r="B118" s="17"/>
      <c r="C118" s="17"/>
      <c r="D118" s="17"/>
      <c r="E118" s="86"/>
      <c r="F118" s="253"/>
      <c r="G118" s="253"/>
      <c r="H118" s="253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50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</row>
    <row r="119">
      <c r="A119" s="17"/>
      <c r="B119" s="17"/>
      <c r="C119" s="17"/>
      <c r="D119" s="17"/>
      <c r="E119" s="86"/>
      <c r="F119" s="253"/>
      <c r="G119" s="253"/>
      <c r="H119" s="253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50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</row>
    <row r="120">
      <c r="A120" s="17"/>
      <c r="B120" s="17"/>
      <c r="C120" s="17"/>
      <c r="D120" s="17"/>
      <c r="E120" s="86"/>
      <c r="F120" s="253"/>
      <c r="G120" s="253"/>
      <c r="H120" s="253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50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</row>
    <row r="121">
      <c r="A121" s="17"/>
      <c r="B121" s="17"/>
      <c r="C121" s="17"/>
      <c r="D121" s="17"/>
      <c r="E121" s="86"/>
      <c r="F121" s="253"/>
      <c r="G121" s="253"/>
      <c r="H121" s="253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50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</row>
    <row r="122">
      <c r="A122" s="17"/>
      <c r="B122" s="17"/>
      <c r="C122" s="17"/>
      <c r="D122" s="17"/>
      <c r="E122" s="86"/>
      <c r="F122" s="253"/>
      <c r="G122" s="253"/>
      <c r="H122" s="253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50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</row>
    <row r="123">
      <c r="A123" s="17"/>
      <c r="B123" s="17"/>
      <c r="C123" s="17"/>
      <c r="D123" s="17"/>
      <c r="E123" s="86"/>
      <c r="F123" s="253"/>
      <c r="G123" s="253"/>
      <c r="H123" s="253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50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</row>
    <row r="124">
      <c r="A124" s="17"/>
      <c r="B124" s="17"/>
      <c r="C124" s="17"/>
      <c r="D124" s="17"/>
      <c r="E124" s="86"/>
      <c r="F124" s="253"/>
      <c r="G124" s="253"/>
      <c r="H124" s="253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50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</row>
    <row r="125">
      <c r="A125" s="17"/>
      <c r="B125" s="17"/>
      <c r="C125" s="17"/>
      <c r="D125" s="17"/>
      <c r="E125" s="86"/>
      <c r="F125" s="253"/>
      <c r="G125" s="253"/>
      <c r="H125" s="253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50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</row>
    <row r="126">
      <c r="A126" s="17"/>
      <c r="B126" s="17"/>
      <c r="C126" s="17"/>
      <c r="D126" s="17"/>
      <c r="E126" s="86"/>
      <c r="F126" s="253"/>
      <c r="G126" s="253"/>
      <c r="H126" s="253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50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</row>
    <row r="127">
      <c r="A127" s="17"/>
      <c r="B127" s="17"/>
      <c r="C127" s="17"/>
      <c r="D127" s="17"/>
      <c r="E127" s="86"/>
      <c r="F127" s="253"/>
      <c r="G127" s="253"/>
      <c r="H127" s="253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50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</row>
    <row r="128">
      <c r="A128" s="17"/>
      <c r="B128" s="17"/>
      <c r="C128" s="17"/>
      <c r="D128" s="17"/>
      <c r="E128" s="86"/>
      <c r="F128" s="253"/>
      <c r="G128" s="253"/>
      <c r="H128" s="253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50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</row>
    <row r="129">
      <c r="A129" s="17"/>
      <c r="B129" s="17"/>
      <c r="C129" s="17"/>
      <c r="D129" s="17"/>
      <c r="E129" s="86"/>
      <c r="F129" s="253"/>
      <c r="G129" s="253"/>
      <c r="H129" s="253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50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</row>
    <row r="130">
      <c r="A130" s="17"/>
      <c r="B130" s="17"/>
      <c r="C130" s="17"/>
      <c r="D130" s="17"/>
      <c r="E130" s="86"/>
      <c r="F130" s="253"/>
      <c r="G130" s="253"/>
      <c r="H130" s="253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50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</row>
    <row r="131">
      <c r="A131" s="17"/>
      <c r="B131" s="17"/>
      <c r="C131" s="17"/>
      <c r="D131" s="17"/>
      <c r="E131" s="86"/>
      <c r="F131" s="253"/>
      <c r="G131" s="253"/>
      <c r="H131" s="253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50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</row>
    <row r="132">
      <c r="A132" s="17"/>
      <c r="B132" s="17"/>
      <c r="C132" s="17"/>
      <c r="D132" s="17"/>
      <c r="E132" s="86"/>
      <c r="F132" s="253"/>
      <c r="G132" s="253"/>
      <c r="H132" s="253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50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</row>
    <row r="133">
      <c r="A133" s="17"/>
      <c r="B133" s="17"/>
      <c r="C133" s="17"/>
      <c r="D133" s="17"/>
      <c r="E133" s="86"/>
      <c r="F133" s="253"/>
      <c r="G133" s="253"/>
      <c r="H133" s="253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50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</row>
    <row r="134">
      <c r="A134" s="17"/>
      <c r="B134" s="17"/>
      <c r="C134" s="17"/>
      <c r="D134" s="17"/>
      <c r="E134" s="86"/>
      <c r="F134" s="253"/>
      <c r="G134" s="253"/>
      <c r="H134" s="253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50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</row>
    <row r="135">
      <c r="A135" s="17"/>
      <c r="B135" s="17"/>
      <c r="C135" s="17"/>
      <c r="D135" s="17"/>
      <c r="E135" s="86"/>
      <c r="F135" s="253"/>
      <c r="G135" s="253"/>
      <c r="H135" s="253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50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</row>
    <row r="136">
      <c r="A136" s="17"/>
      <c r="B136" s="17"/>
      <c r="C136" s="17"/>
      <c r="D136" s="17"/>
      <c r="E136" s="86"/>
      <c r="F136" s="253"/>
      <c r="G136" s="253"/>
      <c r="H136" s="253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50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</row>
    <row r="137">
      <c r="A137" s="17"/>
      <c r="B137" s="17"/>
      <c r="C137" s="17"/>
      <c r="D137" s="17"/>
      <c r="E137" s="86"/>
      <c r="F137" s="253"/>
      <c r="G137" s="253"/>
      <c r="H137" s="253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50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</row>
    <row r="138">
      <c r="A138" s="17"/>
      <c r="B138" s="17"/>
      <c r="C138" s="17"/>
      <c r="D138" s="17"/>
      <c r="E138" s="86"/>
      <c r="F138" s="253"/>
      <c r="G138" s="253"/>
      <c r="H138" s="253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50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</row>
    <row r="139">
      <c r="A139" s="17"/>
      <c r="B139" s="17"/>
      <c r="C139" s="17"/>
      <c r="D139" s="17"/>
      <c r="E139" s="86"/>
      <c r="F139" s="253"/>
      <c r="G139" s="253"/>
      <c r="H139" s="253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50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</row>
    <row r="140">
      <c r="A140" s="17"/>
      <c r="B140" s="17"/>
      <c r="C140" s="17"/>
      <c r="D140" s="17"/>
      <c r="E140" s="86"/>
      <c r="F140" s="253"/>
      <c r="G140" s="253"/>
      <c r="H140" s="253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50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</row>
    <row r="141">
      <c r="A141" s="17"/>
      <c r="B141" s="17"/>
      <c r="C141" s="17"/>
      <c r="D141" s="17"/>
      <c r="E141" s="86"/>
      <c r="F141" s="253"/>
      <c r="G141" s="253"/>
      <c r="H141" s="253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50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</row>
    <row r="142">
      <c r="A142" s="17"/>
      <c r="B142" s="17"/>
      <c r="C142" s="17"/>
      <c r="D142" s="17"/>
      <c r="E142" s="86"/>
      <c r="F142" s="253"/>
      <c r="G142" s="253"/>
      <c r="H142" s="253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50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</row>
    <row r="143">
      <c r="A143" s="17"/>
      <c r="B143" s="17"/>
      <c r="C143" s="17"/>
      <c r="D143" s="17"/>
      <c r="E143" s="86"/>
      <c r="F143" s="253"/>
      <c r="G143" s="253"/>
      <c r="H143" s="253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50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</row>
    <row r="144">
      <c r="A144" s="17"/>
      <c r="B144" s="17"/>
      <c r="C144" s="17"/>
      <c r="D144" s="17"/>
      <c r="E144" s="86"/>
      <c r="F144" s="253"/>
      <c r="G144" s="253"/>
      <c r="H144" s="253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50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</row>
    <row r="145">
      <c r="A145" s="17"/>
      <c r="B145" s="17"/>
      <c r="C145" s="17"/>
      <c r="D145" s="17"/>
      <c r="E145" s="86"/>
      <c r="F145" s="253"/>
      <c r="G145" s="253"/>
      <c r="H145" s="253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50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</row>
    <row r="146">
      <c r="A146" s="17"/>
      <c r="B146" s="17"/>
      <c r="C146" s="17"/>
      <c r="D146" s="17"/>
      <c r="E146" s="86"/>
      <c r="F146" s="253"/>
      <c r="G146" s="253"/>
      <c r="H146" s="253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50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</row>
    <row r="147">
      <c r="A147" s="17"/>
      <c r="B147" s="17"/>
      <c r="C147" s="17"/>
      <c r="D147" s="17"/>
      <c r="E147" s="86"/>
      <c r="F147" s="253"/>
      <c r="G147" s="253"/>
      <c r="H147" s="253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50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</row>
    <row r="148">
      <c r="A148" s="17"/>
      <c r="B148" s="17"/>
      <c r="C148" s="17"/>
      <c r="D148" s="17"/>
      <c r="E148" s="86"/>
      <c r="F148" s="253"/>
      <c r="G148" s="253"/>
      <c r="H148" s="253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50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</row>
    <row r="149">
      <c r="A149" s="17"/>
      <c r="B149" s="17"/>
      <c r="C149" s="17"/>
      <c r="D149" s="17"/>
      <c r="E149" s="86"/>
      <c r="F149" s="253"/>
      <c r="G149" s="253"/>
      <c r="H149" s="253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50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</row>
    <row r="150">
      <c r="A150" s="17"/>
      <c r="B150" s="17"/>
      <c r="C150" s="17"/>
      <c r="D150" s="17"/>
      <c r="E150" s="86"/>
      <c r="F150" s="253"/>
      <c r="G150" s="253"/>
      <c r="H150" s="253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50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</row>
    <row r="151">
      <c r="A151" s="17"/>
      <c r="B151" s="17"/>
      <c r="C151" s="17"/>
      <c r="D151" s="17"/>
      <c r="E151" s="86"/>
      <c r="F151" s="253"/>
      <c r="G151" s="253"/>
      <c r="H151" s="253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50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</row>
    <row r="152">
      <c r="A152" s="17"/>
      <c r="B152" s="17"/>
      <c r="C152" s="17"/>
      <c r="D152" s="17"/>
      <c r="E152" s="86"/>
      <c r="F152" s="253"/>
      <c r="G152" s="253"/>
      <c r="H152" s="253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50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</row>
    <row r="153">
      <c r="A153" s="17"/>
      <c r="B153" s="17"/>
      <c r="C153" s="17"/>
      <c r="D153" s="17"/>
      <c r="E153" s="86"/>
      <c r="F153" s="253"/>
      <c r="G153" s="253"/>
      <c r="H153" s="253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50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</row>
    <row r="154">
      <c r="A154" s="17"/>
      <c r="B154" s="17"/>
      <c r="C154" s="17"/>
      <c r="D154" s="17"/>
      <c r="E154" s="86"/>
      <c r="F154" s="253"/>
      <c r="G154" s="253"/>
      <c r="H154" s="253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50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</row>
    <row r="155">
      <c r="A155" s="17"/>
      <c r="B155" s="17"/>
      <c r="C155" s="17"/>
      <c r="D155" s="17"/>
      <c r="E155" s="86"/>
      <c r="F155" s="253"/>
      <c r="G155" s="253"/>
      <c r="H155" s="253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50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</row>
    <row r="156">
      <c r="A156" s="17"/>
      <c r="B156" s="17"/>
      <c r="C156" s="17"/>
      <c r="D156" s="17"/>
      <c r="E156" s="86"/>
      <c r="F156" s="253"/>
      <c r="G156" s="253"/>
      <c r="H156" s="253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50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</row>
    <row r="157">
      <c r="A157" s="17"/>
      <c r="B157" s="17"/>
      <c r="C157" s="17"/>
      <c r="D157" s="17"/>
      <c r="E157" s="86"/>
      <c r="F157" s="253"/>
      <c r="G157" s="253"/>
      <c r="H157" s="253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50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</row>
    <row r="158">
      <c r="A158" s="17"/>
      <c r="B158" s="17"/>
      <c r="C158" s="17"/>
      <c r="D158" s="17"/>
      <c r="E158" s="86"/>
      <c r="F158" s="253"/>
      <c r="G158" s="253"/>
      <c r="H158" s="253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50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</row>
    <row r="159">
      <c r="A159" s="17"/>
      <c r="B159" s="17"/>
      <c r="C159" s="17"/>
      <c r="D159" s="17"/>
      <c r="E159" s="86"/>
      <c r="F159" s="253"/>
      <c r="G159" s="253"/>
      <c r="H159" s="253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50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</row>
    <row r="160">
      <c r="A160" s="17"/>
      <c r="B160" s="17"/>
      <c r="C160" s="17"/>
      <c r="D160" s="17"/>
      <c r="E160" s="86"/>
      <c r="F160" s="253"/>
      <c r="G160" s="253"/>
      <c r="H160" s="253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50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</row>
    <row r="161">
      <c r="A161" s="17"/>
      <c r="B161" s="17"/>
      <c r="C161" s="17"/>
      <c r="D161" s="17"/>
      <c r="E161" s="86"/>
      <c r="F161" s="253"/>
      <c r="G161" s="253"/>
      <c r="H161" s="253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50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</row>
    <row r="162">
      <c r="A162" s="17"/>
      <c r="B162" s="17"/>
      <c r="C162" s="17"/>
      <c r="D162" s="17"/>
      <c r="E162" s="86"/>
      <c r="F162" s="253"/>
      <c r="G162" s="253"/>
      <c r="H162" s="253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50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</row>
    <row r="163">
      <c r="A163" s="17"/>
      <c r="B163" s="17"/>
      <c r="C163" s="17"/>
      <c r="D163" s="17"/>
      <c r="E163" s="86"/>
      <c r="F163" s="253"/>
      <c r="G163" s="253"/>
      <c r="H163" s="253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50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</row>
    <row r="164">
      <c r="A164" s="17"/>
      <c r="B164" s="17"/>
      <c r="C164" s="17"/>
      <c r="D164" s="17"/>
      <c r="E164" s="86"/>
      <c r="F164" s="253"/>
      <c r="G164" s="253"/>
      <c r="H164" s="253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50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</row>
    <row r="165">
      <c r="A165" s="17"/>
      <c r="B165" s="17"/>
      <c r="C165" s="17"/>
      <c r="D165" s="17"/>
      <c r="E165" s="86"/>
      <c r="F165" s="253"/>
      <c r="G165" s="253"/>
      <c r="H165" s="253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50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</row>
    <row r="166">
      <c r="A166" s="17"/>
      <c r="B166" s="17"/>
      <c r="C166" s="17"/>
      <c r="D166" s="17"/>
      <c r="E166" s="86"/>
      <c r="F166" s="253"/>
      <c r="G166" s="253"/>
      <c r="H166" s="253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50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</row>
    <row r="167">
      <c r="A167" s="17"/>
      <c r="B167" s="17"/>
      <c r="C167" s="17"/>
      <c r="D167" s="17"/>
      <c r="E167" s="86"/>
      <c r="F167" s="253"/>
      <c r="G167" s="253"/>
      <c r="H167" s="253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50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</row>
    <row r="168">
      <c r="A168" s="17"/>
      <c r="B168" s="17"/>
      <c r="C168" s="17"/>
      <c r="D168" s="17"/>
      <c r="E168" s="86"/>
      <c r="F168" s="253"/>
      <c r="G168" s="253"/>
      <c r="H168" s="253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50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</row>
    <row r="169">
      <c r="A169" s="17"/>
      <c r="B169" s="17"/>
      <c r="C169" s="17"/>
      <c r="D169" s="17"/>
      <c r="E169" s="86"/>
      <c r="F169" s="253"/>
      <c r="G169" s="253"/>
      <c r="H169" s="253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50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</row>
    <row r="170">
      <c r="A170" s="17"/>
      <c r="B170" s="17"/>
      <c r="C170" s="17"/>
      <c r="D170" s="17"/>
      <c r="E170" s="86"/>
      <c r="F170" s="253"/>
      <c r="G170" s="253"/>
      <c r="H170" s="253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50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</row>
    <row r="171">
      <c r="A171" s="17"/>
      <c r="B171" s="17"/>
      <c r="C171" s="17"/>
      <c r="D171" s="17"/>
      <c r="E171" s="86"/>
      <c r="F171" s="253"/>
      <c r="G171" s="253"/>
      <c r="H171" s="253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50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</row>
    <row r="172">
      <c r="A172" s="17"/>
      <c r="B172" s="17"/>
      <c r="C172" s="17"/>
      <c r="D172" s="17"/>
      <c r="E172" s="86"/>
      <c r="F172" s="253"/>
      <c r="G172" s="253"/>
      <c r="H172" s="253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50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</row>
    <row r="173">
      <c r="A173" s="17"/>
      <c r="B173" s="17"/>
      <c r="C173" s="17"/>
      <c r="D173" s="17"/>
      <c r="E173" s="86"/>
      <c r="F173" s="253"/>
      <c r="G173" s="253"/>
      <c r="H173" s="253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50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</row>
    <row r="174">
      <c r="A174" s="17"/>
      <c r="B174" s="17"/>
      <c r="C174" s="17"/>
      <c r="D174" s="17"/>
      <c r="E174" s="86"/>
      <c r="F174" s="253"/>
      <c r="G174" s="253"/>
      <c r="H174" s="253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50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</row>
    <row r="175">
      <c r="A175" s="17"/>
      <c r="B175" s="17"/>
      <c r="C175" s="17"/>
      <c r="D175" s="17"/>
      <c r="E175" s="86"/>
      <c r="F175" s="253"/>
      <c r="G175" s="253"/>
      <c r="H175" s="253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50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</row>
    <row r="176">
      <c r="A176" s="17"/>
      <c r="B176" s="17"/>
      <c r="C176" s="17"/>
      <c r="D176" s="17"/>
      <c r="E176" s="86"/>
      <c r="F176" s="253"/>
      <c r="G176" s="253"/>
      <c r="H176" s="253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50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</row>
    <row r="177">
      <c r="A177" s="17"/>
      <c r="B177" s="17"/>
      <c r="C177" s="17"/>
      <c r="D177" s="17"/>
      <c r="E177" s="86"/>
      <c r="F177" s="253"/>
      <c r="G177" s="253"/>
      <c r="H177" s="253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50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</row>
    <row r="178">
      <c r="A178" s="17"/>
      <c r="B178" s="17"/>
      <c r="C178" s="17"/>
      <c r="D178" s="17"/>
      <c r="E178" s="86"/>
      <c r="F178" s="253"/>
      <c r="G178" s="253"/>
      <c r="H178" s="253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50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</row>
    <row r="179">
      <c r="A179" s="17"/>
      <c r="B179" s="17"/>
      <c r="C179" s="17"/>
      <c r="D179" s="17"/>
      <c r="E179" s="86"/>
      <c r="F179" s="253"/>
      <c r="G179" s="253"/>
      <c r="H179" s="253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50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</row>
    <row r="180">
      <c r="A180" s="17"/>
      <c r="B180" s="17"/>
      <c r="C180" s="17"/>
      <c r="D180" s="17"/>
      <c r="E180" s="86"/>
      <c r="F180" s="253"/>
      <c r="G180" s="253"/>
      <c r="H180" s="253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50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</row>
    <row r="181">
      <c r="A181" s="17"/>
      <c r="B181" s="17"/>
      <c r="C181" s="17"/>
      <c r="D181" s="17"/>
      <c r="E181" s="86"/>
      <c r="F181" s="253"/>
      <c r="G181" s="253"/>
      <c r="H181" s="253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50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</row>
    <row r="182">
      <c r="A182" s="17"/>
      <c r="B182" s="17"/>
      <c r="C182" s="17"/>
      <c r="D182" s="17"/>
      <c r="E182" s="86"/>
      <c r="F182" s="253"/>
      <c r="G182" s="253"/>
      <c r="H182" s="253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50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</row>
    <row r="183">
      <c r="A183" s="17"/>
      <c r="B183" s="17"/>
      <c r="C183" s="17"/>
      <c r="D183" s="17"/>
      <c r="E183" s="86"/>
      <c r="F183" s="253"/>
      <c r="G183" s="253"/>
      <c r="H183" s="253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50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</row>
    <row r="184">
      <c r="A184" s="17"/>
      <c r="B184" s="17"/>
      <c r="C184" s="17"/>
      <c r="D184" s="17"/>
      <c r="E184" s="86"/>
      <c r="F184" s="253"/>
      <c r="G184" s="253"/>
      <c r="H184" s="253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50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</row>
    <row r="185">
      <c r="A185" s="17"/>
      <c r="B185" s="17"/>
      <c r="C185" s="17"/>
      <c r="D185" s="17"/>
      <c r="E185" s="86"/>
      <c r="F185" s="253"/>
      <c r="G185" s="253"/>
      <c r="H185" s="253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50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</row>
    <row r="186">
      <c r="A186" s="17"/>
      <c r="B186" s="17"/>
      <c r="C186" s="17"/>
      <c r="D186" s="17"/>
      <c r="E186" s="86"/>
      <c r="F186" s="253"/>
      <c r="G186" s="253"/>
      <c r="H186" s="253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50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</row>
    <row r="187">
      <c r="A187" s="17"/>
      <c r="B187" s="17"/>
      <c r="C187" s="17"/>
      <c r="D187" s="17"/>
      <c r="E187" s="86"/>
      <c r="F187" s="253"/>
      <c r="G187" s="253"/>
      <c r="H187" s="253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50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</row>
    <row r="188">
      <c r="A188" s="17"/>
      <c r="B188" s="17"/>
      <c r="C188" s="17"/>
      <c r="D188" s="17"/>
      <c r="E188" s="86"/>
      <c r="F188" s="253"/>
      <c r="G188" s="253"/>
      <c r="H188" s="253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50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</row>
    <row r="189">
      <c r="A189" s="17"/>
      <c r="B189" s="17"/>
      <c r="C189" s="17"/>
      <c r="D189" s="17"/>
      <c r="E189" s="86"/>
      <c r="F189" s="253"/>
      <c r="G189" s="253"/>
      <c r="H189" s="253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50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</row>
    <row r="190">
      <c r="A190" s="17"/>
      <c r="B190" s="17"/>
      <c r="C190" s="17"/>
      <c r="D190" s="17"/>
      <c r="E190" s="86"/>
      <c r="F190" s="253"/>
      <c r="G190" s="253"/>
      <c r="H190" s="253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50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</row>
    <row r="191">
      <c r="A191" s="17"/>
      <c r="B191" s="17"/>
      <c r="C191" s="17"/>
      <c r="D191" s="17"/>
      <c r="E191" s="86"/>
      <c r="F191" s="253"/>
      <c r="G191" s="253"/>
      <c r="H191" s="253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50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</row>
    <row r="192">
      <c r="A192" s="17"/>
      <c r="B192" s="17"/>
      <c r="C192" s="17"/>
      <c r="D192" s="17"/>
      <c r="E192" s="86"/>
      <c r="F192" s="253"/>
      <c r="G192" s="253"/>
      <c r="H192" s="253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50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</row>
    <row r="193">
      <c r="A193" s="17"/>
      <c r="B193" s="17"/>
      <c r="C193" s="17"/>
      <c r="D193" s="17"/>
      <c r="E193" s="86"/>
      <c r="F193" s="253"/>
      <c r="G193" s="253"/>
      <c r="H193" s="253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50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</row>
    <row r="194">
      <c r="A194" s="17"/>
      <c r="B194" s="17"/>
      <c r="C194" s="17"/>
      <c r="D194" s="17"/>
      <c r="E194" s="86"/>
      <c r="F194" s="253"/>
      <c r="G194" s="253"/>
      <c r="H194" s="253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50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</row>
    <row r="195">
      <c r="A195" s="17"/>
      <c r="B195" s="17"/>
      <c r="C195" s="17"/>
      <c r="D195" s="17"/>
      <c r="E195" s="86"/>
      <c r="F195" s="253"/>
      <c r="G195" s="253"/>
      <c r="H195" s="253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50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</row>
    <row r="196">
      <c r="A196" s="17"/>
      <c r="B196" s="17"/>
      <c r="C196" s="17"/>
      <c r="D196" s="17"/>
      <c r="E196" s="86"/>
      <c r="F196" s="253"/>
      <c r="G196" s="253"/>
      <c r="H196" s="253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50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</row>
    <row r="197">
      <c r="A197" s="17"/>
      <c r="B197" s="17"/>
      <c r="C197" s="17"/>
      <c r="D197" s="17"/>
      <c r="E197" s="86"/>
      <c r="F197" s="253"/>
      <c r="G197" s="253"/>
      <c r="H197" s="253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50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</row>
    <row r="198">
      <c r="A198" s="17"/>
      <c r="B198" s="17"/>
      <c r="C198" s="17"/>
      <c r="D198" s="17"/>
      <c r="E198" s="86"/>
      <c r="F198" s="253"/>
      <c r="G198" s="253"/>
      <c r="H198" s="253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50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</row>
    <row r="199">
      <c r="A199" s="17"/>
      <c r="B199" s="17"/>
      <c r="C199" s="17"/>
      <c r="D199" s="17"/>
      <c r="E199" s="86"/>
      <c r="F199" s="253"/>
      <c r="G199" s="253"/>
      <c r="H199" s="253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50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</row>
    <row r="200">
      <c r="A200" s="17"/>
      <c r="B200" s="17"/>
      <c r="C200" s="17"/>
      <c r="D200" s="17"/>
      <c r="E200" s="86"/>
      <c r="F200" s="253"/>
      <c r="G200" s="253"/>
      <c r="H200" s="253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50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</row>
    <row r="201">
      <c r="A201" s="17"/>
      <c r="B201" s="17"/>
      <c r="C201" s="17"/>
      <c r="D201" s="17"/>
      <c r="E201" s="86"/>
      <c r="F201" s="253"/>
      <c r="G201" s="253"/>
      <c r="H201" s="253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50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</row>
    <row r="202">
      <c r="A202" s="17"/>
      <c r="B202" s="17"/>
      <c r="C202" s="17"/>
      <c r="D202" s="17"/>
      <c r="E202" s="86"/>
      <c r="F202" s="253"/>
      <c r="G202" s="253"/>
      <c r="H202" s="253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50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</row>
    <row r="203">
      <c r="A203" s="17"/>
      <c r="B203" s="17"/>
      <c r="C203" s="17"/>
      <c r="D203" s="17"/>
      <c r="E203" s="86"/>
      <c r="F203" s="253"/>
      <c r="G203" s="253"/>
      <c r="H203" s="253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50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</row>
    <row r="204">
      <c r="A204" s="17"/>
      <c r="B204" s="17"/>
      <c r="C204" s="17"/>
      <c r="D204" s="17"/>
      <c r="E204" s="86"/>
      <c r="F204" s="253"/>
      <c r="G204" s="253"/>
      <c r="H204" s="253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50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</row>
    <row r="205">
      <c r="A205" s="17"/>
      <c r="B205" s="17"/>
      <c r="C205" s="17"/>
      <c r="D205" s="17"/>
      <c r="E205" s="86"/>
      <c r="F205" s="253"/>
      <c r="G205" s="253"/>
      <c r="H205" s="253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50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</row>
    <row r="206">
      <c r="A206" s="17"/>
      <c r="B206" s="17"/>
      <c r="C206" s="17"/>
      <c r="D206" s="17"/>
      <c r="E206" s="86"/>
      <c r="F206" s="253"/>
      <c r="G206" s="253"/>
      <c r="H206" s="253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50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</row>
    <row r="207">
      <c r="A207" s="17"/>
      <c r="B207" s="17"/>
      <c r="C207" s="17"/>
      <c r="D207" s="17"/>
      <c r="E207" s="86"/>
      <c r="F207" s="253"/>
      <c r="G207" s="253"/>
      <c r="H207" s="253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50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</row>
    <row r="208">
      <c r="A208" s="17"/>
      <c r="B208" s="17"/>
      <c r="C208" s="17"/>
      <c r="D208" s="17"/>
      <c r="E208" s="86"/>
      <c r="F208" s="253"/>
      <c r="G208" s="253"/>
      <c r="H208" s="253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50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</row>
    <row r="209">
      <c r="A209" s="17"/>
      <c r="B209" s="17"/>
      <c r="C209" s="17"/>
      <c r="D209" s="17"/>
      <c r="E209" s="86"/>
      <c r="F209" s="253"/>
      <c r="G209" s="253"/>
      <c r="H209" s="253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50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</row>
    <row r="210">
      <c r="A210" s="17"/>
      <c r="B210" s="17"/>
      <c r="C210" s="17"/>
      <c r="D210" s="17"/>
      <c r="E210" s="86"/>
      <c r="F210" s="253"/>
      <c r="G210" s="253"/>
      <c r="H210" s="253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50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</row>
    <row r="211">
      <c r="A211" s="17"/>
      <c r="B211" s="17"/>
      <c r="C211" s="17"/>
      <c r="D211" s="17"/>
      <c r="E211" s="86"/>
      <c r="F211" s="253"/>
      <c r="G211" s="253"/>
      <c r="H211" s="253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50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</row>
    <row r="212">
      <c r="A212" s="17"/>
      <c r="B212" s="17"/>
      <c r="C212" s="17"/>
      <c r="D212" s="17"/>
      <c r="E212" s="86"/>
      <c r="F212" s="253"/>
      <c r="G212" s="253"/>
      <c r="H212" s="253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50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</row>
    <row r="213">
      <c r="A213" s="17"/>
      <c r="B213" s="17"/>
      <c r="C213" s="17"/>
      <c r="D213" s="17"/>
      <c r="E213" s="86"/>
      <c r="F213" s="253"/>
      <c r="G213" s="253"/>
      <c r="H213" s="253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50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</row>
    <row r="214">
      <c r="A214" s="17"/>
      <c r="B214" s="17"/>
      <c r="C214" s="17"/>
      <c r="D214" s="17"/>
      <c r="E214" s="86"/>
      <c r="F214" s="253"/>
      <c r="G214" s="253"/>
      <c r="H214" s="253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50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</row>
    <row r="215">
      <c r="A215" s="17"/>
      <c r="B215" s="17"/>
      <c r="C215" s="17"/>
      <c r="D215" s="17"/>
      <c r="E215" s="86"/>
      <c r="F215" s="253"/>
      <c r="G215" s="253"/>
      <c r="H215" s="253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50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</row>
    <row r="216">
      <c r="A216" s="17"/>
      <c r="B216" s="17"/>
      <c r="C216" s="17"/>
      <c r="D216" s="17"/>
      <c r="E216" s="86"/>
      <c r="F216" s="253"/>
      <c r="G216" s="253"/>
      <c r="H216" s="253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50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</row>
    <row r="217">
      <c r="A217" s="17"/>
      <c r="B217" s="17"/>
      <c r="C217" s="17"/>
      <c r="D217" s="17"/>
      <c r="E217" s="86"/>
      <c r="F217" s="253"/>
      <c r="G217" s="253"/>
      <c r="H217" s="253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50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</row>
    <row r="218">
      <c r="A218" s="17"/>
      <c r="B218" s="17"/>
      <c r="C218" s="17"/>
      <c r="D218" s="17"/>
      <c r="E218" s="86"/>
      <c r="F218" s="253"/>
      <c r="G218" s="253"/>
      <c r="H218" s="253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50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</row>
    <row r="219">
      <c r="A219" s="17"/>
      <c r="B219" s="17"/>
      <c r="C219" s="17"/>
      <c r="D219" s="17"/>
      <c r="E219" s="86"/>
      <c r="F219" s="253"/>
      <c r="G219" s="253"/>
      <c r="H219" s="253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50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</row>
    <row r="220">
      <c r="A220" s="17"/>
      <c r="B220" s="17"/>
      <c r="C220" s="17"/>
      <c r="D220" s="17"/>
      <c r="E220" s="86"/>
      <c r="F220" s="253"/>
      <c r="G220" s="253"/>
      <c r="H220" s="253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50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</row>
    <row r="221">
      <c r="A221" s="17"/>
      <c r="B221" s="17"/>
      <c r="C221" s="17"/>
      <c r="D221" s="17"/>
      <c r="E221" s="86"/>
      <c r="F221" s="253"/>
      <c r="G221" s="253"/>
      <c r="H221" s="253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50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</row>
    <row r="222">
      <c r="A222" s="17"/>
      <c r="B222" s="17"/>
      <c r="C222" s="17"/>
      <c r="D222" s="17"/>
      <c r="E222" s="86"/>
      <c r="F222" s="253"/>
      <c r="G222" s="253"/>
      <c r="H222" s="253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50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</row>
    <row r="223">
      <c r="A223" s="17"/>
      <c r="B223" s="17"/>
      <c r="C223" s="17"/>
      <c r="D223" s="17"/>
      <c r="E223" s="86"/>
      <c r="F223" s="253"/>
      <c r="G223" s="253"/>
      <c r="H223" s="253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50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</row>
    <row r="224">
      <c r="A224" s="17"/>
      <c r="B224" s="17"/>
      <c r="C224" s="17"/>
      <c r="D224" s="17"/>
      <c r="E224" s="86"/>
      <c r="F224" s="253"/>
      <c r="G224" s="253"/>
      <c r="H224" s="253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50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</row>
    <row r="225">
      <c r="A225" s="17"/>
      <c r="B225" s="17"/>
      <c r="C225" s="17"/>
      <c r="D225" s="17"/>
      <c r="E225" s="86"/>
      <c r="F225" s="253"/>
      <c r="G225" s="253"/>
      <c r="H225" s="253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50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</row>
    <row r="226">
      <c r="A226" s="17"/>
      <c r="B226" s="17"/>
      <c r="C226" s="17"/>
      <c r="D226" s="17"/>
      <c r="E226" s="86"/>
      <c r="F226" s="253"/>
      <c r="G226" s="253"/>
      <c r="H226" s="253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50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</row>
    <row r="227">
      <c r="A227" s="17"/>
      <c r="B227" s="17"/>
      <c r="C227" s="17"/>
      <c r="D227" s="17"/>
      <c r="E227" s="86"/>
      <c r="F227" s="253"/>
      <c r="G227" s="253"/>
      <c r="H227" s="253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50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</row>
    <row r="228">
      <c r="A228" s="17"/>
      <c r="B228" s="17"/>
      <c r="C228" s="17"/>
      <c r="D228" s="17"/>
      <c r="E228" s="86"/>
      <c r="F228" s="253"/>
      <c r="G228" s="253"/>
      <c r="H228" s="253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50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</row>
    <row r="229">
      <c r="A229" s="17"/>
      <c r="B229" s="17"/>
      <c r="C229" s="17"/>
      <c r="D229" s="17"/>
      <c r="E229" s="86"/>
      <c r="F229" s="253"/>
      <c r="G229" s="253"/>
      <c r="H229" s="253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50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</row>
    <row r="230">
      <c r="A230" s="17"/>
      <c r="B230" s="17"/>
      <c r="C230" s="17"/>
      <c r="D230" s="17"/>
      <c r="E230" s="86"/>
      <c r="F230" s="253"/>
      <c r="G230" s="253"/>
      <c r="H230" s="253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50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</row>
    <row r="231">
      <c r="A231" s="17"/>
      <c r="B231" s="17"/>
      <c r="C231" s="17"/>
      <c r="D231" s="17"/>
      <c r="E231" s="86"/>
      <c r="F231" s="253"/>
      <c r="G231" s="253"/>
      <c r="H231" s="253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50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</row>
    <row r="232">
      <c r="A232" s="17"/>
      <c r="B232" s="17"/>
      <c r="C232" s="17"/>
      <c r="D232" s="17"/>
      <c r="E232" s="86"/>
      <c r="F232" s="253"/>
      <c r="G232" s="253"/>
      <c r="H232" s="253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50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</row>
    <row r="233">
      <c r="A233" s="17"/>
      <c r="B233" s="17"/>
      <c r="C233" s="17"/>
      <c r="D233" s="17"/>
      <c r="E233" s="86"/>
      <c r="F233" s="253"/>
      <c r="G233" s="253"/>
      <c r="H233" s="253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50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</row>
    <row r="234">
      <c r="A234" s="17"/>
      <c r="B234" s="17"/>
      <c r="C234" s="17"/>
      <c r="D234" s="17"/>
      <c r="E234" s="86"/>
      <c r="F234" s="253"/>
      <c r="G234" s="253"/>
      <c r="H234" s="253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50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</row>
    <row r="235">
      <c r="A235" s="17"/>
      <c r="B235" s="17"/>
      <c r="C235" s="17"/>
      <c r="D235" s="17"/>
      <c r="E235" s="86"/>
      <c r="F235" s="253"/>
      <c r="G235" s="253"/>
      <c r="H235" s="253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50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</row>
    <row r="236">
      <c r="A236" s="17"/>
      <c r="B236" s="17"/>
      <c r="C236" s="17"/>
      <c r="D236" s="17"/>
      <c r="E236" s="86"/>
      <c r="F236" s="253"/>
      <c r="G236" s="253"/>
      <c r="H236" s="253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50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</row>
    <row r="237">
      <c r="A237" s="17"/>
      <c r="B237" s="17"/>
      <c r="C237" s="17"/>
      <c r="D237" s="17"/>
      <c r="E237" s="86"/>
      <c r="F237" s="253"/>
      <c r="G237" s="253"/>
      <c r="H237" s="253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50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</row>
    <row r="238">
      <c r="A238" s="17"/>
      <c r="B238" s="17"/>
      <c r="C238" s="17"/>
      <c r="D238" s="17"/>
      <c r="E238" s="86"/>
      <c r="F238" s="253"/>
      <c r="G238" s="253"/>
      <c r="H238" s="253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50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</row>
    <row r="239">
      <c r="A239" s="17"/>
      <c r="B239" s="17"/>
      <c r="C239" s="17"/>
      <c r="D239" s="17"/>
      <c r="E239" s="86"/>
      <c r="F239" s="253"/>
      <c r="G239" s="253"/>
      <c r="H239" s="253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50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</row>
    <row r="240">
      <c r="A240" s="17"/>
      <c r="B240" s="17"/>
      <c r="C240" s="17"/>
      <c r="D240" s="17"/>
      <c r="E240" s="86"/>
      <c r="F240" s="253"/>
      <c r="G240" s="253"/>
      <c r="H240" s="253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50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</row>
    <row r="241">
      <c r="A241" s="17"/>
      <c r="B241" s="17"/>
      <c r="C241" s="17"/>
      <c r="D241" s="17"/>
      <c r="E241" s="86"/>
      <c r="F241" s="253"/>
      <c r="G241" s="253"/>
      <c r="H241" s="253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50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</row>
    <row r="242">
      <c r="A242" s="17"/>
      <c r="B242" s="17"/>
      <c r="C242" s="17"/>
      <c r="D242" s="17"/>
      <c r="E242" s="86"/>
      <c r="F242" s="253"/>
      <c r="G242" s="253"/>
      <c r="H242" s="253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50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</row>
    <row r="243">
      <c r="A243" s="17"/>
      <c r="B243" s="17"/>
      <c r="C243" s="17"/>
      <c r="D243" s="17"/>
      <c r="E243" s="86"/>
      <c r="F243" s="253"/>
      <c r="G243" s="253"/>
      <c r="H243" s="253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50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</row>
    <row r="244">
      <c r="A244" s="17"/>
      <c r="B244" s="17"/>
      <c r="C244" s="17"/>
      <c r="D244" s="17"/>
      <c r="E244" s="86"/>
      <c r="F244" s="253"/>
      <c r="G244" s="253"/>
      <c r="H244" s="253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50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</row>
    <row r="245">
      <c r="A245" s="17"/>
      <c r="B245" s="17"/>
      <c r="C245" s="17"/>
      <c r="D245" s="17"/>
      <c r="E245" s="86"/>
      <c r="F245" s="253"/>
      <c r="G245" s="253"/>
      <c r="H245" s="253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50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</row>
    <row r="246">
      <c r="A246" s="17"/>
      <c r="B246" s="17"/>
      <c r="C246" s="17"/>
      <c r="D246" s="17"/>
      <c r="E246" s="86"/>
      <c r="F246" s="253"/>
      <c r="G246" s="253"/>
      <c r="H246" s="253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50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</row>
    <row r="247">
      <c r="A247" s="17"/>
      <c r="B247" s="17"/>
      <c r="C247" s="17"/>
      <c r="D247" s="17"/>
      <c r="E247" s="86"/>
      <c r="F247" s="253"/>
      <c r="G247" s="253"/>
      <c r="H247" s="253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50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</row>
    <row r="248">
      <c r="A248" s="17"/>
      <c r="B248" s="17"/>
      <c r="C248" s="17"/>
      <c r="D248" s="17"/>
      <c r="E248" s="86"/>
      <c r="F248" s="253"/>
      <c r="G248" s="253"/>
      <c r="H248" s="253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50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</row>
    <row r="249">
      <c r="A249" s="17"/>
      <c r="B249" s="17"/>
      <c r="C249" s="17"/>
      <c r="D249" s="17"/>
      <c r="E249" s="86"/>
      <c r="F249" s="253"/>
      <c r="G249" s="253"/>
      <c r="H249" s="253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50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</row>
    <row r="250">
      <c r="A250" s="17"/>
      <c r="B250" s="17"/>
      <c r="C250" s="17"/>
      <c r="D250" s="17"/>
      <c r="E250" s="86"/>
      <c r="F250" s="253"/>
      <c r="G250" s="253"/>
      <c r="H250" s="253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50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</row>
    <row r="251">
      <c r="A251" s="17"/>
      <c r="B251" s="17"/>
      <c r="C251" s="17"/>
      <c r="D251" s="17"/>
      <c r="E251" s="86"/>
      <c r="F251" s="253"/>
      <c r="G251" s="253"/>
      <c r="H251" s="253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50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</row>
    <row r="252">
      <c r="A252" s="17"/>
      <c r="B252" s="17"/>
      <c r="C252" s="17"/>
      <c r="D252" s="17"/>
      <c r="E252" s="86"/>
      <c r="F252" s="253"/>
      <c r="G252" s="253"/>
      <c r="H252" s="253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50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</row>
    <row r="253">
      <c r="A253" s="17"/>
      <c r="B253" s="17"/>
      <c r="C253" s="17"/>
      <c r="D253" s="17"/>
      <c r="E253" s="86"/>
      <c r="F253" s="253"/>
      <c r="G253" s="253"/>
      <c r="H253" s="253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50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</row>
    <row r="254">
      <c r="A254" s="17"/>
      <c r="B254" s="17"/>
      <c r="C254" s="17"/>
      <c r="D254" s="17"/>
      <c r="E254" s="86"/>
      <c r="F254" s="253"/>
      <c r="G254" s="253"/>
      <c r="H254" s="253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50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</row>
    <row r="255">
      <c r="A255" s="17"/>
      <c r="B255" s="17"/>
      <c r="C255" s="17"/>
      <c r="D255" s="17"/>
      <c r="E255" s="86"/>
      <c r="F255" s="253"/>
      <c r="G255" s="253"/>
      <c r="H255" s="253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50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</row>
    <row r="256">
      <c r="A256" s="17"/>
      <c r="B256" s="17"/>
      <c r="C256" s="17"/>
      <c r="D256" s="17"/>
      <c r="E256" s="86"/>
      <c r="F256" s="253"/>
      <c r="G256" s="253"/>
      <c r="H256" s="253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50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</row>
    <row r="257">
      <c r="A257" s="17"/>
      <c r="B257" s="17"/>
      <c r="C257" s="17"/>
      <c r="D257" s="17"/>
      <c r="E257" s="86"/>
      <c r="F257" s="253"/>
      <c r="G257" s="253"/>
      <c r="H257" s="253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50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</row>
    <row r="258">
      <c r="A258" s="17"/>
      <c r="B258" s="17"/>
      <c r="C258" s="17"/>
      <c r="D258" s="17"/>
      <c r="E258" s="86"/>
      <c r="F258" s="253"/>
      <c r="G258" s="253"/>
      <c r="H258" s="253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50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</row>
    <row r="259">
      <c r="A259" s="17"/>
      <c r="B259" s="17"/>
      <c r="C259" s="17"/>
      <c r="D259" s="17"/>
      <c r="E259" s="86"/>
      <c r="F259" s="253"/>
      <c r="G259" s="253"/>
      <c r="H259" s="253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50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</row>
    <row r="260">
      <c r="A260" s="17"/>
      <c r="B260" s="17"/>
      <c r="C260" s="17"/>
      <c r="D260" s="17"/>
      <c r="E260" s="86"/>
      <c r="F260" s="253"/>
      <c r="G260" s="253"/>
      <c r="H260" s="253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50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</row>
    <row r="261">
      <c r="A261" s="17"/>
      <c r="B261" s="17"/>
      <c r="C261" s="17"/>
      <c r="D261" s="17"/>
      <c r="E261" s="86"/>
      <c r="F261" s="253"/>
      <c r="G261" s="253"/>
      <c r="H261" s="253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50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</row>
    <row r="262">
      <c r="A262" s="17"/>
      <c r="B262" s="17"/>
      <c r="C262" s="17"/>
      <c r="D262" s="17"/>
      <c r="E262" s="86"/>
      <c r="F262" s="253"/>
      <c r="G262" s="253"/>
      <c r="H262" s="253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50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</row>
    <row r="263">
      <c r="A263" s="17"/>
      <c r="B263" s="17"/>
      <c r="C263" s="17"/>
      <c r="D263" s="17"/>
      <c r="E263" s="86"/>
      <c r="F263" s="253"/>
      <c r="G263" s="253"/>
      <c r="H263" s="253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50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</row>
    <row r="264">
      <c r="A264" s="17"/>
      <c r="B264" s="17"/>
      <c r="C264" s="17"/>
      <c r="D264" s="17"/>
      <c r="E264" s="86"/>
      <c r="F264" s="253"/>
      <c r="G264" s="253"/>
      <c r="H264" s="253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50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</row>
    <row r="265">
      <c r="A265" s="17"/>
      <c r="B265" s="17"/>
      <c r="C265" s="17"/>
      <c r="D265" s="17"/>
      <c r="E265" s="86"/>
      <c r="F265" s="253"/>
      <c r="G265" s="253"/>
      <c r="H265" s="253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50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</row>
    <row r="266">
      <c r="A266" s="17"/>
      <c r="B266" s="17"/>
      <c r="C266" s="17"/>
      <c r="D266" s="17"/>
      <c r="E266" s="86"/>
      <c r="F266" s="253"/>
      <c r="G266" s="253"/>
      <c r="H266" s="253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50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</row>
    <row r="267">
      <c r="A267" s="17"/>
      <c r="B267" s="17"/>
      <c r="C267" s="17"/>
      <c r="D267" s="17"/>
      <c r="E267" s="86"/>
      <c r="F267" s="253"/>
      <c r="G267" s="253"/>
      <c r="H267" s="253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50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</row>
    <row r="268">
      <c r="A268" s="17"/>
      <c r="B268" s="17"/>
      <c r="C268" s="17"/>
      <c r="D268" s="17"/>
      <c r="E268" s="86"/>
      <c r="F268" s="253"/>
      <c r="G268" s="253"/>
      <c r="H268" s="253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50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</row>
    <row r="269">
      <c r="A269" s="17"/>
      <c r="B269" s="17"/>
      <c r="C269" s="17"/>
      <c r="D269" s="17"/>
      <c r="E269" s="86"/>
      <c r="F269" s="253"/>
      <c r="G269" s="253"/>
      <c r="H269" s="253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50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</row>
    <row r="270">
      <c r="A270" s="17"/>
      <c r="B270" s="17"/>
      <c r="C270" s="17"/>
      <c r="D270" s="17"/>
      <c r="E270" s="86"/>
      <c r="F270" s="253"/>
      <c r="G270" s="253"/>
      <c r="H270" s="253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50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</row>
    <row r="271">
      <c r="A271" s="17"/>
      <c r="B271" s="17"/>
      <c r="C271" s="17"/>
      <c r="D271" s="17"/>
      <c r="E271" s="86"/>
      <c r="F271" s="253"/>
      <c r="G271" s="253"/>
      <c r="H271" s="253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50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</row>
    <row r="272">
      <c r="A272" s="17"/>
      <c r="B272" s="17"/>
      <c r="C272" s="17"/>
      <c r="D272" s="17"/>
      <c r="E272" s="86"/>
      <c r="F272" s="253"/>
      <c r="G272" s="253"/>
      <c r="H272" s="253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50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</row>
    <row r="273">
      <c r="A273" s="17"/>
      <c r="B273" s="17"/>
      <c r="C273" s="17"/>
      <c r="D273" s="17"/>
      <c r="E273" s="86"/>
      <c r="F273" s="253"/>
      <c r="G273" s="253"/>
      <c r="H273" s="253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50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</row>
    <row r="274">
      <c r="A274" s="17"/>
      <c r="B274" s="17"/>
      <c r="C274" s="17"/>
      <c r="D274" s="17"/>
      <c r="E274" s="86"/>
      <c r="F274" s="253"/>
      <c r="G274" s="253"/>
      <c r="H274" s="253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50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</row>
    <row r="275">
      <c r="A275" s="17"/>
      <c r="B275" s="17"/>
      <c r="C275" s="17"/>
      <c r="D275" s="17"/>
      <c r="E275" s="86"/>
      <c r="F275" s="253"/>
      <c r="G275" s="253"/>
      <c r="H275" s="253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50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</row>
    <row r="276">
      <c r="A276" s="17"/>
      <c r="B276" s="17"/>
      <c r="C276" s="17"/>
      <c r="D276" s="17"/>
      <c r="E276" s="86"/>
      <c r="F276" s="253"/>
      <c r="G276" s="253"/>
      <c r="H276" s="253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50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</row>
    <row r="277">
      <c r="A277" s="17"/>
      <c r="B277" s="17"/>
      <c r="C277" s="17"/>
      <c r="D277" s="17"/>
      <c r="E277" s="86"/>
      <c r="F277" s="253"/>
      <c r="G277" s="253"/>
      <c r="H277" s="253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50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</row>
    <row r="278">
      <c r="A278" s="17"/>
      <c r="B278" s="17"/>
      <c r="C278" s="17"/>
      <c r="D278" s="17"/>
      <c r="E278" s="86"/>
      <c r="F278" s="253"/>
      <c r="G278" s="253"/>
      <c r="H278" s="253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50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</row>
    <row r="279">
      <c r="A279" s="17"/>
      <c r="B279" s="17"/>
      <c r="C279" s="17"/>
      <c r="D279" s="17"/>
      <c r="E279" s="86"/>
      <c r="F279" s="253"/>
      <c r="G279" s="253"/>
      <c r="H279" s="253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50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</row>
    <row r="280">
      <c r="A280" s="17"/>
      <c r="B280" s="17"/>
      <c r="C280" s="17"/>
      <c r="D280" s="17"/>
      <c r="E280" s="86"/>
      <c r="F280" s="253"/>
      <c r="G280" s="253"/>
      <c r="H280" s="253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50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</row>
    <row r="281">
      <c r="A281" s="17"/>
      <c r="B281" s="17"/>
      <c r="C281" s="17"/>
      <c r="D281" s="17"/>
      <c r="E281" s="86"/>
      <c r="F281" s="253"/>
      <c r="G281" s="253"/>
      <c r="H281" s="253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50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</row>
    <row r="282">
      <c r="A282" s="17"/>
      <c r="B282" s="17"/>
      <c r="C282" s="17"/>
      <c r="D282" s="17"/>
      <c r="E282" s="86"/>
      <c r="F282" s="253"/>
      <c r="G282" s="253"/>
      <c r="H282" s="253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50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</row>
    <row r="283">
      <c r="A283" s="17"/>
      <c r="B283" s="17"/>
      <c r="C283" s="17"/>
      <c r="D283" s="17"/>
      <c r="E283" s="86"/>
      <c r="F283" s="253"/>
      <c r="G283" s="253"/>
      <c r="H283" s="253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50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</row>
    <row r="284">
      <c r="A284" s="17"/>
      <c r="B284" s="17"/>
      <c r="C284" s="17"/>
      <c r="D284" s="17"/>
      <c r="E284" s="86"/>
      <c r="F284" s="253"/>
      <c r="G284" s="253"/>
      <c r="H284" s="253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50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</row>
    <row r="285">
      <c r="A285" s="17"/>
      <c r="B285" s="17"/>
      <c r="C285" s="17"/>
      <c r="D285" s="17"/>
      <c r="E285" s="86"/>
      <c r="F285" s="253"/>
      <c r="G285" s="253"/>
      <c r="H285" s="253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50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</row>
    <row r="286">
      <c r="A286" s="17"/>
      <c r="B286" s="17"/>
      <c r="C286" s="17"/>
      <c r="D286" s="17"/>
      <c r="E286" s="86"/>
      <c r="F286" s="253"/>
      <c r="G286" s="253"/>
      <c r="H286" s="253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50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</row>
    <row r="287">
      <c r="A287" s="17"/>
      <c r="B287" s="17"/>
      <c r="C287" s="17"/>
      <c r="D287" s="17"/>
      <c r="E287" s="86"/>
      <c r="F287" s="253"/>
      <c r="G287" s="253"/>
      <c r="H287" s="253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50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</row>
    <row r="288">
      <c r="A288" s="17"/>
      <c r="B288" s="17"/>
      <c r="C288" s="17"/>
      <c r="D288" s="17"/>
      <c r="E288" s="86"/>
      <c r="F288" s="253"/>
      <c r="G288" s="253"/>
      <c r="H288" s="253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50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</row>
    <row r="289">
      <c r="A289" s="17"/>
      <c r="B289" s="17"/>
      <c r="C289" s="17"/>
      <c r="D289" s="17"/>
      <c r="E289" s="86"/>
      <c r="F289" s="253"/>
      <c r="G289" s="253"/>
      <c r="H289" s="253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50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</row>
    <row r="290">
      <c r="A290" s="17"/>
      <c r="B290" s="17"/>
      <c r="C290" s="17"/>
      <c r="D290" s="17"/>
      <c r="E290" s="86"/>
      <c r="F290" s="253"/>
      <c r="G290" s="253"/>
      <c r="H290" s="253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50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</row>
    <row r="291">
      <c r="A291" s="17"/>
      <c r="B291" s="17"/>
      <c r="C291" s="17"/>
      <c r="D291" s="17"/>
      <c r="E291" s="86"/>
      <c r="F291" s="253"/>
      <c r="G291" s="253"/>
      <c r="H291" s="253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50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</row>
    <row r="292">
      <c r="A292" s="17"/>
      <c r="B292" s="17"/>
      <c r="C292" s="17"/>
      <c r="D292" s="17"/>
      <c r="E292" s="86"/>
      <c r="F292" s="253"/>
      <c r="G292" s="253"/>
      <c r="H292" s="253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50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</row>
    <row r="293">
      <c r="A293" s="17"/>
      <c r="B293" s="17"/>
      <c r="C293" s="17"/>
      <c r="D293" s="17"/>
      <c r="E293" s="86"/>
      <c r="F293" s="253"/>
      <c r="G293" s="253"/>
      <c r="H293" s="253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50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</row>
    <row r="294">
      <c r="A294" s="17"/>
      <c r="B294" s="17"/>
      <c r="C294" s="17"/>
      <c r="D294" s="17"/>
      <c r="E294" s="86"/>
      <c r="F294" s="253"/>
      <c r="G294" s="253"/>
      <c r="H294" s="253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50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</row>
    <row r="295">
      <c r="A295" s="17"/>
      <c r="B295" s="17"/>
      <c r="C295" s="17"/>
      <c r="D295" s="17"/>
      <c r="E295" s="86"/>
      <c r="F295" s="253"/>
      <c r="G295" s="253"/>
      <c r="H295" s="253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50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</row>
    <row r="296">
      <c r="A296" s="17"/>
      <c r="B296" s="17"/>
      <c r="C296" s="17"/>
      <c r="D296" s="17"/>
      <c r="E296" s="86"/>
      <c r="F296" s="253"/>
      <c r="G296" s="253"/>
      <c r="H296" s="253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50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</row>
    <row r="297">
      <c r="A297" s="17"/>
      <c r="B297" s="17"/>
      <c r="C297" s="17"/>
      <c r="D297" s="17"/>
      <c r="E297" s="86"/>
      <c r="F297" s="253"/>
      <c r="G297" s="253"/>
      <c r="H297" s="253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50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</row>
    <row r="298">
      <c r="A298" s="17"/>
      <c r="B298" s="17"/>
      <c r="C298" s="17"/>
      <c r="D298" s="17"/>
      <c r="E298" s="86"/>
      <c r="F298" s="253"/>
      <c r="G298" s="253"/>
      <c r="H298" s="253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50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</row>
    <row r="299">
      <c r="A299" s="17"/>
      <c r="B299" s="17"/>
      <c r="C299" s="17"/>
      <c r="D299" s="17"/>
      <c r="E299" s="86"/>
      <c r="F299" s="253"/>
      <c r="G299" s="253"/>
      <c r="H299" s="253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50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</row>
    <row r="300">
      <c r="A300" s="17"/>
      <c r="B300" s="17"/>
      <c r="C300" s="17"/>
      <c r="D300" s="17"/>
      <c r="E300" s="86"/>
      <c r="F300" s="253"/>
      <c r="G300" s="253"/>
      <c r="H300" s="253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50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</row>
    <row r="301">
      <c r="A301" s="17"/>
      <c r="B301" s="17"/>
      <c r="C301" s="17"/>
      <c r="D301" s="17"/>
      <c r="E301" s="86"/>
      <c r="F301" s="253"/>
      <c r="G301" s="253"/>
      <c r="H301" s="253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50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</row>
    <row r="302">
      <c r="A302" s="17"/>
      <c r="B302" s="17"/>
      <c r="C302" s="17"/>
      <c r="D302" s="17"/>
      <c r="E302" s="86"/>
      <c r="F302" s="253"/>
      <c r="G302" s="253"/>
      <c r="H302" s="253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50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</row>
    <row r="303">
      <c r="A303" s="17"/>
      <c r="B303" s="17"/>
      <c r="C303" s="17"/>
      <c r="D303" s="17"/>
      <c r="E303" s="86"/>
      <c r="F303" s="253"/>
      <c r="G303" s="253"/>
      <c r="H303" s="253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50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</row>
    <row r="304">
      <c r="A304" s="17"/>
      <c r="B304" s="17"/>
      <c r="C304" s="17"/>
      <c r="D304" s="17"/>
      <c r="E304" s="86"/>
      <c r="F304" s="253"/>
      <c r="G304" s="253"/>
      <c r="H304" s="253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50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</row>
    <row r="305">
      <c r="A305" s="17"/>
      <c r="B305" s="17"/>
      <c r="C305" s="17"/>
      <c r="D305" s="17"/>
      <c r="E305" s="86"/>
      <c r="F305" s="253"/>
      <c r="G305" s="253"/>
      <c r="H305" s="253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50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</row>
    <row r="306">
      <c r="A306" s="17"/>
      <c r="B306" s="17"/>
      <c r="C306" s="17"/>
      <c r="D306" s="17"/>
      <c r="E306" s="86"/>
      <c r="F306" s="253"/>
      <c r="G306" s="253"/>
      <c r="H306" s="253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50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</row>
    <row r="307">
      <c r="A307" s="17"/>
      <c r="B307" s="17"/>
      <c r="C307" s="17"/>
      <c r="D307" s="17"/>
      <c r="E307" s="86"/>
      <c r="F307" s="253"/>
      <c r="G307" s="253"/>
      <c r="H307" s="253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50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</row>
    <row r="308">
      <c r="A308" s="17"/>
      <c r="B308" s="17"/>
      <c r="C308" s="17"/>
      <c r="D308" s="17"/>
      <c r="E308" s="86"/>
      <c r="F308" s="253"/>
      <c r="G308" s="253"/>
      <c r="H308" s="253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50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</row>
    <row r="309">
      <c r="A309" s="17"/>
      <c r="B309" s="17"/>
      <c r="C309" s="17"/>
      <c r="D309" s="17"/>
      <c r="E309" s="86"/>
      <c r="F309" s="253"/>
      <c r="G309" s="253"/>
      <c r="H309" s="253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50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</row>
    <row r="310">
      <c r="A310" s="17"/>
      <c r="B310" s="17"/>
      <c r="C310" s="17"/>
      <c r="D310" s="17"/>
      <c r="E310" s="86"/>
      <c r="F310" s="253"/>
      <c r="G310" s="253"/>
      <c r="H310" s="253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50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</row>
    <row r="311">
      <c r="A311" s="17"/>
      <c r="B311" s="17"/>
      <c r="C311" s="17"/>
      <c r="D311" s="17"/>
      <c r="E311" s="86"/>
      <c r="F311" s="253"/>
      <c r="G311" s="253"/>
      <c r="H311" s="253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50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</row>
    <row r="312">
      <c r="A312" s="17"/>
      <c r="B312" s="17"/>
      <c r="C312" s="17"/>
      <c r="D312" s="17"/>
      <c r="E312" s="86"/>
      <c r="F312" s="253"/>
      <c r="G312" s="253"/>
      <c r="H312" s="253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50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</row>
    <row r="313">
      <c r="A313" s="17"/>
      <c r="B313" s="17"/>
      <c r="C313" s="17"/>
      <c r="D313" s="17"/>
      <c r="E313" s="86"/>
      <c r="F313" s="253"/>
      <c r="G313" s="253"/>
      <c r="H313" s="253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50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</row>
    <row r="314">
      <c r="A314" s="17"/>
      <c r="B314" s="17"/>
      <c r="C314" s="17"/>
      <c r="D314" s="17"/>
      <c r="E314" s="86"/>
      <c r="F314" s="253"/>
      <c r="G314" s="253"/>
      <c r="H314" s="253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50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</row>
    <row r="315">
      <c r="A315" s="17"/>
      <c r="B315" s="17"/>
      <c r="C315" s="17"/>
      <c r="D315" s="17"/>
      <c r="E315" s="86"/>
      <c r="F315" s="253"/>
      <c r="G315" s="253"/>
      <c r="H315" s="253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50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</row>
    <row r="316">
      <c r="A316" s="17"/>
      <c r="B316" s="17"/>
      <c r="C316" s="17"/>
      <c r="D316" s="17"/>
      <c r="E316" s="86"/>
      <c r="F316" s="253"/>
      <c r="G316" s="253"/>
      <c r="H316" s="253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50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</row>
    <row r="317">
      <c r="A317" s="17"/>
      <c r="B317" s="17"/>
      <c r="C317" s="17"/>
      <c r="D317" s="17"/>
      <c r="E317" s="86"/>
      <c r="F317" s="253"/>
      <c r="G317" s="253"/>
      <c r="H317" s="253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50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</row>
    <row r="318">
      <c r="A318" s="17"/>
      <c r="B318" s="17"/>
      <c r="C318" s="17"/>
      <c r="D318" s="17"/>
      <c r="E318" s="86"/>
      <c r="F318" s="253"/>
      <c r="G318" s="253"/>
      <c r="H318" s="253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50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</row>
    <row r="319">
      <c r="A319" s="17"/>
      <c r="B319" s="17"/>
      <c r="C319" s="17"/>
      <c r="D319" s="17"/>
      <c r="E319" s="86"/>
      <c r="F319" s="253"/>
      <c r="G319" s="253"/>
      <c r="H319" s="253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50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</row>
    <row r="320">
      <c r="A320" s="17"/>
      <c r="B320" s="17"/>
      <c r="C320" s="17"/>
      <c r="D320" s="17"/>
      <c r="E320" s="86"/>
      <c r="F320" s="253"/>
      <c r="G320" s="253"/>
      <c r="H320" s="253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50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</row>
    <row r="321">
      <c r="A321" s="17"/>
      <c r="B321" s="17"/>
      <c r="C321" s="17"/>
      <c r="D321" s="17"/>
      <c r="E321" s="86"/>
      <c r="F321" s="253"/>
      <c r="G321" s="253"/>
      <c r="H321" s="253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50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</row>
    <row r="322">
      <c r="A322" s="17"/>
      <c r="B322" s="17"/>
      <c r="C322" s="17"/>
      <c r="D322" s="17"/>
      <c r="E322" s="86"/>
      <c r="F322" s="253"/>
      <c r="G322" s="253"/>
      <c r="H322" s="253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50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</row>
    <row r="323">
      <c r="A323" s="17"/>
      <c r="B323" s="17"/>
      <c r="C323" s="17"/>
      <c r="D323" s="17"/>
      <c r="E323" s="86"/>
      <c r="F323" s="253"/>
      <c r="G323" s="253"/>
      <c r="H323" s="253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50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</row>
    <row r="324">
      <c r="A324" s="17"/>
      <c r="B324" s="17"/>
      <c r="C324" s="17"/>
      <c r="D324" s="17"/>
      <c r="E324" s="86"/>
      <c r="F324" s="253"/>
      <c r="G324" s="253"/>
      <c r="H324" s="253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50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</row>
    <row r="325">
      <c r="A325" s="17"/>
      <c r="B325" s="17"/>
      <c r="C325" s="17"/>
      <c r="D325" s="17"/>
      <c r="E325" s="86"/>
      <c r="F325" s="253"/>
      <c r="G325" s="253"/>
      <c r="H325" s="253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50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</row>
    <row r="326">
      <c r="A326" s="17"/>
      <c r="B326" s="17"/>
      <c r="C326" s="17"/>
      <c r="D326" s="17"/>
      <c r="E326" s="86"/>
      <c r="F326" s="253"/>
      <c r="G326" s="253"/>
      <c r="H326" s="253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50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</row>
    <row r="327">
      <c r="A327" s="17"/>
      <c r="B327" s="17"/>
      <c r="C327" s="17"/>
      <c r="D327" s="17"/>
      <c r="E327" s="86"/>
      <c r="F327" s="253"/>
      <c r="G327" s="253"/>
      <c r="H327" s="253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50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</row>
    <row r="328">
      <c r="A328" s="17"/>
      <c r="B328" s="17"/>
      <c r="C328" s="17"/>
      <c r="D328" s="17"/>
      <c r="E328" s="86"/>
      <c r="F328" s="253"/>
      <c r="G328" s="253"/>
      <c r="H328" s="253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50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</row>
    <row r="329">
      <c r="A329" s="17"/>
      <c r="B329" s="17"/>
      <c r="C329" s="17"/>
      <c r="D329" s="17"/>
      <c r="E329" s="86"/>
      <c r="F329" s="253"/>
      <c r="G329" s="253"/>
      <c r="H329" s="253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50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</row>
    <row r="330">
      <c r="A330" s="17"/>
      <c r="B330" s="17"/>
      <c r="C330" s="17"/>
      <c r="D330" s="17"/>
      <c r="E330" s="86"/>
      <c r="F330" s="253"/>
      <c r="G330" s="253"/>
      <c r="H330" s="253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50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</row>
    <row r="331">
      <c r="A331" s="17"/>
      <c r="B331" s="17"/>
      <c r="C331" s="17"/>
      <c r="D331" s="17"/>
      <c r="E331" s="86"/>
      <c r="F331" s="253"/>
      <c r="G331" s="253"/>
      <c r="H331" s="253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50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</row>
    <row r="332">
      <c r="A332" s="17"/>
      <c r="B332" s="17"/>
      <c r="C332" s="17"/>
      <c r="D332" s="17"/>
      <c r="E332" s="86"/>
      <c r="F332" s="253"/>
      <c r="G332" s="253"/>
      <c r="H332" s="253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50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</row>
    <row r="333">
      <c r="A333" s="17"/>
      <c r="B333" s="17"/>
      <c r="C333" s="17"/>
      <c r="D333" s="17"/>
      <c r="E333" s="86"/>
      <c r="F333" s="253"/>
      <c r="G333" s="253"/>
      <c r="H333" s="253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50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</row>
    <row r="334">
      <c r="A334" s="17"/>
      <c r="B334" s="17"/>
      <c r="C334" s="17"/>
      <c r="D334" s="17"/>
      <c r="E334" s="86"/>
      <c r="F334" s="253"/>
      <c r="G334" s="253"/>
      <c r="H334" s="253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50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</row>
    <row r="335">
      <c r="A335" s="17"/>
      <c r="B335" s="17"/>
      <c r="C335" s="17"/>
      <c r="D335" s="17"/>
      <c r="E335" s="86"/>
      <c r="F335" s="253"/>
      <c r="G335" s="253"/>
      <c r="H335" s="253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50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</row>
    <row r="336">
      <c r="A336" s="17"/>
      <c r="B336" s="17"/>
      <c r="C336" s="17"/>
      <c r="D336" s="17"/>
      <c r="E336" s="86"/>
      <c r="F336" s="253"/>
      <c r="G336" s="253"/>
      <c r="H336" s="253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50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</row>
    <row r="337">
      <c r="A337" s="17"/>
      <c r="B337" s="17"/>
      <c r="C337" s="17"/>
      <c r="D337" s="17"/>
      <c r="E337" s="86"/>
      <c r="F337" s="253"/>
      <c r="G337" s="253"/>
      <c r="H337" s="253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50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</row>
    <row r="338">
      <c r="A338" s="17"/>
      <c r="B338" s="17"/>
      <c r="C338" s="17"/>
      <c r="D338" s="17"/>
      <c r="E338" s="86"/>
      <c r="F338" s="253"/>
      <c r="G338" s="253"/>
      <c r="H338" s="253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50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</row>
    <row r="339">
      <c r="A339" s="17"/>
      <c r="B339" s="17"/>
      <c r="C339" s="17"/>
      <c r="D339" s="17"/>
      <c r="E339" s="86"/>
      <c r="F339" s="253"/>
      <c r="G339" s="253"/>
      <c r="H339" s="253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50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</row>
    <row r="340">
      <c r="A340" s="17"/>
      <c r="B340" s="17"/>
      <c r="C340" s="17"/>
      <c r="D340" s="17"/>
      <c r="E340" s="86"/>
      <c r="F340" s="253"/>
      <c r="G340" s="253"/>
      <c r="H340" s="253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50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</row>
    <row r="341">
      <c r="A341" s="17"/>
      <c r="B341" s="17"/>
      <c r="C341" s="17"/>
      <c r="D341" s="17"/>
      <c r="E341" s="86"/>
      <c r="F341" s="253"/>
      <c r="G341" s="253"/>
      <c r="H341" s="253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50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</row>
    <row r="342">
      <c r="A342" s="17"/>
      <c r="B342" s="17"/>
      <c r="C342" s="17"/>
      <c r="D342" s="17"/>
      <c r="E342" s="86"/>
      <c r="F342" s="253"/>
      <c r="G342" s="253"/>
      <c r="H342" s="253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50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</row>
    <row r="343">
      <c r="A343" s="17"/>
      <c r="B343" s="17"/>
      <c r="C343" s="17"/>
      <c r="D343" s="17"/>
      <c r="E343" s="86"/>
      <c r="F343" s="253"/>
      <c r="G343" s="253"/>
      <c r="H343" s="253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50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</row>
    <row r="344">
      <c r="A344" s="17"/>
      <c r="B344" s="17"/>
      <c r="C344" s="17"/>
      <c r="D344" s="17"/>
      <c r="E344" s="86"/>
      <c r="F344" s="253"/>
      <c r="G344" s="253"/>
      <c r="H344" s="253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50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</row>
    <row r="345">
      <c r="A345" s="17"/>
      <c r="B345" s="17"/>
      <c r="C345" s="17"/>
      <c r="D345" s="17"/>
      <c r="E345" s="86"/>
      <c r="F345" s="253"/>
      <c r="G345" s="253"/>
      <c r="H345" s="253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50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</row>
    <row r="346">
      <c r="A346" s="17"/>
      <c r="B346" s="17"/>
      <c r="C346" s="17"/>
      <c r="D346" s="17"/>
      <c r="E346" s="86"/>
      <c r="F346" s="253"/>
      <c r="G346" s="253"/>
      <c r="H346" s="253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50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</row>
    <row r="347">
      <c r="A347" s="17"/>
      <c r="B347" s="17"/>
      <c r="C347" s="17"/>
      <c r="D347" s="17"/>
      <c r="E347" s="86"/>
      <c r="F347" s="253"/>
      <c r="G347" s="253"/>
      <c r="H347" s="253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50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</row>
    <row r="348">
      <c r="A348" s="17"/>
      <c r="B348" s="17"/>
      <c r="C348" s="17"/>
      <c r="D348" s="17"/>
      <c r="E348" s="86"/>
      <c r="F348" s="253"/>
      <c r="G348" s="253"/>
      <c r="H348" s="253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50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</row>
    <row r="349">
      <c r="A349" s="17"/>
      <c r="B349" s="17"/>
      <c r="C349" s="17"/>
      <c r="D349" s="17"/>
      <c r="E349" s="86"/>
      <c r="F349" s="253"/>
      <c r="G349" s="253"/>
      <c r="H349" s="253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50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</row>
    <row r="350">
      <c r="A350" s="17"/>
      <c r="B350" s="17"/>
      <c r="C350" s="17"/>
      <c r="D350" s="17"/>
      <c r="E350" s="86"/>
      <c r="F350" s="253"/>
      <c r="G350" s="253"/>
      <c r="H350" s="253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50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</row>
    <row r="351">
      <c r="A351" s="17"/>
      <c r="B351" s="17"/>
      <c r="C351" s="17"/>
      <c r="D351" s="17"/>
      <c r="E351" s="86"/>
      <c r="F351" s="253"/>
      <c r="G351" s="253"/>
      <c r="H351" s="253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50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</row>
    <row r="352">
      <c r="A352" s="17"/>
      <c r="B352" s="17"/>
      <c r="C352" s="17"/>
      <c r="D352" s="17"/>
      <c r="E352" s="86"/>
      <c r="F352" s="253"/>
      <c r="G352" s="253"/>
      <c r="H352" s="253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50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</row>
    <row r="353">
      <c r="A353" s="17"/>
      <c r="B353" s="17"/>
      <c r="C353" s="17"/>
      <c r="D353" s="17"/>
      <c r="E353" s="86"/>
      <c r="F353" s="253"/>
      <c r="G353" s="253"/>
      <c r="H353" s="253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50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</row>
    <row r="354">
      <c r="A354" s="17"/>
      <c r="B354" s="17"/>
      <c r="C354" s="17"/>
      <c r="D354" s="17"/>
      <c r="E354" s="86"/>
      <c r="F354" s="253"/>
      <c r="G354" s="253"/>
      <c r="H354" s="253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50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</row>
    <row r="355">
      <c r="A355" s="17"/>
      <c r="B355" s="17"/>
      <c r="C355" s="17"/>
      <c r="D355" s="17"/>
      <c r="E355" s="86"/>
      <c r="F355" s="253"/>
      <c r="G355" s="253"/>
      <c r="H355" s="253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50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</row>
    <row r="356">
      <c r="A356" s="17"/>
      <c r="B356" s="17"/>
      <c r="C356" s="17"/>
      <c r="D356" s="17"/>
      <c r="E356" s="86"/>
      <c r="F356" s="253"/>
      <c r="G356" s="253"/>
      <c r="H356" s="253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50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</row>
    <row r="357">
      <c r="A357" s="17"/>
      <c r="B357" s="17"/>
      <c r="C357" s="17"/>
      <c r="D357" s="17"/>
      <c r="E357" s="86"/>
      <c r="F357" s="253"/>
      <c r="G357" s="253"/>
      <c r="H357" s="253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50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</row>
    <row r="358">
      <c r="A358" s="17"/>
      <c r="B358" s="17"/>
      <c r="C358" s="17"/>
      <c r="D358" s="17"/>
      <c r="E358" s="86"/>
      <c r="F358" s="253"/>
      <c r="G358" s="253"/>
      <c r="H358" s="253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50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</row>
    <row r="359">
      <c r="A359" s="17"/>
      <c r="B359" s="17"/>
      <c r="C359" s="17"/>
      <c r="D359" s="17"/>
      <c r="E359" s="86"/>
      <c r="F359" s="253"/>
      <c r="G359" s="253"/>
      <c r="H359" s="253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50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</row>
    <row r="360">
      <c r="A360" s="17"/>
      <c r="B360" s="17"/>
      <c r="C360" s="17"/>
      <c r="D360" s="17"/>
      <c r="E360" s="86"/>
      <c r="F360" s="253"/>
      <c r="G360" s="253"/>
      <c r="H360" s="253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50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</row>
    <row r="361">
      <c r="A361" s="17"/>
      <c r="B361" s="17"/>
      <c r="C361" s="17"/>
      <c r="D361" s="17"/>
      <c r="E361" s="86"/>
      <c r="F361" s="253"/>
      <c r="G361" s="253"/>
      <c r="H361" s="253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50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</row>
    <row r="362">
      <c r="A362" s="17"/>
      <c r="B362" s="17"/>
      <c r="C362" s="17"/>
      <c r="D362" s="17"/>
      <c r="E362" s="86"/>
      <c r="F362" s="253"/>
      <c r="G362" s="253"/>
      <c r="H362" s="253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50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</row>
    <row r="363">
      <c r="A363" s="17"/>
      <c r="B363" s="17"/>
      <c r="C363" s="17"/>
      <c r="D363" s="17"/>
      <c r="E363" s="86"/>
      <c r="F363" s="253"/>
      <c r="G363" s="253"/>
      <c r="H363" s="253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50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</row>
    <row r="364">
      <c r="A364" s="17"/>
      <c r="B364" s="17"/>
      <c r="C364" s="17"/>
      <c r="D364" s="17"/>
      <c r="E364" s="86"/>
      <c r="F364" s="253"/>
      <c r="G364" s="253"/>
      <c r="H364" s="253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50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</row>
    <row r="365">
      <c r="A365" s="17"/>
      <c r="B365" s="17"/>
      <c r="C365" s="17"/>
      <c r="D365" s="17"/>
      <c r="E365" s="86"/>
      <c r="F365" s="253"/>
      <c r="G365" s="253"/>
      <c r="H365" s="253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50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</row>
    <row r="366">
      <c r="A366" s="17"/>
      <c r="B366" s="17"/>
      <c r="C366" s="17"/>
      <c r="D366" s="17"/>
      <c r="E366" s="86"/>
      <c r="F366" s="253"/>
      <c r="G366" s="253"/>
      <c r="H366" s="253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50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</row>
    <row r="367">
      <c r="A367" s="17"/>
      <c r="B367" s="17"/>
      <c r="C367" s="17"/>
      <c r="D367" s="17"/>
      <c r="E367" s="86"/>
      <c r="F367" s="253"/>
      <c r="G367" s="253"/>
      <c r="H367" s="253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50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</row>
    <row r="368">
      <c r="A368" s="17"/>
      <c r="B368" s="17"/>
      <c r="C368" s="17"/>
      <c r="D368" s="17"/>
      <c r="E368" s="86"/>
      <c r="F368" s="253"/>
      <c r="G368" s="253"/>
      <c r="H368" s="253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50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</row>
    <row r="369">
      <c r="A369" s="17"/>
      <c r="B369" s="17"/>
      <c r="C369" s="17"/>
      <c r="D369" s="17"/>
      <c r="E369" s="86"/>
      <c r="F369" s="253"/>
      <c r="G369" s="253"/>
      <c r="H369" s="253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50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</row>
    <row r="370">
      <c r="A370" s="17"/>
      <c r="B370" s="17"/>
      <c r="C370" s="17"/>
      <c r="D370" s="17"/>
      <c r="E370" s="86"/>
      <c r="F370" s="253"/>
      <c r="G370" s="253"/>
      <c r="H370" s="253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50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</row>
    <row r="371">
      <c r="A371" s="17"/>
      <c r="B371" s="17"/>
      <c r="C371" s="17"/>
      <c r="D371" s="17"/>
      <c r="E371" s="86"/>
      <c r="F371" s="253"/>
      <c r="G371" s="253"/>
      <c r="H371" s="253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50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</row>
    <row r="372">
      <c r="A372" s="17"/>
      <c r="B372" s="17"/>
      <c r="C372" s="17"/>
      <c r="D372" s="17"/>
      <c r="E372" s="86"/>
      <c r="F372" s="253"/>
      <c r="G372" s="253"/>
      <c r="H372" s="253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50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</row>
    <row r="373">
      <c r="A373" s="17"/>
      <c r="B373" s="17"/>
      <c r="C373" s="17"/>
      <c r="D373" s="17"/>
      <c r="E373" s="86"/>
      <c r="F373" s="253"/>
      <c r="G373" s="253"/>
      <c r="H373" s="253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50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</row>
    <row r="374">
      <c r="A374" s="17"/>
      <c r="B374" s="17"/>
      <c r="C374" s="17"/>
      <c r="D374" s="17"/>
      <c r="E374" s="86"/>
      <c r="F374" s="253"/>
      <c r="G374" s="253"/>
      <c r="H374" s="253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50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</row>
    <row r="375">
      <c r="A375" s="17"/>
      <c r="B375" s="17"/>
      <c r="C375" s="17"/>
      <c r="D375" s="17"/>
      <c r="E375" s="86"/>
      <c r="F375" s="253"/>
      <c r="G375" s="253"/>
      <c r="H375" s="253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50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</row>
    <row r="376">
      <c r="A376" s="17"/>
      <c r="B376" s="17"/>
      <c r="C376" s="17"/>
      <c r="D376" s="17"/>
      <c r="E376" s="86"/>
      <c r="F376" s="253"/>
      <c r="G376" s="253"/>
      <c r="H376" s="253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50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</row>
    <row r="377">
      <c r="A377" s="17"/>
      <c r="B377" s="17"/>
      <c r="C377" s="17"/>
      <c r="D377" s="17"/>
      <c r="E377" s="86"/>
      <c r="F377" s="253"/>
      <c r="G377" s="253"/>
      <c r="H377" s="253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50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</row>
    <row r="378">
      <c r="A378" s="17"/>
      <c r="B378" s="17"/>
      <c r="C378" s="17"/>
      <c r="D378" s="17"/>
      <c r="E378" s="86"/>
      <c r="F378" s="253"/>
      <c r="G378" s="253"/>
      <c r="H378" s="253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50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</row>
    <row r="379">
      <c r="A379" s="17"/>
      <c r="B379" s="17"/>
      <c r="C379" s="17"/>
      <c r="D379" s="17"/>
      <c r="E379" s="86"/>
      <c r="F379" s="253"/>
      <c r="G379" s="253"/>
      <c r="H379" s="253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50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</row>
    <row r="380">
      <c r="A380" s="17"/>
      <c r="B380" s="17"/>
      <c r="C380" s="17"/>
      <c r="D380" s="17"/>
      <c r="E380" s="86"/>
      <c r="F380" s="253"/>
      <c r="G380" s="253"/>
      <c r="H380" s="253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50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</row>
    <row r="381">
      <c r="A381" s="17"/>
      <c r="B381" s="17"/>
      <c r="C381" s="17"/>
      <c r="D381" s="17"/>
      <c r="E381" s="86"/>
      <c r="F381" s="253"/>
      <c r="G381" s="253"/>
      <c r="H381" s="253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50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</row>
    <row r="382">
      <c r="A382" s="17"/>
      <c r="B382" s="17"/>
      <c r="C382" s="17"/>
      <c r="D382" s="17"/>
      <c r="E382" s="86"/>
      <c r="F382" s="253"/>
      <c r="G382" s="253"/>
      <c r="H382" s="253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50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</row>
    <row r="383">
      <c r="A383" s="17"/>
      <c r="B383" s="17"/>
      <c r="C383" s="17"/>
      <c r="D383" s="17"/>
      <c r="E383" s="86"/>
      <c r="F383" s="253"/>
      <c r="G383" s="253"/>
      <c r="H383" s="253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50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</row>
    <row r="384">
      <c r="A384" s="17"/>
      <c r="B384" s="17"/>
      <c r="C384" s="17"/>
      <c r="D384" s="17"/>
      <c r="E384" s="86"/>
      <c r="F384" s="253"/>
      <c r="G384" s="253"/>
      <c r="H384" s="253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50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</row>
    <row r="385">
      <c r="A385" s="17"/>
      <c r="B385" s="17"/>
      <c r="C385" s="17"/>
      <c r="D385" s="17"/>
      <c r="E385" s="86"/>
      <c r="F385" s="253"/>
      <c r="G385" s="253"/>
      <c r="H385" s="253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50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</row>
    <row r="386">
      <c r="A386" s="17"/>
      <c r="B386" s="17"/>
      <c r="C386" s="17"/>
      <c r="D386" s="17"/>
      <c r="E386" s="86"/>
      <c r="F386" s="253"/>
      <c r="G386" s="253"/>
      <c r="H386" s="253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50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</row>
    <row r="387">
      <c r="A387" s="17"/>
      <c r="B387" s="17"/>
      <c r="C387" s="17"/>
      <c r="D387" s="17"/>
      <c r="E387" s="86"/>
      <c r="F387" s="253"/>
      <c r="G387" s="253"/>
      <c r="H387" s="253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50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</row>
    <row r="388">
      <c r="A388" s="17"/>
      <c r="B388" s="17"/>
      <c r="C388" s="17"/>
      <c r="D388" s="17"/>
      <c r="E388" s="86"/>
      <c r="F388" s="253"/>
      <c r="G388" s="253"/>
      <c r="H388" s="253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50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</row>
    <row r="389">
      <c r="A389" s="17"/>
      <c r="B389" s="17"/>
      <c r="C389" s="17"/>
      <c r="D389" s="17"/>
      <c r="E389" s="86"/>
      <c r="F389" s="253"/>
      <c r="G389" s="253"/>
      <c r="H389" s="253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50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</row>
    <row r="390">
      <c r="A390" s="17"/>
      <c r="B390" s="17"/>
      <c r="C390" s="17"/>
      <c r="D390" s="17"/>
      <c r="E390" s="86"/>
      <c r="F390" s="253"/>
      <c r="G390" s="253"/>
      <c r="H390" s="253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50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</row>
    <row r="391">
      <c r="A391" s="17"/>
      <c r="B391" s="17"/>
      <c r="C391" s="17"/>
      <c r="D391" s="17"/>
      <c r="E391" s="86"/>
      <c r="F391" s="253"/>
      <c r="G391" s="253"/>
      <c r="H391" s="253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50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</row>
    <row r="392">
      <c r="A392" s="17"/>
      <c r="B392" s="17"/>
      <c r="C392" s="17"/>
      <c r="D392" s="17"/>
      <c r="E392" s="86"/>
      <c r="F392" s="253"/>
      <c r="G392" s="253"/>
      <c r="H392" s="253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50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</row>
    <row r="393">
      <c r="A393" s="17"/>
      <c r="B393" s="17"/>
      <c r="C393" s="17"/>
      <c r="D393" s="17"/>
      <c r="E393" s="86"/>
      <c r="F393" s="253"/>
      <c r="G393" s="253"/>
      <c r="H393" s="253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50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</row>
    <row r="394">
      <c r="A394" s="17"/>
      <c r="B394" s="17"/>
      <c r="C394" s="17"/>
      <c r="D394" s="17"/>
      <c r="E394" s="86"/>
      <c r="F394" s="253"/>
      <c r="G394" s="253"/>
      <c r="H394" s="253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50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</row>
    <row r="395">
      <c r="A395" s="17"/>
      <c r="B395" s="17"/>
      <c r="C395" s="17"/>
      <c r="D395" s="17"/>
      <c r="E395" s="86"/>
      <c r="F395" s="253"/>
      <c r="G395" s="253"/>
      <c r="H395" s="253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50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</row>
    <row r="396">
      <c r="A396" s="17"/>
      <c r="B396" s="17"/>
      <c r="C396" s="17"/>
      <c r="D396" s="17"/>
      <c r="E396" s="86"/>
      <c r="F396" s="253"/>
      <c r="G396" s="253"/>
      <c r="H396" s="253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50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</row>
    <row r="397">
      <c r="A397" s="17"/>
      <c r="B397" s="17"/>
      <c r="C397" s="17"/>
      <c r="D397" s="17"/>
      <c r="E397" s="86"/>
      <c r="F397" s="253"/>
      <c r="G397" s="253"/>
      <c r="H397" s="253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50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</row>
    <row r="398">
      <c r="A398" s="17"/>
      <c r="B398" s="17"/>
      <c r="C398" s="17"/>
      <c r="D398" s="17"/>
      <c r="E398" s="86"/>
      <c r="F398" s="253"/>
      <c r="G398" s="253"/>
      <c r="H398" s="253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50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</row>
    <row r="399">
      <c r="A399" s="17"/>
      <c r="B399" s="17"/>
      <c r="C399" s="17"/>
      <c r="D399" s="17"/>
      <c r="E399" s="86"/>
      <c r="F399" s="253"/>
      <c r="G399" s="253"/>
      <c r="H399" s="253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50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</row>
    <row r="400">
      <c r="A400" s="17"/>
      <c r="B400" s="17"/>
      <c r="C400" s="17"/>
      <c r="D400" s="17"/>
      <c r="E400" s="86"/>
      <c r="F400" s="253"/>
      <c r="G400" s="253"/>
      <c r="H400" s="253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50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</row>
    <row r="401">
      <c r="A401" s="17"/>
      <c r="B401" s="17"/>
      <c r="C401" s="17"/>
      <c r="D401" s="17"/>
      <c r="E401" s="86"/>
      <c r="F401" s="253"/>
      <c r="G401" s="253"/>
      <c r="H401" s="253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50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</row>
    <row r="402">
      <c r="A402" s="17"/>
      <c r="B402" s="17"/>
      <c r="C402" s="17"/>
      <c r="D402" s="17"/>
      <c r="E402" s="86"/>
      <c r="F402" s="253"/>
      <c r="G402" s="253"/>
      <c r="H402" s="253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50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</row>
    <row r="403">
      <c r="A403" s="17"/>
      <c r="B403" s="17"/>
      <c r="C403" s="17"/>
      <c r="D403" s="17"/>
      <c r="E403" s="86"/>
      <c r="F403" s="253"/>
      <c r="G403" s="253"/>
      <c r="H403" s="253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50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</row>
    <row r="404">
      <c r="A404" s="17"/>
      <c r="B404" s="17"/>
      <c r="C404" s="17"/>
      <c r="D404" s="17"/>
      <c r="E404" s="86"/>
      <c r="F404" s="253"/>
      <c r="G404" s="253"/>
      <c r="H404" s="253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50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</row>
    <row r="405">
      <c r="A405" s="17"/>
      <c r="B405" s="17"/>
      <c r="C405" s="17"/>
      <c r="D405" s="17"/>
      <c r="E405" s="86"/>
      <c r="F405" s="253"/>
      <c r="G405" s="253"/>
      <c r="H405" s="253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50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</row>
    <row r="406">
      <c r="A406" s="17"/>
      <c r="B406" s="17"/>
      <c r="C406" s="17"/>
      <c r="D406" s="17"/>
      <c r="E406" s="86"/>
      <c r="F406" s="253"/>
      <c r="G406" s="253"/>
      <c r="H406" s="253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50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</row>
    <row r="407">
      <c r="A407" s="17"/>
      <c r="B407" s="17"/>
      <c r="C407" s="17"/>
      <c r="D407" s="17"/>
      <c r="E407" s="86"/>
      <c r="F407" s="253"/>
      <c r="G407" s="253"/>
      <c r="H407" s="253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50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</row>
    <row r="408">
      <c r="A408" s="17"/>
      <c r="B408" s="17"/>
      <c r="C408" s="17"/>
      <c r="D408" s="17"/>
      <c r="E408" s="86"/>
      <c r="F408" s="253"/>
      <c r="G408" s="253"/>
      <c r="H408" s="253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50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</row>
    <row r="409">
      <c r="A409" s="17"/>
      <c r="B409" s="17"/>
      <c r="C409" s="17"/>
      <c r="D409" s="17"/>
      <c r="E409" s="86"/>
      <c r="F409" s="253"/>
      <c r="G409" s="253"/>
      <c r="H409" s="253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50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</row>
    <row r="410">
      <c r="A410" s="17"/>
      <c r="B410" s="17"/>
      <c r="C410" s="17"/>
      <c r="D410" s="17"/>
      <c r="E410" s="86"/>
      <c r="F410" s="253"/>
      <c r="G410" s="253"/>
      <c r="H410" s="253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50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</row>
    <row r="411">
      <c r="A411" s="17"/>
      <c r="B411" s="17"/>
      <c r="C411" s="17"/>
      <c r="D411" s="17"/>
      <c r="E411" s="86"/>
      <c r="F411" s="253"/>
      <c r="G411" s="253"/>
      <c r="H411" s="253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50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</row>
    <row r="412">
      <c r="A412" s="17"/>
      <c r="B412" s="17"/>
      <c r="C412" s="17"/>
      <c r="D412" s="17"/>
      <c r="E412" s="86"/>
      <c r="F412" s="253"/>
      <c r="G412" s="253"/>
      <c r="H412" s="253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50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</row>
    <row r="413">
      <c r="A413" s="17"/>
      <c r="B413" s="17"/>
      <c r="C413" s="17"/>
      <c r="D413" s="17"/>
      <c r="E413" s="86"/>
      <c r="F413" s="253"/>
      <c r="G413" s="253"/>
      <c r="H413" s="253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50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</row>
    <row r="414">
      <c r="A414" s="17"/>
      <c r="B414" s="17"/>
      <c r="C414" s="17"/>
      <c r="D414" s="17"/>
      <c r="E414" s="86"/>
      <c r="F414" s="253"/>
      <c r="G414" s="253"/>
      <c r="H414" s="253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50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</row>
    <row r="415">
      <c r="A415" s="17"/>
      <c r="B415" s="17"/>
      <c r="C415" s="17"/>
      <c r="D415" s="17"/>
      <c r="E415" s="86"/>
      <c r="F415" s="253"/>
      <c r="G415" s="253"/>
      <c r="H415" s="253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50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</row>
    <row r="416">
      <c r="A416" s="17"/>
      <c r="B416" s="17"/>
      <c r="C416" s="17"/>
      <c r="D416" s="17"/>
      <c r="E416" s="86"/>
      <c r="F416" s="253"/>
      <c r="G416" s="253"/>
      <c r="H416" s="253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50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</row>
    <row r="417">
      <c r="A417" s="17"/>
      <c r="B417" s="17"/>
      <c r="C417" s="17"/>
      <c r="D417" s="17"/>
      <c r="E417" s="86"/>
      <c r="F417" s="253"/>
      <c r="G417" s="253"/>
      <c r="H417" s="253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50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</row>
    <row r="418">
      <c r="A418" s="17"/>
      <c r="B418" s="17"/>
      <c r="C418" s="17"/>
      <c r="D418" s="17"/>
      <c r="E418" s="86"/>
      <c r="F418" s="253"/>
      <c r="G418" s="253"/>
      <c r="H418" s="253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50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</row>
    <row r="419">
      <c r="A419" s="17"/>
      <c r="B419" s="17"/>
      <c r="C419" s="17"/>
      <c r="D419" s="17"/>
      <c r="E419" s="86"/>
      <c r="F419" s="253"/>
      <c r="G419" s="253"/>
      <c r="H419" s="253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50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</row>
    <row r="420">
      <c r="A420" s="17"/>
      <c r="B420" s="17"/>
      <c r="C420" s="17"/>
      <c r="D420" s="17"/>
      <c r="E420" s="86"/>
      <c r="F420" s="253"/>
      <c r="G420" s="253"/>
      <c r="H420" s="253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50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</row>
    <row r="421">
      <c r="A421" s="17"/>
      <c r="B421" s="17"/>
      <c r="C421" s="17"/>
      <c r="D421" s="17"/>
      <c r="E421" s="86"/>
      <c r="F421" s="253"/>
      <c r="G421" s="253"/>
      <c r="H421" s="253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50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</row>
    <row r="422">
      <c r="A422" s="17"/>
      <c r="B422" s="17"/>
      <c r="C422" s="17"/>
      <c r="D422" s="17"/>
      <c r="E422" s="86"/>
      <c r="F422" s="253"/>
      <c r="G422" s="253"/>
      <c r="H422" s="253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50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</row>
    <row r="423">
      <c r="A423" s="17"/>
      <c r="B423" s="17"/>
      <c r="C423" s="17"/>
      <c r="D423" s="17"/>
      <c r="E423" s="86"/>
      <c r="F423" s="253"/>
      <c r="G423" s="253"/>
      <c r="H423" s="253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50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</row>
    <row r="424">
      <c r="A424" s="17"/>
      <c r="B424" s="17"/>
      <c r="C424" s="17"/>
      <c r="D424" s="17"/>
      <c r="E424" s="86"/>
      <c r="F424" s="253"/>
      <c r="G424" s="253"/>
      <c r="H424" s="253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50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</row>
    <row r="425">
      <c r="A425" s="17"/>
      <c r="B425" s="17"/>
      <c r="C425" s="17"/>
      <c r="D425" s="17"/>
      <c r="E425" s="86"/>
      <c r="F425" s="253"/>
      <c r="G425" s="253"/>
      <c r="H425" s="253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50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</row>
    <row r="426">
      <c r="A426" s="17"/>
      <c r="B426" s="17"/>
      <c r="C426" s="17"/>
      <c r="D426" s="17"/>
      <c r="E426" s="86"/>
      <c r="F426" s="253"/>
      <c r="G426" s="253"/>
      <c r="H426" s="253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50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</row>
    <row r="427">
      <c r="A427" s="17"/>
      <c r="B427" s="17"/>
      <c r="C427" s="17"/>
      <c r="D427" s="17"/>
      <c r="E427" s="86"/>
      <c r="F427" s="253"/>
      <c r="G427" s="253"/>
      <c r="H427" s="253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50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</row>
    <row r="428">
      <c r="A428" s="17"/>
      <c r="B428" s="17"/>
      <c r="C428" s="17"/>
      <c r="D428" s="17"/>
      <c r="E428" s="86"/>
      <c r="F428" s="253"/>
      <c r="G428" s="253"/>
      <c r="H428" s="253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50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</row>
    <row r="429">
      <c r="A429" s="17"/>
      <c r="B429" s="17"/>
      <c r="C429" s="17"/>
      <c r="D429" s="17"/>
      <c r="E429" s="86"/>
      <c r="F429" s="253"/>
      <c r="G429" s="253"/>
      <c r="H429" s="253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50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</row>
    <row r="430">
      <c r="A430" s="17"/>
      <c r="B430" s="17"/>
      <c r="C430" s="17"/>
      <c r="D430" s="17"/>
      <c r="E430" s="86"/>
      <c r="F430" s="253"/>
      <c r="G430" s="253"/>
      <c r="H430" s="253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50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</row>
    <row r="431">
      <c r="A431" s="17"/>
      <c r="B431" s="17"/>
      <c r="C431" s="17"/>
      <c r="D431" s="17"/>
      <c r="E431" s="86"/>
      <c r="F431" s="253"/>
      <c r="G431" s="253"/>
      <c r="H431" s="253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50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</row>
    <row r="432">
      <c r="A432" s="17"/>
      <c r="B432" s="17"/>
      <c r="C432" s="17"/>
      <c r="D432" s="17"/>
      <c r="E432" s="86"/>
      <c r="F432" s="253"/>
      <c r="G432" s="253"/>
      <c r="H432" s="253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50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</row>
    <row r="433">
      <c r="A433" s="17"/>
      <c r="B433" s="17"/>
      <c r="C433" s="17"/>
      <c r="D433" s="17"/>
      <c r="E433" s="86"/>
      <c r="F433" s="253"/>
      <c r="G433" s="253"/>
      <c r="H433" s="253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50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</row>
    <row r="434">
      <c r="A434" s="17"/>
      <c r="B434" s="17"/>
      <c r="C434" s="17"/>
      <c r="D434" s="17"/>
      <c r="E434" s="86"/>
      <c r="F434" s="253"/>
      <c r="G434" s="253"/>
      <c r="H434" s="253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50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</row>
    <row r="435">
      <c r="A435" s="17"/>
      <c r="B435" s="17"/>
      <c r="C435" s="17"/>
      <c r="D435" s="17"/>
      <c r="E435" s="86"/>
      <c r="F435" s="253"/>
      <c r="G435" s="253"/>
      <c r="H435" s="253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50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</row>
    <row r="436">
      <c r="A436" s="17"/>
      <c r="B436" s="17"/>
      <c r="C436" s="17"/>
      <c r="D436" s="17"/>
      <c r="E436" s="86"/>
      <c r="F436" s="253"/>
      <c r="G436" s="253"/>
      <c r="H436" s="253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50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</row>
    <row r="437">
      <c r="A437" s="17"/>
      <c r="B437" s="17"/>
      <c r="C437" s="17"/>
      <c r="D437" s="17"/>
      <c r="E437" s="86"/>
      <c r="F437" s="253"/>
      <c r="G437" s="253"/>
      <c r="H437" s="253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50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</row>
    <row r="438">
      <c r="A438" s="17"/>
      <c r="B438" s="17"/>
      <c r="C438" s="17"/>
      <c r="D438" s="17"/>
      <c r="E438" s="86"/>
      <c r="F438" s="253"/>
      <c r="G438" s="253"/>
      <c r="H438" s="253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50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</row>
    <row r="439">
      <c r="A439" s="17"/>
      <c r="B439" s="17"/>
      <c r="C439" s="17"/>
      <c r="D439" s="17"/>
      <c r="E439" s="86"/>
      <c r="F439" s="253"/>
      <c r="G439" s="253"/>
      <c r="H439" s="253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50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</row>
    <row r="440">
      <c r="A440" s="17"/>
      <c r="B440" s="17"/>
      <c r="C440" s="17"/>
      <c r="D440" s="17"/>
      <c r="E440" s="86"/>
      <c r="F440" s="253"/>
      <c r="G440" s="253"/>
      <c r="H440" s="253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50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</row>
    <row r="441">
      <c r="A441" s="17"/>
      <c r="B441" s="17"/>
      <c r="C441" s="17"/>
      <c r="D441" s="17"/>
      <c r="E441" s="86"/>
      <c r="F441" s="253"/>
      <c r="G441" s="253"/>
      <c r="H441" s="253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50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</row>
    <row r="442">
      <c r="A442" s="17"/>
      <c r="B442" s="17"/>
      <c r="C442" s="17"/>
      <c r="D442" s="17"/>
      <c r="E442" s="86"/>
      <c r="F442" s="253"/>
      <c r="G442" s="253"/>
      <c r="H442" s="253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50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</row>
    <row r="443">
      <c r="A443" s="17"/>
      <c r="B443" s="17"/>
      <c r="C443" s="17"/>
      <c r="D443" s="17"/>
      <c r="E443" s="86"/>
      <c r="F443" s="253"/>
      <c r="G443" s="253"/>
      <c r="H443" s="253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50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</row>
    <row r="444">
      <c r="A444" s="17"/>
      <c r="B444" s="17"/>
      <c r="C444" s="17"/>
      <c r="D444" s="17"/>
      <c r="E444" s="86"/>
      <c r="F444" s="253"/>
      <c r="G444" s="253"/>
      <c r="H444" s="253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50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</row>
    <row r="445">
      <c r="A445" s="17"/>
      <c r="B445" s="17"/>
      <c r="C445" s="17"/>
      <c r="D445" s="17"/>
      <c r="E445" s="86"/>
      <c r="F445" s="253"/>
      <c r="G445" s="253"/>
      <c r="H445" s="253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50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</row>
    <row r="446">
      <c r="A446" s="17"/>
      <c r="B446" s="17"/>
      <c r="C446" s="17"/>
      <c r="D446" s="17"/>
      <c r="E446" s="86"/>
      <c r="F446" s="253"/>
      <c r="G446" s="253"/>
      <c r="H446" s="253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50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</row>
    <row r="447">
      <c r="A447" s="17"/>
      <c r="B447" s="17"/>
      <c r="C447" s="17"/>
      <c r="D447" s="17"/>
      <c r="E447" s="86"/>
      <c r="F447" s="253"/>
      <c r="G447" s="253"/>
      <c r="H447" s="253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50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</row>
    <row r="448">
      <c r="A448" s="17"/>
      <c r="B448" s="17"/>
      <c r="C448" s="17"/>
      <c r="D448" s="17"/>
      <c r="E448" s="86"/>
      <c r="F448" s="253"/>
      <c r="G448" s="253"/>
      <c r="H448" s="253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50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</row>
    <row r="449">
      <c r="A449" s="17"/>
      <c r="B449" s="17"/>
      <c r="C449" s="17"/>
      <c r="D449" s="17"/>
      <c r="E449" s="86"/>
      <c r="F449" s="253"/>
      <c r="G449" s="253"/>
      <c r="H449" s="253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50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</row>
    <row r="450">
      <c r="A450" s="17"/>
      <c r="B450" s="17"/>
      <c r="C450" s="17"/>
      <c r="D450" s="17"/>
      <c r="E450" s="86"/>
      <c r="F450" s="253"/>
      <c r="G450" s="253"/>
      <c r="H450" s="253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50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</row>
    <row r="451">
      <c r="A451" s="17"/>
      <c r="B451" s="17"/>
      <c r="C451" s="17"/>
      <c r="D451" s="17"/>
      <c r="E451" s="86"/>
      <c r="F451" s="253"/>
      <c r="G451" s="253"/>
      <c r="H451" s="253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50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</row>
    <row r="452">
      <c r="A452" s="17"/>
      <c r="B452" s="17"/>
      <c r="C452" s="17"/>
      <c r="D452" s="17"/>
      <c r="E452" s="86"/>
      <c r="F452" s="253"/>
      <c r="G452" s="253"/>
      <c r="H452" s="253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50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</row>
    <row r="453">
      <c r="A453" s="17"/>
      <c r="B453" s="17"/>
      <c r="C453" s="17"/>
      <c r="D453" s="17"/>
      <c r="E453" s="86"/>
      <c r="F453" s="253"/>
      <c r="G453" s="253"/>
      <c r="H453" s="253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50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</row>
    <row r="454">
      <c r="A454" s="17"/>
      <c r="B454" s="17"/>
      <c r="C454" s="17"/>
      <c r="D454" s="17"/>
      <c r="E454" s="86"/>
      <c r="F454" s="253"/>
      <c r="G454" s="253"/>
      <c r="H454" s="253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50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</row>
    <row r="455">
      <c r="A455" s="17"/>
      <c r="B455" s="17"/>
      <c r="C455" s="17"/>
      <c r="D455" s="17"/>
      <c r="E455" s="86"/>
      <c r="F455" s="253"/>
      <c r="G455" s="253"/>
      <c r="H455" s="253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50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</row>
    <row r="456">
      <c r="A456" s="17"/>
      <c r="B456" s="17"/>
      <c r="C456" s="17"/>
      <c r="D456" s="17"/>
      <c r="E456" s="86"/>
      <c r="F456" s="253"/>
      <c r="G456" s="253"/>
      <c r="H456" s="253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50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</row>
    <row r="457">
      <c r="A457" s="17"/>
      <c r="B457" s="17"/>
      <c r="C457" s="17"/>
      <c r="D457" s="17"/>
      <c r="E457" s="86"/>
      <c r="F457" s="253"/>
      <c r="G457" s="253"/>
      <c r="H457" s="253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50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</row>
    <row r="458">
      <c r="A458" s="17"/>
      <c r="B458" s="17"/>
      <c r="C458" s="17"/>
      <c r="D458" s="17"/>
      <c r="E458" s="86"/>
      <c r="F458" s="253"/>
      <c r="G458" s="253"/>
      <c r="H458" s="253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50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</row>
    <row r="459">
      <c r="A459" s="17"/>
      <c r="B459" s="17"/>
      <c r="C459" s="17"/>
      <c r="D459" s="17"/>
      <c r="E459" s="86"/>
      <c r="F459" s="253"/>
      <c r="G459" s="253"/>
      <c r="H459" s="253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50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</row>
    <row r="460">
      <c r="A460" s="17"/>
      <c r="B460" s="17"/>
      <c r="C460" s="17"/>
      <c r="D460" s="17"/>
      <c r="E460" s="86"/>
      <c r="F460" s="253"/>
      <c r="G460" s="253"/>
      <c r="H460" s="253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50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</row>
    <row r="461">
      <c r="A461" s="17"/>
      <c r="B461" s="17"/>
      <c r="C461" s="17"/>
      <c r="D461" s="17"/>
      <c r="E461" s="86"/>
      <c r="F461" s="253"/>
      <c r="G461" s="253"/>
      <c r="H461" s="253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50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</row>
    <row r="462">
      <c r="A462" s="17"/>
      <c r="B462" s="17"/>
      <c r="C462" s="17"/>
      <c r="D462" s="17"/>
      <c r="E462" s="86"/>
      <c r="F462" s="253"/>
      <c r="G462" s="253"/>
      <c r="H462" s="253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50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</row>
    <row r="463">
      <c r="A463" s="17"/>
      <c r="B463" s="17"/>
      <c r="C463" s="17"/>
      <c r="D463" s="17"/>
      <c r="E463" s="86"/>
      <c r="F463" s="253"/>
      <c r="G463" s="253"/>
      <c r="H463" s="253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50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</row>
    <row r="464">
      <c r="A464" s="17"/>
      <c r="B464" s="17"/>
      <c r="C464" s="17"/>
      <c r="D464" s="17"/>
      <c r="E464" s="86"/>
      <c r="F464" s="253"/>
      <c r="G464" s="253"/>
      <c r="H464" s="253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50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</row>
    <row r="465">
      <c r="A465" s="17"/>
      <c r="B465" s="17"/>
      <c r="C465" s="17"/>
      <c r="D465" s="17"/>
      <c r="E465" s="86"/>
      <c r="F465" s="253"/>
      <c r="G465" s="253"/>
      <c r="H465" s="253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50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</row>
    <row r="466">
      <c r="A466" s="17"/>
      <c r="B466" s="17"/>
      <c r="C466" s="17"/>
      <c r="D466" s="17"/>
      <c r="E466" s="86"/>
      <c r="F466" s="253"/>
      <c r="G466" s="253"/>
      <c r="H466" s="253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50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</row>
    <row r="467">
      <c r="A467" s="17"/>
      <c r="B467" s="17"/>
      <c r="C467" s="17"/>
      <c r="D467" s="17"/>
      <c r="E467" s="86"/>
      <c r="F467" s="253"/>
      <c r="G467" s="253"/>
      <c r="H467" s="253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50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</row>
    <row r="468">
      <c r="A468" s="17"/>
      <c r="B468" s="17"/>
      <c r="C468" s="17"/>
      <c r="D468" s="17"/>
      <c r="E468" s="86"/>
      <c r="F468" s="253"/>
      <c r="G468" s="253"/>
      <c r="H468" s="253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50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</row>
    <row r="469">
      <c r="A469" s="17"/>
      <c r="B469" s="17"/>
      <c r="C469" s="17"/>
      <c r="D469" s="17"/>
      <c r="E469" s="86"/>
      <c r="F469" s="253"/>
      <c r="G469" s="253"/>
      <c r="H469" s="253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50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</row>
    <row r="470">
      <c r="A470" s="17"/>
      <c r="B470" s="17"/>
      <c r="C470" s="17"/>
      <c r="D470" s="17"/>
      <c r="E470" s="86"/>
      <c r="F470" s="253"/>
      <c r="G470" s="253"/>
      <c r="H470" s="253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50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</row>
    <row r="471">
      <c r="A471" s="17"/>
      <c r="B471" s="17"/>
      <c r="C471" s="17"/>
      <c r="D471" s="17"/>
      <c r="E471" s="86"/>
      <c r="F471" s="253"/>
      <c r="G471" s="253"/>
      <c r="H471" s="253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50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</row>
    <row r="472">
      <c r="A472" s="17"/>
      <c r="B472" s="17"/>
      <c r="C472" s="17"/>
      <c r="D472" s="17"/>
      <c r="E472" s="86"/>
      <c r="F472" s="253"/>
      <c r="G472" s="253"/>
      <c r="H472" s="253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50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</row>
    <row r="473">
      <c r="A473" s="17"/>
      <c r="B473" s="17"/>
      <c r="C473" s="17"/>
      <c r="D473" s="17"/>
      <c r="E473" s="86"/>
      <c r="F473" s="253"/>
      <c r="G473" s="253"/>
      <c r="H473" s="253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50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</row>
    <row r="474">
      <c r="A474" s="17"/>
      <c r="B474" s="17"/>
      <c r="C474" s="17"/>
      <c r="D474" s="17"/>
      <c r="E474" s="86"/>
      <c r="F474" s="253"/>
      <c r="G474" s="253"/>
      <c r="H474" s="253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50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</row>
    <row r="475">
      <c r="A475" s="17"/>
      <c r="B475" s="17"/>
      <c r="C475" s="17"/>
      <c r="D475" s="17"/>
      <c r="E475" s="86"/>
      <c r="F475" s="253"/>
      <c r="G475" s="253"/>
      <c r="H475" s="253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50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</row>
    <row r="476">
      <c r="A476" s="17"/>
      <c r="B476" s="17"/>
      <c r="C476" s="17"/>
      <c r="D476" s="17"/>
      <c r="E476" s="86"/>
      <c r="F476" s="253"/>
      <c r="G476" s="253"/>
      <c r="H476" s="253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50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</row>
    <row r="477">
      <c r="A477" s="17"/>
      <c r="B477" s="17"/>
      <c r="C477" s="17"/>
      <c r="D477" s="17"/>
      <c r="E477" s="86"/>
      <c r="F477" s="253"/>
      <c r="G477" s="253"/>
      <c r="H477" s="253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50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</row>
    <row r="478">
      <c r="A478" s="17"/>
      <c r="B478" s="17"/>
      <c r="C478" s="17"/>
      <c r="D478" s="17"/>
      <c r="E478" s="86"/>
      <c r="F478" s="253"/>
      <c r="G478" s="253"/>
      <c r="H478" s="253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50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</row>
    <row r="479">
      <c r="A479" s="17"/>
      <c r="B479" s="17"/>
      <c r="C479" s="17"/>
      <c r="D479" s="17"/>
      <c r="E479" s="86"/>
      <c r="F479" s="253"/>
      <c r="G479" s="253"/>
      <c r="H479" s="253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50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</row>
    <row r="480">
      <c r="A480" s="17"/>
      <c r="B480" s="17"/>
      <c r="C480" s="17"/>
      <c r="D480" s="17"/>
      <c r="E480" s="86"/>
      <c r="F480" s="253"/>
      <c r="G480" s="253"/>
      <c r="H480" s="253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50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</row>
    <row r="481">
      <c r="A481" s="17"/>
      <c r="B481" s="17"/>
      <c r="C481" s="17"/>
      <c r="D481" s="17"/>
      <c r="E481" s="86"/>
      <c r="F481" s="253"/>
      <c r="G481" s="253"/>
      <c r="H481" s="253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50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</row>
    <row r="482">
      <c r="A482" s="17"/>
      <c r="B482" s="17"/>
      <c r="C482" s="17"/>
      <c r="D482" s="17"/>
      <c r="E482" s="86"/>
      <c r="F482" s="253"/>
      <c r="G482" s="253"/>
      <c r="H482" s="253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50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</row>
    <row r="483">
      <c r="A483" s="17"/>
      <c r="B483" s="17"/>
      <c r="C483" s="17"/>
      <c r="D483" s="17"/>
      <c r="E483" s="86"/>
      <c r="F483" s="253"/>
      <c r="G483" s="253"/>
      <c r="H483" s="253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50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</row>
    <row r="484">
      <c r="A484" s="17"/>
      <c r="B484" s="17"/>
      <c r="C484" s="17"/>
      <c r="D484" s="17"/>
      <c r="E484" s="86"/>
      <c r="F484" s="253"/>
      <c r="G484" s="253"/>
      <c r="H484" s="253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50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</row>
    <row r="485">
      <c r="A485" s="17"/>
      <c r="B485" s="17"/>
      <c r="C485" s="17"/>
      <c r="D485" s="17"/>
      <c r="E485" s="86"/>
      <c r="F485" s="253"/>
      <c r="G485" s="253"/>
      <c r="H485" s="253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50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</row>
    <row r="486">
      <c r="A486" s="17"/>
      <c r="B486" s="17"/>
      <c r="C486" s="17"/>
      <c r="D486" s="17"/>
      <c r="E486" s="86"/>
      <c r="F486" s="253"/>
      <c r="G486" s="253"/>
      <c r="H486" s="253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50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</row>
    <row r="487">
      <c r="A487" s="17"/>
      <c r="B487" s="17"/>
      <c r="C487" s="17"/>
      <c r="D487" s="17"/>
      <c r="E487" s="86"/>
      <c r="F487" s="253"/>
      <c r="G487" s="253"/>
      <c r="H487" s="253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50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</row>
    <row r="488">
      <c r="A488" s="17"/>
      <c r="B488" s="17"/>
      <c r="C488" s="17"/>
      <c r="D488" s="17"/>
      <c r="E488" s="86"/>
      <c r="F488" s="253"/>
      <c r="G488" s="253"/>
      <c r="H488" s="253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50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</row>
    <row r="489">
      <c r="A489" s="17"/>
      <c r="B489" s="17"/>
      <c r="C489" s="17"/>
      <c r="D489" s="17"/>
      <c r="E489" s="86"/>
      <c r="F489" s="253"/>
      <c r="G489" s="253"/>
      <c r="H489" s="253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50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</row>
    <row r="490">
      <c r="A490" s="17"/>
      <c r="B490" s="17"/>
      <c r="C490" s="17"/>
      <c r="D490" s="17"/>
      <c r="E490" s="86"/>
      <c r="F490" s="253"/>
      <c r="G490" s="253"/>
      <c r="H490" s="253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50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</row>
    <row r="491">
      <c r="A491" s="17"/>
      <c r="B491" s="17"/>
      <c r="C491" s="17"/>
      <c r="D491" s="17"/>
      <c r="E491" s="86"/>
      <c r="F491" s="253"/>
      <c r="G491" s="253"/>
      <c r="H491" s="253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50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</row>
    <row r="492">
      <c r="A492" s="17"/>
      <c r="B492" s="17"/>
      <c r="C492" s="17"/>
      <c r="D492" s="17"/>
      <c r="E492" s="86"/>
      <c r="F492" s="253"/>
      <c r="G492" s="253"/>
      <c r="H492" s="253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50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</row>
    <row r="493">
      <c r="A493" s="17"/>
      <c r="B493" s="17"/>
      <c r="C493" s="17"/>
      <c r="D493" s="17"/>
      <c r="E493" s="86"/>
      <c r="F493" s="253"/>
      <c r="G493" s="253"/>
      <c r="H493" s="253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50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</row>
    <row r="494">
      <c r="A494" s="17"/>
      <c r="B494" s="17"/>
      <c r="C494" s="17"/>
      <c r="D494" s="17"/>
      <c r="E494" s="86"/>
      <c r="F494" s="253"/>
      <c r="G494" s="253"/>
      <c r="H494" s="253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50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</row>
    <row r="495">
      <c r="A495" s="17"/>
      <c r="B495" s="17"/>
      <c r="C495" s="17"/>
      <c r="D495" s="17"/>
      <c r="E495" s="86"/>
      <c r="F495" s="253"/>
      <c r="G495" s="253"/>
      <c r="H495" s="253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50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</row>
    <row r="496">
      <c r="A496" s="17"/>
      <c r="B496" s="17"/>
      <c r="C496" s="17"/>
      <c r="D496" s="17"/>
      <c r="E496" s="86"/>
      <c r="F496" s="253"/>
      <c r="G496" s="253"/>
      <c r="H496" s="253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50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</row>
    <row r="497">
      <c r="A497" s="17"/>
      <c r="B497" s="17"/>
      <c r="C497" s="17"/>
      <c r="D497" s="17"/>
      <c r="E497" s="86"/>
      <c r="F497" s="253"/>
      <c r="G497" s="253"/>
      <c r="H497" s="253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50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</row>
    <row r="498">
      <c r="A498" s="17"/>
      <c r="B498" s="17"/>
      <c r="C498" s="17"/>
      <c r="D498" s="17"/>
      <c r="E498" s="86"/>
      <c r="F498" s="253"/>
      <c r="G498" s="253"/>
      <c r="H498" s="253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50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</row>
    <row r="499">
      <c r="A499" s="17"/>
      <c r="B499" s="17"/>
      <c r="C499" s="17"/>
      <c r="D499" s="17"/>
      <c r="E499" s="86"/>
      <c r="F499" s="253"/>
      <c r="G499" s="253"/>
      <c r="H499" s="253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50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</row>
    <row r="500">
      <c r="A500" s="17"/>
      <c r="B500" s="17"/>
      <c r="C500" s="17"/>
      <c r="D500" s="17"/>
      <c r="E500" s="86"/>
      <c r="F500" s="253"/>
      <c r="G500" s="253"/>
      <c r="H500" s="253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50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</row>
    <row r="501">
      <c r="A501" s="17"/>
      <c r="B501" s="17"/>
      <c r="C501" s="17"/>
      <c r="D501" s="17"/>
      <c r="E501" s="86"/>
      <c r="F501" s="253"/>
      <c r="G501" s="253"/>
      <c r="H501" s="253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50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</row>
    <row r="502">
      <c r="A502" s="17"/>
      <c r="B502" s="17"/>
      <c r="C502" s="17"/>
      <c r="D502" s="17"/>
      <c r="E502" s="86"/>
      <c r="F502" s="253"/>
      <c r="G502" s="253"/>
      <c r="H502" s="253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50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</row>
    <row r="503">
      <c r="A503" s="17"/>
      <c r="B503" s="17"/>
      <c r="C503" s="17"/>
      <c r="D503" s="17"/>
      <c r="E503" s="86"/>
      <c r="F503" s="253"/>
      <c r="G503" s="253"/>
      <c r="H503" s="253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50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</row>
    <row r="504">
      <c r="A504" s="17"/>
      <c r="B504" s="17"/>
      <c r="C504" s="17"/>
      <c r="D504" s="17"/>
      <c r="E504" s="86"/>
      <c r="F504" s="253"/>
      <c r="G504" s="253"/>
      <c r="H504" s="253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50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</row>
    <row r="505">
      <c r="A505" s="17"/>
      <c r="B505" s="17"/>
      <c r="C505" s="17"/>
      <c r="D505" s="17"/>
      <c r="E505" s="86"/>
      <c r="F505" s="253"/>
      <c r="G505" s="253"/>
      <c r="H505" s="253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50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</row>
    <row r="506">
      <c r="A506" s="17"/>
      <c r="B506" s="17"/>
      <c r="C506" s="17"/>
      <c r="D506" s="17"/>
      <c r="E506" s="86"/>
      <c r="F506" s="253"/>
      <c r="G506" s="253"/>
      <c r="H506" s="253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50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</row>
    <row r="507">
      <c r="A507" s="17"/>
      <c r="B507" s="17"/>
      <c r="C507" s="17"/>
      <c r="D507" s="17"/>
      <c r="E507" s="86"/>
      <c r="F507" s="253"/>
      <c r="G507" s="253"/>
      <c r="H507" s="253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50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</row>
    <row r="508">
      <c r="A508" s="17"/>
      <c r="B508" s="17"/>
      <c r="C508" s="17"/>
      <c r="D508" s="17"/>
      <c r="E508" s="86"/>
      <c r="F508" s="253"/>
      <c r="G508" s="253"/>
      <c r="H508" s="253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50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</row>
    <row r="509">
      <c r="A509" s="17"/>
      <c r="B509" s="17"/>
      <c r="C509" s="17"/>
      <c r="D509" s="17"/>
      <c r="E509" s="86"/>
      <c r="F509" s="253"/>
      <c r="G509" s="253"/>
      <c r="H509" s="253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50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</row>
    <row r="510">
      <c r="A510" s="17"/>
      <c r="B510" s="17"/>
      <c r="C510" s="17"/>
      <c r="D510" s="17"/>
      <c r="E510" s="86"/>
      <c r="F510" s="253"/>
      <c r="G510" s="253"/>
      <c r="H510" s="253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50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</row>
    <row r="511">
      <c r="A511" s="17"/>
      <c r="B511" s="17"/>
      <c r="C511" s="17"/>
      <c r="D511" s="17"/>
      <c r="E511" s="86"/>
      <c r="F511" s="253"/>
      <c r="G511" s="253"/>
      <c r="H511" s="253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50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</row>
    <row r="512">
      <c r="A512" s="17"/>
      <c r="B512" s="17"/>
      <c r="C512" s="17"/>
      <c r="D512" s="17"/>
      <c r="E512" s="86"/>
      <c r="F512" s="253"/>
      <c r="G512" s="253"/>
      <c r="H512" s="253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50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</row>
    <row r="513">
      <c r="A513" s="17"/>
      <c r="B513" s="17"/>
      <c r="C513" s="17"/>
      <c r="D513" s="17"/>
      <c r="E513" s="86"/>
      <c r="F513" s="253"/>
      <c r="G513" s="253"/>
      <c r="H513" s="253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50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</row>
    <row r="514">
      <c r="A514" s="17"/>
      <c r="B514" s="17"/>
      <c r="C514" s="17"/>
      <c r="D514" s="17"/>
      <c r="E514" s="86"/>
      <c r="F514" s="253"/>
      <c r="G514" s="253"/>
      <c r="H514" s="253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50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</row>
    <row r="515">
      <c r="A515" s="17"/>
      <c r="B515" s="17"/>
      <c r="C515" s="17"/>
      <c r="D515" s="17"/>
      <c r="E515" s="86"/>
      <c r="F515" s="253"/>
      <c r="G515" s="253"/>
      <c r="H515" s="253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50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</row>
    <row r="516">
      <c r="A516" s="17"/>
      <c r="B516" s="17"/>
      <c r="C516" s="17"/>
      <c r="D516" s="17"/>
      <c r="E516" s="86"/>
      <c r="F516" s="253"/>
      <c r="G516" s="253"/>
      <c r="H516" s="253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50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</row>
    <row r="517">
      <c r="A517" s="17"/>
      <c r="B517" s="17"/>
      <c r="C517" s="17"/>
      <c r="D517" s="17"/>
      <c r="E517" s="86"/>
      <c r="F517" s="253"/>
      <c r="G517" s="253"/>
      <c r="H517" s="253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50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</row>
    <row r="518">
      <c r="A518" s="17"/>
      <c r="B518" s="17"/>
      <c r="C518" s="17"/>
      <c r="D518" s="17"/>
      <c r="E518" s="86"/>
      <c r="F518" s="253"/>
      <c r="G518" s="253"/>
      <c r="H518" s="253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50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</row>
    <row r="519">
      <c r="A519" s="17"/>
      <c r="B519" s="17"/>
      <c r="C519" s="17"/>
      <c r="D519" s="17"/>
      <c r="E519" s="86"/>
      <c r="F519" s="253"/>
      <c r="G519" s="253"/>
      <c r="H519" s="253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50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</row>
    <row r="520">
      <c r="A520" s="17"/>
      <c r="B520" s="17"/>
      <c r="C520" s="17"/>
      <c r="D520" s="17"/>
      <c r="E520" s="86"/>
      <c r="F520" s="253"/>
      <c r="G520" s="253"/>
      <c r="H520" s="253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50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</row>
    <row r="521">
      <c r="A521" s="17"/>
      <c r="B521" s="17"/>
      <c r="C521" s="17"/>
      <c r="D521" s="17"/>
      <c r="E521" s="86"/>
      <c r="F521" s="253"/>
      <c r="G521" s="253"/>
      <c r="H521" s="253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50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</row>
    <row r="522">
      <c r="A522" s="17"/>
      <c r="B522" s="17"/>
      <c r="C522" s="17"/>
      <c r="D522" s="17"/>
      <c r="E522" s="86"/>
      <c r="F522" s="253"/>
      <c r="G522" s="253"/>
      <c r="H522" s="253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50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</row>
    <row r="523">
      <c r="A523" s="17"/>
      <c r="B523" s="17"/>
      <c r="C523" s="17"/>
      <c r="D523" s="17"/>
      <c r="E523" s="86"/>
      <c r="F523" s="253"/>
      <c r="G523" s="253"/>
      <c r="H523" s="253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50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</row>
    <row r="524">
      <c r="A524" s="17"/>
      <c r="B524" s="17"/>
      <c r="C524" s="17"/>
      <c r="D524" s="17"/>
      <c r="E524" s="86"/>
      <c r="F524" s="253"/>
      <c r="G524" s="253"/>
      <c r="H524" s="253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50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</row>
    <row r="525">
      <c r="A525" s="17"/>
      <c r="B525" s="17"/>
      <c r="C525" s="17"/>
      <c r="D525" s="17"/>
      <c r="E525" s="86"/>
      <c r="F525" s="253"/>
      <c r="G525" s="253"/>
      <c r="H525" s="253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50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</row>
    <row r="526">
      <c r="A526" s="17"/>
      <c r="B526" s="17"/>
      <c r="C526" s="17"/>
      <c r="D526" s="17"/>
      <c r="E526" s="86"/>
      <c r="F526" s="253"/>
      <c r="G526" s="253"/>
      <c r="H526" s="253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50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</row>
    <row r="527">
      <c r="A527" s="17"/>
      <c r="B527" s="17"/>
      <c r="C527" s="17"/>
      <c r="D527" s="17"/>
      <c r="E527" s="86"/>
      <c r="F527" s="253"/>
      <c r="G527" s="253"/>
      <c r="H527" s="253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50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</row>
    <row r="528">
      <c r="A528" s="17"/>
      <c r="B528" s="17"/>
      <c r="C528" s="17"/>
      <c r="D528" s="17"/>
      <c r="E528" s="86"/>
      <c r="F528" s="253"/>
      <c r="G528" s="253"/>
      <c r="H528" s="253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50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</row>
    <row r="529">
      <c r="A529" s="17"/>
      <c r="B529" s="17"/>
      <c r="C529" s="17"/>
      <c r="D529" s="17"/>
      <c r="E529" s="86"/>
      <c r="F529" s="253"/>
      <c r="G529" s="253"/>
      <c r="H529" s="253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50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</row>
    <row r="530">
      <c r="A530" s="17"/>
      <c r="B530" s="17"/>
      <c r="C530" s="17"/>
      <c r="D530" s="17"/>
      <c r="E530" s="86"/>
      <c r="F530" s="253"/>
      <c r="G530" s="253"/>
      <c r="H530" s="253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50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</row>
    <row r="531">
      <c r="A531" s="17"/>
      <c r="B531" s="17"/>
      <c r="C531" s="17"/>
      <c r="D531" s="17"/>
      <c r="E531" s="86"/>
      <c r="F531" s="253"/>
      <c r="G531" s="253"/>
      <c r="H531" s="253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50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</row>
    <row r="532">
      <c r="A532" s="17"/>
      <c r="B532" s="17"/>
      <c r="C532" s="17"/>
      <c r="D532" s="17"/>
      <c r="E532" s="86"/>
      <c r="F532" s="253"/>
      <c r="G532" s="253"/>
      <c r="H532" s="253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50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</row>
    <row r="533">
      <c r="A533" s="17"/>
      <c r="B533" s="17"/>
      <c r="C533" s="17"/>
      <c r="D533" s="17"/>
      <c r="E533" s="86"/>
      <c r="F533" s="253"/>
      <c r="G533" s="253"/>
      <c r="H533" s="253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50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</row>
    <row r="534">
      <c r="A534" s="17"/>
      <c r="B534" s="17"/>
      <c r="C534" s="17"/>
      <c r="D534" s="17"/>
      <c r="E534" s="86"/>
      <c r="F534" s="253"/>
      <c r="G534" s="253"/>
      <c r="H534" s="253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50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</row>
    <row r="535">
      <c r="A535" s="17"/>
      <c r="B535" s="17"/>
      <c r="C535" s="17"/>
      <c r="D535" s="17"/>
      <c r="E535" s="86"/>
      <c r="F535" s="253"/>
      <c r="G535" s="253"/>
      <c r="H535" s="253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50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</row>
    <row r="536">
      <c r="A536" s="17"/>
      <c r="B536" s="17"/>
      <c r="C536" s="17"/>
      <c r="D536" s="17"/>
      <c r="E536" s="86"/>
      <c r="F536" s="253"/>
      <c r="G536" s="253"/>
      <c r="H536" s="253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50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</row>
    <row r="537">
      <c r="A537" s="17"/>
      <c r="B537" s="17"/>
      <c r="C537" s="17"/>
      <c r="D537" s="17"/>
      <c r="E537" s="86"/>
      <c r="F537" s="253"/>
      <c r="G537" s="253"/>
      <c r="H537" s="253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50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</row>
    <row r="538">
      <c r="A538" s="17"/>
      <c r="B538" s="17"/>
      <c r="C538" s="17"/>
      <c r="D538" s="17"/>
      <c r="E538" s="86"/>
      <c r="F538" s="253"/>
      <c r="G538" s="253"/>
      <c r="H538" s="253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50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</row>
    <row r="539">
      <c r="A539" s="17"/>
      <c r="B539" s="17"/>
      <c r="C539" s="17"/>
      <c r="D539" s="17"/>
      <c r="E539" s="86"/>
      <c r="F539" s="253"/>
      <c r="G539" s="253"/>
      <c r="H539" s="253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50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</row>
    <row r="540">
      <c r="A540" s="17"/>
      <c r="B540" s="17"/>
      <c r="C540" s="17"/>
      <c r="D540" s="17"/>
      <c r="E540" s="86"/>
      <c r="F540" s="253"/>
      <c r="G540" s="253"/>
      <c r="H540" s="253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50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</row>
    <row r="541">
      <c r="A541" s="17"/>
      <c r="B541" s="17"/>
      <c r="C541" s="17"/>
      <c r="D541" s="17"/>
      <c r="E541" s="86"/>
      <c r="F541" s="253"/>
      <c r="G541" s="253"/>
      <c r="H541" s="253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50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</row>
    <row r="542">
      <c r="A542" s="17"/>
      <c r="B542" s="17"/>
      <c r="C542" s="17"/>
      <c r="D542" s="17"/>
      <c r="E542" s="86"/>
      <c r="F542" s="253"/>
      <c r="G542" s="253"/>
      <c r="H542" s="253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50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</row>
    <row r="543">
      <c r="A543" s="17"/>
      <c r="B543" s="17"/>
      <c r="C543" s="17"/>
      <c r="D543" s="17"/>
      <c r="E543" s="86"/>
      <c r="F543" s="253"/>
      <c r="G543" s="253"/>
      <c r="H543" s="253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50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</row>
    <row r="544">
      <c r="A544" s="17"/>
      <c r="B544" s="17"/>
      <c r="C544" s="17"/>
      <c r="D544" s="17"/>
      <c r="E544" s="86"/>
      <c r="F544" s="253"/>
      <c r="G544" s="253"/>
      <c r="H544" s="253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50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</row>
    <row r="545">
      <c r="A545" s="17"/>
      <c r="B545" s="17"/>
      <c r="C545" s="17"/>
      <c r="D545" s="17"/>
      <c r="E545" s="86"/>
      <c r="F545" s="253"/>
      <c r="G545" s="253"/>
      <c r="H545" s="253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50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</row>
    <row r="546">
      <c r="A546" s="17"/>
      <c r="B546" s="17"/>
      <c r="C546" s="17"/>
      <c r="D546" s="17"/>
      <c r="E546" s="86"/>
      <c r="F546" s="253"/>
      <c r="G546" s="253"/>
      <c r="H546" s="253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50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</row>
    <row r="547">
      <c r="A547" s="17"/>
      <c r="B547" s="17"/>
      <c r="C547" s="17"/>
      <c r="D547" s="17"/>
      <c r="E547" s="86"/>
      <c r="F547" s="253"/>
      <c r="G547" s="253"/>
      <c r="H547" s="253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50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</row>
    <row r="548">
      <c r="A548" s="17"/>
      <c r="B548" s="17"/>
      <c r="C548" s="17"/>
      <c r="D548" s="17"/>
      <c r="E548" s="86"/>
      <c r="F548" s="253"/>
      <c r="G548" s="253"/>
      <c r="H548" s="253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50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</row>
    <row r="549">
      <c r="A549" s="17"/>
      <c r="B549" s="17"/>
      <c r="C549" s="17"/>
      <c r="D549" s="17"/>
      <c r="E549" s="86"/>
      <c r="F549" s="253"/>
      <c r="G549" s="253"/>
      <c r="H549" s="253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50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</row>
    <row r="550">
      <c r="A550" s="17"/>
      <c r="B550" s="17"/>
      <c r="C550" s="17"/>
      <c r="D550" s="17"/>
      <c r="E550" s="86"/>
      <c r="F550" s="253"/>
      <c r="G550" s="253"/>
      <c r="H550" s="253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50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</row>
    <row r="551">
      <c r="A551" s="17"/>
      <c r="B551" s="17"/>
      <c r="C551" s="17"/>
      <c r="D551" s="17"/>
      <c r="E551" s="86"/>
      <c r="F551" s="253"/>
      <c r="G551" s="253"/>
      <c r="H551" s="253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50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</row>
    <row r="552">
      <c r="A552" s="17"/>
      <c r="B552" s="17"/>
      <c r="C552" s="17"/>
      <c r="D552" s="17"/>
      <c r="E552" s="86"/>
      <c r="F552" s="253"/>
      <c r="G552" s="253"/>
      <c r="H552" s="253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50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</row>
    <row r="553">
      <c r="A553" s="17"/>
      <c r="B553" s="17"/>
      <c r="C553" s="17"/>
      <c r="D553" s="17"/>
      <c r="E553" s="86"/>
      <c r="F553" s="253"/>
      <c r="G553" s="253"/>
      <c r="H553" s="253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50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</row>
    <row r="554">
      <c r="A554" s="17"/>
      <c r="B554" s="17"/>
      <c r="C554" s="17"/>
      <c r="D554" s="17"/>
      <c r="E554" s="86"/>
      <c r="F554" s="253"/>
      <c r="G554" s="253"/>
      <c r="H554" s="253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50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</row>
    <row r="555">
      <c r="A555" s="17"/>
      <c r="B555" s="17"/>
      <c r="C555" s="17"/>
      <c r="D555" s="17"/>
      <c r="E555" s="86"/>
      <c r="F555" s="253"/>
      <c r="G555" s="253"/>
      <c r="H555" s="253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50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</row>
    <row r="556">
      <c r="A556" s="17"/>
      <c r="B556" s="17"/>
      <c r="C556" s="17"/>
      <c r="D556" s="17"/>
      <c r="E556" s="86"/>
      <c r="F556" s="253"/>
      <c r="G556" s="253"/>
      <c r="H556" s="253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50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</row>
    <row r="557">
      <c r="A557" s="17"/>
      <c r="B557" s="17"/>
      <c r="C557" s="17"/>
      <c r="D557" s="17"/>
      <c r="E557" s="86"/>
      <c r="F557" s="253"/>
      <c r="G557" s="253"/>
      <c r="H557" s="253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50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</row>
    <row r="558">
      <c r="A558" s="17"/>
      <c r="B558" s="17"/>
      <c r="C558" s="17"/>
      <c r="D558" s="17"/>
      <c r="E558" s="86"/>
      <c r="F558" s="253"/>
      <c r="G558" s="253"/>
      <c r="H558" s="253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50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</row>
    <row r="559">
      <c r="A559" s="17"/>
      <c r="B559" s="17"/>
      <c r="C559" s="17"/>
      <c r="D559" s="17"/>
      <c r="E559" s="86"/>
      <c r="F559" s="253"/>
      <c r="G559" s="253"/>
      <c r="H559" s="253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50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</row>
    <row r="560">
      <c r="A560" s="17"/>
      <c r="B560" s="17"/>
      <c r="C560" s="17"/>
      <c r="D560" s="17"/>
      <c r="E560" s="86"/>
      <c r="F560" s="253"/>
      <c r="G560" s="253"/>
      <c r="H560" s="253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50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</row>
    <row r="561">
      <c r="A561" s="17"/>
      <c r="B561" s="17"/>
      <c r="C561" s="17"/>
      <c r="D561" s="17"/>
      <c r="E561" s="86"/>
      <c r="F561" s="253"/>
      <c r="G561" s="253"/>
      <c r="H561" s="253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50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</row>
    <row r="562">
      <c r="A562" s="17"/>
      <c r="B562" s="17"/>
      <c r="C562" s="17"/>
      <c r="D562" s="17"/>
      <c r="E562" s="86"/>
      <c r="F562" s="253"/>
      <c r="G562" s="253"/>
      <c r="H562" s="253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50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</row>
    <row r="563">
      <c r="A563" s="17"/>
      <c r="B563" s="17"/>
      <c r="C563" s="17"/>
      <c r="D563" s="17"/>
      <c r="E563" s="86"/>
      <c r="F563" s="253"/>
      <c r="G563" s="253"/>
      <c r="H563" s="253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50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</row>
    <row r="564">
      <c r="A564" s="17"/>
      <c r="B564" s="17"/>
      <c r="C564" s="17"/>
      <c r="D564" s="17"/>
      <c r="E564" s="86"/>
      <c r="F564" s="253"/>
      <c r="G564" s="253"/>
      <c r="H564" s="253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50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</row>
    <row r="565">
      <c r="A565" s="17"/>
      <c r="B565" s="17"/>
      <c r="C565" s="17"/>
      <c r="D565" s="17"/>
      <c r="E565" s="86"/>
      <c r="F565" s="253"/>
      <c r="G565" s="253"/>
      <c r="H565" s="253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50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</row>
    <row r="566">
      <c r="A566" s="17"/>
      <c r="B566" s="17"/>
      <c r="C566" s="17"/>
      <c r="D566" s="17"/>
      <c r="E566" s="86"/>
      <c r="F566" s="253"/>
      <c r="G566" s="253"/>
      <c r="H566" s="253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50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</row>
    <row r="567">
      <c r="A567" s="17"/>
      <c r="B567" s="17"/>
      <c r="C567" s="17"/>
      <c r="D567" s="17"/>
      <c r="E567" s="86"/>
      <c r="F567" s="253"/>
      <c r="G567" s="253"/>
      <c r="H567" s="253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50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</row>
    <row r="568">
      <c r="A568" s="17"/>
      <c r="B568" s="17"/>
      <c r="C568" s="17"/>
      <c r="D568" s="17"/>
      <c r="E568" s="86"/>
      <c r="F568" s="253"/>
      <c r="G568" s="253"/>
      <c r="H568" s="253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50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</row>
    <row r="569">
      <c r="A569" s="17"/>
      <c r="B569" s="17"/>
      <c r="C569" s="17"/>
      <c r="D569" s="17"/>
      <c r="E569" s="86"/>
      <c r="F569" s="253"/>
      <c r="G569" s="253"/>
      <c r="H569" s="253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50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</row>
    <row r="570">
      <c r="A570" s="17"/>
      <c r="B570" s="17"/>
      <c r="C570" s="17"/>
      <c r="D570" s="17"/>
      <c r="E570" s="86"/>
      <c r="F570" s="253"/>
      <c r="G570" s="253"/>
      <c r="H570" s="253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50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</row>
    <row r="571">
      <c r="A571" s="17"/>
      <c r="B571" s="17"/>
      <c r="C571" s="17"/>
      <c r="D571" s="17"/>
      <c r="E571" s="86"/>
      <c r="F571" s="253"/>
      <c r="G571" s="253"/>
      <c r="H571" s="253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50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</row>
    <row r="572">
      <c r="A572" s="17"/>
      <c r="B572" s="17"/>
      <c r="C572" s="17"/>
      <c r="D572" s="17"/>
      <c r="E572" s="86"/>
      <c r="F572" s="253"/>
      <c r="G572" s="253"/>
      <c r="H572" s="253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50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</row>
    <row r="573">
      <c r="A573" s="17"/>
      <c r="B573" s="17"/>
      <c r="C573" s="17"/>
      <c r="D573" s="17"/>
      <c r="E573" s="86"/>
      <c r="F573" s="253"/>
      <c r="G573" s="253"/>
      <c r="H573" s="253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50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</row>
    <row r="574">
      <c r="A574" s="17"/>
      <c r="B574" s="17"/>
      <c r="C574" s="17"/>
      <c r="D574" s="17"/>
      <c r="E574" s="86"/>
      <c r="F574" s="253"/>
      <c r="G574" s="253"/>
      <c r="H574" s="253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50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</row>
    <row r="575">
      <c r="A575" s="17"/>
      <c r="B575" s="17"/>
      <c r="C575" s="17"/>
      <c r="D575" s="17"/>
      <c r="E575" s="86"/>
      <c r="F575" s="253"/>
      <c r="G575" s="253"/>
      <c r="H575" s="253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50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</row>
    <row r="576">
      <c r="A576" s="17"/>
      <c r="B576" s="17"/>
      <c r="C576" s="17"/>
      <c r="D576" s="17"/>
      <c r="E576" s="86"/>
      <c r="F576" s="253"/>
      <c r="G576" s="253"/>
      <c r="H576" s="253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50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</row>
    <row r="577">
      <c r="A577" s="17"/>
      <c r="B577" s="17"/>
      <c r="C577" s="17"/>
      <c r="D577" s="17"/>
      <c r="E577" s="86"/>
      <c r="F577" s="253"/>
      <c r="G577" s="253"/>
      <c r="H577" s="253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50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</row>
    <row r="578">
      <c r="A578" s="17"/>
      <c r="B578" s="17"/>
      <c r="C578" s="17"/>
      <c r="D578" s="17"/>
      <c r="E578" s="86"/>
      <c r="F578" s="253"/>
      <c r="G578" s="253"/>
      <c r="H578" s="253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50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</row>
    <row r="579">
      <c r="A579" s="17"/>
      <c r="B579" s="17"/>
      <c r="C579" s="17"/>
      <c r="D579" s="17"/>
      <c r="E579" s="86"/>
      <c r="F579" s="253"/>
      <c r="G579" s="253"/>
      <c r="H579" s="253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50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</row>
    <row r="580">
      <c r="A580" s="17"/>
      <c r="B580" s="17"/>
      <c r="C580" s="17"/>
      <c r="D580" s="17"/>
      <c r="E580" s="86"/>
      <c r="F580" s="253"/>
      <c r="G580" s="253"/>
      <c r="H580" s="253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50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</row>
    <row r="581">
      <c r="A581" s="17"/>
      <c r="B581" s="17"/>
      <c r="C581" s="17"/>
      <c r="D581" s="17"/>
      <c r="E581" s="86"/>
      <c r="F581" s="253"/>
      <c r="G581" s="253"/>
      <c r="H581" s="253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50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</row>
    <row r="582">
      <c r="A582" s="17"/>
      <c r="B582" s="17"/>
      <c r="C582" s="17"/>
      <c r="D582" s="17"/>
      <c r="E582" s="86"/>
      <c r="F582" s="253"/>
      <c r="G582" s="253"/>
      <c r="H582" s="253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50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</row>
    <row r="583">
      <c r="A583" s="17"/>
      <c r="B583" s="17"/>
      <c r="C583" s="17"/>
      <c r="D583" s="17"/>
      <c r="E583" s="86"/>
      <c r="F583" s="253"/>
      <c r="G583" s="253"/>
      <c r="H583" s="253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50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</row>
    <row r="584">
      <c r="A584" s="17"/>
      <c r="B584" s="17"/>
      <c r="C584" s="17"/>
      <c r="D584" s="17"/>
      <c r="E584" s="86"/>
      <c r="F584" s="253"/>
      <c r="G584" s="253"/>
      <c r="H584" s="253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50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</row>
    <row r="585">
      <c r="A585" s="17"/>
      <c r="B585" s="17"/>
      <c r="C585" s="17"/>
      <c r="D585" s="17"/>
      <c r="E585" s="86"/>
      <c r="F585" s="253"/>
      <c r="G585" s="253"/>
      <c r="H585" s="253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50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</row>
    <row r="586">
      <c r="A586" s="17"/>
      <c r="B586" s="17"/>
      <c r="C586" s="17"/>
      <c r="D586" s="17"/>
      <c r="E586" s="86"/>
      <c r="F586" s="253"/>
      <c r="G586" s="253"/>
      <c r="H586" s="253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50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</row>
    <row r="587">
      <c r="A587" s="17"/>
      <c r="B587" s="17"/>
      <c r="C587" s="17"/>
      <c r="D587" s="17"/>
      <c r="E587" s="86"/>
      <c r="F587" s="253"/>
      <c r="G587" s="253"/>
      <c r="H587" s="253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50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</row>
    <row r="588">
      <c r="A588" s="17"/>
      <c r="B588" s="17"/>
      <c r="C588" s="17"/>
      <c r="D588" s="17"/>
      <c r="E588" s="86"/>
      <c r="F588" s="253"/>
      <c r="G588" s="253"/>
      <c r="H588" s="253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50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</row>
    <row r="589">
      <c r="A589" s="17"/>
      <c r="B589" s="17"/>
      <c r="C589" s="17"/>
      <c r="D589" s="17"/>
      <c r="E589" s="86"/>
      <c r="F589" s="253"/>
      <c r="G589" s="253"/>
      <c r="H589" s="253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50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</row>
    <row r="590">
      <c r="A590" s="17"/>
      <c r="B590" s="17"/>
      <c r="C590" s="17"/>
      <c r="D590" s="17"/>
      <c r="E590" s="86"/>
      <c r="F590" s="253"/>
      <c r="G590" s="253"/>
      <c r="H590" s="253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50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</row>
    <row r="591">
      <c r="A591" s="17"/>
      <c r="B591" s="17"/>
      <c r="C591" s="17"/>
      <c r="D591" s="17"/>
      <c r="E591" s="86"/>
      <c r="F591" s="253"/>
      <c r="G591" s="253"/>
      <c r="H591" s="253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50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</row>
    <row r="592">
      <c r="A592" s="17"/>
      <c r="B592" s="17"/>
      <c r="C592" s="17"/>
      <c r="D592" s="17"/>
      <c r="E592" s="86"/>
      <c r="F592" s="253"/>
      <c r="G592" s="253"/>
      <c r="H592" s="253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50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</row>
    <row r="593">
      <c r="A593" s="17"/>
      <c r="B593" s="17"/>
      <c r="C593" s="17"/>
      <c r="D593" s="17"/>
      <c r="E593" s="86"/>
      <c r="F593" s="253"/>
      <c r="G593" s="253"/>
      <c r="H593" s="253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50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</row>
    <row r="594">
      <c r="A594" s="17"/>
      <c r="B594" s="17"/>
      <c r="C594" s="17"/>
      <c r="D594" s="17"/>
      <c r="E594" s="86"/>
      <c r="F594" s="253"/>
      <c r="G594" s="253"/>
      <c r="H594" s="253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50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</row>
    <row r="595">
      <c r="A595" s="17"/>
      <c r="B595" s="17"/>
      <c r="C595" s="17"/>
      <c r="D595" s="17"/>
      <c r="E595" s="86"/>
      <c r="F595" s="253"/>
      <c r="G595" s="253"/>
      <c r="H595" s="253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50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</row>
    <row r="596">
      <c r="A596" s="17"/>
      <c r="B596" s="17"/>
      <c r="C596" s="17"/>
      <c r="D596" s="17"/>
      <c r="E596" s="86"/>
      <c r="F596" s="253"/>
      <c r="G596" s="253"/>
      <c r="H596" s="253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50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</row>
    <row r="597">
      <c r="A597" s="17"/>
      <c r="B597" s="17"/>
      <c r="C597" s="17"/>
      <c r="D597" s="17"/>
      <c r="E597" s="86"/>
      <c r="F597" s="253"/>
      <c r="G597" s="253"/>
      <c r="H597" s="253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50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</row>
    <row r="598">
      <c r="A598" s="17"/>
      <c r="B598" s="17"/>
      <c r="C598" s="17"/>
      <c r="D598" s="17"/>
      <c r="E598" s="86"/>
      <c r="F598" s="253"/>
      <c r="G598" s="253"/>
      <c r="H598" s="253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50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</row>
    <row r="599">
      <c r="A599" s="17"/>
      <c r="B599" s="17"/>
      <c r="C599" s="17"/>
      <c r="D599" s="17"/>
      <c r="E599" s="86"/>
      <c r="F599" s="253"/>
      <c r="G599" s="253"/>
      <c r="H599" s="253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50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</row>
    <row r="600">
      <c r="A600" s="17"/>
      <c r="B600" s="17"/>
      <c r="C600" s="17"/>
      <c r="D600" s="17"/>
      <c r="E600" s="86"/>
      <c r="F600" s="253"/>
      <c r="G600" s="253"/>
      <c r="H600" s="253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50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</row>
    <row r="601">
      <c r="A601" s="17"/>
      <c r="B601" s="17"/>
      <c r="C601" s="17"/>
      <c r="D601" s="17"/>
      <c r="E601" s="86"/>
      <c r="F601" s="253"/>
      <c r="G601" s="253"/>
      <c r="H601" s="253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50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</row>
    <row r="602">
      <c r="A602" s="17"/>
      <c r="B602" s="17"/>
      <c r="C602" s="17"/>
      <c r="D602" s="17"/>
      <c r="E602" s="86"/>
      <c r="F602" s="253"/>
      <c r="G602" s="253"/>
      <c r="H602" s="253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50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</row>
    <row r="603">
      <c r="A603" s="17"/>
      <c r="B603" s="17"/>
      <c r="C603" s="17"/>
      <c r="D603" s="17"/>
      <c r="E603" s="86"/>
      <c r="F603" s="253"/>
      <c r="G603" s="253"/>
      <c r="H603" s="253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50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</row>
    <row r="604">
      <c r="A604" s="17"/>
      <c r="B604" s="17"/>
      <c r="C604" s="17"/>
      <c r="D604" s="17"/>
      <c r="E604" s="86"/>
      <c r="F604" s="253"/>
      <c r="G604" s="253"/>
      <c r="H604" s="253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50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</row>
    <row r="605">
      <c r="A605" s="17"/>
      <c r="B605" s="17"/>
      <c r="C605" s="17"/>
      <c r="D605" s="17"/>
      <c r="E605" s="86"/>
      <c r="F605" s="253"/>
      <c r="G605" s="253"/>
      <c r="H605" s="253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50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</row>
    <row r="606">
      <c r="A606" s="17"/>
      <c r="B606" s="17"/>
      <c r="C606" s="17"/>
      <c r="D606" s="17"/>
      <c r="E606" s="86"/>
      <c r="F606" s="253"/>
      <c r="G606" s="253"/>
      <c r="H606" s="253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50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</row>
    <row r="607">
      <c r="A607" s="17"/>
      <c r="B607" s="17"/>
      <c r="C607" s="17"/>
      <c r="D607" s="17"/>
      <c r="E607" s="86"/>
      <c r="F607" s="253"/>
      <c r="G607" s="253"/>
      <c r="H607" s="253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50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</row>
    <row r="608">
      <c r="A608" s="17"/>
      <c r="B608" s="17"/>
      <c r="C608" s="17"/>
      <c r="D608" s="17"/>
      <c r="E608" s="86"/>
      <c r="F608" s="253"/>
      <c r="G608" s="253"/>
      <c r="H608" s="253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50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</row>
    <row r="609">
      <c r="A609" s="17"/>
      <c r="B609" s="17"/>
      <c r="C609" s="17"/>
      <c r="D609" s="17"/>
      <c r="E609" s="86"/>
      <c r="F609" s="253"/>
      <c r="G609" s="253"/>
      <c r="H609" s="253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50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</row>
    <row r="610">
      <c r="A610" s="17"/>
      <c r="B610" s="17"/>
      <c r="C610" s="17"/>
      <c r="D610" s="17"/>
      <c r="E610" s="86"/>
      <c r="F610" s="253"/>
      <c r="G610" s="253"/>
      <c r="H610" s="253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50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</row>
    <row r="611">
      <c r="A611" s="17"/>
      <c r="B611" s="17"/>
      <c r="C611" s="17"/>
      <c r="D611" s="17"/>
      <c r="E611" s="86"/>
      <c r="F611" s="253"/>
      <c r="G611" s="253"/>
      <c r="H611" s="253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50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</row>
    <row r="612">
      <c r="A612" s="17"/>
      <c r="B612" s="17"/>
      <c r="C612" s="17"/>
      <c r="D612" s="17"/>
      <c r="E612" s="86"/>
      <c r="F612" s="253"/>
      <c r="G612" s="253"/>
      <c r="H612" s="253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50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</row>
    <row r="613">
      <c r="A613" s="17"/>
      <c r="B613" s="17"/>
      <c r="C613" s="17"/>
      <c r="D613" s="17"/>
      <c r="E613" s="86"/>
      <c r="F613" s="253"/>
      <c r="G613" s="253"/>
      <c r="H613" s="253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50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</row>
    <row r="614">
      <c r="A614" s="17"/>
      <c r="B614" s="17"/>
      <c r="C614" s="17"/>
      <c r="D614" s="17"/>
      <c r="E614" s="86"/>
      <c r="F614" s="253"/>
      <c r="G614" s="253"/>
      <c r="H614" s="253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50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</row>
    <row r="615">
      <c r="A615" s="17"/>
      <c r="B615" s="17"/>
      <c r="C615" s="17"/>
      <c r="D615" s="17"/>
      <c r="E615" s="86"/>
      <c r="F615" s="253"/>
      <c r="G615" s="253"/>
      <c r="H615" s="253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50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</row>
    <row r="616">
      <c r="A616" s="17"/>
      <c r="B616" s="17"/>
      <c r="C616" s="17"/>
      <c r="D616" s="17"/>
      <c r="E616" s="86"/>
      <c r="F616" s="253"/>
      <c r="G616" s="253"/>
      <c r="H616" s="253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50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</row>
    <row r="617">
      <c r="A617" s="17"/>
      <c r="B617" s="17"/>
      <c r="C617" s="17"/>
      <c r="D617" s="17"/>
      <c r="E617" s="86"/>
      <c r="F617" s="253"/>
      <c r="G617" s="253"/>
      <c r="H617" s="253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50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</row>
    <row r="618">
      <c r="A618" s="17"/>
      <c r="B618" s="17"/>
      <c r="C618" s="17"/>
      <c r="D618" s="17"/>
      <c r="E618" s="86"/>
      <c r="F618" s="253"/>
      <c r="G618" s="253"/>
      <c r="H618" s="253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50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</row>
    <row r="619">
      <c r="A619" s="17"/>
      <c r="B619" s="17"/>
      <c r="C619" s="17"/>
      <c r="D619" s="17"/>
      <c r="E619" s="86"/>
      <c r="F619" s="253"/>
      <c r="G619" s="253"/>
      <c r="H619" s="253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50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</row>
    <row r="620">
      <c r="A620" s="17"/>
      <c r="B620" s="17"/>
      <c r="C620" s="17"/>
      <c r="D620" s="17"/>
      <c r="E620" s="86"/>
      <c r="F620" s="253"/>
      <c r="G620" s="253"/>
      <c r="H620" s="253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50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</row>
    <row r="621">
      <c r="A621" s="17"/>
      <c r="B621" s="17"/>
      <c r="C621" s="17"/>
      <c r="D621" s="17"/>
      <c r="E621" s="86"/>
      <c r="F621" s="253"/>
      <c r="G621" s="253"/>
      <c r="H621" s="253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50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</row>
    <row r="622">
      <c r="A622" s="17"/>
      <c r="B622" s="17"/>
      <c r="C622" s="17"/>
      <c r="D622" s="17"/>
      <c r="E622" s="86"/>
      <c r="F622" s="253"/>
      <c r="G622" s="253"/>
      <c r="H622" s="253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50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</row>
    <row r="623">
      <c r="A623" s="17"/>
      <c r="B623" s="17"/>
      <c r="C623" s="17"/>
      <c r="D623" s="17"/>
      <c r="E623" s="86"/>
      <c r="F623" s="253"/>
      <c r="G623" s="253"/>
      <c r="H623" s="253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50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</row>
    <row r="624">
      <c r="A624" s="17"/>
      <c r="B624" s="17"/>
      <c r="C624" s="17"/>
      <c r="D624" s="17"/>
      <c r="E624" s="86"/>
      <c r="F624" s="253"/>
      <c r="G624" s="253"/>
      <c r="H624" s="253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50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</row>
    <row r="625">
      <c r="A625" s="17"/>
      <c r="B625" s="17"/>
      <c r="C625" s="17"/>
      <c r="D625" s="17"/>
      <c r="E625" s="86"/>
      <c r="F625" s="253"/>
      <c r="G625" s="253"/>
      <c r="H625" s="253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50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</row>
    <row r="626">
      <c r="A626" s="17"/>
      <c r="B626" s="17"/>
      <c r="C626" s="17"/>
      <c r="D626" s="17"/>
      <c r="E626" s="86"/>
      <c r="F626" s="253"/>
      <c r="G626" s="253"/>
      <c r="H626" s="253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50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</row>
    <row r="627">
      <c r="A627" s="17"/>
      <c r="B627" s="17"/>
      <c r="C627" s="17"/>
      <c r="D627" s="17"/>
      <c r="E627" s="86"/>
      <c r="F627" s="253"/>
      <c r="G627" s="253"/>
      <c r="H627" s="253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50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</row>
    <row r="628">
      <c r="A628" s="17"/>
      <c r="B628" s="17"/>
      <c r="C628" s="17"/>
      <c r="D628" s="17"/>
      <c r="E628" s="86"/>
      <c r="F628" s="253"/>
      <c r="G628" s="253"/>
      <c r="H628" s="253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50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</row>
    <row r="629">
      <c r="A629" s="17"/>
      <c r="B629" s="17"/>
      <c r="C629" s="17"/>
      <c r="D629" s="17"/>
      <c r="E629" s="86"/>
      <c r="F629" s="253"/>
      <c r="G629" s="253"/>
      <c r="H629" s="253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50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</row>
    <row r="630">
      <c r="A630" s="17"/>
      <c r="B630" s="17"/>
      <c r="C630" s="17"/>
      <c r="D630" s="17"/>
      <c r="E630" s="86"/>
      <c r="F630" s="253"/>
      <c r="G630" s="253"/>
      <c r="H630" s="253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50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</row>
    <row r="631">
      <c r="A631" s="17"/>
      <c r="B631" s="17"/>
      <c r="C631" s="17"/>
      <c r="D631" s="17"/>
      <c r="E631" s="86"/>
      <c r="F631" s="253"/>
      <c r="G631" s="253"/>
      <c r="H631" s="253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50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</row>
    <row r="632">
      <c r="A632" s="17"/>
      <c r="B632" s="17"/>
      <c r="C632" s="17"/>
      <c r="D632" s="17"/>
      <c r="E632" s="86"/>
      <c r="F632" s="253"/>
      <c r="G632" s="253"/>
      <c r="H632" s="253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50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</row>
    <row r="633">
      <c r="A633" s="17"/>
      <c r="B633" s="17"/>
      <c r="C633" s="17"/>
      <c r="D633" s="17"/>
      <c r="E633" s="86"/>
      <c r="F633" s="253"/>
      <c r="G633" s="253"/>
      <c r="H633" s="253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50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</row>
    <row r="634">
      <c r="A634" s="17"/>
      <c r="B634" s="17"/>
      <c r="C634" s="17"/>
      <c r="D634" s="17"/>
      <c r="E634" s="86"/>
      <c r="F634" s="253"/>
      <c r="G634" s="253"/>
      <c r="H634" s="253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50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</row>
    <row r="635">
      <c r="A635" s="17"/>
      <c r="B635" s="17"/>
      <c r="C635" s="17"/>
      <c r="D635" s="17"/>
      <c r="E635" s="86"/>
      <c r="F635" s="253"/>
      <c r="G635" s="253"/>
      <c r="H635" s="253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50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</row>
    <row r="636">
      <c r="A636" s="17"/>
      <c r="B636" s="17"/>
      <c r="C636" s="17"/>
      <c r="D636" s="17"/>
      <c r="E636" s="86"/>
      <c r="F636" s="253"/>
      <c r="G636" s="253"/>
      <c r="H636" s="253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50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</row>
    <row r="637">
      <c r="A637" s="17"/>
      <c r="B637" s="17"/>
      <c r="C637" s="17"/>
      <c r="D637" s="17"/>
      <c r="E637" s="86"/>
      <c r="F637" s="253"/>
      <c r="G637" s="253"/>
      <c r="H637" s="253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50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</row>
    <row r="638">
      <c r="A638" s="17"/>
      <c r="B638" s="17"/>
      <c r="C638" s="17"/>
      <c r="D638" s="17"/>
      <c r="E638" s="86"/>
      <c r="F638" s="253"/>
      <c r="G638" s="253"/>
      <c r="H638" s="253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50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</row>
    <row r="639">
      <c r="A639" s="17"/>
      <c r="B639" s="17"/>
      <c r="C639" s="17"/>
      <c r="D639" s="17"/>
      <c r="E639" s="86"/>
      <c r="F639" s="253"/>
      <c r="G639" s="253"/>
      <c r="H639" s="253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50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</row>
    <row r="640">
      <c r="A640" s="17"/>
      <c r="B640" s="17"/>
      <c r="C640" s="17"/>
      <c r="D640" s="17"/>
      <c r="E640" s="86"/>
      <c r="F640" s="253"/>
      <c r="G640" s="253"/>
      <c r="H640" s="253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50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</row>
    <row r="641">
      <c r="A641" s="17"/>
      <c r="B641" s="17"/>
      <c r="C641" s="17"/>
      <c r="D641" s="17"/>
      <c r="E641" s="86"/>
      <c r="F641" s="253"/>
      <c r="G641" s="253"/>
      <c r="H641" s="253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50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</row>
    <row r="642">
      <c r="A642" s="17"/>
      <c r="B642" s="17"/>
      <c r="C642" s="17"/>
      <c r="D642" s="17"/>
      <c r="E642" s="86"/>
      <c r="F642" s="253"/>
      <c r="G642" s="253"/>
      <c r="H642" s="253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50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</row>
    <row r="643">
      <c r="A643" s="17"/>
      <c r="B643" s="17"/>
      <c r="C643" s="17"/>
      <c r="D643" s="17"/>
      <c r="E643" s="86"/>
      <c r="F643" s="253"/>
      <c r="G643" s="253"/>
      <c r="H643" s="253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50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</row>
    <row r="644">
      <c r="A644" s="17"/>
      <c r="B644" s="17"/>
      <c r="C644" s="17"/>
      <c r="D644" s="17"/>
      <c r="E644" s="86"/>
      <c r="F644" s="253"/>
      <c r="G644" s="253"/>
      <c r="H644" s="253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50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</row>
    <row r="645">
      <c r="A645" s="17"/>
      <c r="B645" s="17"/>
      <c r="C645" s="17"/>
      <c r="D645" s="17"/>
      <c r="E645" s="86"/>
      <c r="F645" s="253"/>
      <c r="G645" s="253"/>
      <c r="H645" s="253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50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</row>
    <row r="646">
      <c r="A646" s="17"/>
      <c r="B646" s="17"/>
      <c r="C646" s="17"/>
      <c r="D646" s="17"/>
      <c r="E646" s="86"/>
      <c r="F646" s="253"/>
      <c r="G646" s="253"/>
      <c r="H646" s="253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50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</row>
    <row r="647">
      <c r="A647" s="17"/>
      <c r="B647" s="17"/>
      <c r="C647" s="17"/>
      <c r="D647" s="17"/>
      <c r="E647" s="86"/>
      <c r="F647" s="253"/>
      <c r="G647" s="253"/>
      <c r="H647" s="253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50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</row>
    <row r="648">
      <c r="A648" s="17"/>
      <c r="B648" s="17"/>
      <c r="C648" s="17"/>
      <c r="D648" s="17"/>
      <c r="E648" s="86"/>
      <c r="F648" s="253"/>
      <c r="G648" s="253"/>
      <c r="H648" s="253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50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</row>
    <row r="649">
      <c r="A649" s="17"/>
      <c r="B649" s="17"/>
      <c r="C649" s="17"/>
      <c r="D649" s="17"/>
      <c r="E649" s="86"/>
      <c r="F649" s="253"/>
      <c r="G649" s="253"/>
      <c r="H649" s="253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50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</row>
    <row r="650">
      <c r="A650" s="17"/>
      <c r="B650" s="17"/>
      <c r="C650" s="17"/>
      <c r="D650" s="17"/>
      <c r="E650" s="86"/>
      <c r="F650" s="253"/>
      <c r="G650" s="253"/>
      <c r="H650" s="253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50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</row>
    <row r="651">
      <c r="A651" s="17"/>
      <c r="B651" s="17"/>
      <c r="C651" s="17"/>
      <c r="D651" s="17"/>
      <c r="E651" s="86"/>
      <c r="F651" s="253"/>
      <c r="G651" s="253"/>
      <c r="H651" s="253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50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</row>
    <row r="652">
      <c r="A652" s="17"/>
      <c r="B652" s="17"/>
      <c r="C652" s="17"/>
      <c r="D652" s="17"/>
      <c r="E652" s="86"/>
      <c r="F652" s="253"/>
      <c r="G652" s="253"/>
      <c r="H652" s="253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50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</row>
    <row r="653">
      <c r="A653" s="17"/>
      <c r="B653" s="17"/>
      <c r="C653" s="17"/>
      <c r="D653" s="17"/>
      <c r="E653" s="86"/>
      <c r="F653" s="253"/>
      <c r="G653" s="253"/>
      <c r="H653" s="253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50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</row>
    <row r="654">
      <c r="A654" s="17"/>
      <c r="B654" s="17"/>
      <c r="C654" s="17"/>
      <c r="D654" s="17"/>
      <c r="E654" s="86"/>
      <c r="F654" s="253"/>
      <c r="G654" s="253"/>
      <c r="H654" s="253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50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</row>
    <row r="655">
      <c r="A655" s="17"/>
      <c r="B655" s="17"/>
      <c r="C655" s="17"/>
      <c r="D655" s="17"/>
      <c r="E655" s="86"/>
      <c r="F655" s="253"/>
      <c r="G655" s="253"/>
      <c r="H655" s="253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50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</row>
    <row r="656">
      <c r="A656" s="17"/>
      <c r="B656" s="17"/>
      <c r="C656" s="17"/>
      <c r="D656" s="17"/>
      <c r="E656" s="86"/>
      <c r="F656" s="253"/>
      <c r="G656" s="253"/>
      <c r="H656" s="253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50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</row>
    <row r="657">
      <c r="A657" s="17"/>
      <c r="B657" s="17"/>
      <c r="C657" s="17"/>
      <c r="D657" s="17"/>
      <c r="E657" s="86"/>
      <c r="F657" s="253"/>
      <c r="G657" s="253"/>
      <c r="H657" s="253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50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</row>
    <row r="658">
      <c r="A658" s="17"/>
      <c r="B658" s="17"/>
      <c r="C658" s="17"/>
      <c r="D658" s="17"/>
      <c r="E658" s="86"/>
      <c r="F658" s="253"/>
      <c r="G658" s="253"/>
      <c r="H658" s="253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50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</row>
    <row r="659">
      <c r="A659" s="17"/>
      <c r="B659" s="17"/>
      <c r="C659" s="17"/>
      <c r="D659" s="17"/>
      <c r="E659" s="86"/>
      <c r="F659" s="253"/>
      <c r="G659" s="253"/>
      <c r="H659" s="253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50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</row>
    <row r="660">
      <c r="A660" s="17"/>
      <c r="B660" s="17"/>
      <c r="C660" s="17"/>
      <c r="D660" s="17"/>
      <c r="E660" s="86"/>
      <c r="F660" s="253"/>
      <c r="G660" s="253"/>
      <c r="H660" s="253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50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</row>
    <row r="661">
      <c r="A661" s="17"/>
      <c r="B661" s="17"/>
      <c r="C661" s="17"/>
      <c r="D661" s="17"/>
      <c r="E661" s="86"/>
      <c r="F661" s="253"/>
      <c r="G661" s="253"/>
      <c r="H661" s="253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50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</row>
    <row r="662">
      <c r="A662" s="17"/>
      <c r="B662" s="17"/>
      <c r="C662" s="17"/>
      <c r="D662" s="17"/>
      <c r="E662" s="86"/>
      <c r="F662" s="253"/>
      <c r="G662" s="253"/>
      <c r="H662" s="253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50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</row>
    <row r="663">
      <c r="A663" s="17"/>
      <c r="B663" s="17"/>
      <c r="C663" s="17"/>
      <c r="D663" s="17"/>
      <c r="E663" s="86"/>
      <c r="F663" s="253"/>
      <c r="G663" s="253"/>
      <c r="H663" s="253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50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</row>
    <row r="664">
      <c r="A664" s="17"/>
      <c r="B664" s="17"/>
      <c r="C664" s="17"/>
      <c r="D664" s="17"/>
      <c r="E664" s="86"/>
      <c r="F664" s="253"/>
      <c r="G664" s="253"/>
      <c r="H664" s="253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50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</row>
    <row r="665">
      <c r="A665" s="17"/>
      <c r="B665" s="17"/>
      <c r="C665" s="17"/>
      <c r="D665" s="17"/>
      <c r="E665" s="86"/>
      <c r="F665" s="253"/>
      <c r="G665" s="253"/>
      <c r="H665" s="253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50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</row>
    <row r="666">
      <c r="A666" s="17"/>
      <c r="B666" s="17"/>
      <c r="C666" s="17"/>
      <c r="D666" s="17"/>
      <c r="E666" s="86"/>
      <c r="F666" s="253"/>
      <c r="G666" s="253"/>
      <c r="H666" s="253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50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</row>
    <row r="667">
      <c r="A667" s="17"/>
      <c r="B667" s="17"/>
      <c r="C667" s="17"/>
      <c r="D667" s="17"/>
      <c r="E667" s="86"/>
      <c r="F667" s="253"/>
      <c r="G667" s="253"/>
      <c r="H667" s="253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50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</row>
    <row r="668">
      <c r="A668" s="17"/>
      <c r="B668" s="17"/>
      <c r="C668" s="17"/>
      <c r="D668" s="17"/>
      <c r="E668" s="86"/>
      <c r="F668" s="253"/>
      <c r="G668" s="253"/>
      <c r="H668" s="253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50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</row>
    <row r="669">
      <c r="A669" s="17"/>
      <c r="B669" s="17"/>
      <c r="C669" s="17"/>
      <c r="D669" s="17"/>
      <c r="E669" s="86"/>
      <c r="F669" s="253"/>
      <c r="G669" s="253"/>
      <c r="H669" s="253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50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</row>
    <row r="670">
      <c r="A670" s="17"/>
      <c r="B670" s="17"/>
      <c r="C670" s="17"/>
      <c r="D670" s="17"/>
      <c r="E670" s="86"/>
      <c r="F670" s="253"/>
      <c r="G670" s="253"/>
      <c r="H670" s="253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50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</row>
    <row r="671">
      <c r="A671" s="17"/>
      <c r="B671" s="17"/>
      <c r="C671" s="17"/>
      <c r="D671" s="17"/>
      <c r="E671" s="86"/>
      <c r="F671" s="253"/>
      <c r="G671" s="253"/>
      <c r="H671" s="253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50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</row>
    <row r="672">
      <c r="A672" s="17"/>
      <c r="B672" s="17"/>
      <c r="C672" s="17"/>
      <c r="D672" s="17"/>
      <c r="E672" s="86"/>
      <c r="F672" s="253"/>
      <c r="G672" s="253"/>
      <c r="H672" s="253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50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</row>
    <row r="673">
      <c r="A673" s="17"/>
      <c r="B673" s="17"/>
      <c r="C673" s="17"/>
      <c r="D673" s="17"/>
      <c r="E673" s="86"/>
      <c r="F673" s="253"/>
      <c r="G673" s="253"/>
      <c r="H673" s="253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50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</row>
    <row r="674">
      <c r="A674" s="17"/>
      <c r="B674" s="17"/>
      <c r="C674" s="17"/>
      <c r="D674" s="17"/>
      <c r="E674" s="86"/>
      <c r="F674" s="253"/>
      <c r="G674" s="253"/>
      <c r="H674" s="253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50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</row>
    <row r="675">
      <c r="A675" s="17"/>
      <c r="B675" s="17"/>
      <c r="C675" s="17"/>
      <c r="D675" s="17"/>
      <c r="E675" s="86"/>
      <c r="F675" s="253"/>
      <c r="G675" s="253"/>
      <c r="H675" s="253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50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</row>
    <row r="676">
      <c r="A676" s="17"/>
      <c r="B676" s="17"/>
      <c r="C676" s="17"/>
      <c r="D676" s="17"/>
      <c r="E676" s="86"/>
      <c r="F676" s="253"/>
      <c r="G676" s="253"/>
      <c r="H676" s="253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50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</row>
    <row r="677">
      <c r="A677" s="17"/>
      <c r="B677" s="17"/>
      <c r="C677" s="17"/>
      <c r="D677" s="17"/>
      <c r="E677" s="86"/>
      <c r="F677" s="253"/>
      <c r="G677" s="253"/>
      <c r="H677" s="253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50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</row>
    <row r="678">
      <c r="A678" s="17"/>
      <c r="B678" s="17"/>
      <c r="C678" s="17"/>
      <c r="D678" s="17"/>
      <c r="E678" s="86"/>
      <c r="F678" s="253"/>
      <c r="G678" s="253"/>
      <c r="H678" s="253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50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</row>
    <row r="679">
      <c r="A679" s="17"/>
      <c r="B679" s="17"/>
      <c r="C679" s="17"/>
      <c r="D679" s="17"/>
      <c r="E679" s="86"/>
      <c r="F679" s="253"/>
      <c r="G679" s="253"/>
      <c r="H679" s="253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50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</row>
    <row r="680">
      <c r="A680" s="17"/>
      <c r="B680" s="17"/>
      <c r="C680" s="17"/>
      <c r="D680" s="17"/>
      <c r="E680" s="86"/>
      <c r="F680" s="253"/>
      <c r="G680" s="253"/>
      <c r="H680" s="253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50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</row>
    <row r="681">
      <c r="A681" s="17"/>
      <c r="B681" s="17"/>
      <c r="C681" s="17"/>
      <c r="D681" s="17"/>
      <c r="E681" s="86"/>
      <c r="F681" s="253"/>
      <c r="G681" s="253"/>
      <c r="H681" s="253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50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</row>
    <row r="682">
      <c r="A682" s="17"/>
      <c r="B682" s="17"/>
      <c r="C682" s="17"/>
      <c r="D682" s="17"/>
      <c r="E682" s="86"/>
      <c r="F682" s="253"/>
      <c r="G682" s="253"/>
      <c r="H682" s="253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50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</row>
    <row r="683">
      <c r="A683" s="17"/>
      <c r="B683" s="17"/>
      <c r="C683" s="17"/>
      <c r="D683" s="17"/>
      <c r="E683" s="86"/>
      <c r="F683" s="253"/>
      <c r="G683" s="253"/>
      <c r="H683" s="253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50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</row>
    <row r="684">
      <c r="A684" s="17"/>
      <c r="B684" s="17"/>
      <c r="C684" s="17"/>
      <c r="D684" s="17"/>
      <c r="E684" s="86"/>
      <c r="F684" s="253"/>
      <c r="G684" s="253"/>
      <c r="H684" s="253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50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</row>
    <row r="685">
      <c r="A685" s="17"/>
      <c r="B685" s="17"/>
      <c r="C685" s="17"/>
      <c r="D685" s="17"/>
      <c r="E685" s="86"/>
      <c r="F685" s="253"/>
      <c r="G685" s="253"/>
      <c r="H685" s="253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50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</row>
    <row r="686">
      <c r="A686" s="17"/>
      <c r="B686" s="17"/>
      <c r="C686" s="17"/>
      <c r="D686" s="17"/>
      <c r="E686" s="86"/>
      <c r="F686" s="253"/>
      <c r="G686" s="253"/>
      <c r="H686" s="253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50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</row>
    <row r="687">
      <c r="A687" s="17"/>
      <c r="B687" s="17"/>
      <c r="C687" s="17"/>
      <c r="D687" s="17"/>
      <c r="E687" s="86"/>
      <c r="F687" s="253"/>
      <c r="G687" s="253"/>
      <c r="H687" s="253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50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</row>
    <row r="688">
      <c r="A688" s="17"/>
      <c r="B688" s="17"/>
      <c r="C688" s="17"/>
      <c r="D688" s="17"/>
      <c r="E688" s="86"/>
      <c r="F688" s="253"/>
      <c r="G688" s="253"/>
      <c r="H688" s="253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50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</row>
    <row r="689">
      <c r="A689" s="17"/>
      <c r="B689" s="17"/>
      <c r="C689" s="17"/>
      <c r="D689" s="17"/>
      <c r="E689" s="86"/>
      <c r="F689" s="253"/>
      <c r="G689" s="253"/>
      <c r="H689" s="253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50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</row>
    <row r="690">
      <c r="A690" s="17"/>
      <c r="B690" s="17"/>
      <c r="C690" s="17"/>
      <c r="D690" s="17"/>
      <c r="E690" s="86"/>
      <c r="F690" s="253"/>
      <c r="G690" s="253"/>
      <c r="H690" s="253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50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</row>
    <row r="691">
      <c r="A691" s="17"/>
      <c r="B691" s="17"/>
      <c r="C691" s="17"/>
      <c r="D691" s="17"/>
      <c r="E691" s="86"/>
      <c r="F691" s="253"/>
      <c r="G691" s="253"/>
      <c r="H691" s="253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50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</row>
    <row r="692">
      <c r="A692" s="17"/>
      <c r="B692" s="17"/>
      <c r="C692" s="17"/>
      <c r="D692" s="17"/>
      <c r="E692" s="86"/>
      <c r="F692" s="253"/>
      <c r="G692" s="253"/>
      <c r="H692" s="253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50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</row>
    <row r="693">
      <c r="A693" s="17"/>
      <c r="B693" s="17"/>
      <c r="C693" s="17"/>
      <c r="D693" s="17"/>
      <c r="E693" s="86"/>
      <c r="F693" s="253"/>
      <c r="G693" s="253"/>
      <c r="H693" s="253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50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</row>
    <row r="694">
      <c r="A694" s="17"/>
      <c r="B694" s="17"/>
      <c r="C694" s="17"/>
      <c r="D694" s="17"/>
      <c r="E694" s="86"/>
      <c r="F694" s="253"/>
      <c r="G694" s="253"/>
      <c r="H694" s="253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50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</row>
    <row r="695">
      <c r="A695" s="17"/>
      <c r="B695" s="17"/>
      <c r="C695" s="17"/>
      <c r="D695" s="17"/>
      <c r="E695" s="86"/>
      <c r="F695" s="253"/>
      <c r="G695" s="253"/>
      <c r="H695" s="253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50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</row>
    <row r="696">
      <c r="A696" s="17"/>
      <c r="B696" s="17"/>
      <c r="C696" s="17"/>
      <c r="D696" s="17"/>
      <c r="E696" s="86"/>
      <c r="F696" s="253"/>
      <c r="G696" s="253"/>
      <c r="H696" s="253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50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</row>
    <row r="697">
      <c r="A697" s="17"/>
      <c r="B697" s="17"/>
      <c r="C697" s="17"/>
      <c r="D697" s="17"/>
      <c r="E697" s="86"/>
      <c r="F697" s="253"/>
      <c r="G697" s="253"/>
      <c r="H697" s="253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50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</row>
    <row r="698">
      <c r="A698" s="17"/>
      <c r="B698" s="17"/>
      <c r="C698" s="17"/>
      <c r="D698" s="17"/>
      <c r="E698" s="86"/>
      <c r="F698" s="253"/>
      <c r="G698" s="253"/>
      <c r="H698" s="253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50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</row>
    <row r="699">
      <c r="A699" s="17"/>
      <c r="B699" s="17"/>
      <c r="C699" s="17"/>
      <c r="D699" s="17"/>
      <c r="E699" s="86"/>
      <c r="F699" s="253"/>
      <c r="G699" s="253"/>
      <c r="H699" s="253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50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</row>
    <row r="700">
      <c r="A700" s="17"/>
      <c r="B700" s="17"/>
      <c r="C700" s="17"/>
      <c r="D700" s="17"/>
      <c r="E700" s="86"/>
      <c r="F700" s="253"/>
      <c r="G700" s="253"/>
      <c r="H700" s="253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50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</row>
    <row r="701">
      <c r="A701" s="17"/>
      <c r="B701" s="17"/>
      <c r="C701" s="17"/>
      <c r="D701" s="17"/>
      <c r="E701" s="86"/>
      <c r="F701" s="253"/>
      <c r="G701" s="253"/>
      <c r="H701" s="253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50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</row>
    <row r="702">
      <c r="A702" s="17"/>
      <c r="B702" s="17"/>
      <c r="C702" s="17"/>
      <c r="D702" s="17"/>
      <c r="E702" s="86"/>
      <c r="F702" s="253"/>
      <c r="G702" s="253"/>
      <c r="H702" s="253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50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</row>
    <row r="703">
      <c r="A703" s="17"/>
      <c r="B703" s="17"/>
      <c r="C703" s="17"/>
      <c r="D703" s="17"/>
      <c r="E703" s="86"/>
      <c r="F703" s="253"/>
      <c r="G703" s="253"/>
      <c r="H703" s="253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50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</row>
    <row r="704">
      <c r="A704" s="17"/>
      <c r="B704" s="17"/>
      <c r="C704" s="17"/>
      <c r="D704" s="17"/>
      <c r="E704" s="86"/>
      <c r="F704" s="253"/>
      <c r="G704" s="253"/>
      <c r="H704" s="253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50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</row>
    <row r="705">
      <c r="A705" s="17"/>
      <c r="B705" s="17"/>
      <c r="C705" s="17"/>
      <c r="D705" s="17"/>
      <c r="E705" s="86"/>
      <c r="F705" s="253"/>
      <c r="G705" s="253"/>
      <c r="H705" s="253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50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</row>
    <row r="706">
      <c r="A706" s="17"/>
      <c r="B706" s="17"/>
      <c r="C706" s="17"/>
      <c r="D706" s="17"/>
      <c r="E706" s="86"/>
      <c r="F706" s="253"/>
      <c r="G706" s="253"/>
      <c r="H706" s="253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50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</row>
    <row r="707">
      <c r="A707" s="17"/>
      <c r="B707" s="17"/>
      <c r="C707" s="17"/>
      <c r="D707" s="17"/>
      <c r="E707" s="86"/>
      <c r="F707" s="253"/>
      <c r="G707" s="253"/>
      <c r="H707" s="253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50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</row>
    <row r="708">
      <c r="A708" s="17"/>
      <c r="B708" s="17"/>
      <c r="C708" s="17"/>
      <c r="D708" s="17"/>
      <c r="E708" s="86"/>
      <c r="F708" s="253"/>
      <c r="G708" s="253"/>
      <c r="H708" s="253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50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</row>
    <row r="709">
      <c r="A709" s="17"/>
      <c r="B709" s="17"/>
      <c r="C709" s="17"/>
      <c r="D709" s="17"/>
      <c r="E709" s="86"/>
      <c r="F709" s="253"/>
      <c r="G709" s="253"/>
      <c r="H709" s="253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50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</row>
    <row r="710">
      <c r="A710" s="17"/>
      <c r="B710" s="17"/>
      <c r="C710" s="17"/>
      <c r="D710" s="17"/>
      <c r="E710" s="86"/>
      <c r="F710" s="253"/>
      <c r="G710" s="253"/>
      <c r="H710" s="253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50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</row>
    <row r="711">
      <c r="A711" s="17"/>
      <c r="B711" s="17"/>
      <c r="C711" s="17"/>
      <c r="D711" s="17"/>
      <c r="E711" s="86"/>
      <c r="F711" s="253"/>
      <c r="G711" s="253"/>
      <c r="H711" s="253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50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</row>
    <row r="712">
      <c r="A712" s="17"/>
      <c r="B712" s="17"/>
      <c r="C712" s="17"/>
      <c r="D712" s="17"/>
      <c r="E712" s="86"/>
      <c r="F712" s="253"/>
      <c r="G712" s="253"/>
      <c r="H712" s="253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50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</row>
    <row r="713">
      <c r="A713" s="17"/>
      <c r="B713" s="17"/>
      <c r="C713" s="17"/>
      <c r="D713" s="17"/>
      <c r="E713" s="86"/>
      <c r="F713" s="253"/>
      <c r="G713" s="253"/>
      <c r="H713" s="253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50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</row>
    <row r="714">
      <c r="A714" s="17"/>
      <c r="B714" s="17"/>
      <c r="C714" s="17"/>
      <c r="D714" s="17"/>
      <c r="E714" s="86"/>
      <c r="F714" s="253"/>
      <c r="G714" s="253"/>
      <c r="H714" s="253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50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</row>
    <row r="715">
      <c r="A715" s="17"/>
      <c r="B715" s="17"/>
      <c r="C715" s="17"/>
      <c r="D715" s="17"/>
      <c r="E715" s="86"/>
      <c r="F715" s="253"/>
      <c r="G715" s="253"/>
      <c r="H715" s="253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50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</row>
    <row r="716">
      <c r="A716" s="17"/>
      <c r="B716" s="17"/>
      <c r="C716" s="17"/>
      <c r="D716" s="17"/>
      <c r="E716" s="86"/>
      <c r="F716" s="253"/>
      <c r="G716" s="253"/>
      <c r="H716" s="253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50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</row>
    <row r="717">
      <c r="A717" s="17"/>
      <c r="B717" s="17"/>
      <c r="C717" s="17"/>
      <c r="D717" s="17"/>
      <c r="E717" s="86"/>
      <c r="F717" s="253"/>
      <c r="G717" s="253"/>
      <c r="H717" s="253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50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</row>
    <row r="718">
      <c r="A718" s="17"/>
      <c r="B718" s="17"/>
      <c r="C718" s="17"/>
      <c r="D718" s="17"/>
      <c r="E718" s="86"/>
      <c r="F718" s="253"/>
      <c r="G718" s="253"/>
      <c r="H718" s="253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50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</row>
    <row r="719">
      <c r="A719" s="17"/>
      <c r="B719" s="17"/>
      <c r="C719" s="17"/>
      <c r="D719" s="17"/>
      <c r="E719" s="86"/>
      <c r="F719" s="253"/>
      <c r="G719" s="253"/>
      <c r="H719" s="253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50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</row>
    <row r="720">
      <c r="A720" s="17"/>
      <c r="B720" s="17"/>
      <c r="C720" s="17"/>
      <c r="D720" s="17"/>
      <c r="E720" s="86"/>
      <c r="F720" s="253"/>
      <c r="G720" s="253"/>
      <c r="H720" s="253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50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</row>
    <row r="721">
      <c r="A721" s="17"/>
      <c r="B721" s="17"/>
      <c r="C721" s="17"/>
      <c r="D721" s="17"/>
      <c r="E721" s="86"/>
      <c r="F721" s="253"/>
      <c r="G721" s="253"/>
      <c r="H721" s="253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50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</row>
    <row r="722">
      <c r="A722" s="17"/>
      <c r="B722" s="17"/>
      <c r="C722" s="17"/>
      <c r="D722" s="17"/>
      <c r="E722" s="86"/>
      <c r="F722" s="253"/>
      <c r="G722" s="253"/>
      <c r="H722" s="253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50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</row>
    <row r="723">
      <c r="A723" s="17"/>
      <c r="B723" s="17"/>
      <c r="C723" s="17"/>
      <c r="D723" s="17"/>
      <c r="E723" s="86"/>
      <c r="F723" s="253"/>
      <c r="G723" s="253"/>
      <c r="H723" s="253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50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</row>
    <row r="724">
      <c r="A724" s="17"/>
      <c r="B724" s="17"/>
      <c r="C724" s="17"/>
      <c r="D724" s="17"/>
      <c r="E724" s="86"/>
      <c r="F724" s="253"/>
      <c r="G724" s="253"/>
      <c r="H724" s="253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50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</row>
    <row r="725">
      <c r="A725" s="17"/>
      <c r="B725" s="17"/>
      <c r="C725" s="17"/>
      <c r="D725" s="17"/>
      <c r="E725" s="86"/>
      <c r="F725" s="253"/>
      <c r="G725" s="253"/>
      <c r="H725" s="253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50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</row>
    <row r="726">
      <c r="A726" s="17"/>
      <c r="B726" s="17"/>
      <c r="C726" s="17"/>
      <c r="D726" s="17"/>
      <c r="E726" s="86"/>
      <c r="F726" s="253"/>
      <c r="G726" s="253"/>
      <c r="H726" s="253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50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</row>
    <row r="727">
      <c r="A727" s="17"/>
      <c r="B727" s="17"/>
      <c r="C727" s="17"/>
      <c r="D727" s="17"/>
      <c r="E727" s="86"/>
      <c r="F727" s="253"/>
      <c r="G727" s="253"/>
      <c r="H727" s="253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50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</row>
    <row r="728">
      <c r="A728" s="17"/>
      <c r="B728" s="17"/>
      <c r="C728" s="17"/>
      <c r="D728" s="17"/>
      <c r="E728" s="86"/>
      <c r="F728" s="253"/>
      <c r="G728" s="253"/>
      <c r="H728" s="253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50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</row>
    <row r="729">
      <c r="A729" s="17"/>
      <c r="B729" s="17"/>
      <c r="C729" s="17"/>
      <c r="D729" s="17"/>
      <c r="E729" s="86"/>
      <c r="F729" s="253"/>
      <c r="G729" s="253"/>
      <c r="H729" s="253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50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</row>
    <row r="730">
      <c r="A730" s="17"/>
      <c r="B730" s="17"/>
      <c r="C730" s="17"/>
      <c r="D730" s="17"/>
      <c r="E730" s="86"/>
      <c r="F730" s="253"/>
      <c r="G730" s="253"/>
      <c r="H730" s="253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50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</row>
    <row r="731">
      <c r="A731" s="17"/>
      <c r="B731" s="17"/>
      <c r="C731" s="17"/>
      <c r="D731" s="17"/>
      <c r="E731" s="86"/>
      <c r="F731" s="253"/>
      <c r="G731" s="253"/>
      <c r="H731" s="253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50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</row>
    <row r="732">
      <c r="A732" s="17"/>
      <c r="B732" s="17"/>
      <c r="C732" s="17"/>
      <c r="D732" s="17"/>
      <c r="E732" s="86"/>
      <c r="F732" s="253"/>
      <c r="G732" s="253"/>
      <c r="H732" s="253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50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</row>
    <row r="733">
      <c r="A733" s="17"/>
      <c r="B733" s="17"/>
      <c r="C733" s="17"/>
      <c r="D733" s="17"/>
      <c r="E733" s="86"/>
      <c r="F733" s="253"/>
      <c r="G733" s="253"/>
      <c r="H733" s="253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50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</row>
    <row r="734">
      <c r="A734" s="17"/>
      <c r="B734" s="17"/>
      <c r="C734" s="17"/>
      <c r="D734" s="17"/>
      <c r="E734" s="86"/>
      <c r="F734" s="253"/>
      <c r="G734" s="253"/>
      <c r="H734" s="253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50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</row>
    <row r="735">
      <c r="A735" s="17"/>
      <c r="B735" s="17"/>
      <c r="C735" s="17"/>
      <c r="D735" s="17"/>
      <c r="E735" s="86"/>
      <c r="F735" s="253"/>
      <c r="G735" s="253"/>
      <c r="H735" s="253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50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</row>
    <row r="736">
      <c r="A736" s="17"/>
      <c r="B736" s="17"/>
      <c r="C736" s="17"/>
      <c r="D736" s="17"/>
      <c r="E736" s="86"/>
      <c r="F736" s="253"/>
      <c r="G736" s="253"/>
      <c r="H736" s="253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50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</row>
    <row r="737">
      <c r="A737" s="17"/>
      <c r="B737" s="17"/>
      <c r="C737" s="17"/>
      <c r="D737" s="17"/>
      <c r="E737" s="86"/>
      <c r="F737" s="253"/>
      <c r="G737" s="253"/>
      <c r="H737" s="253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50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</row>
    <row r="738">
      <c r="A738" s="17"/>
      <c r="B738" s="17"/>
      <c r="C738" s="17"/>
      <c r="D738" s="17"/>
      <c r="E738" s="86"/>
      <c r="F738" s="253"/>
      <c r="G738" s="253"/>
      <c r="H738" s="253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50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</row>
    <row r="739">
      <c r="A739" s="17"/>
      <c r="B739" s="17"/>
      <c r="C739" s="17"/>
      <c r="D739" s="17"/>
      <c r="E739" s="86"/>
      <c r="F739" s="253"/>
      <c r="G739" s="253"/>
      <c r="H739" s="253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50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</row>
    <row r="740">
      <c r="A740" s="17"/>
      <c r="B740" s="17"/>
      <c r="C740" s="17"/>
      <c r="D740" s="17"/>
      <c r="E740" s="86"/>
      <c r="F740" s="253"/>
      <c r="G740" s="253"/>
      <c r="H740" s="253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50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</row>
    <row r="741">
      <c r="A741" s="17"/>
      <c r="B741" s="17"/>
      <c r="C741" s="17"/>
      <c r="D741" s="17"/>
      <c r="E741" s="86"/>
      <c r="F741" s="253"/>
      <c r="G741" s="253"/>
      <c r="H741" s="253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50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</row>
    <row r="742">
      <c r="A742" s="17"/>
      <c r="B742" s="17"/>
      <c r="C742" s="17"/>
      <c r="D742" s="17"/>
      <c r="E742" s="86"/>
      <c r="F742" s="253"/>
      <c r="G742" s="253"/>
      <c r="H742" s="253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50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</row>
    <row r="743">
      <c r="A743" s="17"/>
      <c r="B743" s="17"/>
      <c r="C743" s="17"/>
      <c r="D743" s="17"/>
      <c r="E743" s="86"/>
      <c r="F743" s="253"/>
      <c r="G743" s="253"/>
      <c r="H743" s="253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50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</row>
    <row r="744">
      <c r="A744" s="17"/>
      <c r="B744" s="17"/>
      <c r="C744" s="17"/>
      <c r="D744" s="17"/>
      <c r="E744" s="86"/>
      <c r="F744" s="253"/>
      <c r="G744" s="253"/>
      <c r="H744" s="253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50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</row>
    <row r="745">
      <c r="A745" s="17"/>
      <c r="B745" s="17"/>
      <c r="C745" s="17"/>
      <c r="D745" s="17"/>
      <c r="E745" s="86"/>
      <c r="F745" s="253"/>
      <c r="G745" s="253"/>
      <c r="H745" s="253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50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</row>
    <row r="746">
      <c r="A746" s="17"/>
      <c r="B746" s="17"/>
      <c r="C746" s="17"/>
      <c r="D746" s="17"/>
      <c r="E746" s="86"/>
      <c r="F746" s="253"/>
      <c r="G746" s="253"/>
      <c r="H746" s="253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50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</row>
    <row r="747">
      <c r="A747" s="17"/>
      <c r="B747" s="17"/>
      <c r="C747" s="17"/>
      <c r="D747" s="17"/>
      <c r="E747" s="86"/>
      <c r="F747" s="253"/>
      <c r="G747" s="253"/>
      <c r="H747" s="253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50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</row>
    <row r="748">
      <c r="A748" s="17"/>
      <c r="B748" s="17"/>
      <c r="C748" s="17"/>
      <c r="D748" s="17"/>
      <c r="E748" s="86"/>
      <c r="F748" s="253"/>
      <c r="G748" s="253"/>
      <c r="H748" s="253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50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</row>
    <row r="749">
      <c r="A749" s="17"/>
      <c r="B749" s="17"/>
      <c r="C749" s="17"/>
      <c r="D749" s="17"/>
      <c r="E749" s="86"/>
      <c r="F749" s="253"/>
      <c r="G749" s="253"/>
      <c r="H749" s="253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50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</row>
    <row r="750">
      <c r="A750" s="17"/>
      <c r="B750" s="17"/>
      <c r="C750" s="17"/>
      <c r="D750" s="17"/>
      <c r="E750" s="86"/>
      <c r="F750" s="253"/>
      <c r="G750" s="253"/>
      <c r="H750" s="253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50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</row>
    <row r="751">
      <c r="A751" s="17"/>
      <c r="B751" s="17"/>
      <c r="C751" s="17"/>
      <c r="D751" s="17"/>
      <c r="E751" s="86"/>
      <c r="F751" s="253"/>
      <c r="G751" s="253"/>
      <c r="H751" s="253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50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</row>
    <row r="752">
      <c r="A752" s="17"/>
      <c r="B752" s="17"/>
      <c r="C752" s="17"/>
      <c r="D752" s="17"/>
      <c r="E752" s="86"/>
      <c r="F752" s="253"/>
      <c r="G752" s="253"/>
      <c r="H752" s="253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50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</row>
    <row r="753">
      <c r="A753" s="17"/>
      <c r="B753" s="17"/>
      <c r="C753" s="17"/>
      <c r="D753" s="17"/>
      <c r="E753" s="86"/>
      <c r="F753" s="253"/>
      <c r="G753" s="253"/>
      <c r="H753" s="253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50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</row>
    <row r="754">
      <c r="A754" s="17"/>
      <c r="B754" s="17"/>
      <c r="C754" s="17"/>
      <c r="D754" s="17"/>
      <c r="E754" s="86"/>
      <c r="F754" s="253"/>
      <c r="G754" s="253"/>
      <c r="H754" s="253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50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</row>
    <row r="755">
      <c r="A755" s="17"/>
      <c r="B755" s="17"/>
      <c r="C755" s="17"/>
      <c r="D755" s="17"/>
      <c r="E755" s="86"/>
      <c r="F755" s="253"/>
      <c r="G755" s="253"/>
      <c r="H755" s="253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50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</row>
    <row r="756">
      <c r="A756" s="17"/>
      <c r="B756" s="17"/>
      <c r="C756" s="17"/>
      <c r="D756" s="17"/>
      <c r="E756" s="86"/>
      <c r="F756" s="253"/>
      <c r="G756" s="253"/>
      <c r="H756" s="253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50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</row>
    <row r="757">
      <c r="A757" s="17"/>
      <c r="B757" s="17"/>
      <c r="C757" s="17"/>
      <c r="D757" s="17"/>
      <c r="E757" s="86"/>
      <c r="F757" s="253"/>
      <c r="G757" s="253"/>
      <c r="H757" s="253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50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</row>
    <row r="758">
      <c r="A758" s="17"/>
      <c r="B758" s="17"/>
      <c r="C758" s="17"/>
      <c r="D758" s="17"/>
      <c r="E758" s="86"/>
      <c r="F758" s="253"/>
      <c r="G758" s="253"/>
      <c r="H758" s="253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50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</row>
    <row r="759">
      <c r="A759" s="17"/>
      <c r="B759" s="17"/>
      <c r="C759" s="17"/>
      <c r="D759" s="17"/>
      <c r="E759" s="86"/>
      <c r="F759" s="253"/>
      <c r="G759" s="253"/>
      <c r="H759" s="253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50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</row>
    <row r="760">
      <c r="A760" s="17"/>
      <c r="B760" s="17"/>
      <c r="C760" s="17"/>
      <c r="D760" s="17"/>
      <c r="E760" s="86"/>
      <c r="F760" s="253"/>
      <c r="G760" s="253"/>
      <c r="H760" s="253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50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</row>
    <row r="761">
      <c r="A761" s="17"/>
      <c r="B761" s="17"/>
      <c r="C761" s="17"/>
      <c r="D761" s="17"/>
      <c r="E761" s="86"/>
      <c r="F761" s="253"/>
      <c r="G761" s="253"/>
      <c r="H761" s="253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50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</row>
    <row r="762">
      <c r="A762" s="17"/>
      <c r="B762" s="17"/>
      <c r="C762" s="17"/>
      <c r="D762" s="17"/>
      <c r="E762" s="86"/>
      <c r="F762" s="253"/>
      <c r="G762" s="253"/>
      <c r="H762" s="253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50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</row>
    <row r="763">
      <c r="A763" s="17"/>
      <c r="B763" s="17"/>
      <c r="C763" s="17"/>
      <c r="D763" s="17"/>
      <c r="E763" s="86"/>
      <c r="F763" s="253"/>
      <c r="G763" s="253"/>
      <c r="H763" s="253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50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</row>
    <row r="764">
      <c r="A764" s="17"/>
      <c r="B764" s="17"/>
      <c r="C764" s="17"/>
      <c r="D764" s="17"/>
      <c r="E764" s="86"/>
      <c r="F764" s="253"/>
      <c r="G764" s="253"/>
      <c r="H764" s="253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50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</row>
    <row r="765">
      <c r="A765" s="17"/>
      <c r="B765" s="17"/>
      <c r="C765" s="17"/>
      <c r="D765" s="17"/>
      <c r="E765" s="86"/>
      <c r="F765" s="253"/>
      <c r="G765" s="253"/>
      <c r="H765" s="253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50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</row>
    <row r="766">
      <c r="A766" s="17"/>
      <c r="B766" s="17"/>
      <c r="C766" s="17"/>
      <c r="D766" s="17"/>
      <c r="E766" s="86"/>
      <c r="F766" s="253"/>
      <c r="G766" s="253"/>
      <c r="H766" s="253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50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</row>
    <row r="767">
      <c r="A767" s="17"/>
      <c r="B767" s="17"/>
      <c r="C767" s="17"/>
      <c r="D767" s="17"/>
      <c r="E767" s="86"/>
      <c r="F767" s="253"/>
      <c r="G767" s="253"/>
      <c r="H767" s="253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50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</row>
    <row r="768">
      <c r="A768" s="17"/>
      <c r="B768" s="17"/>
      <c r="C768" s="17"/>
      <c r="D768" s="17"/>
      <c r="E768" s="86"/>
      <c r="F768" s="253"/>
      <c r="G768" s="253"/>
      <c r="H768" s="253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50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</row>
    <row r="769">
      <c r="A769" s="17"/>
      <c r="B769" s="17"/>
      <c r="C769" s="17"/>
      <c r="D769" s="17"/>
      <c r="E769" s="86"/>
      <c r="F769" s="253"/>
      <c r="G769" s="253"/>
      <c r="H769" s="253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50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</row>
    <row r="770">
      <c r="A770" s="17"/>
      <c r="B770" s="17"/>
      <c r="C770" s="17"/>
      <c r="D770" s="17"/>
      <c r="E770" s="86"/>
      <c r="F770" s="253"/>
      <c r="G770" s="253"/>
      <c r="H770" s="253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50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</row>
    <row r="771">
      <c r="A771" s="17"/>
      <c r="B771" s="17"/>
      <c r="C771" s="17"/>
      <c r="D771" s="17"/>
      <c r="E771" s="86"/>
      <c r="F771" s="253"/>
      <c r="G771" s="253"/>
      <c r="H771" s="253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50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</row>
    <row r="772">
      <c r="A772" s="17"/>
      <c r="B772" s="17"/>
      <c r="C772" s="17"/>
      <c r="D772" s="17"/>
      <c r="E772" s="86"/>
      <c r="F772" s="253"/>
      <c r="G772" s="253"/>
      <c r="H772" s="253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50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</row>
    <row r="773">
      <c r="A773" s="17"/>
      <c r="B773" s="17"/>
      <c r="C773" s="17"/>
      <c r="D773" s="17"/>
      <c r="E773" s="86"/>
      <c r="F773" s="253"/>
      <c r="G773" s="253"/>
      <c r="H773" s="253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50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</row>
    <row r="774">
      <c r="A774" s="17"/>
      <c r="B774" s="17"/>
      <c r="C774" s="17"/>
      <c r="D774" s="17"/>
      <c r="E774" s="86"/>
      <c r="F774" s="253"/>
      <c r="G774" s="253"/>
      <c r="H774" s="253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50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</row>
    <row r="775">
      <c r="A775" s="17"/>
      <c r="B775" s="17"/>
      <c r="C775" s="17"/>
      <c r="D775" s="17"/>
      <c r="E775" s="86"/>
      <c r="F775" s="253"/>
      <c r="G775" s="253"/>
      <c r="H775" s="253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50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</row>
    <row r="776">
      <c r="A776" s="17"/>
      <c r="B776" s="17"/>
      <c r="C776" s="17"/>
      <c r="D776" s="17"/>
      <c r="E776" s="86"/>
      <c r="F776" s="253"/>
      <c r="G776" s="253"/>
      <c r="H776" s="253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50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</row>
    <row r="777">
      <c r="A777" s="17"/>
      <c r="B777" s="17"/>
      <c r="C777" s="17"/>
      <c r="D777" s="17"/>
      <c r="E777" s="86"/>
      <c r="F777" s="253"/>
      <c r="G777" s="253"/>
      <c r="H777" s="253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50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</row>
    <row r="778">
      <c r="A778" s="17"/>
      <c r="B778" s="17"/>
      <c r="C778" s="17"/>
      <c r="D778" s="17"/>
      <c r="E778" s="86"/>
      <c r="F778" s="253"/>
      <c r="G778" s="253"/>
      <c r="H778" s="253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50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</row>
    <row r="779">
      <c r="A779" s="17"/>
      <c r="B779" s="17"/>
      <c r="C779" s="17"/>
      <c r="D779" s="17"/>
      <c r="E779" s="86"/>
      <c r="F779" s="253"/>
      <c r="G779" s="253"/>
      <c r="H779" s="253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50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</row>
    <row r="780">
      <c r="A780" s="17"/>
      <c r="B780" s="17"/>
      <c r="C780" s="17"/>
      <c r="D780" s="17"/>
      <c r="E780" s="86"/>
      <c r="F780" s="253"/>
      <c r="G780" s="253"/>
      <c r="H780" s="253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50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</row>
    <row r="781">
      <c r="A781" s="17"/>
      <c r="B781" s="17"/>
      <c r="C781" s="17"/>
      <c r="D781" s="17"/>
      <c r="E781" s="86"/>
      <c r="F781" s="253"/>
      <c r="G781" s="253"/>
      <c r="H781" s="253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50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</row>
    <row r="782">
      <c r="A782" s="17"/>
      <c r="B782" s="17"/>
      <c r="C782" s="17"/>
      <c r="D782" s="17"/>
      <c r="E782" s="86"/>
      <c r="F782" s="253"/>
      <c r="G782" s="253"/>
      <c r="H782" s="253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50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</row>
    <row r="783">
      <c r="A783" s="17"/>
      <c r="B783" s="17"/>
      <c r="C783" s="17"/>
      <c r="D783" s="17"/>
      <c r="E783" s="86"/>
      <c r="F783" s="253"/>
      <c r="G783" s="253"/>
      <c r="H783" s="253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50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</row>
    <row r="784">
      <c r="A784" s="17"/>
      <c r="B784" s="17"/>
      <c r="C784" s="17"/>
      <c r="D784" s="17"/>
      <c r="E784" s="86"/>
      <c r="F784" s="253"/>
      <c r="G784" s="253"/>
      <c r="H784" s="253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50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</row>
    <row r="785">
      <c r="A785" s="17"/>
      <c r="B785" s="17"/>
      <c r="C785" s="17"/>
      <c r="D785" s="17"/>
      <c r="E785" s="86"/>
      <c r="F785" s="253"/>
      <c r="G785" s="253"/>
      <c r="H785" s="253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50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</row>
    <row r="786">
      <c r="A786" s="17"/>
      <c r="B786" s="17"/>
      <c r="C786" s="17"/>
      <c r="D786" s="17"/>
      <c r="E786" s="86"/>
      <c r="F786" s="253"/>
      <c r="G786" s="253"/>
      <c r="H786" s="253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50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</row>
    <row r="787">
      <c r="A787" s="17"/>
      <c r="B787" s="17"/>
      <c r="C787" s="17"/>
      <c r="D787" s="17"/>
      <c r="E787" s="86"/>
      <c r="F787" s="253"/>
      <c r="G787" s="253"/>
      <c r="H787" s="253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50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</row>
    <row r="788">
      <c r="A788" s="17"/>
      <c r="B788" s="17"/>
      <c r="C788" s="17"/>
      <c r="D788" s="17"/>
      <c r="E788" s="86"/>
      <c r="F788" s="253"/>
      <c r="G788" s="253"/>
      <c r="H788" s="253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50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</row>
    <row r="789">
      <c r="A789" s="17"/>
      <c r="B789" s="17"/>
      <c r="C789" s="17"/>
      <c r="D789" s="17"/>
      <c r="E789" s="86"/>
      <c r="F789" s="253"/>
      <c r="G789" s="253"/>
      <c r="H789" s="253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50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</row>
    <row r="790">
      <c r="A790" s="17"/>
      <c r="B790" s="17"/>
      <c r="C790" s="17"/>
      <c r="D790" s="17"/>
      <c r="E790" s="86"/>
      <c r="F790" s="253"/>
      <c r="G790" s="253"/>
      <c r="H790" s="253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50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</row>
    <row r="791">
      <c r="A791" s="17"/>
      <c r="B791" s="17"/>
      <c r="C791" s="17"/>
      <c r="D791" s="17"/>
      <c r="E791" s="86"/>
      <c r="F791" s="253"/>
      <c r="G791" s="253"/>
      <c r="H791" s="253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50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</row>
    <row r="792">
      <c r="A792" s="17"/>
      <c r="B792" s="17"/>
      <c r="C792" s="17"/>
      <c r="D792" s="17"/>
      <c r="E792" s="86"/>
      <c r="F792" s="253"/>
      <c r="G792" s="253"/>
      <c r="H792" s="253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50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</row>
    <row r="793">
      <c r="A793" s="17"/>
      <c r="B793" s="17"/>
      <c r="C793" s="17"/>
      <c r="D793" s="17"/>
      <c r="E793" s="86"/>
      <c r="F793" s="253"/>
      <c r="G793" s="253"/>
      <c r="H793" s="253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50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</row>
    <row r="794">
      <c r="A794" s="17"/>
      <c r="B794" s="17"/>
      <c r="C794" s="17"/>
      <c r="D794" s="17"/>
      <c r="E794" s="86"/>
      <c r="F794" s="253"/>
      <c r="G794" s="253"/>
      <c r="H794" s="253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50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</row>
    <row r="795">
      <c r="A795" s="17"/>
      <c r="B795" s="17"/>
      <c r="C795" s="17"/>
      <c r="D795" s="17"/>
      <c r="E795" s="86"/>
      <c r="F795" s="253"/>
      <c r="G795" s="253"/>
      <c r="H795" s="253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50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</row>
    <row r="796">
      <c r="A796" s="17"/>
      <c r="B796" s="17"/>
      <c r="C796" s="17"/>
      <c r="D796" s="17"/>
      <c r="E796" s="86"/>
      <c r="F796" s="253"/>
      <c r="G796" s="253"/>
      <c r="H796" s="253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50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</row>
    <row r="797">
      <c r="A797" s="17"/>
      <c r="B797" s="17"/>
      <c r="C797" s="17"/>
      <c r="D797" s="17"/>
      <c r="E797" s="86"/>
      <c r="F797" s="253"/>
      <c r="G797" s="253"/>
      <c r="H797" s="253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50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</row>
    <row r="798">
      <c r="A798" s="17"/>
      <c r="B798" s="17"/>
      <c r="C798" s="17"/>
      <c r="D798" s="17"/>
      <c r="E798" s="86"/>
      <c r="F798" s="253"/>
      <c r="G798" s="253"/>
      <c r="H798" s="253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50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</row>
    <row r="799">
      <c r="A799" s="17"/>
      <c r="B799" s="17"/>
      <c r="C799" s="17"/>
      <c r="D799" s="17"/>
      <c r="E799" s="86"/>
      <c r="F799" s="253"/>
      <c r="G799" s="253"/>
      <c r="H799" s="253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50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</row>
    <row r="800">
      <c r="A800" s="17"/>
      <c r="B800" s="17"/>
      <c r="C800" s="17"/>
      <c r="D800" s="17"/>
      <c r="E800" s="86"/>
      <c r="F800" s="253"/>
      <c r="G800" s="253"/>
      <c r="H800" s="253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50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</row>
    <row r="801">
      <c r="A801" s="17"/>
      <c r="B801" s="17"/>
      <c r="C801" s="17"/>
      <c r="D801" s="17"/>
      <c r="E801" s="86"/>
      <c r="F801" s="253"/>
      <c r="G801" s="253"/>
      <c r="H801" s="253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50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</row>
    <row r="802">
      <c r="A802" s="17"/>
      <c r="B802" s="17"/>
      <c r="C802" s="17"/>
      <c r="D802" s="17"/>
      <c r="E802" s="86"/>
      <c r="F802" s="253"/>
      <c r="G802" s="253"/>
      <c r="H802" s="253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50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</row>
    <row r="803">
      <c r="A803" s="17"/>
      <c r="B803" s="17"/>
      <c r="C803" s="17"/>
      <c r="D803" s="17"/>
      <c r="E803" s="86"/>
      <c r="F803" s="253"/>
      <c r="G803" s="253"/>
      <c r="H803" s="253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50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</row>
    <row r="804">
      <c r="A804" s="17"/>
      <c r="B804" s="17"/>
      <c r="C804" s="17"/>
      <c r="D804" s="17"/>
      <c r="E804" s="86"/>
      <c r="F804" s="253"/>
      <c r="G804" s="253"/>
      <c r="H804" s="253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50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</row>
    <row r="805">
      <c r="A805" s="17"/>
      <c r="B805" s="17"/>
      <c r="C805" s="17"/>
      <c r="D805" s="17"/>
      <c r="E805" s="86"/>
      <c r="F805" s="253"/>
      <c r="G805" s="253"/>
      <c r="H805" s="253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50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</row>
    <row r="806">
      <c r="A806" s="17"/>
      <c r="B806" s="17"/>
      <c r="C806" s="17"/>
      <c r="D806" s="17"/>
      <c r="E806" s="86"/>
      <c r="F806" s="253"/>
      <c r="G806" s="253"/>
      <c r="H806" s="253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50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</row>
    <row r="807">
      <c r="A807" s="17"/>
      <c r="B807" s="17"/>
      <c r="C807" s="17"/>
      <c r="D807" s="17"/>
      <c r="E807" s="86"/>
      <c r="F807" s="253"/>
      <c r="G807" s="253"/>
      <c r="H807" s="253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50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</row>
    <row r="808">
      <c r="A808" s="17"/>
      <c r="B808" s="17"/>
      <c r="C808" s="17"/>
      <c r="D808" s="17"/>
      <c r="E808" s="86"/>
      <c r="F808" s="253"/>
      <c r="G808" s="253"/>
      <c r="H808" s="253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50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</row>
    <row r="809">
      <c r="A809" s="17"/>
      <c r="B809" s="17"/>
      <c r="C809" s="17"/>
      <c r="D809" s="17"/>
      <c r="E809" s="86"/>
      <c r="F809" s="253"/>
      <c r="G809" s="253"/>
      <c r="H809" s="253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50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</row>
    <row r="810">
      <c r="A810" s="17"/>
      <c r="B810" s="17"/>
      <c r="C810" s="17"/>
      <c r="D810" s="17"/>
      <c r="E810" s="86"/>
      <c r="F810" s="253"/>
      <c r="G810" s="253"/>
      <c r="H810" s="253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50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</row>
    <row r="811">
      <c r="A811" s="17"/>
      <c r="B811" s="17"/>
      <c r="C811" s="17"/>
      <c r="D811" s="17"/>
      <c r="E811" s="86"/>
      <c r="F811" s="253"/>
      <c r="G811" s="253"/>
      <c r="H811" s="253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50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</row>
    <row r="812">
      <c r="A812" s="17"/>
      <c r="B812" s="17"/>
      <c r="C812" s="17"/>
      <c r="D812" s="17"/>
      <c r="E812" s="86"/>
      <c r="F812" s="253"/>
      <c r="G812" s="253"/>
      <c r="H812" s="253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50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</row>
    <row r="813">
      <c r="A813" s="17"/>
      <c r="B813" s="17"/>
      <c r="C813" s="17"/>
      <c r="D813" s="17"/>
      <c r="E813" s="86"/>
      <c r="F813" s="253"/>
      <c r="G813" s="253"/>
      <c r="H813" s="253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50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</row>
    <row r="814">
      <c r="A814" s="17"/>
      <c r="B814" s="17"/>
      <c r="C814" s="17"/>
      <c r="D814" s="17"/>
      <c r="E814" s="86"/>
      <c r="F814" s="253"/>
      <c r="G814" s="253"/>
      <c r="H814" s="253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50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</row>
    <row r="815">
      <c r="A815" s="17"/>
      <c r="B815" s="17"/>
      <c r="C815" s="17"/>
      <c r="D815" s="17"/>
      <c r="E815" s="86"/>
      <c r="F815" s="253"/>
      <c r="G815" s="253"/>
      <c r="H815" s="253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50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</row>
    <row r="816">
      <c r="A816" s="17"/>
      <c r="B816" s="17"/>
      <c r="C816" s="17"/>
      <c r="D816" s="17"/>
      <c r="E816" s="86"/>
      <c r="F816" s="253"/>
      <c r="G816" s="253"/>
      <c r="H816" s="253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50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</row>
    <row r="817">
      <c r="A817" s="17"/>
      <c r="B817" s="17"/>
      <c r="C817" s="17"/>
      <c r="D817" s="17"/>
      <c r="E817" s="86"/>
      <c r="F817" s="253"/>
      <c r="G817" s="253"/>
      <c r="H817" s="253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50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</row>
    <row r="818">
      <c r="A818" s="17"/>
      <c r="B818" s="17"/>
      <c r="C818" s="17"/>
      <c r="D818" s="17"/>
      <c r="E818" s="86"/>
      <c r="F818" s="253"/>
      <c r="G818" s="253"/>
      <c r="H818" s="253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50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</row>
    <row r="819">
      <c r="A819" s="17"/>
      <c r="B819" s="17"/>
      <c r="C819" s="17"/>
      <c r="D819" s="17"/>
      <c r="E819" s="86"/>
      <c r="F819" s="253"/>
      <c r="G819" s="253"/>
      <c r="H819" s="253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50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</row>
    <row r="820">
      <c r="A820" s="17"/>
      <c r="B820" s="17"/>
      <c r="C820" s="17"/>
      <c r="D820" s="17"/>
      <c r="E820" s="86"/>
      <c r="F820" s="253"/>
      <c r="G820" s="253"/>
      <c r="H820" s="253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50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</row>
    <row r="821">
      <c r="A821" s="17"/>
      <c r="B821" s="17"/>
      <c r="C821" s="17"/>
      <c r="D821" s="17"/>
      <c r="E821" s="86"/>
      <c r="F821" s="253"/>
      <c r="G821" s="253"/>
      <c r="H821" s="253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50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</row>
    <row r="822">
      <c r="A822" s="17"/>
      <c r="B822" s="17"/>
      <c r="C822" s="17"/>
      <c r="D822" s="17"/>
      <c r="E822" s="86"/>
      <c r="F822" s="253"/>
      <c r="G822" s="253"/>
      <c r="H822" s="253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50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</row>
    <row r="823">
      <c r="A823" s="17"/>
      <c r="B823" s="17"/>
      <c r="C823" s="17"/>
      <c r="D823" s="17"/>
      <c r="E823" s="86"/>
      <c r="F823" s="253"/>
      <c r="G823" s="253"/>
      <c r="H823" s="253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50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</row>
    <row r="824">
      <c r="A824" s="17"/>
      <c r="B824" s="17"/>
      <c r="C824" s="17"/>
      <c r="D824" s="17"/>
      <c r="E824" s="86"/>
      <c r="F824" s="253"/>
      <c r="G824" s="253"/>
      <c r="H824" s="253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50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</row>
    <row r="825">
      <c r="A825" s="17"/>
      <c r="B825" s="17"/>
      <c r="C825" s="17"/>
      <c r="D825" s="17"/>
      <c r="E825" s="86"/>
      <c r="F825" s="253"/>
      <c r="G825" s="253"/>
      <c r="H825" s="253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50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</row>
    <row r="826">
      <c r="A826" s="17"/>
      <c r="B826" s="17"/>
      <c r="C826" s="17"/>
      <c r="D826" s="17"/>
      <c r="E826" s="86"/>
      <c r="F826" s="253"/>
      <c r="G826" s="253"/>
      <c r="H826" s="253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50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</row>
    <row r="827">
      <c r="A827" s="17"/>
      <c r="B827" s="17"/>
      <c r="C827" s="17"/>
      <c r="D827" s="17"/>
      <c r="E827" s="86"/>
      <c r="F827" s="253"/>
      <c r="G827" s="253"/>
      <c r="H827" s="253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50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</row>
    <row r="828">
      <c r="A828" s="17"/>
      <c r="B828" s="17"/>
      <c r="C828" s="17"/>
      <c r="D828" s="17"/>
      <c r="E828" s="86"/>
      <c r="F828" s="253"/>
      <c r="G828" s="253"/>
      <c r="H828" s="253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50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</row>
    <row r="829">
      <c r="A829" s="17"/>
      <c r="B829" s="17"/>
      <c r="C829" s="17"/>
      <c r="D829" s="17"/>
      <c r="E829" s="86"/>
      <c r="F829" s="253"/>
      <c r="G829" s="253"/>
      <c r="H829" s="253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50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</row>
    <row r="830">
      <c r="A830" s="17"/>
      <c r="B830" s="17"/>
      <c r="C830" s="17"/>
      <c r="D830" s="17"/>
      <c r="E830" s="86"/>
      <c r="F830" s="253"/>
      <c r="G830" s="253"/>
      <c r="H830" s="253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50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</row>
    <row r="831">
      <c r="A831" s="17"/>
      <c r="B831" s="17"/>
      <c r="C831" s="17"/>
      <c r="D831" s="17"/>
      <c r="E831" s="86"/>
      <c r="F831" s="253"/>
      <c r="G831" s="253"/>
      <c r="H831" s="253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50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</row>
    <row r="832">
      <c r="A832" s="17"/>
      <c r="B832" s="17"/>
      <c r="C832" s="17"/>
      <c r="D832" s="17"/>
      <c r="E832" s="86"/>
      <c r="F832" s="253"/>
      <c r="G832" s="253"/>
      <c r="H832" s="253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50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</row>
    <row r="833">
      <c r="A833" s="17"/>
      <c r="B833" s="17"/>
      <c r="C833" s="17"/>
      <c r="D833" s="17"/>
      <c r="E833" s="86"/>
      <c r="F833" s="253"/>
      <c r="G833" s="253"/>
      <c r="H833" s="253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50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</row>
    <row r="834">
      <c r="A834" s="17"/>
      <c r="B834" s="17"/>
      <c r="C834" s="17"/>
      <c r="D834" s="17"/>
      <c r="E834" s="86"/>
      <c r="F834" s="253"/>
      <c r="G834" s="253"/>
      <c r="H834" s="253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50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</row>
    <row r="835">
      <c r="A835" s="17"/>
      <c r="B835" s="17"/>
      <c r="C835" s="17"/>
      <c r="D835" s="17"/>
      <c r="E835" s="86"/>
      <c r="F835" s="253"/>
      <c r="G835" s="253"/>
      <c r="H835" s="253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50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</row>
    <row r="836">
      <c r="A836" s="17"/>
      <c r="B836" s="17"/>
      <c r="C836" s="17"/>
      <c r="D836" s="17"/>
      <c r="E836" s="86"/>
      <c r="F836" s="253"/>
      <c r="G836" s="253"/>
      <c r="H836" s="253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50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</row>
    <row r="837">
      <c r="A837" s="17"/>
      <c r="B837" s="17"/>
      <c r="C837" s="17"/>
      <c r="D837" s="17"/>
      <c r="E837" s="86"/>
      <c r="F837" s="253"/>
      <c r="G837" s="253"/>
      <c r="H837" s="253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50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</row>
    <row r="838">
      <c r="A838" s="17"/>
      <c r="B838" s="17"/>
      <c r="C838" s="17"/>
      <c r="D838" s="17"/>
      <c r="E838" s="86"/>
      <c r="F838" s="253"/>
      <c r="G838" s="253"/>
      <c r="H838" s="253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50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</row>
    <row r="839">
      <c r="A839" s="17"/>
      <c r="B839" s="17"/>
      <c r="C839" s="17"/>
      <c r="D839" s="17"/>
      <c r="E839" s="86"/>
      <c r="F839" s="253"/>
      <c r="G839" s="253"/>
      <c r="H839" s="253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50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</row>
    <row r="840">
      <c r="A840" s="17"/>
      <c r="B840" s="17"/>
      <c r="C840" s="17"/>
      <c r="D840" s="17"/>
      <c r="E840" s="86"/>
      <c r="F840" s="253"/>
      <c r="G840" s="253"/>
      <c r="H840" s="253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50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</row>
    <row r="841">
      <c r="A841" s="17"/>
      <c r="B841" s="17"/>
      <c r="C841" s="17"/>
      <c r="D841" s="17"/>
      <c r="E841" s="86"/>
      <c r="F841" s="253"/>
      <c r="G841" s="253"/>
      <c r="H841" s="253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50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</row>
    <row r="842">
      <c r="A842" s="17"/>
      <c r="B842" s="17"/>
      <c r="C842" s="17"/>
      <c r="D842" s="17"/>
      <c r="E842" s="86"/>
      <c r="F842" s="253"/>
      <c r="G842" s="253"/>
      <c r="H842" s="253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50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</row>
    <row r="843">
      <c r="A843" s="17"/>
      <c r="B843" s="17"/>
      <c r="C843" s="17"/>
      <c r="D843" s="17"/>
      <c r="E843" s="86"/>
      <c r="F843" s="253"/>
      <c r="G843" s="253"/>
      <c r="H843" s="253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50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</row>
    <row r="844">
      <c r="A844" s="17"/>
      <c r="B844" s="17"/>
      <c r="C844" s="17"/>
      <c r="D844" s="17"/>
      <c r="E844" s="86"/>
      <c r="F844" s="253"/>
      <c r="G844" s="253"/>
      <c r="H844" s="253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50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</row>
    <row r="845">
      <c r="A845" s="17"/>
      <c r="B845" s="17"/>
      <c r="C845" s="17"/>
      <c r="D845" s="17"/>
      <c r="E845" s="86"/>
      <c r="F845" s="253"/>
      <c r="G845" s="253"/>
      <c r="H845" s="253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50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</row>
    <row r="846">
      <c r="A846" s="17"/>
      <c r="B846" s="17"/>
      <c r="C846" s="17"/>
      <c r="D846" s="17"/>
      <c r="E846" s="86"/>
      <c r="F846" s="253"/>
      <c r="G846" s="253"/>
      <c r="H846" s="253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50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</row>
    <row r="847">
      <c r="A847" s="17"/>
      <c r="B847" s="17"/>
      <c r="C847" s="17"/>
      <c r="D847" s="17"/>
      <c r="E847" s="86"/>
      <c r="F847" s="253"/>
      <c r="G847" s="253"/>
      <c r="H847" s="253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50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</row>
    <row r="848">
      <c r="A848" s="17"/>
      <c r="B848" s="17"/>
      <c r="C848" s="17"/>
      <c r="D848" s="17"/>
      <c r="E848" s="86"/>
      <c r="F848" s="253"/>
      <c r="G848" s="253"/>
      <c r="H848" s="253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50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</row>
    <row r="849">
      <c r="A849" s="17"/>
      <c r="B849" s="17"/>
      <c r="C849" s="17"/>
      <c r="D849" s="17"/>
      <c r="E849" s="86"/>
      <c r="F849" s="253"/>
      <c r="G849" s="253"/>
      <c r="H849" s="253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50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</row>
    <row r="850">
      <c r="A850" s="17"/>
      <c r="B850" s="17"/>
      <c r="C850" s="17"/>
      <c r="D850" s="17"/>
      <c r="E850" s="86"/>
      <c r="F850" s="253"/>
      <c r="G850" s="253"/>
      <c r="H850" s="253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50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</row>
    <row r="851">
      <c r="A851" s="17"/>
      <c r="B851" s="17"/>
      <c r="C851" s="17"/>
      <c r="D851" s="17"/>
      <c r="E851" s="86"/>
      <c r="F851" s="253"/>
      <c r="G851" s="253"/>
      <c r="H851" s="253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50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</row>
    <row r="852">
      <c r="A852" s="17"/>
      <c r="B852" s="17"/>
      <c r="C852" s="17"/>
      <c r="D852" s="17"/>
      <c r="E852" s="86"/>
      <c r="F852" s="253"/>
      <c r="G852" s="253"/>
      <c r="H852" s="253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50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</row>
    <row r="853">
      <c r="A853" s="17"/>
      <c r="B853" s="17"/>
      <c r="C853" s="17"/>
      <c r="D853" s="17"/>
      <c r="E853" s="86"/>
      <c r="F853" s="253"/>
      <c r="G853" s="253"/>
      <c r="H853" s="253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50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</row>
    <row r="854">
      <c r="A854" s="17"/>
      <c r="B854" s="17"/>
      <c r="C854" s="17"/>
      <c r="D854" s="17"/>
      <c r="E854" s="86"/>
      <c r="F854" s="253"/>
      <c r="G854" s="253"/>
      <c r="H854" s="253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50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</row>
    <row r="855">
      <c r="A855" s="17"/>
      <c r="B855" s="17"/>
      <c r="C855" s="17"/>
      <c r="D855" s="17"/>
      <c r="E855" s="86"/>
      <c r="F855" s="253"/>
      <c r="G855" s="253"/>
      <c r="H855" s="253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50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</row>
    <row r="856">
      <c r="A856" s="17"/>
      <c r="B856" s="17"/>
      <c r="C856" s="17"/>
      <c r="D856" s="17"/>
      <c r="E856" s="86"/>
      <c r="F856" s="253"/>
      <c r="G856" s="253"/>
      <c r="H856" s="253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50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</row>
    <row r="857">
      <c r="A857" s="17"/>
      <c r="B857" s="17"/>
      <c r="C857" s="17"/>
      <c r="D857" s="17"/>
      <c r="E857" s="86"/>
      <c r="F857" s="253"/>
      <c r="G857" s="253"/>
      <c r="H857" s="253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50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</row>
    <row r="858">
      <c r="A858" s="17"/>
      <c r="B858" s="17"/>
      <c r="C858" s="17"/>
      <c r="D858" s="17"/>
      <c r="E858" s="86"/>
      <c r="F858" s="253"/>
      <c r="G858" s="253"/>
      <c r="H858" s="253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50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</row>
    <row r="859">
      <c r="A859" s="17"/>
      <c r="B859" s="17"/>
      <c r="C859" s="17"/>
      <c r="D859" s="17"/>
      <c r="E859" s="86"/>
      <c r="F859" s="253"/>
      <c r="G859" s="253"/>
      <c r="H859" s="253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50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</row>
    <row r="860">
      <c r="A860" s="17"/>
      <c r="B860" s="17"/>
      <c r="C860" s="17"/>
      <c r="D860" s="17"/>
      <c r="E860" s="86"/>
      <c r="F860" s="253"/>
      <c r="G860" s="253"/>
      <c r="H860" s="253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50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</row>
    <row r="861">
      <c r="A861" s="17"/>
      <c r="B861" s="17"/>
      <c r="C861" s="17"/>
      <c r="D861" s="17"/>
      <c r="E861" s="86"/>
      <c r="F861" s="253"/>
      <c r="G861" s="253"/>
      <c r="H861" s="253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50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</row>
    <row r="862">
      <c r="A862" s="17"/>
      <c r="B862" s="17"/>
      <c r="C862" s="17"/>
      <c r="D862" s="17"/>
      <c r="E862" s="86"/>
      <c r="F862" s="253"/>
      <c r="G862" s="253"/>
      <c r="H862" s="253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50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</row>
    <row r="863">
      <c r="A863" s="17"/>
      <c r="B863" s="17"/>
      <c r="C863" s="17"/>
      <c r="D863" s="17"/>
      <c r="E863" s="86"/>
      <c r="F863" s="253"/>
      <c r="G863" s="253"/>
      <c r="H863" s="253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50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</row>
    <row r="864">
      <c r="A864" s="17"/>
      <c r="B864" s="17"/>
      <c r="C864" s="17"/>
      <c r="D864" s="17"/>
      <c r="E864" s="86"/>
      <c r="F864" s="253"/>
      <c r="G864" s="253"/>
      <c r="H864" s="253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50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</row>
    <row r="865">
      <c r="A865" s="17"/>
      <c r="B865" s="17"/>
      <c r="C865" s="17"/>
      <c r="D865" s="17"/>
      <c r="E865" s="86"/>
      <c r="F865" s="253"/>
      <c r="G865" s="253"/>
      <c r="H865" s="253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50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</row>
    <row r="866">
      <c r="A866" s="17"/>
      <c r="B866" s="17"/>
      <c r="C866" s="17"/>
      <c r="D866" s="17"/>
      <c r="E866" s="86"/>
      <c r="F866" s="253"/>
      <c r="G866" s="253"/>
      <c r="H866" s="253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50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</row>
    <row r="867">
      <c r="A867" s="17"/>
      <c r="B867" s="17"/>
      <c r="C867" s="17"/>
      <c r="D867" s="17"/>
      <c r="E867" s="86"/>
      <c r="F867" s="253"/>
      <c r="G867" s="253"/>
      <c r="H867" s="253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50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</row>
    <row r="868">
      <c r="A868" s="17"/>
      <c r="B868" s="17"/>
      <c r="C868" s="17"/>
      <c r="D868" s="17"/>
      <c r="E868" s="86"/>
      <c r="F868" s="253"/>
      <c r="G868" s="253"/>
      <c r="H868" s="253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50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</row>
    <row r="869">
      <c r="A869" s="17"/>
      <c r="B869" s="17"/>
      <c r="C869" s="17"/>
      <c r="D869" s="17"/>
      <c r="E869" s="86"/>
      <c r="F869" s="253"/>
      <c r="G869" s="253"/>
      <c r="H869" s="253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50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</row>
    <row r="870">
      <c r="A870" s="17"/>
      <c r="B870" s="17"/>
      <c r="C870" s="17"/>
      <c r="D870" s="17"/>
      <c r="E870" s="86"/>
      <c r="F870" s="253"/>
      <c r="G870" s="253"/>
      <c r="H870" s="253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50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</row>
    <row r="871">
      <c r="A871" s="17"/>
      <c r="B871" s="17"/>
      <c r="C871" s="17"/>
      <c r="D871" s="17"/>
      <c r="E871" s="86"/>
      <c r="F871" s="253"/>
      <c r="G871" s="253"/>
      <c r="H871" s="253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50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</row>
    <row r="872">
      <c r="A872" s="17"/>
      <c r="B872" s="17"/>
      <c r="C872" s="17"/>
      <c r="D872" s="17"/>
      <c r="E872" s="86"/>
      <c r="F872" s="253"/>
      <c r="G872" s="253"/>
      <c r="H872" s="253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50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</row>
    <row r="873">
      <c r="A873" s="17"/>
      <c r="B873" s="17"/>
      <c r="C873" s="17"/>
      <c r="D873" s="17"/>
      <c r="E873" s="86"/>
      <c r="F873" s="253"/>
      <c r="G873" s="253"/>
      <c r="H873" s="253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50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</row>
    <row r="874">
      <c r="A874" s="17"/>
      <c r="B874" s="17"/>
      <c r="C874" s="17"/>
      <c r="D874" s="17"/>
      <c r="E874" s="86"/>
      <c r="F874" s="253"/>
      <c r="G874" s="253"/>
      <c r="H874" s="253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50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</row>
    <row r="875">
      <c r="A875" s="17"/>
      <c r="B875" s="17"/>
      <c r="C875" s="17"/>
      <c r="D875" s="17"/>
      <c r="E875" s="86"/>
      <c r="F875" s="253"/>
      <c r="G875" s="253"/>
      <c r="H875" s="253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50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</row>
    <row r="876">
      <c r="A876" s="17"/>
      <c r="B876" s="17"/>
      <c r="C876" s="17"/>
      <c r="D876" s="17"/>
      <c r="E876" s="86"/>
      <c r="F876" s="253"/>
      <c r="G876" s="253"/>
      <c r="H876" s="253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50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</row>
    <row r="877">
      <c r="A877" s="17"/>
      <c r="B877" s="17"/>
      <c r="C877" s="17"/>
      <c r="D877" s="17"/>
      <c r="E877" s="86"/>
      <c r="F877" s="253"/>
      <c r="G877" s="253"/>
      <c r="H877" s="253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50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</row>
    <row r="878">
      <c r="A878" s="17"/>
      <c r="B878" s="17"/>
      <c r="C878" s="17"/>
      <c r="D878" s="17"/>
      <c r="E878" s="86"/>
      <c r="F878" s="253"/>
      <c r="G878" s="253"/>
      <c r="H878" s="253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50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</row>
    <row r="879">
      <c r="A879" s="17"/>
      <c r="B879" s="17"/>
      <c r="C879" s="17"/>
      <c r="D879" s="17"/>
      <c r="E879" s="86"/>
      <c r="F879" s="253"/>
      <c r="G879" s="253"/>
      <c r="H879" s="253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50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</row>
    <row r="880">
      <c r="A880" s="17"/>
      <c r="B880" s="17"/>
      <c r="C880" s="17"/>
      <c r="D880" s="17"/>
      <c r="E880" s="86"/>
      <c r="F880" s="253"/>
      <c r="G880" s="253"/>
      <c r="H880" s="253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50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</row>
    <row r="881">
      <c r="A881" s="17"/>
      <c r="B881" s="17"/>
      <c r="C881" s="17"/>
      <c r="D881" s="17"/>
      <c r="E881" s="86"/>
      <c r="F881" s="253"/>
      <c r="G881" s="253"/>
      <c r="H881" s="253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50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</row>
    <row r="882">
      <c r="A882" s="17"/>
      <c r="B882" s="17"/>
      <c r="C882" s="17"/>
      <c r="D882" s="17"/>
      <c r="E882" s="86"/>
      <c r="F882" s="253"/>
      <c r="G882" s="253"/>
      <c r="H882" s="253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50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</row>
    <row r="883">
      <c r="A883" s="17"/>
      <c r="B883" s="17"/>
      <c r="C883" s="17"/>
      <c r="D883" s="17"/>
      <c r="E883" s="86"/>
      <c r="F883" s="253"/>
      <c r="G883" s="253"/>
      <c r="H883" s="253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50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</row>
    <row r="884">
      <c r="A884" s="17"/>
      <c r="B884" s="17"/>
      <c r="C884" s="17"/>
      <c r="D884" s="17"/>
      <c r="E884" s="86"/>
      <c r="F884" s="253"/>
      <c r="G884" s="253"/>
      <c r="H884" s="253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50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</row>
    <row r="885">
      <c r="A885" s="17"/>
      <c r="B885" s="17"/>
      <c r="C885" s="17"/>
      <c r="D885" s="17"/>
      <c r="E885" s="86"/>
      <c r="F885" s="253"/>
      <c r="G885" s="253"/>
      <c r="H885" s="253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50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</row>
    <row r="886">
      <c r="A886" s="17"/>
      <c r="B886" s="17"/>
      <c r="C886" s="17"/>
      <c r="D886" s="17"/>
      <c r="E886" s="86"/>
      <c r="F886" s="253"/>
      <c r="G886" s="253"/>
      <c r="H886" s="253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50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</row>
    <row r="887">
      <c r="A887" s="17"/>
      <c r="B887" s="17"/>
      <c r="C887" s="17"/>
      <c r="D887" s="17"/>
      <c r="E887" s="86"/>
      <c r="F887" s="253"/>
      <c r="G887" s="253"/>
      <c r="H887" s="253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50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</row>
    <row r="888">
      <c r="A888" s="17"/>
      <c r="B888" s="17"/>
      <c r="C888" s="17"/>
      <c r="D888" s="17"/>
      <c r="E888" s="86"/>
      <c r="F888" s="253"/>
      <c r="G888" s="253"/>
      <c r="H888" s="253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50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</row>
    <row r="889">
      <c r="A889" s="17"/>
      <c r="B889" s="17"/>
      <c r="C889" s="17"/>
      <c r="D889" s="17"/>
      <c r="E889" s="86"/>
      <c r="F889" s="253"/>
      <c r="G889" s="253"/>
      <c r="H889" s="253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50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</row>
    <row r="890">
      <c r="A890" s="17"/>
      <c r="B890" s="17"/>
      <c r="C890" s="17"/>
      <c r="D890" s="17"/>
      <c r="E890" s="86"/>
      <c r="F890" s="253"/>
      <c r="G890" s="253"/>
      <c r="H890" s="253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50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</row>
    <row r="891">
      <c r="A891" s="17"/>
      <c r="B891" s="17"/>
      <c r="C891" s="17"/>
      <c r="D891" s="17"/>
      <c r="E891" s="86"/>
      <c r="F891" s="253"/>
      <c r="G891" s="253"/>
      <c r="H891" s="253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50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</row>
    <row r="892">
      <c r="A892" s="17"/>
      <c r="B892" s="17"/>
      <c r="C892" s="17"/>
      <c r="D892" s="17"/>
      <c r="E892" s="86"/>
      <c r="F892" s="253"/>
      <c r="G892" s="253"/>
      <c r="H892" s="253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50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</row>
    <row r="893">
      <c r="A893" s="17"/>
      <c r="B893" s="17"/>
      <c r="C893" s="17"/>
      <c r="D893" s="17"/>
      <c r="E893" s="86"/>
      <c r="F893" s="253"/>
      <c r="G893" s="253"/>
      <c r="H893" s="253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50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</row>
    <row r="894">
      <c r="A894" s="17"/>
      <c r="B894" s="17"/>
      <c r="C894" s="17"/>
      <c r="D894" s="17"/>
      <c r="E894" s="86"/>
      <c r="F894" s="253"/>
      <c r="G894" s="253"/>
      <c r="H894" s="253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50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</row>
    <row r="895">
      <c r="A895" s="17"/>
      <c r="B895" s="17"/>
      <c r="C895" s="17"/>
      <c r="D895" s="17"/>
      <c r="E895" s="86"/>
      <c r="F895" s="253"/>
      <c r="G895" s="253"/>
      <c r="H895" s="253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50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</row>
    <row r="896">
      <c r="A896" s="17"/>
      <c r="B896" s="17"/>
      <c r="C896" s="17"/>
      <c r="D896" s="17"/>
      <c r="E896" s="86"/>
      <c r="F896" s="253"/>
      <c r="G896" s="253"/>
      <c r="H896" s="253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50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</row>
    <row r="897">
      <c r="A897" s="17"/>
      <c r="B897" s="17"/>
      <c r="C897" s="17"/>
      <c r="D897" s="17"/>
      <c r="E897" s="86"/>
      <c r="F897" s="253"/>
      <c r="G897" s="253"/>
      <c r="H897" s="253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50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</row>
    <row r="898">
      <c r="A898" s="17"/>
      <c r="B898" s="17"/>
      <c r="C898" s="17"/>
      <c r="D898" s="17"/>
      <c r="E898" s="86"/>
      <c r="F898" s="253"/>
      <c r="G898" s="253"/>
      <c r="H898" s="253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50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</row>
    <row r="899">
      <c r="A899" s="17"/>
      <c r="B899" s="17"/>
      <c r="C899" s="17"/>
      <c r="D899" s="17"/>
      <c r="E899" s="86"/>
      <c r="F899" s="253"/>
      <c r="G899" s="253"/>
      <c r="H899" s="253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50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</row>
    <row r="900">
      <c r="A900" s="17"/>
      <c r="B900" s="17"/>
      <c r="C900" s="17"/>
      <c r="D900" s="17"/>
      <c r="E900" s="86"/>
      <c r="F900" s="253"/>
      <c r="G900" s="253"/>
      <c r="H900" s="253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50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</row>
    <row r="901">
      <c r="A901" s="17"/>
      <c r="B901" s="17"/>
      <c r="C901" s="17"/>
      <c r="D901" s="17"/>
      <c r="E901" s="86"/>
      <c r="F901" s="253"/>
      <c r="G901" s="253"/>
      <c r="H901" s="253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50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</row>
    <row r="902">
      <c r="A902" s="17"/>
      <c r="B902" s="17"/>
      <c r="C902" s="17"/>
      <c r="D902" s="17"/>
      <c r="E902" s="86"/>
      <c r="F902" s="253"/>
      <c r="G902" s="253"/>
      <c r="H902" s="253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50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</row>
    <row r="903">
      <c r="A903" s="17"/>
      <c r="B903" s="17"/>
      <c r="C903" s="17"/>
      <c r="D903" s="17"/>
      <c r="E903" s="86"/>
      <c r="F903" s="253"/>
      <c r="G903" s="253"/>
      <c r="H903" s="253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50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</row>
    <row r="904">
      <c r="A904" s="17"/>
      <c r="B904" s="17"/>
      <c r="C904" s="17"/>
      <c r="D904" s="17"/>
      <c r="E904" s="86"/>
      <c r="F904" s="253"/>
      <c r="G904" s="253"/>
      <c r="H904" s="253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50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</row>
    <row r="905">
      <c r="A905" s="17"/>
      <c r="B905" s="17"/>
      <c r="C905" s="17"/>
      <c r="D905" s="17"/>
      <c r="E905" s="86"/>
      <c r="F905" s="253"/>
      <c r="G905" s="253"/>
      <c r="H905" s="253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50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</row>
    <row r="906">
      <c r="A906" s="17"/>
      <c r="B906" s="17"/>
      <c r="C906" s="17"/>
      <c r="D906" s="17"/>
      <c r="E906" s="86"/>
      <c r="F906" s="253"/>
      <c r="G906" s="253"/>
      <c r="H906" s="253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50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</row>
    <row r="907">
      <c r="A907" s="17"/>
      <c r="B907" s="17"/>
      <c r="C907" s="17"/>
      <c r="D907" s="17"/>
      <c r="E907" s="86"/>
      <c r="F907" s="253"/>
      <c r="G907" s="253"/>
      <c r="H907" s="253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50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</row>
    <row r="908">
      <c r="A908" s="17"/>
      <c r="B908" s="17"/>
      <c r="C908" s="17"/>
      <c r="D908" s="17"/>
      <c r="E908" s="86"/>
      <c r="F908" s="253"/>
      <c r="G908" s="253"/>
      <c r="H908" s="253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50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</row>
    <row r="909">
      <c r="A909" s="17"/>
      <c r="B909" s="17"/>
      <c r="C909" s="17"/>
      <c r="D909" s="17"/>
      <c r="E909" s="86"/>
      <c r="F909" s="253"/>
      <c r="G909" s="253"/>
      <c r="H909" s="253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50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</row>
    <row r="910">
      <c r="A910" s="17"/>
      <c r="B910" s="17"/>
      <c r="C910" s="17"/>
      <c r="D910" s="17"/>
      <c r="E910" s="86"/>
      <c r="F910" s="253"/>
      <c r="G910" s="253"/>
      <c r="H910" s="253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50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</row>
    <row r="911">
      <c r="A911" s="17"/>
      <c r="B911" s="17"/>
      <c r="C911" s="17"/>
      <c r="D911" s="17"/>
      <c r="E911" s="86"/>
      <c r="F911" s="253"/>
      <c r="G911" s="253"/>
      <c r="H911" s="253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50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</row>
    <row r="912">
      <c r="A912" s="17"/>
      <c r="B912" s="17"/>
      <c r="C912" s="17"/>
      <c r="D912" s="17"/>
      <c r="E912" s="86"/>
      <c r="F912" s="253"/>
      <c r="G912" s="253"/>
      <c r="H912" s="253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50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</row>
    <row r="913">
      <c r="A913" s="17"/>
      <c r="B913" s="17"/>
      <c r="C913" s="17"/>
      <c r="D913" s="17"/>
      <c r="E913" s="86"/>
      <c r="F913" s="253"/>
      <c r="G913" s="253"/>
      <c r="H913" s="253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50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</row>
    <row r="914">
      <c r="A914" s="17"/>
      <c r="B914" s="17"/>
      <c r="C914" s="17"/>
      <c r="D914" s="17"/>
      <c r="E914" s="86"/>
      <c r="F914" s="253"/>
      <c r="G914" s="253"/>
      <c r="H914" s="253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50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</row>
    <row r="915">
      <c r="A915" s="17"/>
      <c r="B915" s="17"/>
      <c r="C915" s="17"/>
      <c r="D915" s="17"/>
      <c r="E915" s="86"/>
      <c r="F915" s="253"/>
      <c r="G915" s="253"/>
      <c r="H915" s="253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50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</row>
    <row r="916">
      <c r="A916" s="17"/>
      <c r="B916" s="17"/>
      <c r="C916" s="17"/>
      <c r="D916" s="17"/>
      <c r="E916" s="86"/>
      <c r="F916" s="253"/>
      <c r="G916" s="253"/>
      <c r="H916" s="253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50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</row>
    <row r="917">
      <c r="A917" s="17"/>
      <c r="B917" s="17"/>
      <c r="C917" s="17"/>
      <c r="D917" s="17"/>
      <c r="E917" s="86"/>
      <c r="F917" s="253"/>
      <c r="G917" s="253"/>
      <c r="H917" s="253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50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</row>
    <row r="918">
      <c r="A918" s="17"/>
      <c r="B918" s="17"/>
      <c r="C918" s="17"/>
      <c r="D918" s="17"/>
      <c r="E918" s="86"/>
      <c r="F918" s="253"/>
      <c r="G918" s="253"/>
      <c r="H918" s="253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50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</row>
    <row r="919">
      <c r="A919" s="17"/>
      <c r="B919" s="17"/>
      <c r="C919" s="17"/>
      <c r="D919" s="17"/>
      <c r="E919" s="86"/>
      <c r="F919" s="253"/>
      <c r="G919" s="253"/>
      <c r="H919" s="253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50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</row>
    <row r="920">
      <c r="A920" s="17"/>
      <c r="B920" s="17"/>
      <c r="C920" s="17"/>
      <c r="D920" s="17"/>
      <c r="E920" s="86"/>
      <c r="F920" s="253"/>
      <c r="G920" s="253"/>
      <c r="H920" s="253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50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</row>
    <row r="921">
      <c r="A921" s="17"/>
      <c r="B921" s="17"/>
      <c r="C921" s="17"/>
      <c r="D921" s="17"/>
      <c r="E921" s="86"/>
      <c r="F921" s="253"/>
      <c r="G921" s="253"/>
      <c r="H921" s="253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50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</row>
    <row r="922">
      <c r="A922" s="17"/>
      <c r="B922" s="17"/>
      <c r="C922" s="17"/>
      <c r="D922" s="17"/>
      <c r="E922" s="86"/>
      <c r="F922" s="253"/>
      <c r="G922" s="253"/>
      <c r="H922" s="253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50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</row>
    <row r="923">
      <c r="A923" s="17"/>
      <c r="B923" s="17"/>
      <c r="C923" s="17"/>
      <c r="D923" s="17"/>
      <c r="E923" s="86"/>
      <c r="F923" s="253"/>
      <c r="G923" s="253"/>
      <c r="H923" s="253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50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</row>
    <row r="924">
      <c r="A924" s="17"/>
      <c r="B924" s="17"/>
      <c r="C924" s="17"/>
      <c r="D924" s="17"/>
      <c r="E924" s="86"/>
      <c r="F924" s="253"/>
      <c r="G924" s="253"/>
      <c r="H924" s="253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50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</row>
    <row r="925">
      <c r="A925" s="17"/>
      <c r="B925" s="17"/>
      <c r="C925" s="17"/>
      <c r="D925" s="17"/>
      <c r="E925" s="86"/>
      <c r="F925" s="253"/>
      <c r="G925" s="253"/>
      <c r="H925" s="253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50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</row>
    <row r="926">
      <c r="A926" s="17"/>
      <c r="B926" s="17"/>
      <c r="C926" s="17"/>
      <c r="D926" s="17"/>
      <c r="E926" s="86"/>
      <c r="F926" s="253"/>
      <c r="G926" s="253"/>
      <c r="H926" s="253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50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</row>
    <row r="927">
      <c r="A927" s="17"/>
      <c r="B927" s="17"/>
      <c r="C927" s="17"/>
      <c r="D927" s="17"/>
      <c r="E927" s="86"/>
      <c r="F927" s="253"/>
      <c r="G927" s="253"/>
      <c r="H927" s="253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50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</row>
    <row r="928">
      <c r="A928" s="17"/>
      <c r="B928" s="17"/>
      <c r="C928" s="17"/>
      <c r="D928" s="17"/>
      <c r="E928" s="86"/>
      <c r="F928" s="253"/>
      <c r="G928" s="253"/>
      <c r="H928" s="253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50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</row>
    <row r="929">
      <c r="A929" s="17"/>
      <c r="B929" s="17"/>
      <c r="C929" s="17"/>
      <c r="D929" s="17"/>
      <c r="E929" s="86"/>
      <c r="F929" s="253"/>
      <c r="G929" s="253"/>
      <c r="H929" s="253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50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</row>
    <row r="930">
      <c r="A930" s="17"/>
      <c r="B930" s="17"/>
      <c r="C930" s="17"/>
      <c r="D930" s="17"/>
      <c r="E930" s="86"/>
      <c r="F930" s="253"/>
      <c r="G930" s="253"/>
      <c r="H930" s="253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50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</row>
    <row r="931">
      <c r="A931" s="17"/>
      <c r="B931" s="17"/>
      <c r="C931" s="17"/>
      <c r="D931" s="17"/>
      <c r="E931" s="86"/>
      <c r="F931" s="253"/>
      <c r="G931" s="253"/>
      <c r="H931" s="253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50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</row>
    <row r="932">
      <c r="A932" s="17"/>
      <c r="B932" s="17"/>
      <c r="C932" s="17"/>
      <c r="D932" s="17"/>
      <c r="E932" s="86"/>
      <c r="F932" s="253"/>
      <c r="G932" s="253"/>
      <c r="H932" s="253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50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</row>
    <row r="933">
      <c r="A933" s="17"/>
      <c r="B933" s="17"/>
      <c r="C933" s="17"/>
      <c r="D933" s="17"/>
      <c r="E933" s="86"/>
      <c r="F933" s="253"/>
      <c r="G933" s="253"/>
      <c r="H933" s="253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50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</row>
    <row r="934">
      <c r="A934" s="17"/>
      <c r="B934" s="17"/>
      <c r="C934" s="17"/>
      <c r="D934" s="17"/>
      <c r="E934" s="86"/>
      <c r="F934" s="253"/>
      <c r="G934" s="253"/>
      <c r="H934" s="253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50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</row>
    <row r="935">
      <c r="A935" s="17"/>
      <c r="B935" s="17"/>
      <c r="C935" s="17"/>
      <c r="D935" s="17"/>
      <c r="E935" s="86"/>
      <c r="F935" s="253"/>
      <c r="G935" s="253"/>
      <c r="H935" s="253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50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</row>
    <row r="936">
      <c r="A936" s="17"/>
      <c r="B936" s="17"/>
      <c r="C936" s="17"/>
      <c r="D936" s="17"/>
      <c r="E936" s="86"/>
      <c r="F936" s="253"/>
      <c r="G936" s="253"/>
      <c r="H936" s="253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50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</row>
    <row r="937">
      <c r="A937" s="17"/>
      <c r="B937" s="17"/>
      <c r="C937" s="17"/>
      <c r="D937" s="17"/>
      <c r="E937" s="86"/>
      <c r="F937" s="253"/>
      <c r="G937" s="253"/>
      <c r="H937" s="253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50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</row>
    <row r="938">
      <c r="A938" s="17"/>
      <c r="B938" s="17"/>
      <c r="C938" s="17"/>
      <c r="D938" s="17"/>
      <c r="E938" s="86"/>
      <c r="F938" s="253"/>
      <c r="G938" s="253"/>
      <c r="H938" s="253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50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</row>
    <row r="939">
      <c r="A939" s="17"/>
      <c r="B939" s="17"/>
      <c r="C939" s="17"/>
      <c r="D939" s="17"/>
      <c r="E939" s="86"/>
      <c r="F939" s="253"/>
      <c r="G939" s="253"/>
      <c r="H939" s="253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50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</row>
    <row r="940">
      <c r="A940" s="17"/>
      <c r="B940" s="17"/>
      <c r="C940" s="17"/>
      <c r="D940" s="17"/>
      <c r="E940" s="86"/>
      <c r="F940" s="253"/>
      <c r="G940" s="253"/>
      <c r="H940" s="253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50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</row>
    <row r="941">
      <c r="A941" s="17"/>
      <c r="B941" s="17"/>
      <c r="C941" s="17"/>
      <c r="D941" s="17"/>
      <c r="E941" s="86"/>
      <c r="F941" s="253"/>
      <c r="G941" s="253"/>
      <c r="H941" s="253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50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</row>
    <row r="942">
      <c r="A942" s="17"/>
      <c r="B942" s="17"/>
      <c r="C942" s="17"/>
      <c r="D942" s="17"/>
      <c r="E942" s="86"/>
      <c r="F942" s="253"/>
      <c r="G942" s="253"/>
      <c r="H942" s="253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50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</row>
    <row r="943">
      <c r="A943" s="17"/>
      <c r="B943" s="17"/>
      <c r="C943" s="17"/>
      <c r="D943" s="17"/>
      <c r="E943" s="86"/>
      <c r="F943" s="253"/>
      <c r="G943" s="253"/>
      <c r="H943" s="253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50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</row>
    <row r="944">
      <c r="A944" s="17"/>
      <c r="B944" s="17"/>
      <c r="C944" s="17"/>
      <c r="D944" s="17"/>
      <c r="E944" s="86"/>
      <c r="F944" s="253"/>
      <c r="G944" s="253"/>
      <c r="H944" s="253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50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</row>
    <row r="945">
      <c r="A945" s="17"/>
      <c r="B945" s="17"/>
      <c r="C945" s="17"/>
      <c r="D945" s="17"/>
      <c r="E945" s="86"/>
      <c r="F945" s="253"/>
      <c r="G945" s="253"/>
      <c r="H945" s="253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50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</row>
    <row r="946">
      <c r="A946" s="17"/>
      <c r="B946" s="17"/>
      <c r="C946" s="17"/>
      <c r="D946" s="17"/>
      <c r="E946" s="86"/>
      <c r="F946" s="253"/>
      <c r="G946" s="253"/>
      <c r="H946" s="253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50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</row>
    <row r="947">
      <c r="A947" s="17"/>
      <c r="B947" s="17"/>
      <c r="C947" s="17"/>
      <c r="D947" s="17"/>
      <c r="E947" s="86"/>
      <c r="F947" s="253"/>
      <c r="G947" s="253"/>
      <c r="H947" s="253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50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</row>
    <row r="948">
      <c r="A948" s="17"/>
      <c r="B948" s="17"/>
      <c r="C948" s="17"/>
      <c r="D948" s="17"/>
      <c r="E948" s="86"/>
      <c r="F948" s="253"/>
      <c r="G948" s="253"/>
      <c r="H948" s="253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50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</row>
    <row r="949">
      <c r="A949" s="17"/>
      <c r="B949" s="17"/>
      <c r="C949" s="17"/>
      <c r="D949" s="17"/>
      <c r="E949" s="86"/>
      <c r="F949" s="253"/>
      <c r="G949" s="253"/>
      <c r="H949" s="253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50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</row>
    <row r="950">
      <c r="A950" s="17"/>
      <c r="B950" s="17"/>
      <c r="C950" s="17"/>
      <c r="D950" s="17"/>
      <c r="E950" s="86"/>
      <c r="F950" s="253"/>
      <c r="G950" s="253"/>
      <c r="H950" s="253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50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</row>
    <row r="951">
      <c r="A951" s="17"/>
      <c r="B951" s="17"/>
      <c r="C951" s="17"/>
      <c r="D951" s="17"/>
      <c r="E951" s="86"/>
      <c r="F951" s="253"/>
      <c r="G951" s="253"/>
      <c r="H951" s="253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50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</row>
    <row r="952">
      <c r="A952" s="17"/>
      <c r="B952" s="17"/>
      <c r="C952" s="17"/>
      <c r="D952" s="17"/>
      <c r="E952" s="86"/>
      <c r="F952" s="253"/>
      <c r="G952" s="253"/>
      <c r="H952" s="253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50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</row>
    <row r="953">
      <c r="A953" s="17"/>
      <c r="B953" s="17"/>
      <c r="C953" s="17"/>
      <c r="D953" s="17"/>
      <c r="E953" s="86"/>
      <c r="F953" s="253"/>
      <c r="G953" s="253"/>
      <c r="H953" s="253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50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</row>
    <row r="954">
      <c r="A954" s="17"/>
      <c r="B954" s="17"/>
      <c r="C954" s="17"/>
      <c r="D954" s="17"/>
      <c r="E954" s="86"/>
      <c r="F954" s="253"/>
      <c r="G954" s="253"/>
      <c r="H954" s="253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50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</row>
    <row r="955">
      <c r="A955" s="17"/>
      <c r="B955" s="17"/>
      <c r="C955" s="17"/>
      <c r="D955" s="17"/>
      <c r="E955" s="86"/>
      <c r="F955" s="253"/>
      <c r="G955" s="253"/>
      <c r="H955" s="253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50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</row>
    <row r="956">
      <c r="A956" s="17"/>
      <c r="B956" s="17"/>
      <c r="C956" s="17"/>
      <c r="D956" s="17"/>
      <c r="E956" s="86"/>
      <c r="F956" s="253"/>
      <c r="G956" s="253"/>
      <c r="H956" s="253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50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</row>
    <row r="957">
      <c r="A957" s="17"/>
      <c r="B957" s="17"/>
      <c r="C957" s="17"/>
      <c r="D957" s="17"/>
      <c r="E957" s="86"/>
      <c r="F957" s="253"/>
      <c r="G957" s="253"/>
      <c r="H957" s="253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50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</row>
    <row r="958">
      <c r="A958" s="17"/>
      <c r="B958" s="17"/>
      <c r="C958" s="17"/>
      <c r="D958" s="17"/>
      <c r="E958" s="86"/>
      <c r="F958" s="253"/>
      <c r="G958" s="253"/>
      <c r="H958" s="253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50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</row>
    <row r="959">
      <c r="A959" s="17"/>
      <c r="B959" s="17"/>
      <c r="C959" s="17"/>
      <c r="D959" s="17"/>
      <c r="E959" s="86"/>
      <c r="F959" s="253"/>
      <c r="G959" s="253"/>
      <c r="H959" s="253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50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</row>
    <row r="960">
      <c r="A960" s="17"/>
      <c r="B960" s="17"/>
      <c r="C960" s="17"/>
      <c r="D960" s="17"/>
      <c r="E960" s="86"/>
      <c r="F960" s="253"/>
      <c r="G960" s="253"/>
      <c r="H960" s="253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50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</row>
    <row r="961">
      <c r="A961" s="17"/>
      <c r="B961" s="17"/>
      <c r="C961" s="17"/>
      <c r="D961" s="17"/>
      <c r="E961" s="86"/>
      <c r="F961" s="253"/>
      <c r="G961" s="253"/>
      <c r="H961" s="253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50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</row>
    <row r="962">
      <c r="A962" s="17"/>
      <c r="B962" s="17"/>
      <c r="C962" s="17"/>
      <c r="D962" s="17"/>
      <c r="E962" s="86"/>
      <c r="F962" s="253"/>
      <c r="G962" s="253"/>
      <c r="H962" s="253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50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</row>
    <row r="963">
      <c r="A963" s="17"/>
      <c r="B963" s="17"/>
      <c r="C963" s="17"/>
      <c r="D963" s="17"/>
      <c r="E963" s="86"/>
      <c r="F963" s="253"/>
      <c r="G963" s="253"/>
      <c r="H963" s="253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50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</row>
    <row r="964">
      <c r="A964" s="17"/>
      <c r="B964" s="17"/>
      <c r="C964" s="17"/>
      <c r="D964" s="17"/>
      <c r="E964" s="86"/>
      <c r="F964" s="253"/>
      <c r="G964" s="253"/>
      <c r="H964" s="253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50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</row>
    <row r="965">
      <c r="A965" s="17"/>
      <c r="B965" s="17"/>
      <c r="C965" s="17"/>
      <c r="D965" s="17"/>
      <c r="E965" s="86"/>
      <c r="F965" s="253"/>
      <c r="G965" s="253"/>
      <c r="H965" s="253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50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</row>
    <row r="966">
      <c r="A966" s="17"/>
      <c r="B966" s="17"/>
      <c r="C966" s="17"/>
      <c r="D966" s="17"/>
      <c r="E966" s="86"/>
      <c r="F966" s="253"/>
      <c r="G966" s="253"/>
      <c r="H966" s="253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50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</row>
    <row r="967">
      <c r="A967" s="17"/>
      <c r="B967" s="17"/>
      <c r="C967" s="17"/>
      <c r="D967" s="17"/>
      <c r="E967" s="86"/>
      <c r="F967" s="253"/>
      <c r="G967" s="253"/>
      <c r="H967" s="253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50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</row>
    <row r="968">
      <c r="A968" s="17"/>
      <c r="B968" s="17"/>
      <c r="C968" s="17"/>
      <c r="D968" s="17"/>
      <c r="E968" s="86"/>
      <c r="F968" s="253"/>
      <c r="G968" s="253"/>
      <c r="H968" s="253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50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</row>
    <row r="969">
      <c r="A969" s="17"/>
      <c r="B969" s="17"/>
      <c r="C969" s="17"/>
      <c r="D969" s="17"/>
      <c r="E969" s="86"/>
      <c r="F969" s="253"/>
      <c r="G969" s="253"/>
      <c r="H969" s="253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50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</row>
    <row r="970">
      <c r="A970" s="17"/>
      <c r="B970" s="17"/>
      <c r="C970" s="17"/>
      <c r="D970" s="17"/>
      <c r="E970" s="86"/>
      <c r="F970" s="253"/>
      <c r="G970" s="253"/>
      <c r="H970" s="253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50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</row>
    <row r="971">
      <c r="A971" s="17"/>
      <c r="B971" s="17"/>
      <c r="C971" s="17"/>
      <c r="D971" s="17"/>
      <c r="E971" s="86"/>
      <c r="F971" s="253"/>
      <c r="G971" s="253"/>
      <c r="H971" s="253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50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</row>
    <row r="972">
      <c r="A972" s="17"/>
      <c r="B972" s="17"/>
      <c r="C972" s="17"/>
      <c r="D972" s="17"/>
      <c r="E972" s="86"/>
      <c r="F972" s="253"/>
      <c r="G972" s="253"/>
      <c r="H972" s="253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50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</row>
    <row r="973">
      <c r="A973" s="17"/>
      <c r="B973" s="17"/>
      <c r="C973" s="17"/>
      <c r="D973" s="17"/>
      <c r="E973" s="86"/>
      <c r="F973" s="253"/>
      <c r="G973" s="253"/>
      <c r="H973" s="253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50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</row>
    <row r="974">
      <c r="A974" s="17"/>
      <c r="B974" s="17"/>
      <c r="C974" s="17"/>
      <c r="D974" s="17"/>
      <c r="E974" s="86"/>
      <c r="F974" s="253"/>
      <c r="G974" s="253"/>
      <c r="H974" s="253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50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</row>
    <row r="975">
      <c r="A975" s="17"/>
      <c r="B975" s="17"/>
      <c r="C975" s="17"/>
      <c r="D975" s="17"/>
      <c r="E975" s="86"/>
      <c r="F975" s="253"/>
      <c r="G975" s="253"/>
      <c r="H975" s="253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50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</row>
    <row r="976">
      <c r="A976" s="17"/>
      <c r="B976" s="17"/>
      <c r="C976" s="17"/>
      <c r="D976" s="17"/>
      <c r="E976" s="86"/>
      <c r="F976" s="253"/>
      <c r="G976" s="253"/>
      <c r="H976" s="253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50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</row>
    <row r="977">
      <c r="A977" s="17"/>
      <c r="B977" s="17"/>
      <c r="C977" s="17"/>
      <c r="D977" s="17"/>
      <c r="E977" s="86"/>
      <c r="F977" s="253"/>
      <c r="G977" s="253"/>
      <c r="H977" s="253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50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</row>
    <row r="978">
      <c r="A978" s="17"/>
      <c r="B978" s="17"/>
      <c r="C978" s="17"/>
      <c r="D978" s="17"/>
      <c r="E978" s="86"/>
      <c r="F978" s="253"/>
      <c r="G978" s="253"/>
      <c r="H978" s="253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50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</row>
    <row r="979">
      <c r="A979" s="17"/>
      <c r="B979" s="17"/>
      <c r="C979" s="17"/>
      <c r="D979" s="17"/>
      <c r="E979" s="86"/>
      <c r="F979" s="253"/>
      <c r="G979" s="253"/>
      <c r="H979" s="253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50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</row>
    <row r="980">
      <c r="A980" s="17"/>
      <c r="B980" s="17"/>
      <c r="C980" s="17"/>
      <c r="D980" s="17"/>
      <c r="E980" s="86"/>
      <c r="F980" s="253"/>
      <c r="G980" s="253"/>
      <c r="H980" s="253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50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</row>
    <row r="981">
      <c r="A981" s="17"/>
      <c r="B981" s="17"/>
      <c r="C981" s="17"/>
      <c r="D981" s="17"/>
      <c r="E981" s="86"/>
      <c r="F981" s="253"/>
      <c r="G981" s="253"/>
      <c r="H981" s="253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50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</row>
    <row r="982">
      <c r="A982" s="17"/>
      <c r="B982" s="17"/>
      <c r="C982" s="17"/>
      <c r="D982" s="17"/>
      <c r="E982" s="86"/>
      <c r="F982" s="253"/>
      <c r="G982" s="253"/>
      <c r="H982" s="253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50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</row>
    <row r="983">
      <c r="A983" s="17"/>
      <c r="B983" s="17"/>
      <c r="C983" s="17"/>
      <c r="D983" s="17"/>
      <c r="E983" s="86"/>
      <c r="F983" s="253"/>
      <c r="G983" s="253"/>
      <c r="H983" s="253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50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</row>
    <row r="984">
      <c r="A984" s="17"/>
      <c r="B984" s="17"/>
      <c r="C984" s="17"/>
      <c r="D984" s="17"/>
      <c r="E984" s="86"/>
      <c r="F984" s="253"/>
      <c r="G984" s="253"/>
      <c r="H984" s="253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50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</row>
    <row r="985">
      <c r="A985" s="17"/>
      <c r="B985" s="17"/>
      <c r="C985" s="17"/>
      <c r="D985" s="17"/>
      <c r="E985" s="86"/>
      <c r="F985" s="253"/>
      <c r="G985" s="253"/>
      <c r="H985" s="253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50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</row>
    <row r="986">
      <c r="A986" s="17"/>
      <c r="B986" s="17"/>
      <c r="C986" s="17"/>
      <c r="D986" s="17"/>
      <c r="E986" s="86"/>
      <c r="F986" s="253"/>
      <c r="G986" s="253"/>
      <c r="H986" s="253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50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</row>
    <row r="987">
      <c r="A987" s="17"/>
      <c r="B987" s="17"/>
      <c r="C987" s="17"/>
      <c r="D987" s="17"/>
      <c r="E987" s="86"/>
      <c r="F987" s="253"/>
      <c r="G987" s="253"/>
      <c r="H987" s="253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50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</row>
    <row r="988">
      <c r="A988" s="17"/>
      <c r="B988" s="17"/>
      <c r="C988" s="17"/>
      <c r="D988" s="17"/>
      <c r="E988" s="86"/>
      <c r="F988" s="253"/>
      <c r="G988" s="253"/>
      <c r="H988" s="253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50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</row>
    <row r="989">
      <c r="A989" s="17"/>
      <c r="B989" s="17"/>
      <c r="C989" s="17"/>
      <c r="D989" s="17"/>
      <c r="E989" s="86"/>
      <c r="F989" s="253"/>
      <c r="G989" s="253"/>
      <c r="H989" s="253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50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</row>
    <row r="990">
      <c r="A990" s="17"/>
      <c r="B990" s="17"/>
      <c r="C990" s="17"/>
      <c r="D990" s="17"/>
      <c r="E990" s="86"/>
      <c r="F990" s="253"/>
      <c r="G990" s="253"/>
      <c r="H990" s="253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50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</row>
    <row r="991">
      <c r="A991" s="17"/>
      <c r="B991" s="17"/>
      <c r="C991" s="17"/>
      <c r="D991" s="17"/>
      <c r="E991" s="86"/>
      <c r="F991" s="253"/>
      <c r="G991" s="253"/>
      <c r="H991" s="253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50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</row>
    <row r="992">
      <c r="A992" s="17"/>
      <c r="B992" s="17"/>
      <c r="C992" s="17"/>
      <c r="D992" s="17"/>
      <c r="E992" s="86"/>
      <c r="F992" s="253"/>
      <c r="G992" s="253"/>
      <c r="H992" s="253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50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</row>
    <row r="993">
      <c r="A993" s="17"/>
      <c r="B993" s="17"/>
      <c r="C993" s="17"/>
      <c r="D993" s="17"/>
      <c r="E993" s="86"/>
      <c r="F993" s="253"/>
      <c r="G993" s="253"/>
      <c r="H993" s="253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50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</row>
    <row r="994">
      <c r="A994" s="17"/>
      <c r="B994" s="17"/>
      <c r="C994" s="17"/>
      <c r="D994" s="17"/>
      <c r="E994" s="86"/>
      <c r="F994" s="253"/>
      <c r="G994" s="253"/>
      <c r="H994" s="253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50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</row>
    <row r="995">
      <c r="A995" s="17"/>
      <c r="B995" s="17"/>
      <c r="C995" s="17"/>
      <c r="D995" s="17"/>
      <c r="E995" s="86"/>
      <c r="F995" s="253"/>
      <c r="G995" s="253"/>
      <c r="H995" s="253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50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</row>
    <row r="996">
      <c r="A996" s="17"/>
      <c r="B996" s="17"/>
      <c r="C996" s="17"/>
      <c r="D996" s="17"/>
      <c r="E996" s="86"/>
      <c r="F996" s="253"/>
      <c r="G996" s="253"/>
      <c r="H996" s="253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50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</row>
    <row r="997">
      <c r="A997" s="17"/>
      <c r="B997" s="17"/>
      <c r="C997" s="17"/>
      <c r="D997" s="17"/>
      <c r="E997" s="86"/>
      <c r="F997" s="253"/>
      <c r="G997" s="253"/>
      <c r="H997" s="253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50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</row>
    <row r="998">
      <c r="A998" s="17"/>
      <c r="B998" s="17"/>
      <c r="C998" s="17"/>
      <c r="D998" s="17"/>
      <c r="E998" s="86"/>
      <c r="F998" s="253"/>
      <c r="G998" s="253"/>
      <c r="H998" s="253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50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</row>
    <row r="999">
      <c r="A999" s="17"/>
      <c r="B999" s="17"/>
      <c r="C999" s="17"/>
      <c r="D999" s="17"/>
      <c r="E999" s="86"/>
      <c r="F999" s="253"/>
      <c r="G999" s="253"/>
      <c r="H999" s="253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50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</row>
    <row r="1000">
      <c r="A1000" s="17"/>
      <c r="B1000" s="17"/>
      <c r="C1000" s="17"/>
      <c r="D1000" s="17"/>
      <c r="E1000" s="86"/>
      <c r="F1000" s="253"/>
      <c r="G1000" s="253"/>
      <c r="H1000" s="253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50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</row>
    <row r="1001">
      <c r="A1001" s="17"/>
      <c r="B1001" s="17"/>
      <c r="C1001" s="17"/>
      <c r="D1001" s="17"/>
      <c r="E1001" s="86"/>
      <c r="F1001" s="253"/>
      <c r="G1001" s="253"/>
      <c r="H1001" s="253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50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</row>
    <row r="1002">
      <c r="A1002" s="17"/>
      <c r="B1002" s="17"/>
      <c r="C1002" s="17"/>
      <c r="D1002" s="17"/>
      <c r="E1002" s="86"/>
      <c r="F1002" s="253"/>
      <c r="G1002" s="253"/>
      <c r="H1002" s="253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50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</row>
    <row r="1003">
      <c r="A1003" s="17"/>
      <c r="B1003" s="17"/>
      <c r="C1003" s="17"/>
      <c r="D1003" s="17"/>
      <c r="E1003" s="86"/>
      <c r="F1003" s="253"/>
      <c r="G1003" s="253"/>
      <c r="H1003" s="253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50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</row>
    <row r="1004">
      <c r="A1004" s="17"/>
      <c r="B1004" s="17"/>
      <c r="C1004" s="17"/>
      <c r="D1004" s="17"/>
      <c r="E1004" s="86"/>
      <c r="F1004" s="253"/>
      <c r="G1004" s="253"/>
      <c r="H1004" s="253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50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</row>
    <row r="1005">
      <c r="A1005" s="17"/>
      <c r="B1005" s="17"/>
      <c r="C1005" s="17"/>
      <c r="D1005" s="17"/>
      <c r="E1005" s="86"/>
      <c r="F1005" s="253"/>
      <c r="G1005" s="253"/>
      <c r="H1005" s="253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50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</row>
    <row r="1006">
      <c r="A1006" s="17"/>
      <c r="B1006" s="17"/>
      <c r="C1006" s="17"/>
      <c r="D1006" s="17"/>
      <c r="E1006" s="86"/>
      <c r="F1006" s="253"/>
      <c r="G1006" s="253"/>
      <c r="H1006" s="253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50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</row>
    <row r="1007">
      <c r="A1007" s="17"/>
      <c r="B1007" s="17"/>
      <c r="C1007" s="17"/>
      <c r="D1007" s="17"/>
      <c r="E1007" s="86"/>
      <c r="F1007" s="253"/>
      <c r="G1007" s="253"/>
      <c r="H1007" s="253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50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</row>
    <row r="1008">
      <c r="A1008" s="17"/>
      <c r="B1008" s="17"/>
      <c r="C1008" s="17"/>
      <c r="D1008" s="17"/>
      <c r="E1008" s="86"/>
      <c r="F1008" s="253"/>
      <c r="G1008" s="253"/>
      <c r="H1008" s="253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50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</row>
    <row r="1009">
      <c r="A1009" s="17"/>
      <c r="B1009" s="17"/>
      <c r="C1009" s="17"/>
      <c r="D1009" s="17"/>
      <c r="E1009" s="86"/>
      <c r="F1009" s="253"/>
      <c r="G1009" s="253"/>
      <c r="H1009" s="253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50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</row>
    <row r="1010">
      <c r="A1010" s="17"/>
      <c r="B1010" s="17"/>
      <c r="C1010" s="17"/>
      <c r="D1010" s="17"/>
      <c r="E1010" s="86"/>
      <c r="F1010" s="253"/>
      <c r="G1010" s="253"/>
      <c r="H1010" s="253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50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</row>
    <row r="1011">
      <c r="A1011" s="17"/>
      <c r="B1011" s="17"/>
      <c r="C1011" s="17"/>
      <c r="D1011" s="17"/>
      <c r="E1011" s="86"/>
      <c r="F1011" s="253"/>
      <c r="G1011" s="253"/>
      <c r="H1011" s="253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50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</row>
    <row r="1012">
      <c r="A1012" s="17"/>
      <c r="B1012" s="17"/>
      <c r="C1012" s="17"/>
      <c r="D1012" s="17"/>
      <c r="E1012" s="86"/>
      <c r="F1012" s="253"/>
      <c r="G1012" s="253"/>
      <c r="H1012" s="253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50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</row>
    <row r="1013">
      <c r="A1013" s="17"/>
      <c r="B1013" s="17"/>
      <c r="C1013" s="17"/>
      <c r="D1013" s="17"/>
      <c r="E1013" s="86"/>
      <c r="F1013" s="253"/>
      <c r="G1013" s="253"/>
      <c r="H1013" s="253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50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</row>
    <row r="1014">
      <c r="A1014" s="17"/>
      <c r="B1014" s="17"/>
      <c r="C1014" s="17"/>
      <c r="D1014" s="17"/>
      <c r="E1014" s="86"/>
      <c r="F1014" s="253"/>
      <c r="G1014" s="253"/>
      <c r="H1014" s="253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50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</row>
    <row r="1015">
      <c r="A1015" s="17"/>
      <c r="B1015" s="17"/>
      <c r="C1015" s="17"/>
      <c r="D1015" s="17"/>
      <c r="E1015" s="86"/>
      <c r="F1015" s="253"/>
      <c r="G1015" s="253"/>
      <c r="H1015" s="253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50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</row>
    <row r="1016">
      <c r="A1016" s="17"/>
      <c r="B1016" s="17"/>
      <c r="C1016" s="17"/>
      <c r="D1016" s="17"/>
      <c r="E1016" s="86"/>
      <c r="F1016" s="253"/>
      <c r="G1016" s="253"/>
      <c r="H1016" s="253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50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</row>
    <row r="1017">
      <c r="A1017" s="17"/>
      <c r="B1017" s="17"/>
      <c r="C1017" s="17"/>
      <c r="D1017" s="17"/>
      <c r="E1017" s="86"/>
      <c r="F1017" s="253"/>
      <c r="G1017" s="253"/>
      <c r="H1017" s="253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50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</row>
    <row r="1018">
      <c r="A1018" s="17"/>
      <c r="B1018" s="17"/>
      <c r="C1018" s="17"/>
      <c r="D1018" s="17"/>
      <c r="E1018" s="86"/>
      <c r="F1018" s="253"/>
      <c r="G1018" s="253"/>
      <c r="H1018" s="253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50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</row>
    <row r="1019">
      <c r="A1019" s="17"/>
      <c r="B1019" s="17"/>
      <c r="C1019" s="17"/>
      <c r="D1019" s="17"/>
      <c r="E1019" s="86"/>
      <c r="F1019" s="253"/>
      <c r="G1019" s="253"/>
      <c r="H1019" s="253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50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</row>
    <row r="1020">
      <c r="A1020" s="17"/>
      <c r="B1020" s="17"/>
      <c r="C1020" s="17"/>
      <c r="D1020" s="17"/>
      <c r="E1020" s="86"/>
      <c r="F1020" s="253"/>
      <c r="G1020" s="253"/>
      <c r="H1020" s="253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50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</row>
    <row r="1021">
      <c r="A1021" s="17"/>
      <c r="B1021" s="17"/>
      <c r="C1021" s="17"/>
      <c r="D1021" s="17"/>
      <c r="E1021" s="86"/>
      <c r="F1021" s="253"/>
      <c r="G1021" s="253"/>
      <c r="H1021" s="253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50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</row>
    <row r="1022">
      <c r="A1022" s="17"/>
      <c r="B1022" s="17"/>
      <c r="C1022" s="17"/>
      <c r="D1022" s="17"/>
      <c r="E1022" s="86"/>
      <c r="F1022" s="253"/>
      <c r="G1022" s="253"/>
      <c r="H1022" s="253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50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</row>
    <row r="1023">
      <c r="A1023" s="17"/>
      <c r="B1023" s="17"/>
      <c r="C1023" s="17"/>
      <c r="D1023" s="17"/>
      <c r="E1023" s="86"/>
      <c r="F1023" s="253"/>
      <c r="G1023" s="253"/>
      <c r="H1023" s="253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50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</row>
    <row r="1024">
      <c r="A1024" s="17"/>
      <c r="B1024" s="17"/>
      <c r="C1024" s="17"/>
      <c r="D1024" s="17"/>
      <c r="E1024" s="86"/>
      <c r="F1024" s="253"/>
      <c r="G1024" s="253"/>
      <c r="H1024" s="253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50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</row>
    <row r="1025">
      <c r="A1025" s="17"/>
      <c r="B1025" s="17"/>
      <c r="C1025" s="17"/>
      <c r="D1025" s="17"/>
      <c r="E1025" s="86"/>
      <c r="F1025" s="253"/>
      <c r="G1025" s="253"/>
      <c r="H1025" s="253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50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</row>
    <row r="1026">
      <c r="A1026" s="17"/>
      <c r="B1026" s="17"/>
      <c r="C1026" s="17"/>
      <c r="D1026" s="17"/>
      <c r="E1026" s="86"/>
      <c r="F1026" s="253"/>
      <c r="G1026" s="253"/>
      <c r="H1026" s="253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50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</row>
    <row r="1027">
      <c r="A1027" s="17"/>
      <c r="B1027" s="17"/>
      <c r="C1027" s="17"/>
      <c r="D1027" s="17"/>
      <c r="E1027" s="86"/>
      <c r="F1027" s="253"/>
      <c r="G1027" s="253"/>
      <c r="H1027" s="253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50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</row>
    <row r="1028">
      <c r="A1028" s="17"/>
      <c r="B1028" s="17"/>
      <c r="C1028" s="17"/>
      <c r="D1028" s="17"/>
      <c r="E1028" s="86"/>
      <c r="F1028" s="253"/>
      <c r="G1028" s="253"/>
      <c r="H1028" s="253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50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</row>
    <row r="1029">
      <c r="A1029" s="17"/>
      <c r="B1029" s="17"/>
      <c r="C1029" s="17"/>
      <c r="D1029" s="17"/>
      <c r="E1029" s="86"/>
      <c r="F1029" s="253"/>
      <c r="G1029" s="253"/>
      <c r="H1029" s="253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50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</row>
    <row r="1030">
      <c r="A1030" s="17"/>
      <c r="B1030" s="17"/>
      <c r="C1030" s="17"/>
      <c r="D1030" s="17"/>
      <c r="E1030" s="86"/>
      <c r="F1030" s="253"/>
      <c r="G1030" s="253"/>
      <c r="H1030" s="253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50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</row>
    <row r="1031">
      <c r="A1031" s="17"/>
      <c r="B1031" s="17"/>
      <c r="C1031" s="17"/>
      <c r="D1031" s="17"/>
      <c r="E1031" s="86"/>
      <c r="F1031" s="253"/>
      <c r="G1031" s="253"/>
      <c r="H1031" s="253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50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</row>
    <row r="1032">
      <c r="A1032" s="17"/>
      <c r="B1032" s="17"/>
      <c r="C1032" s="17"/>
      <c r="D1032" s="17"/>
      <c r="E1032" s="86"/>
      <c r="F1032" s="253"/>
      <c r="G1032" s="253"/>
      <c r="H1032" s="253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50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</row>
    <row r="1033">
      <c r="A1033" s="17"/>
      <c r="B1033" s="17"/>
      <c r="C1033" s="17"/>
      <c r="D1033" s="17"/>
      <c r="E1033" s="86"/>
      <c r="F1033" s="253"/>
      <c r="G1033" s="253"/>
      <c r="H1033" s="253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50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</row>
    <row r="1034">
      <c r="A1034" s="17"/>
      <c r="B1034" s="17"/>
      <c r="C1034" s="17"/>
      <c r="D1034" s="17"/>
      <c r="E1034" s="86"/>
      <c r="F1034" s="253"/>
      <c r="G1034" s="253"/>
      <c r="H1034" s="253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50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</row>
    <row r="1035">
      <c r="A1035" s="17"/>
      <c r="B1035" s="17"/>
      <c r="C1035" s="17"/>
      <c r="D1035" s="17"/>
      <c r="E1035" s="86"/>
      <c r="F1035" s="253"/>
      <c r="G1035" s="253"/>
      <c r="H1035" s="253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50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</row>
    <row r="1036">
      <c r="A1036" s="17"/>
      <c r="B1036" s="17"/>
      <c r="C1036" s="17"/>
      <c r="D1036" s="17"/>
      <c r="E1036" s="86"/>
      <c r="F1036" s="253"/>
      <c r="G1036" s="253"/>
      <c r="H1036" s="253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50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</row>
    <row r="1037">
      <c r="A1037" s="17"/>
      <c r="B1037" s="17"/>
      <c r="C1037" s="17"/>
      <c r="D1037" s="17"/>
      <c r="E1037" s="86"/>
      <c r="F1037" s="253"/>
      <c r="G1037" s="253"/>
      <c r="H1037" s="253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50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</row>
    <row r="1038">
      <c r="A1038" s="17"/>
      <c r="B1038" s="17"/>
      <c r="C1038" s="17"/>
      <c r="D1038" s="17"/>
      <c r="E1038" s="86"/>
      <c r="F1038" s="253"/>
      <c r="G1038" s="253"/>
      <c r="H1038" s="253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50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</row>
    <row r="1039">
      <c r="A1039" s="17"/>
      <c r="B1039" s="17"/>
      <c r="C1039" s="17"/>
      <c r="D1039" s="17"/>
      <c r="E1039" s="86"/>
      <c r="F1039" s="253"/>
      <c r="G1039" s="253"/>
      <c r="H1039" s="253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50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</row>
    <row r="1040">
      <c r="A1040" s="17"/>
      <c r="B1040" s="17"/>
      <c r="C1040" s="17"/>
      <c r="D1040" s="17"/>
      <c r="E1040" s="86"/>
      <c r="F1040" s="253"/>
      <c r="G1040" s="253"/>
      <c r="H1040" s="253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50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</row>
    <row r="1041">
      <c r="A1041" s="17"/>
      <c r="B1041" s="17"/>
      <c r="C1041" s="17"/>
      <c r="D1041" s="17"/>
      <c r="E1041" s="86"/>
      <c r="F1041" s="253"/>
      <c r="G1041" s="253"/>
      <c r="H1041" s="253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50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</row>
    <row r="1042">
      <c r="A1042" s="17"/>
      <c r="B1042" s="17"/>
      <c r="C1042" s="17"/>
      <c r="D1042" s="17"/>
      <c r="E1042" s="86"/>
      <c r="F1042" s="253"/>
      <c r="G1042" s="253"/>
      <c r="H1042" s="253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50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</row>
    <row r="1043">
      <c r="A1043" s="17"/>
      <c r="B1043" s="17"/>
      <c r="C1043" s="17"/>
      <c r="D1043" s="17"/>
      <c r="E1043" s="86"/>
      <c r="F1043" s="253"/>
      <c r="G1043" s="253"/>
      <c r="H1043" s="253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50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</row>
    <row r="1044">
      <c r="A1044" s="17"/>
      <c r="B1044" s="17"/>
      <c r="C1044" s="17"/>
      <c r="D1044" s="17"/>
      <c r="E1044" s="86"/>
      <c r="F1044" s="253"/>
      <c r="G1044" s="253"/>
      <c r="H1044" s="253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50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</row>
    <row r="1045">
      <c r="A1045" s="17"/>
      <c r="B1045" s="17"/>
      <c r="C1045" s="17"/>
      <c r="D1045" s="17"/>
      <c r="E1045" s="86"/>
      <c r="F1045" s="253"/>
      <c r="G1045" s="253"/>
      <c r="H1045" s="253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50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</row>
    <row r="1046">
      <c r="A1046" s="17"/>
      <c r="B1046" s="17"/>
      <c r="C1046" s="17"/>
      <c r="D1046" s="17"/>
      <c r="E1046" s="86"/>
      <c r="F1046" s="253"/>
      <c r="G1046" s="253"/>
      <c r="H1046" s="253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50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</row>
    <row r="1047">
      <c r="A1047" s="17"/>
      <c r="B1047" s="17"/>
      <c r="C1047" s="17"/>
      <c r="D1047" s="17"/>
      <c r="E1047" s="86"/>
      <c r="F1047" s="253"/>
      <c r="G1047" s="253"/>
      <c r="H1047" s="253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50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</row>
    <row r="1048">
      <c r="A1048" s="17"/>
      <c r="B1048" s="17"/>
      <c r="C1048" s="17"/>
      <c r="D1048" s="17"/>
      <c r="E1048" s="86"/>
      <c r="F1048" s="253"/>
      <c r="G1048" s="253"/>
      <c r="H1048" s="253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50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</row>
    <row r="1049">
      <c r="A1049" s="17"/>
      <c r="B1049" s="17"/>
      <c r="C1049" s="17"/>
      <c r="D1049" s="17"/>
      <c r="E1049" s="86"/>
      <c r="F1049" s="253"/>
      <c r="G1049" s="253"/>
      <c r="H1049" s="253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50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</row>
    <row r="1050">
      <c r="A1050" s="17"/>
      <c r="B1050" s="17"/>
      <c r="C1050" s="17"/>
      <c r="D1050" s="17"/>
      <c r="E1050" s="86"/>
      <c r="F1050" s="253"/>
      <c r="G1050" s="253"/>
      <c r="H1050" s="253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50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</row>
    <row r="1051">
      <c r="A1051" s="17"/>
      <c r="B1051" s="17"/>
      <c r="C1051" s="17"/>
      <c r="D1051" s="17"/>
      <c r="E1051" s="86"/>
      <c r="F1051" s="253"/>
      <c r="G1051" s="253"/>
      <c r="H1051" s="253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50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</row>
    <row r="1052">
      <c r="A1052" s="17"/>
      <c r="B1052" s="17"/>
      <c r="C1052" s="17"/>
      <c r="D1052" s="17"/>
      <c r="E1052" s="86"/>
      <c r="F1052" s="253"/>
      <c r="G1052" s="253"/>
      <c r="H1052" s="253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50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</row>
    <row r="1053">
      <c r="A1053" s="17"/>
      <c r="B1053" s="17"/>
      <c r="C1053" s="17"/>
      <c r="D1053" s="17"/>
      <c r="E1053" s="86"/>
      <c r="F1053" s="253"/>
      <c r="G1053" s="253"/>
      <c r="H1053" s="253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50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</row>
    <row r="1054">
      <c r="A1054" s="17"/>
      <c r="B1054" s="17"/>
      <c r="C1054" s="17"/>
      <c r="D1054" s="17"/>
      <c r="E1054" s="86"/>
      <c r="F1054" s="253"/>
      <c r="G1054" s="253"/>
      <c r="H1054" s="253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50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</row>
    <row r="1055">
      <c r="A1055" s="17"/>
      <c r="B1055" s="17"/>
      <c r="C1055" s="17"/>
      <c r="D1055" s="17"/>
      <c r="E1055" s="86"/>
      <c r="F1055" s="253"/>
      <c r="G1055" s="253"/>
      <c r="H1055" s="253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50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</row>
    <row r="1056">
      <c r="A1056" s="17"/>
      <c r="B1056" s="17"/>
      <c r="C1056" s="17"/>
      <c r="D1056" s="17"/>
      <c r="E1056" s="86"/>
      <c r="F1056" s="253"/>
      <c r="G1056" s="253"/>
      <c r="H1056" s="253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50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</row>
    <row r="1057">
      <c r="A1057" s="17"/>
      <c r="B1057" s="17"/>
      <c r="C1057" s="17"/>
      <c r="D1057" s="17"/>
      <c r="E1057" s="86"/>
      <c r="F1057" s="253"/>
      <c r="G1057" s="253"/>
      <c r="H1057" s="253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50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</row>
    <row r="1058">
      <c r="A1058" s="17"/>
      <c r="B1058" s="17"/>
      <c r="C1058" s="17"/>
      <c r="D1058" s="17"/>
      <c r="E1058" s="86"/>
      <c r="F1058" s="253"/>
      <c r="G1058" s="253"/>
      <c r="H1058" s="253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50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</row>
    <row r="1059">
      <c r="A1059" s="17"/>
      <c r="B1059" s="17"/>
      <c r="C1059" s="17"/>
      <c r="D1059" s="17"/>
      <c r="E1059" s="86"/>
      <c r="F1059" s="253"/>
      <c r="G1059" s="253"/>
      <c r="H1059" s="253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50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</row>
    <row r="1060">
      <c r="A1060" s="17"/>
      <c r="B1060" s="17"/>
      <c r="C1060" s="17"/>
      <c r="D1060" s="17"/>
      <c r="E1060" s="86"/>
      <c r="F1060" s="253"/>
      <c r="G1060" s="253"/>
      <c r="H1060" s="253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50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</row>
    <row r="1061">
      <c r="A1061" s="17"/>
      <c r="B1061" s="17"/>
      <c r="C1061" s="17"/>
      <c r="D1061" s="17"/>
      <c r="E1061" s="86"/>
      <c r="F1061" s="253"/>
      <c r="G1061" s="253"/>
      <c r="H1061" s="253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50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</row>
    <row r="1062">
      <c r="A1062" s="17"/>
      <c r="B1062" s="17"/>
      <c r="C1062" s="17"/>
      <c r="D1062" s="17"/>
      <c r="E1062" s="86"/>
      <c r="F1062" s="253"/>
      <c r="G1062" s="253"/>
      <c r="H1062" s="253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50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</row>
    <row r="1063">
      <c r="A1063" s="17"/>
      <c r="B1063" s="17"/>
      <c r="C1063" s="17"/>
      <c r="D1063" s="17"/>
      <c r="E1063" s="86"/>
      <c r="F1063" s="253"/>
      <c r="G1063" s="253"/>
      <c r="H1063" s="253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50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</row>
    <row r="1064">
      <c r="A1064" s="17"/>
      <c r="B1064" s="17"/>
      <c r="C1064" s="17"/>
      <c r="D1064" s="17"/>
      <c r="E1064" s="86"/>
      <c r="F1064" s="253"/>
      <c r="G1064" s="253"/>
      <c r="H1064" s="253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50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</row>
    <row r="1065">
      <c r="A1065" s="17"/>
      <c r="B1065" s="17"/>
      <c r="C1065" s="17"/>
      <c r="D1065" s="17"/>
      <c r="E1065" s="86"/>
      <c r="F1065" s="253"/>
      <c r="G1065" s="253"/>
      <c r="H1065" s="253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50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</row>
    <row r="1066">
      <c r="A1066" s="17"/>
      <c r="B1066" s="17"/>
      <c r="C1066" s="17"/>
      <c r="D1066" s="17"/>
      <c r="E1066" s="86"/>
      <c r="F1066" s="253"/>
      <c r="G1066" s="253"/>
      <c r="H1066" s="253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50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</row>
    <row r="1067">
      <c r="A1067" s="17"/>
      <c r="B1067" s="17"/>
      <c r="C1067" s="17"/>
      <c r="D1067" s="17"/>
      <c r="E1067" s="86"/>
      <c r="F1067" s="253"/>
      <c r="G1067" s="253"/>
      <c r="H1067" s="253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50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</row>
    <row r="1068">
      <c r="A1068" s="17"/>
      <c r="B1068" s="17"/>
      <c r="C1068" s="17"/>
      <c r="D1068" s="17"/>
      <c r="E1068" s="86"/>
      <c r="F1068" s="253"/>
      <c r="G1068" s="253"/>
      <c r="H1068" s="253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50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</row>
    <row r="1069">
      <c r="A1069" s="17"/>
      <c r="B1069" s="17"/>
      <c r="C1069" s="17"/>
      <c r="D1069" s="17"/>
      <c r="E1069" s="86"/>
      <c r="F1069" s="253"/>
      <c r="G1069" s="253"/>
      <c r="H1069" s="253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50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</row>
    <row r="1070">
      <c r="A1070" s="17"/>
      <c r="B1070" s="17"/>
      <c r="C1070" s="17"/>
      <c r="D1070" s="17"/>
      <c r="E1070" s="86"/>
      <c r="F1070" s="253"/>
      <c r="G1070" s="253"/>
      <c r="H1070" s="253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50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</row>
    <row r="1071">
      <c r="A1071" s="17"/>
      <c r="B1071" s="17"/>
      <c r="C1071" s="17"/>
      <c r="D1071" s="17"/>
      <c r="E1071" s="86"/>
      <c r="F1071" s="253"/>
      <c r="G1071" s="253"/>
      <c r="H1071" s="253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50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</row>
    <row r="1072">
      <c r="A1072" s="17"/>
      <c r="B1072" s="17"/>
      <c r="C1072" s="17"/>
      <c r="D1072" s="17"/>
      <c r="E1072" s="86"/>
      <c r="F1072" s="253"/>
      <c r="G1072" s="253"/>
      <c r="H1072" s="253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50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</row>
    <row r="1073">
      <c r="A1073" s="17"/>
      <c r="B1073" s="17"/>
      <c r="C1073" s="17"/>
      <c r="D1073" s="17"/>
      <c r="E1073" s="86"/>
      <c r="F1073" s="253"/>
      <c r="G1073" s="253"/>
      <c r="H1073" s="253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50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</row>
    <row r="1074">
      <c r="A1074" s="17"/>
      <c r="B1074" s="17"/>
      <c r="C1074" s="17"/>
      <c r="D1074" s="17"/>
      <c r="E1074" s="86"/>
      <c r="F1074" s="253"/>
      <c r="G1074" s="253"/>
      <c r="H1074" s="253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50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</row>
    <row r="1075">
      <c r="A1075" s="17"/>
      <c r="B1075" s="17"/>
      <c r="C1075" s="17"/>
      <c r="D1075" s="17"/>
      <c r="E1075" s="86"/>
      <c r="F1075" s="253"/>
      <c r="G1075" s="253"/>
      <c r="H1075" s="253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50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</row>
    <row r="1076">
      <c r="A1076" s="17"/>
      <c r="B1076" s="17"/>
      <c r="C1076" s="17"/>
      <c r="D1076" s="17"/>
      <c r="E1076" s="86"/>
      <c r="F1076" s="253"/>
      <c r="G1076" s="253"/>
      <c r="H1076" s="253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50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</row>
    <row r="1077">
      <c r="A1077" s="17"/>
      <c r="B1077" s="17"/>
      <c r="C1077" s="17"/>
      <c r="D1077" s="17"/>
      <c r="E1077" s="86"/>
      <c r="F1077" s="253"/>
      <c r="G1077" s="253"/>
      <c r="H1077" s="253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50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</row>
    <row r="1078">
      <c r="A1078" s="17"/>
      <c r="B1078" s="17"/>
      <c r="C1078" s="17"/>
      <c r="D1078" s="17"/>
      <c r="E1078" s="86"/>
      <c r="F1078" s="253"/>
      <c r="G1078" s="253"/>
      <c r="H1078" s="253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50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</row>
    <row r="1079">
      <c r="A1079" s="17"/>
      <c r="B1079" s="17"/>
      <c r="C1079" s="17"/>
      <c r="D1079" s="17"/>
      <c r="E1079" s="86"/>
      <c r="F1079" s="253"/>
      <c r="G1079" s="253"/>
      <c r="H1079" s="253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50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</row>
    <row r="1080">
      <c r="A1080" s="17"/>
      <c r="B1080" s="17"/>
      <c r="C1080" s="17"/>
      <c r="D1080" s="17"/>
      <c r="E1080" s="86"/>
      <c r="F1080" s="253"/>
      <c r="G1080" s="253"/>
      <c r="H1080" s="253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50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</row>
    <row r="1081">
      <c r="A1081" s="17"/>
      <c r="B1081" s="17"/>
      <c r="C1081" s="17"/>
      <c r="D1081" s="17"/>
      <c r="E1081" s="86"/>
      <c r="F1081" s="253"/>
      <c r="G1081" s="253"/>
      <c r="H1081" s="253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50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</row>
    <row r="1082">
      <c r="A1082" s="17"/>
      <c r="B1082" s="17"/>
      <c r="C1082" s="17"/>
      <c r="D1082" s="17"/>
      <c r="E1082" s="86"/>
      <c r="F1082" s="253"/>
      <c r="G1082" s="253"/>
      <c r="H1082" s="253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50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</row>
    <row r="1083">
      <c r="A1083" s="17"/>
      <c r="B1083" s="17"/>
      <c r="C1083" s="17"/>
      <c r="D1083" s="17"/>
      <c r="E1083" s="86"/>
      <c r="F1083" s="253"/>
      <c r="G1083" s="253"/>
      <c r="H1083" s="253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50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</row>
    <row r="1084">
      <c r="A1084" s="17"/>
      <c r="B1084" s="17"/>
      <c r="C1084" s="17"/>
      <c r="D1084" s="17"/>
      <c r="E1084" s="86"/>
      <c r="F1084" s="253"/>
      <c r="G1084" s="253"/>
      <c r="H1084" s="253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50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</row>
    <row r="1085">
      <c r="A1085" s="17"/>
      <c r="B1085" s="17"/>
      <c r="C1085" s="17"/>
      <c r="D1085" s="17"/>
      <c r="E1085" s="86"/>
      <c r="F1085" s="253"/>
      <c r="G1085" s="253"/>
      <c r="H1085" s="253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50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</row>
    <row r="1086">
      <c r="A1086" s="17"/>
      <c r="B1086" s="17"/>
      <c r="C1086" s="17"/>
      <c r="D1086" s="17"/>
      <c r="E1086" s="86"/>
      <c r="F1086" s="253"/>
      <c r="G1086" s="253"/>
      <c r="H1086" s="253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50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</row>
    <row r="1087">
      <c r="A1087" s="17"/>
      <c r="B1087" s="17"/>
      <c r="C1087" s="17"/>
      <c r="D1087" s="17"/>
      <c r="E1087" s="86"/>
      <c r="F1087" s="253"/>
      <c r="G1087" s="253"/>
      <c r="H1087" s="253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50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</row>
    <row r="1088">
      <c r="A1088" s="17"/>
      <c r="B1088" s="17"/>
      <c r="C1088" s="17"/>
      <c r="D1088" s="17"/>
      <c r="E1088" s="86"/>
      <c r="F1088" s="253"/>
      <c r="G1088" s="253"/>
      <c r="H1088" s="253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50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</row>
    <row r="1089">
      <c r="A1089" s="17"/>
      <c r="B1089" s="17"/>
      <c r="C1089" s="17"/>
      <c r="D1089" s="17"/>
      <c r="E1089" s="86"/>
      <c r="F1089" s="253"/>
      <c r="G1089" s="253"/>
      <c r="H1089" s="253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50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</row>
    <row r="1090">
      <c r="A1090" s="17"/>
      <c r="B1090" s="17"/>
      <c r="C1090" s="17"/>
      <c r="D1090" s="17"/>
      <c r="E1090" s="86"/>
      <c r="F1090" s="253"/>
      <c r="G1090" s="253"/>
      <c r="H1090" s="253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50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</row>
    <row r="1091">
      <c r="A1091" s="17"/>
      <c r="B1091" s="17"/>
      <c r="C1091" s="17"/>
      <c r="D1091" s="17"/>
      <c r="E1091" s="86"/>
      <c r="F1091" s="253"/>
      <c r="G1091" s="253"/>
      <c r="H1091" s="253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50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</row>
    <row r="1092">
      <c r="A1092" s="17"/>
      <c r="B1092" s="17"/>
      <c r="C1092" s="17"/>
      <c r="D1092" s="17"/>
      <c r="E1092" s="86"/>
      <c r="F1092" s="253"/>
      <c r="G1092" s="253"/>
      <c r="H1092" s="253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50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</row>
    <row r="1093">
      <c r="A1093" s="17"/>
      <c r="B1093" s="17"/>
      <c r="C1093" s="17"/>
      <c r="D1093" s="17"/>
      <c r="E1093" s="86"/>
      <c r="F1093" s="253"/>
      <c r="G1093" s="253"/>
      <c r="H1093" s="253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50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</row>
    <row r="1094">
      <c r="A1094" s="17"/>
      <c r="B1094" s="17"/>
      <c r="C1094" s="17"/>
      <c r="D1094" s="17"/>
      <c r="E1094" s="86"/>
      <c r="F1094" s="253"/>
      <c r="G1094" s="253"/>
      <c r="H1094" s="253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50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</row>
    <row r="1095">
      <c r="A1095" s="17"/>
      <c r="B1095" s="17"/>
      <c r="C1095" s="17"/>
      <c r="D1095" s="17"/>
      <c r="E1095" s="86"/>
      <c r="F1095" s="253"/>
      <c r="G1095" s="253"/>
      <c r="H1095" s="253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50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</row>
    <row r="1096">
      <c r="A1096" s="17"/>
      <c r="B1096" s="17"/>
      <c r="C1096" s="17"/>
      <c r="D1096" s="17"/>
      <c r="E1096" s="86"/>
      <c r="F1096" s="253"/>
      <c r="G1096" s="253"/>
      <c r="H1096" s="253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50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</row>
    <row r="1097">
      <c r="A1097" s="17"/>
      <c r="B1097" s="17"/>
      <c r="C1097" s="17"/>
      <c r="D1097" s="17"/>
      <c r="E1097" s="86"/>
      <c r="F1097" s="253"/>
      <c r="G1097" s="253"/>
      <c r="H1097" s="253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50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</row>
    <row r="1098">
      <c r="A1098" s="17"/>
      <c r="B1098" s="17"/>
      <c r="C1098" s="17"/>
      <c r="D1098" s="17"/>
      <c r="E1098" s="86"/>
      <c r="F1098" s="253"/>
      <c r="G1098" s="253"/>
      <c r="H1098" s="253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50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</row>
    <row r="1099">
      <c r="A1099" s="17"/>
      <c r="B1099" s="17"/>
      <c r="C1099" s="17"/>
      <c r="D1099" s="17"/>
      <c r="E1099" s="86"/>
      <c r="F1099" s="253"/>
      <c r="G1099" s="253"/>
      <c r="H1099" s="253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50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</row>
    <row r="1100">
      <c r="A1100" s="17"/>
      <c r="B1100" s="17"/>
      <c r="C1100" s="17"/>
      <c r="D1100" s="17"/>
      <c r="E1100" s="86"/>
      <c r="F1100" s="253"/>
      <c r="G1100" s="253"/>
      <c r="H1100" s="253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50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</row>
    <row r="1101">
      <c r="A1101" s="17"/>
      <c r="B1101" s="17"/>
      <c r="C1101" s="17"/>
      <c r="D1101" s="17"/>
      <c r="E1101" s="86"/>
      <c r="F1101" s="253"/>
      <c r="G1101" s="253"/>
      <c r="H1101" s="253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50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</row>
    <row r="1102">
      <c r="A1102" s="17"/>
      <c r="B1102" s="17"/>
      <c r="C1102" s="17"/>
      <c r="D1102" s="17"/>
      <c r="E1102" s="86"/>
      <c r="F1102" s="253"/>
      <c r="G1102" s="253"/>
      <c r="H1102" s="253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50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</row>
    <row r="1103">
      <c r="A1103" s="17"/>
      <c r="B1103" s="17"/>
      <c r="C1103" s="17"/>
      <c r="D1103" s="17"/>
      <c r="E1103" s="86"/>
      <c r="F1103" s="253"/>
      <c r="G1103" s="253"/>
      <c r="H1103" s="253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50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</row>
    <row r="1104">
      <c r="A1104" s="17"/>
      <c r="B1104" s="17"/>
      <c r="C1104" s="17"/>
      <c r="D1104" s="17"/>
      <c r="E1104" s="86"/>
      <c r="F1104" s="253"/>
      <c r="G1104" s="253"/>
      <c r="H1104" s="253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50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</row>
    <row r="1105">
      <c r="A1105" s="17"/>
      <c r="B1105" s="17"/>
      <c r="C1105" s="17"/>
      <c r="D1105" s="17"/>
      <c r="E1105" s="86"/>
      <c r="F1105" s="253"/>
      <c r="G1105" s="253"/>
      <c r="H1105" s="253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50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</row>
    <row r="1106">
      <c r="A1106" s="17"/>
      <c r="B1106" s="17"/>
      <c r="C1106" s="17"/>
      <c r="D1106" s="17"/>
      <c r="E1106" s="86"/>
      <c r="F1106" s="253"/>
      <c r="G1106" s="253"/>
      <c r="H1106" s="253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50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</row>
    <row r="1107">
      <c r="A1107" s="17"/>
      <c r="B1107" s="17"/>
      <c r="C1107" s="17"/>
      <c r="D1107" s="17"/>
      <c r="E1107" s="86"/>
      <c r="F1107" s="253"/>
      <c r="G1107" s="253"/>
      <c r="H1107" s="253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50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</row>
    <row r="1108">
      <c r="A1108" s="17"/>
      <c r="B1108" s="17"/>
      <c r="C1108" s="17"/>
      <c r="D1108" s="17"/>
      <c r="E1108" s="86"/>
      <c r="F1108" s="253"/>
      <c r="G1108" s="253"/>
      <c r="H1108" s="253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50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</row>
    <row r="1109">
      <c r="A1109" s="17"/>
      <c r="B1109" s="17"/>
      <c r="C1109" s="17"/>
      <c r="D1109" s="17"/>
      <c r="E1109" s="86"/>
      <c r="F1109" s="253"/>
      <c r="G1109" s="253"/>
      <c r="H1109" s="253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50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</row>
    <row r="1110">
      <c r="A1110" s="17"/>
      <c r="B1110" s="17"/>
      <c r="C1110" s="17"/>
      <c r="D1110" s="17"/>
      <c r="E1110" s="86"/>
      <c r="F1110" s="253"/>
      <c r="G1110" s="253"/>
      <c r="H1110" s="253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50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</row>
    <row r="1111">
      <c r="A1111" s="17"/>
      <c r="B1111" s="17"/>
      <c r="C1111" s="17"/>
      <c r="D1111" s="17"/>
      <c r="E1111" s="86"/>
      <c r="F1111" s="253"/>
      <c r="G1111" s="253"/>
      <c r="H1111" s="253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50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</row>
    <row r="1112">
      <c r="A1112" s="17"/>
      <c r="B1112" s="17"/>
      <c r="C1112" s="17"/>
      <c r="D1112" s="17"/>
      <c r="E1112" s="86"/>
      <c r="F1112" s="253"/>
      <c r="G1112" s="253"/>
      <c r="H1112" s="253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50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</row>
    <row r="1113">
      <c r="A1113" s="17"/>
      <c r="B1113" s="17"/>
      <c r="C1113" s="17"/>
      <c r="D1113" s="17"/>
      <c r="E1113" s="86"/>
      <c r="F1113" s="253"/>
      <c r="G1113" s="253"/>
      <c r="H1113" s="253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50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</row>
    <row r="1114">
      <c r="A1114" s="17"/>
      <c r="B1114" s="17"/>
      <c r="C1114" s="17"/>
      <c r="D1114" s="17"/>
      <c r="E1114" s="86"/>
      <c r="F1114" s="253"/>
      <c r="G1114" s="253"/>
      <c r="H1114" s="253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50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</row>
    <row r="1115">
      <c r="A1115" s="17"/>
      <c r="B1115" s="17"/>
      <c r="C1115" s="17"/>
      <c r="D1115" s="17"/>
      <c r="E1115" s="86"/>
      <c r="F1115" s="253"/>
      <c r="G1115" s="253"/>
      <c r="H1115" s="253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50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</row>
    <row r="1116">
      <c r="A1116" s="17"/>
      <c r="B1116" s="17"/>
      <c r="C1116" s="17"/>
      <c r="D1116" s="17"/>
      <c r="E1116" s="86"/>
      <c r="F1116" s="253"/>
      <c r="G1116" s="253"/>
      <c r="H1116" s="253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50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</row>
    <row r="1117">
      <c r="A1117" s="17"/>
      <c r="B1117" s="17"/>
      <c r="C1117" s="17"/>
      <c r="D1117" s="17"/>
      <c r="E1117" s="86"/>
      <c r="F1117" s="253"/>
      <c r="G1117" s="253"/>
      <c r="H1117" s="253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50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</row>
    <row r="1118">
      <c r="A1118" s="17"/>
      <c r="B1118" s="17"/>
      <c r="C1118" s="17"/>
      <c r="D1118" s="17"/>
      <c r="E1118" s="86"/>
      <c r="F1118" s="253"/>
      <c r="G1118" s="253"/>
      <c r="H1118" s="253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50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</row>
    <row r="1119">
      <c r="A1119" s="17"/>
      <c r="B1119" s="17"/>
      <c r="C1119" s="17"/>
      <c r="D1119" s="17"/>
      <c r="E1119" s="86"/>
      <c r="F1119" s="253"/>
      <c r="G1119" s="253"/>
      <c r="H1119" s="253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50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</row>
    <row r="1120">
      <c r="A1120" s="17"/>
      <c r="B1120" s="17"/>
      <c r="C1120" s="17"/>
      <c r="D1120" s="17"/>
      <c r="E1120" s="86"/>
      <c r="F1120" s="253"/>
      <c r="G1120" s="253"/>
      <c r="H1120" s="253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50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</row>
    <row r="1121">
      <c r="A1121" s="17"/>
      <c r="B1121" s="17"/>
      <c r="C1121" s="17"/>
      <c r="D1121" s="17"/>
      <c r="E1121" s="86"/>
      <c r="F1121" s="253"/>
      <c r="G1121" s="253"/>
      <c r="H1121" s="253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50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</row>
    <row r="1122">
      <c r="A1122" s="17"/>
      <c r="B1122" s="17"/>
      <c r="C1122" s="17"/>
      <c r="D1122" s="17"/>
      <c r="E1122" s="86"/>
      <c r="F1122" s="253"/>
      <c r="G1122" s="253"/>
      <c r="H1122" s="253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50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</row>
    <row r="1123">
      <c r="A1123" s="17"/>
      <c r="B1123" s="17"/>
      <c r="C1123" s="17"/>
      <c r="D1123" s="17"/>
      <c r="E1123" s="86"/>
      <c r="F1123" s="253"/>
      <c r="G1123" s="253"/>
      <c r="H1123" s="253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50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</row>
    <row r="1124">
      <c r="A1124" s="17"/>
      <c r="B1124" s="17"/>
      <c r="C1124" s="17"/>
      <c r="D1124" s="17"/>
      <c r="E1124" s="86"/>
      <c r="F1124" s="253"/>
      <c r="G1124" s="253"/>
      <c r="H1124" s="253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50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</row>
    <row r="1125">
      <c r="A1125" s="17"/>
      <c r="B1125" s="17"/>
      <c r="C1125" s="17"/>
      <c r="D1125" s="17"/>
      <c r="E1125" s="86"/>
      <c r="F1125" s="253"/>
      <c r="G1125" s="253"/>
      <c r="H1125" s="253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50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</row>
    <row r="1126">
      <c r="A1126" s="17"/>
      <c r="B1126" s="17"/>
      <c r="C1126" s="17"/>
      <c r="D1126" s="17"/>
      <c r="E1126" s="86"/>
      <c r="F1126" s="253"/>
      <c r="G1126" s="253"/>
      <c r="H1126" s="253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50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</row>
    <row r="1127">
      <c r="A1127" s="17"/>
      <c r="B1127" s="17"/>
      <c r="C1127" s="17"/>
      <c r="D1127" s="17"/>
      <c r="E1127" s="86"/>
      <c r="F1127" s="253"/>
      <c r="G1127" s="253"/>
      <c r="H1127" s="253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50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</row>
    <row r="1128">
      <c r="A1128" s="17"/>
      <c r="B1128" s="17"/>
      <c r="C1128" s="17"/>
      <c r="D1128" s="17"/>
      <c r="E1128" s="86"/>
      <c r="F1128" s="253"/>
      <c r="G1128" s="253"/>
      <c r="H1128" s="253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50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</row>
    <row r="1129">
      <c r="A1129" s="17"/>
      <c r="B1129" s="17"/>
      <c r="C1129" s="17"/>
      <c r="D1129" s="17"/>
      <c r="E1129" s="86"/>
      <c r="F1129" s="253"/>
      <c r="G1129" s="253"/>
      <c r="H1129" s="253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50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</row>
    <row r="1130">
      <c r="A1130" s="17"/>
      <c r="B1130" s="17"/>
      <c r="C1130" s="17"/>
      <c r="D1130" s="17"/>
      <c r="E1130" s="86"/>
      <c r="F1130" s="253"/>
      <c r="G1130" s="253"/>
      <c r="H1130" s="253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50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</row>
    <row r="1131">
      <c r="A1131" s="17"/>
      <c r="B1131" s="17"/>
      <c r="C1131" s="17"/>
      <c r="D1131" s="17"/>
      <c r="E1131" s="86"/>
      <c r="F1131" s="253"/>
      <c r="G1131" s="253"/>
      <c r="H1131" s="253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50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</row>
    <row r="1132">
      <c r="A1132" s="17"/>
      <c r="B1132" s="17"/>
      <c r="C1132" s="17"/>
      <c r="D1132" s="17"/>
      <c r="E1132" s="86"/>
      <c r="F1132" s="253"/>
      <c r="G1132" s="253"/>
      <c r="H1132" s="253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50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</row>
    <row r="1133">
      <c r="A1133" s="17"/>
      <c r="B1133" s="17"/>
      <c r="C1133" s="17"/>
      <c r="D1133" s="17"/>
      <c r="E1133" s="86"/>
      <c r="F1133" s="253"/>
      <c r="G1133" s="253"/>
      <c r="H1133" s="253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50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</row>
    <row r="1134">
      <c r="A1134" s="17"/>
      <c r="B1134" s="17"/>
      <c r="C1134" s="17"/>
      <c r="D1134" s="17"/>
      <c r="E1134" s="86"/>
      <c r="F1134" s="253"/>
      <c r="G1134" s="253"/>
      <c r="H1134" s="253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50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</row>
    <row r="1135">
      <c r="A1135" s="17"/>
      <c r="B1135" s="17"/>
      <c r="C1135" s="17"/>
      <c r="D1135" s="17"/>
      <c r="E1135" s="86"/>
      <c r="F1135" s="253"/>
      <c r="G1135" s="253"/>
      <c r="H1135" s="253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50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</row>
    <row r="1136">
      <c r="A1136" s="17"/>
      <c r="B1136" s="17"/>
      <c r="C1136" s="17"/>
      <c r="D1136" s="17"/>
      <c r="E1136" s="86"/>
      <c r="F1136" s="253"/>
      <c r="G1136" s="253"/>
      <c r="H1136" s="253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50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</row>
    <row r="1137">
      <c r="A1137" s="17"/>
      <c r="B1137" s="17"/>
      <c r="C1137" s="17"/>
      <c r="D1137" s="17"/>
      <c r="E1137" s="86"/>
      <c r="F1137" s="253"/>
      <c r="G1137" s="253"/>
      <c r="H1137" s="253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50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17"/>
      <c r="AY1137" s="17"/>
      <c r="AZ1137" s="17"/>
      <c r="BA1137" s="17"/>
      <c r="BB1137" s="17"/>
      <c r="BC1137" s="17"/>
      <c r="BD1137" s="17"/>
      <c r="BE1137" s="17"/>
      <c r="BF1137" s="17"/>
      <c r="BG1137" s="17"/>
      <c r="BH1137" s="17"/>
      <c r="BI1137" s="17"/>
      <c r="BJ1137" s="17"/>
      <c r="BK1137" s="17"/>
      <c r="BL1137" s="17"/>
      <c r="BM1137" s="17"/>
      <c r="BN1137" s="17"/>
    </row>
    <row r="1138">
      <c r="A1138" s="17"/>
      <c r="B1138" s="17"/>
      <c r="C1138" s="17"/>
      <c r="D1138" s="17"/>
      <c r="E1138" s="86"/>
      <c r="F1138" s="253"/>
      <c r="G1138" s="253"/>
      <c r="H1138" s="253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50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</row>
    <row r="1139">
      <c r="A1139" s="17"/>
      <c r="B1139" s="17"/>
      <c r="C1139" s="17"/>
      <c r="D1139" s="17"/>
      <c r="E1139" s="86"/>
      <c r="F1139" s="253"/>
      <c r="G1139" s="253"/>
      <c r="H1139" s="253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50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17"/>
      <c r="AZ1139" s="17"/>
      <c r="BA1139" s="17"/>
      <c r="BB1139" s="17"/>
      <c r="BC1139" s="17"/>
      <c r="BD1139" s="17"/>
      <c r="BE1139" s="17"/>
      <c r="BF1139" s="17"/>
      <c r="BG1139" s="17"/>
      <c r="BH1139" s="17"/>
      <c r="BI1139" s="17"/>
      <c r="BJ1139" s="17"/>
      <c r="BK1139" s="17"/>
      <c r="BL1139" s="17"/>
      <c r="BM1139" s="17"/>
      <c r="BN1139" s="17"/>
    </row>
    <row r="1140">
      <c r="A1140" s="17"/>
      <c r="B1140" s="17"/>
      <c r="C1140" s="17"/>
      <c r="D1140" s="17"/>
      <c r="E1140" s="86"/>
      <c r="F1140" s="253"/>
      <c r="G1140" s="253"/>
      <c r="H1140" s="253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50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</row>
    <row r="1141">
      <c r="A1141" s="17"/>
      <c r="B1141" s="17"/>
      <c r="C1141" s="17"/>
      <c r="D1141" s="17"/>
      <c r="E1141" s="86"/>
      <c r="F1141" s="253"/>
      <c r="G1141" s="253"/>
      <c r="H1141" s="253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50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</row>
    <row r="1142">
      <c r="A1142" s="17"/>
      <c r="B1142" s="17"/>
      <c r="C1142" s="17"/>
      <c r="D1142" s="17"/>
      <c r="E1142" s="86"/>
      <c r="F1142" s="253"/>
      <c r="G1142" s="253"/>
      <c r="H1142" s="253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50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</row>
    <row r="1143">
      <c r="A1143" s="17"/>
      <c r="B1143" s="17"/>
      <c r="C1143" s="17"/>
      <c r="D1143" s="17"/>
      <c r="E1143" s="86"/>
      <c r="F1143" s="253"/>
      <c r="G1143" s="253"/>
      <c r="H1143" s="253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50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</row>
    <row r="1144">
      <c r="A1144" s="17"/>
      <c r="B1144" s="17"/>
      <c r="C1144" s="17"/>
      <c r="D1144" s="17"/>
      <c r="E1144" s="86"/>
      <c r="F1144" s="253"/>
      <c r="G1144" s="253"/>
      <c r="H1144" s="253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50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</row>
    <row r="1145">
      <c r="A1145" s="17"/>
      <c r="B1145" s="17"/>
      <c r="C1145" s="17"/>
      <c r="D1145" s="17"/>
      <c r="E1145" s="86"/>
      <c r="F1145" s="253"/>
      <c r="G1145" s="253"/>
      <c r="H1145" s="253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50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</row>
    <row r="1146">
      <c r="A1146" s="17"/>
      <c r="B1146" s="17"/>
      <c r="C1146" s="17"/>
      <c r="D1146" s="17"/>
      <c r="E1146" s="86"/>
      <c r="F1146" s="253"/>
      <c r="G1146" s="253"/>
      <c r="H1146" s="253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50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</row>
    <row r="1147">
      <c r="A1147" s="17"/>
      <c r="B1147" s="17"/>
      <c r="C1147" s="17"/>
      <c r="D1147" s="17"/>
      <c r="E1147" s="86"/>
      <c r="F1147" s="253"/>
      <c r="G1147" s="253"/>
      <c r="H1147" s="253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50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</row>
    <row r="1148">
      <c r="A1148" s="17"/>
      <c r="B1148" s="17"/>
      <c r="C1148" s="17"/>
      <c r="D1148" s="17"/>
      <c r="E1148" s="86"/>
      <c r="F1148" s="253"/>
      <c r="G1148" s="253"/>
      <c r="H1148" s="253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50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</row>
    <row r="1149">
      <c r="A1149" s="17"/>
      <c r="B1149" s="17"/>
      <c r="C1149" s="17"/>
      <c r="D1149" s="17"/>
      <c r="E1149" s="86"/>
      <c r="F1149" s="253"/>
      <c r="G1149" s="253"/>
      <c r="H1149" s="253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50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</row>
    <row r="1150">
      <c r="A1150" s="17"/>
      <c r="B1150" s="17"/>
      <c r="C1150" s="17"/>
      <c r="D1150" s="17"/>
      <c r="E1150" s="86"/>
      <c r="F1150" s="253"/>
      <c r="G1150" s="253"/>
      <c r="H1150" s="253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50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</row>
    <row r="1151">
      <c r="A1151" s="17"/>
      <c r="B1151" s="17"/>
      <c r="C1151" s="17"/>
      <c r="D1151" s="17"/>
      <c r="E1151" s="86"/>
      <c r="F1151" s="253"/>
      <c r="G1151" s="253"/>
      <c r="H1151" s="253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50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</row>
    <row r="1152">
      <c r="A1152" s="17"/>
      <c r="B1152" s="17"/>
      <c r="C1152" s="17"/>
      <c r="D1152" s="17"/>
      <c r="E1152" s="86"/>
      <c r="F1152" s="253"/>
      <c r="G1152" s="253"/>
      <c r="H1152" s="253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50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</row>
    <row r="1153">
      <c r="A1153" s="17"/>
      <c r="B1153" s="17"/>
      <c r="C1153" s="17"/>
      <c r="D1153" s="17"/>
      <c r="E1153" s="86"/>
      <c r="F1153" s="253"/>
      <c r="G1153" s="253"/>
      <c r="H1153" s="253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50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</row>
    <row r="1154">
      <c r="A1154" s="17"/>
      <c r="B1154" s="17"/>
      <c r="C1154" s="17"/>
      <c r="D1154" s="17"/>
      <c r="E1154" s="86"/>
      <c r="F1154" s="253"/>
      <c r="G1154" s="253"/>
      <c r="H1154" s="253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50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</row>
    <row r="1155">
      <c r="A1155" s="17"/>
      <c r="B1155" s="17"/>
      <c r="C1155" s="17"/>
      <c r="D1155" s="17"/>
      <c r="E1155" s="86"/>
      <c r="F1155" s="253"/>
      <c r="G1155" s="253"/>
      <c r="H1155" s="253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50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</row>
    <row r="1156">
      <c r="A1156" s="17"/>
      <c r="B1156" s="17"/>
      <c r="C1156" s="17"/>
      <c r="D1156" s="17"/>
      <c r="E1156" s="86"/>
      <c r="F1156" s="253"/>
      <c r="G1156" s="253"/>
      <c r="H1156" s="253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50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</row>
    <row r="1157">
      <c r="A1157" s="17"/>
      <c r="B1157" s="17"/>
      <c r="C1157" s="17"/>
      <c r="D1157" s="17"/>
      <c r="E1157" s="86"/>
      <c r="F1157" s="253"/>
      <c r="G1157" s="253"/>
      <c r="H1157" s="253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50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</row>
    <row r="1158">
      <c r="A1158" s="17"/>
      <c r="B1158" s="17"/>
      <c r="C1158" s="17"/>
      <c r="D1158" s="17"/>
      <c r="E1158" s="86"/>
      <c r="F1158" s="253"/>
      <c r="G1158" s="253"/>
      <c r="H1158" s="253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50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</row>
    <row r="1159">
      <c r="A1159" s="17"/>
      <c r="B1159" s="17"/>
      <c r="C1159" s="17"/>
      <c r="D1159" s="17"/>
      <c r="E1159" s="86"/>
      <c r="F1159" s="253"/>
      <c r="G1159" s="253"/>
      <c r="H1159" s="253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50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</row>
    <row r="1160">
      <c r="A1160" s="17"/>
      <c r="B1160" s="17"/>
      <c r="C1160" s="17"/>
      <c r="D1160" s="17"/>
      <c r="E1160" s="86"/>
      <c r="F1160" s="253"/>
      <c r="G1160" s="253"/>
      <c r="H1160" s="253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50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</row>
    <row r="1161">
      <c r="A1161" s="17"/>
      <c r="B1161" s="17"/>
      <c r="C1161" s="17"/>
      <c r="D1161" s="17"/>
      <c r="E1161" s="86"/>
      <c r="F1161" s="253"/>
      <c r="G1161" s="253"/>
      <c r="H1161" s="253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50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</row>
    <row r="1162">
      <c r="A1162" s="17"/>
      <c r="B1162" s="17"/>
      <c r="C1162" s="17"/>
      <c r="D1162" s="17"/>
      <c r="E1162" s="86"/>
      <c r="F1162" s="253"/>
      <c r="G1162" s="253"/>
      <c r="H1162" s="253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50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</row>
    <row r="1163">
      <c r="A1163" s="17"/>
      <c r="B1163" s="17"/>
      <c r="C1163" s="17"/>
      <c r="D1163" s="17"/>
      <c r="E1163" s="86"/>
      <c r="F1163" s="253"/>
      <c r="G1163" s="253"/>
      <c r="H1163" s="253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50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</row>
    <row r="1164">
      <c r="A1164" s="17"/>
      <c r="B1164" s="17"/>
      <c r="C1164" s="17"/>
      <c r="D1164" s="17"/>
      <c r="E1164" s="86"/>
      <c r="F1164" s="253"/>
      <c r="G1164" s="253"/>
      <c r="H1164" s="253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50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</row>
    <row r="1165">
      <c r="A1165" s="17"/>
      <c r="B1165" s="17"/>
      <c r="C1165" s="17"/>
      <c r="D1165" s="17"/>
      <c r="E1165" s="86"/>
      <c r="F1165" s="253"/>
      <c r="G1165" s="253"/>
      <c r="H1165" s="253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50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</row>
    <row r="1166">
      <c r="A1166" s="17"/>
      <c r="B1166" s="17"/>
      <c r="C1166" s="17"/>
      <c r="D1166" s="17"/>
      <c r="E1166" s="86"/>
      <c r="F1166" s="253"/>
      <c r="G1166" s="253"/>
      <c r="H1166" s="253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50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</row>
    <row r="1167">
      <c r="A1167" s="17"/>
      <c r="B1167" s="17"/>
      <c r="C1167" s="17"/>
      <c r="D1167" s="17"/>
      <c r="E1167" s="86"/>
      <c r="F1167" s="253"/>
      <c r="G1167" s="253"/>
      <c r="H1167" s="253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50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</row>
    <row r="1168">
      <c r="A1168" s="17"/>
      <c r="B1168" s="17"/>
      <c r="C1168" s="17"/>
      <c r="D1168" s="17"/>
      <c r="E1168" s="86"/>
      <c r="F1168" s="253"/>
      <c r="G1168" s="253"/>
      <c r="H1168" s="253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50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</row>
    <row r="1169">
      <c r="A1169" s="17"/>
      <c r="B1169" s="17"/>
      <c r="C1169" s="17"/>
      <c r="D1169" s="17"/>
      <c r="E1169" s="86"/>
      <c r="F1169" s="253"/>
      <c r="G1169" s="253"/>
      <c r="H1169" s="253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50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17"/>
      <c r="AZ1169" s="17"/>
      <c r="BA1169" s="17"/>
      <c r="BB1169" s="17"/>
      <c r="BC1169" s="17"/>
      <c r="BD1169" s="17"/>
      <c r="BE1169" s="17"/>
      <c r="BF1169" s="17"/>
      <c r="BG1169" s="17"/>
      <c r="BH1169" s="17"/>
      <c r="BI1169" s="17"/>
      <c r="BJ1169" s="17"/>
      <c r="BK1169" s="17"/>
      <c r="BL1169" s="17"/>
      <c r="BM1169" s="17"/>
      <c r="BN1169" s="17"/>
    </row>
    <row r="1170">
      <c r="A1170" s="17"/>
      <c r="B1170" s="17"/>
      <c r="C1170" s="17"/>
      <c r="D1170" s="17"/>
      <c r="E1170" s="86"/>
      <c r="F1170" s="253"/>
      <c r="G1170" s="253"/>
      <c r="H1170" s="253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50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</row>
    <row r="1171">
      <c r="A1171" s="17"/>
      <c r="B1171" s="17"/>
      <c r="C1171" s="17"/>
      <c r="D1171" s="17"/>
      <c r="E1171" s="86"/>
      <c r="F1171" s="253"/>
      <c r="G1171" s="253"/>
      <c r="H1171" s="253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50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</row>
    <row r="1172">
      <c r="A1172" s="17"/>
      <c r="B1172" s="17"/>
      <c r="C1172" s="17"/>
      <c r="D1172" s="17"/>
      <c r="E1172" s="86"/>
      <c r="F1172" s="253"/>
      <c r="G1172" s="253"/>
      <c r="H1172" s="253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50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</row>
    <row r="1173">
      <c r="A1173" s="17"/>
      <c r="B1173" s="17"/>
      <c r="C1173" s="17"/>
      <c r="D1173" s="17"/>
      <c r="E1173" s="86"/>
      <c r="F1173" s="253"/>
      <c r="G1173" s="253"/>
      <c r="H1173" s="253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50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</row>
    <row r="1174">
      <c r="A1174" s="17"/>
      <c r="B1174" s="17"/>
      <c r="C1174" s="17"/>
      <c r="D1174" s="17"/>
      <c r="E1174" s="86"/>
      <c r="F1174" s="253"/>
      <c r="G1174" s="253"/>
      <c r="H1174" s="253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50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17"/>
      <c r="AZ1174" s="17"/>
      <c r="BA1174" s="17"/>
      <c r="BB1174" s="17"/>
      <c r="BC1174" s="17"/>
      <c r="BD1174" s="17"/>
      <c r="BE1174" s="17"/>
      <c r="BF1174" s="17"/>
      <c r="BG1174" s="17"/>
      <c r="BH1174" s="17"/>
      <c r="BI1174" s="17"/>
      <c r="BJ1174" s="17"/>
      <c r="BK1174" s="17"/>
      <c r="BL1174" s="17"/>
      <c r="BM1174" s="17"/>
      <c r="BN1174" s="17"/>
    </row>
    <row r="1175">
      <c r="A1175" s="17"/>
      <c r="B1175" s="17"/>
      <c r="C1175" s="17"/>
      <c r="D1175" s="17"/>
      <c r="E1175" s="86"/>
      <c r="F1175" s="253"/>
      <c r="G1175" s="253"/>
      <c r="H1175" s="253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50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</row>
    <row r="1176">
      <c r="A1176" s="17"/>
      <c r="B1176" s="17"/>
      <c r="C1176" s="17"/>
      <c r="D1176" s="17"/>
      <c r="E1176" s="86"/>
      <c r="F1176" s="253"/>
      <c r="G1176" s="253"/>
      <c r="H1176" s="253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50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</row>
    <row r="1177">
      <c r="A1177" s="17"/>
      <c r="B1177" s="17"/>
      <c r="C1177" s="17"/>
      <c r="D1177" s="17"/>
      <c r="E1177" s="86"/>
      <c r="F1177" s="253"/>
      <c r="G1177" s="253"/>
      <c r="H1177" s="253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50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</row>
    <row r="1178">
      <c r="A1178" s="17"/>
      <c r="B1178" s="17"/>
      <c r="C1178" s="17"/>
      <c r="D1178" s="17"/>
      <c r="E1178" s="86"/>
      <c r="F1178" s="253"/>
      <c r="G1178" s="253"/>
      <c r="H1178" s="253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50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</row>
    <row r="1179">
      <c r="A1179" s="17"/>
      <c r="B1179" s="17"/>
      <c r="C1179" s="17"/>
      <c r="D1179" s="17"/>
      <c r="E1179" s="86"/>
      <c r="F1179" s="253"/>
      <c r="G1179" s="253"/>
      <c r="H1179" s="253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50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</row>
    <row r="1180">
      <c r="A1180" s="17"/>
      <c r="B1180" s="17"/>
      <c r="C1180" s="17"/>
      <c r="D1180" s="17"/>
      <c r="E1180" s="86"/>
      <c r="F1180" s="253"/>
      <c r="G1180" s="253"/>
      <c r="H1180" s="253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50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</row>
    <row r="1181">
      <c r="A1181" s="17"/>
      <c r="B1181" s="17"/>
      <c r="C1181" s="17"/>
      <c r="D1181" s="17"/>
      <c r="E1181" s="86"/>
      <c r="F1181" s="253"/>
      <c r="G1181" s="253"/>
      <c r="H1181" s="253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50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</row>
    <row r="1182">
      <c r="A1182" s="17"/>
      <c r="B1182" s="17"/>
      <c r="C1182" s="17"/>
      <c r="D1182" s="17"/>
      <c r="E1182" s="86"/>
      <c r="F1182" s="253"/>
      <c r="G1182" s="253"/>
      <c r="H1182" s="253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50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</row>
    <row r="1183">
      <c r="A1183" s="17"/>
      <c r="B1183" s="17"/>
      <c r="C1183" s="17"/>
      <c r="D1183" s="17"/>
      <c r="E1183" s="86"/>
      <c r="F1183" s="253"/>
      <c r="G1183" s="253"/>
      <c r="H1183" s="253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50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</row>
    <row r="1184">
      <c r="A1184" s="17"/>
      <c r="B1184" s="17"/>
      <c r="C1184" s="17"/>
      <c r="D1184" s="17"/>
      <c r="E1184" s="86"/>
      <c r="F1184" s="253"/>
      <c r="G1184" s="253"/>
      <c r="H1184" s="253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50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</row>
    <row r="1185">
      <c r="A1185" s="17"/>
      <c r="B1185" s="17"/>
      <c r="C1185" s="17"/>
      <c r="D1185" s="17"/>
      <c r="E1185" s="86"/>
      <c r="F1185" s="253"/>
      <c r="G1185" s="253"/>
      <c r="H1185" s="253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50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17"/>
      <c r="AZ1185" s="17"/>
      <c r="BA1185" s="17"/>
      <c r="BB1185" s="17"/>
      <c r="BC1185" s="17"/>
      <c r="BD1185" s="17"/>
      <c r="BE1185" s="17"/>
      <c r="BF1185" s="17"/>
      <c r="BG1185" s="17"/>
      <c r="BH1185" s="17"/>
      <c r="BI1185" s="17"/>
      <c r="BJ1185" s="17"/>
      <c r="BK1185" s="17"/>
      <c r="BL1185" s="17"/>
      <c r="BM1185" s="17"/>
      <c r="BN1185" s="17"/>
    </row>
    <row r="1186">
      <c r="A1186" s="17"/>
      <c r="B1186" s="17"/>
      <c r="C1186" s="17"/>
      <c r="D1186" s="17"/>
      <c r="E1186" s="86"/>
      <c r="F1186" s="253"/>
      <c r="G1186" s="253"/>
      <c r="H1186" s="253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50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</row>
    <row r="1187">
      <c r="A1187" s="17"/>
      <c r="B1187" s="17"/>
      <c r="C1187" s="17"/>
      <c r="D1187" s="17"/>
      <c r="E1187" s="86"/>
      <c r="F1187" s="253"/>
      <c r="G1187" s="253"/>
      <c r="H1187" s="253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50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</row>
    <row r="1188">
      <c r="A1188" s="17"/>
      <c r="B1188" s="17"/>
      <c r="C1188" s="17"/>
      <c r="D1188" s="17"/>
      <c r="E1188" s="86"/>
      <c r="F1188" s="253"/>
      <c r="G1188" s="253"/>
      <c r="H1188" s="253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50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</row>
    <row r="1189">
      <c r="A1189" s="17"/>
      <c r="B1189" s="17"/>
      <c r="C1189" s="17"/>
      <c r="D1189" s="17"/>
      <c r="E1189" s="86"/>
      <c r="F1189" s="253"/>
      <c r="G1189" s="253"/>
      <c r="H1189" s="253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50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</row>
    <row r="1190">
      <c r="A1190" s="17"/>
      <c r="B1190" s="17"/>
      <c r="C1190" s="17"/>
      <c r="D1190" s="17"/>
      <c r="E1190" s="86"/>
      <c r="F1190" s="253"/>
      <c r="G1190" s="253"/>
      <c r="H1190" s="253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50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</row>
    <row r="1191">
      <c r="A1191" s="17"/>
      <c r="B1191" s="17"/>
      <c r="C1191" s="17"/>
      <c r="D1191" s="17"/>
      <c r="E1191" s="86"/>
      <c r="F1191" s="253"/>
      <c r="G1191" s="253"/>
      <c r="H1191" s="253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50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</row>
    <row r="1192">
      <c r="A1192" s="17"/>
      <c r="B1192" s="17"/>
      <c r="C1192" s="17"/>
      <c r="D1192" s="17"/>
      <c r="E1192" s="86"/>
      <c r="F1192" s="253"/>
      <c r="G1192" s="253"/>
      <c r="H1192" s="253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50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</row>
    <row r="1193">
      <c r="A1193" s="17"/>
      <c r="B1193" s="17"/>
      <c r="C1193" s="17"/>
      <c r="D1193" s="17"/>
      <c r="E1193" s="86"/>
      <c r="F1193" s="253"/>
      <c r="G1193" s="253"/>
      <c r="H1193" s="253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50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</row>
    <row r="1194">
      <c r="A1194" s="17"/>
      <c r="B1194" s="17"/>
      <c r="C1194" s="17"/>
      <c r="D1194" s="17"/>
      <c r="E1194" s="86"/>
      <c r="F1194" s="253"/>
      <c r="G1194" s="253"/>
      <c r="H1194" s="253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50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</row>
    <row r="1195">
      <c r="A1195" s="17"/>
      <c r="B1195" s="17"/>
      <c r="C1195" s="17"/>
      <c r="D1195" s="17"/>
      <c r="E1195" s="86"/>
      <c r="F1195" s="253"/>
      <c r="G1195" s="253"/>
      <c r="H1195" s="253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50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</row>
    <row r="1196">
      <c r="A1196" s="17"/>
      <c r="B1196" s="17"/>
      <c r="C1196" s="17"/>
      <c r="D1196" s="17"/>
      <c r="E1196" s="86"/>
      <c r="F1196" s="253"/>
      <c r="G1196" s="253"/>
      <c r="H1196" s="253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50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</row>
    <row r="1197">
      <c r="A1197" s="17"/>
      <c r="B1197" s="17"/>
      <c r="C1197" s="17"/>
      <c r="D1197" s="17"/>
      <c r="E1197" s="86"/>
      <c r="F1197" s="253"/>
      <c r="G1197" s="253"/>
      <c r="H1197" s="253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50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</row>
    <row r="1198">
      <c r="A1198" s="17"/>
      <c r="B1198" s="17"/>
      <c r="C1198" s="17"/>
      <c r="D1198" s="17"/>
      <c r="E1198" s="86"/>
      <c r="F1198" s="253"/>
      <c r="G1198" s="253"/>
      <c r="H1198" s="253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50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</row>
    <row r="1199">
      <c r="A1199" s="17"/>
      <c r="B1199" s="17"/>
      <c r="C1199" s="17"/>
      <c r="D1199" s="17"/>
      <c r="E1199" s="86"/>
      <c r="F1199" s="253"/>
      <c r="G1199" s="253"/>
      <c r="H1199" s="253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50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</row>
    <row r="1200">
      <c r="A1200" s="17"/>
      <c r="B1200" s="17"/>
      <c r="C1200" s="17"/>
      <c r="D1200" s="17"/>
      <c r="E1200" s="86"/>
      <c r="F1200" s="253"/>
      <c r="G1200" s="253"/>
      <c r="H1200" s="253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50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</row>
    <row r="1201">
      <c r="A1201" s="17"/>
      <c r="B1201" s="17"/>
      <c r="C1201" s="17"/>
      <c r="D1201" s="17"/>
      <c r="E1201" s="86"/>
      <c r="F1201" s="253"/>
      <c r="G1201" s="253"/>
      <c r="H1201" s="253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50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</row>
    <row r="1202">
      <c r="A1202" s="17"/>
      <c r="B1202" s="17"/>
      <c r="C1202" s="17"/>
      <c r="D1202" s="17"/>
      <c r="E1202" s="86"/>
      <c r="F1202" s="253"/>
      <c r="G1202" s="253"/>
      <c r="H1202" s="253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50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</row>
    <row r="1203">
      <c r="A1203" s="17"/>
      <c r="B1203" s="17"/>
      <c r="C1203" s="17"/>
      <c r="D1203" s="17"/>
      <c r="E1203" s="86"/>
      <c r="F1203" s="253"/>
      <c r="G1203" s="253"/>
      <c r="H1203" s="253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50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</row>
    <row r="1204">
      <c r="A1204" s="17"/>
      <c r="B1204" s="17"/>
      <c r="C1204" s="17"/>
      <c r="D1204" s="17"/>
      <c r="E1204" s="86"/>
      <c r="F1204" s="253"/>
      <c r="G1204" s="253"/>
      <c r="H1204" s="253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50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</row>
    <row r="1205">
      <c r="A1205" s="17"/>
      <c r="B1205" s="17"/>
      <c r="C1205" s="17"/>
      <c r="D1205" s="17"/>
      <c r="E1205" s="86"/>
      <c r="F1205" s="253"/>
      <c r="G1205" s="253"/>
      <c r="H1205" s="253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50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</row>
    <row r="1206">
      <c r="A1206" s="17"/>
      <c r="B1206" s="17"/>
      <c r="C1206" s="17"/>
      <c r="D1206" s="17"/>
      <c r="E1206" s="86"/>
      <c r="F1206" s="253"/>
      <c r="G1206" s="253"/>
      <c r="H1206" s="253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50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</row>
    <row r="1207">
      <c r="A1207" s="17"/>
      <c r="B1207" s="17"/>
      <c r="C1207" s="17"/>
      <c r="D1207" s="17"/>
      <c r="E1207" s="86"/>
      <c r="F1207" s="253"/>
      <c r="G1207" s="253"/>
      <c r="H1207" s="253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50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</row>
    <row r="1208">
      <c r="A1208" s="17"/>
      <c r="B1208" s="17"/>
      <c r="C1208" s="17"/>
      <c r="D1208" s="17"/>
      <c r="E1208" s="86"/>
      <c r="F1208" s="253"/>
      <c r="G1208" s="253"/>
      <c r="H1208" s="253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50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</row>
    <row r="1209">
      <c r="A1209" s="17"/>
      <c r="B1209" s="17"/>
      <c r="C1209" s="17"/>
      <c r="D1209" s="17"/>
      <c r="E1209" s="86"/>
      <c r="F1209" s="253"/>
      <c r="G1209" s="253"/>
      <c r="H1209" s="253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50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</row>
    <row r="1210">
      <c r="A1210" s="17"/>
      <c r="B1210" s="17"/>
      <c r="C1210" s="17"/>
      <c r="D1210" s="17"/>
      <c r="E1210" s="86"/>
      <c r="F1210" s="253"/>
      <c r="G1210" s="253"/>
      <c r="H1210" s="253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50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</row>
    <row r="1211">
      <c r="A1211" s="17"/>
      <c r="B1211" s="17"/>
      <c r="C1211" s="17"/>
      <c r="D1211" s="17"/>
      <c r="E1211" s="86"/>
      <c r="F1211" s="253"/>
      <c r="G1211" s="253"/>
      <c r="H1211" s="253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50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</row>
    <row r="1212">
      <c r="A1212" s="17"/>
      <c r="B1212" s="17"/>
      <c r="C1212" s="17"/>
      <c r="D1212" s="17"/>
      <c r="E1212" s="86"/>
      <c r="F1212" s="253"/>
      <c r="G1212" s="253"/>
      <c r="H1212" s="253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50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</row>
    <row r="1213">
      <c r="A1213" s="17"/>
      <c r="B1213" s="17"/>
      <c r="C1213" s="17"/>
      <c r="D1213" s="17"/>
      <c r="E1213" s="86"/>
      <c r="F1213" s="253"/>
      <c r="G1213" s="253"/>
      <c r="H1213" s="253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50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</row>
    <row r="1214">
      <c r="A1214" s="17"/>
      <c r="B1214" s="17"/>
      <c r="C1214" s="17"/>
      <c r="D1214" s="17"/>
      <c r="E1214" s="86"/>
      <c r="F1214" s="253"/>
      <c r="G1214" s="253"/>
      <c r="H1214" s="253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50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</row>
    <row r="1215">
      <c r="A1215" s="17"/>
      <c r="B1215" s="17"/>
      <c r="C1215" s="17"/>
      <c r="D1215" s="17"/>
      <c r="E1215" s="86"/>
      <c r="F1215" s="253"/>
      <c r="G1215" s="253"/>
      <c r="H1215" s="253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50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</row>
    <row r="1216">
      <c r="A1216" s="17"/>
      <c r="B1216" s="17"/>
      <c r="C1216" s="17"/>
      <c r="D1216" s="17"/>
      <c r="E1216" s="86"/>
      <c r="F1216" s="253"/>
      <c r="G1216" s="253"/>
      <c r="H1216" s="253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50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</row>
    <row r="1217">
      <c r="A1217" s="17"/>
      <c r="B1217" s="17"/>
      <c r="C1217" s="17"/>
      <c r="D1217" s="17"/>
      <c r="E1217" s="86"/>
      <c r="F1217" s="253"/>
      <c r="G1217" s="253"/>
      <c r="H1217" s="253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50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</row>
    <row r="1218">
      <c r="A1218" s="17"/>
      <c r="B1218" s="17"/>
      <c r="C1218" s="17"/>
      <c r="D1218" s="17"/>
      <c r="E1218" s="86"/>
      <c r="F1218" s="253"/>
      <c r="G1218" s="253"/>
      <c r="H1218" s="253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50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</row>
    <row r="1219">
      <c r="A1219" s="17"/>
      <c r="B1219" s="17"/>
      <c r="C1219" s="17"/>
      <c r="D1219" s="17"/>
      <c r="E1219" s="86"/>
      <c r="F1219" s="253"/>
      <c r="G1219" s="253"/>
      <c r="H1219" s="253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50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</row>
    <row r="1220">
      <c r="A1220" s="17"/>
      <c r="B1220" s="17"/>
      <c r="C1220" s="17"/>
      <c r="D1220" s="17"/>
      <c r="E1220" s="86"/>
      <c r="F1220" s="253"/>
      <c r="G1220" s="253"/>
      <c r="H1220" s="253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50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</row>
    <row r="1221">
      <c r="A1221" s="17"/>
      <c r="B1221" s="17"/>
      <c r="C1221" s="17"/>
      <c r="D1221" s="17"/>
      <c r="E1221" s="86"/>
      <c r="F1221" s="253"/>
      <c r="G1221" s="253"/>
      <c r="H1221" s="253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50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</row>
    <row r="1222">
      <c r="A1222" s="17"/>
      <c r="B1222" s="17"/>
      <c r="C1222" s="17"/>
      <c r="D1222" s="17"/>
      <c r="E1222" s="86"/>
      <c r="F1222" s="253"/>
      <c r="G1222" s="253"/>
      <c r="H1222" s="253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50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</row>
    <row r="1223">
      <c r="A1223" s="17"/>
      <c r="B1223" s="17"/>
      <c r="C1223" s="17"/>
      <c r="D1223" s="17"/>
      <c r="E1223" s="86"/>
      <c r="F1223" s="253"/>
      <c r="G1223" s="253"/>
      <c r="H1223" s="253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50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</row>
    <row r="1224">
      <c r="A1224" s="17"/>
      <c r="B1224" s="17"/>
      <c r="C1224" s="17"/>
      <c r="D1224" s="17"/>
      <c r="E1224" s="86"/>
      <c r="F1224" s="253"/>
      <c r="G1224" s="253"/>
      <c r="H1224" s="253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50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</row>
    <row r="1225">
      <c r="A1225" s="17"/>
      <c r="B1225" s="17"/>
      <c r="C1225" s="17"/>
      <c r="D1225" s="17"/>
      <c r="E1225" s="86"/>
      <c r="F1225" s="253"/>
      <c r="G1225" s="253"/>
      <c r="H1225" s="253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50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</row>
    <row r="1226">
      <c r="A1226" s="17"/>
      <c r="B1226" s="17"/>
      <c r="C1226" s="17"/>
      <c r="D1226" s="17"/>
      <c r="E1226" s="86"/>
      <c r="F1226" s="253"/>
      <c r="G1226" s="253"/>
      <c r="H1226" s="253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50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</row>
    <row r="1227">
      <c r="A1227" s="17"/>
      <c r="B1227" s="17"/>
      <c r="C1227" s="17"/>
      <c r="D1227" s="17"/>
      <c r="E1227" s="86"/>
      <c r="F1227" s="253"/>
      <c r="G1227" s="253"/>
      <c r="H1227" s="253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50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17"/>
      <c r="AZ1227" s="17"/>
      <c r="BA1227" s="17"/>
      <c r="BB1227" s="17"/>
      <c r="BC1227" s="17"/>
      <c r="BD1227" s="17"/>
      <c r="BE1227" s="17"/>
      <c r="BF1227" s="17"/>
      <c r="BG1227" s="17"/>
      <c r="BH1227" s="17"/>
      <c r="BI1227" s="17"/>
      <c r="BJ1227" s="17"/>
      <c r="BK1227" s="17"/>
      <c r="BL1227" s="17"/>
      <c r="BM1227" s="17"/>
      <c r="BN1227" s="17"/>
    </row>
    <row r="1228">
      <c r="A1228" s="17"/>
      <c r="B1228" s="17"/>
      <c r="C1228" s="17"/>
      <c r="D1228" s="17"/>
      <c r="E1228" s="86"/>
      <c r="F1228" s="253"/>
      <c r="G1228" s="253"/>
      <c r="H1228" s="253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50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</row>
    <row r="1229">
      <c r="A1229" s="17"/>
      <c r="B1229" s="17"/>
      <c r="C1229" s="17"/>
      <c r="D1229" s="17"/>
      <c r="E1229" s="86"/>
      <c r="F1229" s="253"/>
      <c r="G1229" s="253"/>
      <c r="H1229" s="253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50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</row>
    <row r="1230">
      <c r="A1230" s="17"/>
      <c r="B1230" s="17"/>
      <c r="C1230" s="17"/>
      <c r="D1230" s="17"/>
      <c r="E1230" s="86"/>
      <c r="F1230" s="253"/>
      <c r="G1230" s="253"/>
      <c r="H1230" s="253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50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</row>
    <row r="1231">
      <c r="A1231" s="17"/>
      <c r="B1231" s="17"/>
      <c r="C1231" s="17"/>
      <c r="D1231" s="17"/>
      <c r="E1231" s="86"/>
      <c r="F1231" s="253"/>
      <c r="G1231" s="253"/>
      <c r="H1231" s="253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50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</row>
    <row r="1232">
      <c r="A1232" s="17"/>
      <c r="B1232" s="17"/>
      <c r="C1232" s="17"/>
      <c r="D1232" s="17"/>
      <c r="E1232" s="86"/>
      <c r="F1232" s="253"/>
      <c r="G1232" s="253"/>
      <c r="H1232" s="253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50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</row>
    <row r="1233">
      <c r="A1233" s="17"/>
      <c r="B1233" s="17"/>
      <c r="C1233" s="17"/>
      <c r="D1233" s="17"/>
      <c r="E1233" s="86"/>
      <c r="F1233" s="253"/>
      <c r="G1233" s="253"/>
      <c r="H1233" s="253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50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</row>
    <row r="1234">
      <c r="A1234" s="17"/>
      <c r="B1234" s="17"/>
      <c r="C1234" s="17"/>
      <c r="D1234" s="17"/>
      <c r="E1234" s="86"/>
      <c r="F1234" s="253"/>
      <c r="G1234" s="253"/>
      <c r="H1234" s="253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50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</row>
    <row r="1235">
      <c r="A1235" s="17"/>
      <c r="B1235" s="17"/>
      <c r="C1235" s="17"/>
      <c r="D1235" s="17"/>
      <c r="E1235" s="86"/>
      <c r="F1235" s="253"/>
      <c r="G1235" s="253"/>
      <c r="H1235" s="253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50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</row>
    <row r="1236">
      <c r="A1236" s="17"/>
      <c r="B1236" s="17"/>
      <c r="C1236" s="17"/>
      <c r="D1236" s="17"/>
      <c r="E1236" s="86"/>
      <c r="F1236" s="253"/>
      <c r="G1236" s="253"/>
      <c r="H1236" s="253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50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</row>
    <row r="1237">
      <c r="A1237" s="17"/>
      <c r="B1237" s="17"/>
      <c r="C1237" s="17"/>
      <c r="D1237" s="17"/>
      <c r="E1237" s="86"/>
      <c r="F1237" s="253"/>
      <c r="G1237" s="253"/>
      <c r="H1237" s="253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50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</row>
    <row r="1238">
      <c r="A1238" s="17"/>
      <c r="B1238" s="17"/>
      <c r="C1238" s="17"/>
      <c r="D1238" s="17"/>
      <c r="E1238" s="86"/>
      <c r="F1238" s="253"/>
      <c r="G1238" s="253"/>
      <c r="H1238" s="253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50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</row>
    <row r="1239">
      <c r="A1239" s="17"/>
      <c r="B1239" s="17"/>
      <c r="C1239" s="17"/>
      <c r="D1239" s="17"/>
      <c r="E1239" s="86"/>
      <c r="F1239" s="253"/>
      <c r="G1239" s="253"/>
      <c r="H1239" s="253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50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</row>
    <row r="1240">
      <c r="A1240" s="17"/>
      <c r="B1240" s="17"/>
      <c r="C1240" s="17"/>
      <c r="D1240" s="17"/>
      <c r="E1240" s="86"/>
      <c r="F1240" s="253"/>
      <c r="G1240" s="253"/>
      <c r="H1240" s="253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50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</row>
    <row r="1241">
      <c r="A1241" s="17"/>
      <c r="B1241" s="17"/>
      <c r="C1241" s="17"/>
      <c r="D1241" s="17"/>
      <c r="E1241" s="86"/>
      <c r="F1241" s="253"/>
      <c r="G1241" s="253"/>
      <c r="H1241" s="253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50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</row>
    <row r="1242">
      <c r="A1242" s="17"/>
      <c r="B1242" s="17"/>
      <c r="C1242" s="17"/>
      <c r="D1242" s="17"/>
      <c r="E1242" s="86"/>
      <c r="F1242" s="253"/>
      <c r="G1242" s="253"/>
      <c r="H1242" s="253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50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</row>
    <row r="1243">
      <c r="A1243" s="17"/>
      <c r="B1243" s="17"/>
      <c r="C1243" s="17"/>
      <c r="D1243" s="17"/>
      <c r="E1243" s="86"/>
      <c r="F1243" s="253"/>
      <c r="G1243" s="253"/>
      <c r="H1243" s="253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50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</row>
    <row r="1244">
      <c r="A1244" s="17"/>
      <c r="B1244" s="17"/>
      <c r="C1244" s="17"/>
      <c r="D1244" s="17"/>
      <c r="E1244" s="86"/>
      <c r="F1244" s="253"/>
      <c r="G1244" s="253"/>
      <c r="H1244" s="253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50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</row>
    <row r="1245">
      <c r="A1245" s="17"/>
      <c r="B1245" s="17"/>
      <c r="C1245" s="17"/>
      <c r="D1245" s="17"/>
      <c r="E1245" s="86"/>
      <c r="F1245" s="253"/>
      <c r="G1245" s="253"/>
      <c r="H1245" s="253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50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</row>
    <row r="1246">
      <c r="A1246" s="17"/>
      <c r="B1246" s="17"/>
      <c r="C1246" s="17"/>
      <c r="D1246" s="17"/>
      <c r="E1246" s="86"/>
      <c r="F1246" s="253"/>
      <c r="G1246" s="253"/>
      <c r="H1246" s="253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50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</row>
    <row r="1247">
      <c r="A1247" s="17"/>
      <c r="B1247" s="17"/>
      <c r="C1247" s="17"/>
      <c r="D1247" s="17"/>
      <c r="E1247" s="86"/>
      <c r="F1247" s="253"/>
      <c r="G1247" s="253"/>
      <c r="H1247" s="253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50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</row>
    <row r="1248">
      <c r="A1248" s="17"/>
      <c r="B1248" s="17"/>
      <c r="C1248" s="17"/>
      <c r="D1248" s="17"/>
      <c r="E1248" s="86"/>
      <c r="F1248" s="253"/>
      <c r="G1248" s="253"/>
      <c r="H1248" s="253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50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</row>
    <row r="1249">
      <c r="A1249" s="17"/>
      <c r="B1249" s="17"/>
      <c r="C1249" s="17"/>
      <c r="D1249" s="17"/>
      <c r="E1249" s="86"/>
      <c r="F1249" s="253"/>
      <c r="G1249" s="253"/>
      <c r="H1249" s="253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50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</row>
    <row r="1250">
      <c r="A1250" s="17"/>
      <c r="B1250" s="17"/>
      <c r="C1250" s="17"/>
      <c r="D1250" s="17"/>
      <c r="E1250" s="86"/>
      <c r="F1250" s="253"/>
      <c r="G1250" s="253"/>
      <c r="H1250" s="253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50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</row>
    <row r="1251">
      <c r="A1251" s="17"/>
      <c r="B1251" s="17"/>
      <c r="C1251" s="17"/>
      <c r="D1251" s="17"/>
      <c r="E1251" s="86"/>
      <c r="F1251" s="253"/>
      <c r="G1251" s="253"/>
      <c r="H1251" s="253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50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</row>
    <row r="1252">
      <c r="A1252" s="17"/>
      <c r="B1252" s="17"/>
      <c r="C1252" s="17"/>
      <c r="D1252" s="17"/>
      <c r="E1252" s="86"/>
      <c r="F1252" s="253"/>
      <c r="G1252" s="253"/>
      <c r="H1252" s="253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50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</row>
    <row r="1253">
      <c r="A1253" s="17"/>
      <c r="B1253" s="17"/>
      <c r="C1253" s="17"/>
      <c r="D1253" s="17"/>
      <c r="E1253" s="86"/>
      <c r="F1253" s="253"/>
      <c r="G1253" s="253"/>
      <c r="H1253" s="253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50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</row>
    <row r="1254">
      <c r="A1254" s="17"/>
      <c r="B1254" s="17"/>
      <c r="C1254" s="17"/>
      <c r="D1254" s="17"/>
      <c r="E1254" s="86"/>
      <c r="F1254" s="253"/>
      <c r="G1254" s="253"/>
      <c r="H1254" s="253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50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</row>
    <row r="1255">
      <c r="A1255" s="17"/>
      <c r="B1255" s="17"/>
      <c r="C1255" s="17"/>
      <c r="D1255" s="17"/>
      <c r="E1255" s="86"/>
      <c r="F1255" s="253"/>
      <c r="G1255" s="253"/>
      <c r="H1255" s="253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50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</row>
    <row r="1256">
      <c r="A1256" s="17"/>
      <c r="B1256" s="17"/>
      <c r="C1256" s="17"/>
      <c r="D1256" s="17"/>
      <c r="E1256" s="86"/>
      <c r="F1256" s="253"/>
      <c r="G1256" s="253"/>
      <c r="H1256" s="253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50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</row>
    <row r="1257">
      <c r="A1257" s="17"/>
      <c r="B1257" s="17"/>
      <c r="C1257" s="17"/>
      <c r="D1257" s="17"/>
      <c r="E1257" s="86"/>
      <c r="F1257" s="253"/>
      <c r="G1257" s="253"/>
      <c r="H1257" s="253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50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</row>
    <row r="1258">
      <c r="A1258" s="17"/>
      <c r="B1258" s="17"/>
      <c r="C1258" s="17"/>
      <c r="D1258" s="17"/>
      <c r="E1258" s="86"/>
      <c r="F1258" s="253"/>
      <c r="G1258" s="253"/>
      <c r="H1258" s="253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50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</row>
    <row r="1259">
      <c r="A1259" s="17"/>
      <c r="B1259" s="17"/>
      <c r="C1259" s="17"/>
      <c r="D1259" s="17"/>
      <c r="E1259" s="86"/>
      <c r="F1259" s="253"/>
      <c r="G1259" s="253"/>
      <c r="H1259" s="253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50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</row>
    <row r="1260">
      <c r="A1260" s="17"/>
      <c r="B1260" s="17"/>
      <c r="C1260" s="17"/>
      <c r="D1260" s="17"/>
      <c r="E1260" s="86"/>
      <c r="F1260" s="253"/>
      <c r="G1260" s="253"/>
      <c r="H1260" s="253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50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</row>
    <row r="1261">
      <c r="A1261" s="17"/>
      <c r="B1261" s="17"/>
      <c r="C1261" s="17"/>
      <c r="D1261" s="17"/>
      <c r="E1261" s="86"/>
      <c r="F1261" s="253"/>
      <c r="G1261" s="253"/>
      <c r="H1261" s="253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50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</row>
    <row r="1262">
      <c r="A1262" s="17"/>
      <c r="B1262" s="17"/>
      <c r="C1262" s="17"/>
      <c r="D1262" s="17"/>
      <c r="E1262" s="86"/>
      <c r="F1262" s="253"/>
      <c r="G1262" s="253"/>
      <c r="H1262" s="253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50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</row>
    <row r="1263">
      <c r="A1263" s="17"/>
      <c r="B1263" s="17"/>
      <c r="C1263" s="17"/>
      <c r="D1263" s="17"/>
      <c r="E1263" s="86"/>
      <c r="F1263" s="253"/>
      <c r="G1263" s="253"/>
      <c r="H1263" s="253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50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</row>
    <row r="1264">
      <c r="A1264" s="17"/>
      <c r="B1264" s="17"/>
      <c r="C1264" s="17"/>
      <c r="D1264" s="17"/>
      <c r="E1264" s="86"/>
      <c r="F1264" s="253"/>
      <c r="G1264" s="253"/>
      <c r="H1264" s="253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50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</row>
    <row r="1265">
      <c r="A1265" s="17"/>
      <c r="B1265" s="17"/>
      <c r="C1265" s="17"/>
      <c r="D1265" s="17"/>
      <c r="E1265" s="86"/>
      <c r="F1265" s="253"/>
      <c r="G1265" s="253"/>
      <c r="H1265" s="253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50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</row>
    <row r="1266">
      <c r="A1266" s="17"/>
      <c r="B1266" s="17"/>
      <c r="C1266" s="17"/>
      <c r="D1266" s="17"/>
      <c r="E1266" s="86"/>
      <c r="F1266" s="253"/>
      <c r="G1266" s="253"/>
      <c r="H1266" s="253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50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</row>
    <row r="1267">
      <c r="A1267" s="17"/>
      <c r="B1267" s="17"/>
      <c r="C1267" s="17"/>
      <c r="D1267" s="17"/>
      <c r="E1267" s="86"/>
      <c r="F1267" s="253"/>
      <c r="G1267" s="253"/>
      <c r="H1267" s="253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50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</row>
    <row r="1268">
      <c r="A1268" s="17"/>
      <c r="B1268" s="17"/>
      <c r="C1268" s="17"/>
      <c r="D1268" s="17"/>
      <c r="E1268" s="86"/>
      <c r="F1268" s="253"/>
      <c r="G1268" s="253"/>
      <c r="H1268" s="253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50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</row>
    <row r="1269">
      <c r="A1269" s="17"/>
      <c r="B1269" s="17"/>
      <c r="C1269" s="17"/>
      <c r="D1269" s="17"/>
      <c r="E1269" s="86"/>
      <c r="F1269" s="253"/>
      <c r="G1269" s="253"/>
      <c r="H1269" s="253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50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</row>
    <row r="1270">
      <c r="A1270" s="17"/>
      <c r="B1270" s="17"/>
      <c r="C1270" s="17"/>
      <c r="D1270" s="17"/>
      <c r="E1270" s="86"/>
      <c r="F1270" s="253"/>
      <c r="G1270" s="253"/>
      <c r="H1270" s="253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50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</row>
    <row r="1271">
      <c r="A1271" s="17"/>
      <c r="B1271" s="17"/>
      <c r="C1271" s="17"/>
      <c r="D1271" s="17"/>
      <c r="E1271" s="86"/>
      <c r="F1271" s="253"/>
      <c r="G1271" s="253"/>
      <c r="H1271" s="253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50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</row>
    <row r="1272">
      <c r="A1272" s="17"/>
      <c r="B1272" s="17"/>
      <c r="C1272" s="17"/>
      <c r="D1272" s="17"/>
      <c r="E1272" s="86"/>
      <c r="F1272" s="253"/>
      <c r="G1272" s="253"/>
      <c r="H1272" s="253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50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</row>
    <row r="1273">
      <c r="A1273" s="17"/>
      <c r="B1273" s="17"/>
      <c r="C1273" s="17"/>
      <c r="D1273" s="17"/>
      <c r="E1273" s="86"/>
      <c r="F1273" s="253"/>
      <c r="G1273" s="253"/>
      <c r="H1273" s="253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50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</row>
    <row r="1274">
      <c r="A1274" s="17"/>
      <c r="B1274" s="17"/>
      <c r="C1274" s="17"/>
      <c r="D1274" s="17"/>
      <c r="E1274" s="86"/>
      <c r="F1274" s="253"/>
      <c r="G1274" s="253"/>
      <c r="H1274" s="253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50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</row>
    <row r="1275">
      <c r="A1275" s="17"/>
      <c r="B1275" s="17"/>
      <c r="C1275" s="17"/>
      <c r="D1275" s="17"/>
      <c r="E1275" s="86"/>
      <c r="F1275" s="253"/>
      <c r="G1275" s="253"/>
      <c r="H1275" s="253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50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</row>
    <row r="1276">
      <c r="A1276" s="17"/>
      <c r="B1276" s="17"/>
      <c r="C1276" s="17"/>
      <c r="D1276" s="17"/>
      <c r="E1276" s="86"/>
      <c r="F1276" s="253"/>
      <c r="G1276" s="253"/>
      <c r="H1276" s="253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50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</row>
    <row r="1277">
      <c r="A1277" s="17"/>
      <c r="B1277" s="17"/>
      <c r="C1277" s="17"/>
      <c r="D1277" s="17"/>
      <c r="E1277" s="86"/>
      <c r="F1277" s="253"/>
      <c r="G1277" s="253"/>
      <c r="H1277" s="253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50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</row>
    <row r="1278">
      <c r="A1278" s="17"/>
      <c r="B1278" s="17"/>
      <c r="C1278" s="17"/>
      <c r="D1278" s="17"/>
      <c r="E1278" s="86"/>
      <c r="F1278" s="253"/>
      <c r="G1278" s="253"/>
      <c r="H1278" s="253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50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</row>
    <row r="1279">
      <c r="A1279" s="17"/>
      <c r="B1279" s="17"/>
      <c r="C1279" s="17"/>
      <c r="D1279" s="17"/>
      <c r="E1279" s="86"/>
      <c r="F1279" s="253"/>
      <c r="G1279" s="253"/>
      <c r="H1279" s="253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50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</row>
    <row r="1280">
      <c r="A1280" s="17"/>
      <c r="B1280" s="17"/>
      <c r="C1280" s="17"/>
      <c r="D1280" s="17"/>
      <c r="E1280" s="86"/>
      <c r="F1280" s="253"/>
      <c r="G1280" s="253"/>
      <c r="H1280" s="253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50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</row>
    <row r="1281">
      <c r="A1281" s="17"/>
      <c r="B1281" s="17"/>
      <c r="C1281" s="17"/>
      <c r="D1281" s="17"/>
      <c r="E1281" s="86"/>
      <c r="F1281" s="253"/>
      <c r="G1281" s="253"/>
      <c r="H1281" s="253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50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</row>
    <row r="1282">
      <c r="A1282" s="17"/>
      <c r="B1282" s="17"/>
      <c r="C1282" s="17"/>
      <c r="D1282" s="17"/>
      <c r="E1282" s="86"/>
      <c r="F1282" s="253"/>
      <c r="G1282" s="253"/>
      <c r="H1282" s="253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50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</row>
    <row r="1283">
      <c r="A1283" s="17"/>
      <c r="B1283" s="17"/>
      <c r="C1283" s="17"/>
      <c r="D1283" s="17"/>
      <c r="E1283" s="86"/>
      <c r="F1283" s="253"/>
      <c r="G1283" s="253"/>
      <c r="H1283" s="253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50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</row>
    <row r="1284">
      <c r="A1284" s="17"/>
      <c r="B1284" s="17"/>
      <c r="C1284" s="17"/>
      <c r="D1284" s="17"/>
      <c r="E1284" s="86"/>
      <c r="F1284" s="253"/>
      <c r="G1284" s="253"/>
      <c r="H1284" s="253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50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</row>
    <row r="1285">
      <c r="A1285" s="17"/>
      <c r="B1285" s="17"/>
      <c r="C1285" s="17"/>
      <c r="D1285" s="17"/>
      <c r="E1285" s="86"/>
      <c r="F1285" s="253"/>
      <c r="G1285" s="253"/>
      <c r="H1285" s="253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50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</row>
    <row r="1286">
      <c r="A1286" s="17"/>
      <c r="B1286" s="17"/>
      <c r="C1286" s="17"/>
      <c r="D1286" s="17"/>
      <c r="E1286" s="86"/>
      <c r="F1286" s="253"/>
      <c r="G1286" s="253"/>
      <c r="H1286" s="253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50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</row>
    <row r="1287">
      <c r="A1287" s="17"/>
      <c r="B1287" s="17"/>
      <c r="C1287" s="17"/>
      <c r="D1287" s="17"/>
      <c r="E1287" s="86"/>
      <c r="F1287" s="253"/>
      <c r="G1287" s="253"/>
      <c r="H1287" s="253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50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</row>
    <row r="1288">
      <c r="A1288" s="17"/>
      <c r="B1288" s="17"/>
      <c r="C1288" s="17"/>
      <c r="D1288" s="17"/>
      <c r="E1288" s="86"/>
      <c r="F1288" s="253"/>
      <c r="G1288" s="253"/>
      <c r="H1288" s="253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50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</row>
    <row r="1289">
      <c r="A1289" s="17"/>
      <c r="B1289" s="17"/>
      <c r="C1289" s="17"/>
      <c r="D1289" s="17"/>
      <c r="E1289" s="86"/>
      <c r="F1289" s="253"/>
      <c r="G1289" s="253"/>
      <c r="H1289" s="253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50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</row>
    <row r="1290">
      <c r="A1290" s="17"/>
      <c r="B1290" s="17"/>
      <c r="C1290" s="17"/>
      <c r="D1290" s="17"/>
      <c r="E1290" s="86"/>
      <c r="F1290" s="253"/>
      <c r="G1290" s="253"/>
      <c r="H1290" s="253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50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</row>
    <row r="1291">
      <c r="A1291" s="17"/>
      <c r="B1291" s="17"/>
      <c r="C1291" s="17"/>
      <c r="D1291" s="17"/>
      <c r="E1291" s="86"/>
      <c r="F1291" s="253"/>
      <c r="G1291" s="253"/>
      <c r="H1291" s="253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50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</row>
    <row r="1292">
      <c r="A1292" s="17"/>
      <c r="B1292" s="17"/>
      <c r="C1292" s="17"/>
      <c r="D1292" s="17"/>
      <c r="E1292" s="86"/>
      <c r="F1292" s="253"/>
      <c r="G1292" s="253"/>
      <c r="H1292" s="253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50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</row>
    <row r="1293">
      <c r="A1293" s="17"/>
      <c r="B1293" s="17"/>
      <c r="C1293" s="17"/>
      <c r="D1293" s="17"/>
      <c r="E1293" s="86"/>
      <c r="F1293" s="253"/>
      <c r="G1293" s="253"/>
      <c r="H1293" s="253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50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</row>
    <row r="1294">
      <c r="A1294" s="17"/>
      <c r="B1294" s="17"/>
      <c r="C1294" s="17"/>
      <c r="D1294" s="17"/>
      <c r="E1294" s="86"/>
      <c r="F1294" s="253"/>
      <c r="G1294" s="253"/>
      <c r="H1294" s="253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50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</row>
    <row r="1295">
      <c r="A1295" s="17"/>
      <c r="B1295" s="17"/>
      <c r="C1295" s="17"/>
      <c r="D1295" s="17"/>
      <c r="E1295" s="86"/>
      <c r="F1295" s="253"/>
      <c r="G1295" s="253"/>
      <c r="H1295" s="253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50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</row>
    <row r="1296">
      <c r="A1296" s="17"/>
      <c r="B1296" s="17"/>
      <c r="C1296" s="17"/>
      <c r="D1296" s="17"/>
      <c r="E1296" s="86"/>
      <c r="F1296" s="253"/>
      <c r="G1296" s="253"/>
      <c r="H1296" s="253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50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</row>
    <row r="1297">
      <c r="A1297" s="17"/>
      <c r="B1297" s="17"/>
      <c r="C1297" s="17"/>
      <c r="D1297" s="17"/>
      <c r="E1297" s="86"/>
      <c r="F1297" s="253"/>
      <c r="G1297" s="253"/>
      <c r="H1297" s="253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50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</row>
    <row r="1298">
      <c r="A1298" s="17"/>
      <c r="B1298" s="17"/>
      <c r="C1298" s="17"/>
      <c r="D1298" s="17"/>
      <c r="E1298" s="86"/>
      <c r="F1298" s="253"/>
      <c r="G1298" s="253"/>
      <c r="H1298" s="253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50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</row>
    <row r="1299">
      <c r="A1299" s="17"/>
      <c r="B1299" s="17"/>
      <c r="C1299" s="17"/>
      <c r="D1299" s="17"/>
      <c r="E1299" s="86"/>
      <c r="F1299" s="253"/>
      <c r="G1299" s="253"/>
      <c r="H1299" s="253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50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</row>
    <row r="1300">
      <c r="A1300" s="17"/>
      <c r="B1300" s="17"/>
      <c r="C1300" s="17"/>
      <c r="D1300" s="17"/>
      <c r="E1300" s="86"/>
      <c r="F1300" s="253"/>
      <c r="G1300" s="253"/>
      <c r="H1300" s="253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50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</row>
    <row r="1301">
      <c r="A1301" s="17"/>
      <c r="B1301" s="17"/>
      <c r="C1301" s="17"/>
      <c r="D1301" s="17"/>
      <c r="E1301" s="86"/>
      <c r="F1301" s="253"/>
      <c r="G1301" s="253"/>
      <c r="H1301" s="253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50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</row>
    <row r="1302">
      <c r="A1302" s="17"/>
      <c r="B1302" s="17"/>
      <c r="C1302" s="17"/>
      <c r="D1302" s="17"/>
      <c r="E1302" s="86"/>
      <c r="F1302" s="253"/>
      <c r="G1302" s="253"/>
      <c r="H1302" s="253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50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</row>
    <row r="1303">
      <c r="A1303" s="17"/>
      <c r="B1303" s="17"/>
      <c r="C1303" s="17"/>
      <c r="D1303" s="17"/>
      <c r="E1303" s="86"/>
      <c r="F1303" s="253"/>
      <c r="G1303" s="253"/>
      <c r="H1303" s="253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50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</row>
    <row r="1304">
      <c r="A1304" s="17"/>
      <c r="B1304" s="17"/>
      <c r="C1304" s="17"/>
      <c r="D1304" s="17"/>
      <c r="E1304" s="86"/>
      <c r="F1304" s="253"/>
      <c r="G1304" s="253"/>
      <c r="H1304" s="253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50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</row>
    <row r="1305">
      <c r="A1305" s="17"/>
      <c r="B1305" s="17"/>
      <c r="C1305" s="17"/>
      <c r="D1305" s="17"/>
      <c r="E1305" s="86"/>
      <c r="F1305" s="253"/>
      <c r="G1305" s="253"/>
      <c r="H1305" s="253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50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</row>
    <row r="1306">
      <c r="A1306" s="17"/>
      <c r="B1306" s="17"/>
      <c r="C1306" s="17"/>
      <c r="D1306" s="17"/>
      <c r="E1306" s="86"/>
      <c r="F1306" s="253"/>
      <c r="G1306" s="253"/>
      <c r="H1306" s="253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50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</row>
    <row r="1307">
      <c r="A1307" s="17"/>
      <c r="B1307" s="17"/>
      <c r="C1307" s="17"/>
      <c r="D1307" s="17"/>
      <c r="E1307" s="86"/>
      <c r="F1307" s="253"/>
      <c r="G1307" s="253"/>
      <c r="H1307" s="253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50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</row>
    <row r="1308">
      <c r="A1308" s="17"/>
      <c r="B1308" s="17"/>
      <c r="C1308" s="17"/>
      <c r="D1308" s="17"/>
      <c r="E1308" s="86"/>
      <c r="F1308" s="253"/>
      <c r="G1308" s="253"/>
      <c r="H1308" s="253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50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</row>
    <row r="1309">
      <c r="A1309" s="17"/>
      <c r="B1309" s="17"/>
      <c r="C1309" s="17"/>
      <c r="D1309" s="17"/>
      <c r="E1309" s="86"/>
      <c r="F1309" s="253"/>
      <c r="G1309" s="253"/>
      <c r="H1309" s="253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50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</row>
    <row r="1310">
      <c r="A1310" s="17"/>
      <c r="B1310" s="17"/>
      <c r="C1310" s="17"/>
      <c r="D1310" s="17"/>
      <c r="E1310" s="86"/>
      <c r="F1310" s="253"/>
      <c r="G1310" s="253"/>
      <c r="H1310" s="253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50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</row>
    <row r="1311">
      <c r="A1311" s="17"/>
      <c r="B1311" s="17"/>
      <c r="C1311" s="17"/>
      <c r="D1311" s="17"/>
      <c r="E1311" s="86"/>
      <c r="F1311" s="253"/>
      <c r="G1311" s="253"/>
      <c r="H1311" s="253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50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</row>
    <row r="1312">
      <c r="A1312" s="17"/>
      <c r="B1312" s="17"/>
      <c r="C1312" s="17"/>
      <c r="D1312" s="17"/>
      <c r="E1312" s="86"/>
      <c r="F1312" s="253"/>
      <c r="G1312" s="253"/>
      <c r="H1312" s="253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50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</row>
    <row r="1313">
      <c r="A1313" s="17"/>
      <c r="B1313" s="17"/>
      <c r="C1313" s="17"/>
      <c r="D1313" s="17"/>
      <c r="E1313" s="86"/>
      <c r="F1313" s="253"/>
      <c r="G1313" s="253"/>
      <c r="H1313" s="253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50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</row>
    <row r="1314">
      <c r="A1314" s="17"/>
      <c r="B1314" s="17"/>
      <c r="C1314" s="17"/>
      <c r="D1314" s="17"/>
      <c r="E1314" s="86"/>
      <c r="F1314" s="253"/>
      <c r="G1314" s="253"/>
      <c r="H1314" s="253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50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</row>
    <row r="1315">
      <c r="A1315" s="17"/>
      <c r="B1315" s="17"/>
      <c r="C1315" s="17"/>
      <c r="D1315" s="17"/>
      <c r="E1315" s="86"/>
      <c r="F1315" s="253"/>
      <c r="G1315" s="253"/>
      <c r="H1315" s="253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50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</row>
    <row r="1316">
      <c r="A1316" s="17"/>
      <c r="B1316" s="17"/>
      <c r="C1316" s="17"/>
      <c r="D1316" s="17"/>
      <c r="E1316" s="86"/>
      <c r="F1316" s="253"/>
      <c r="G1316" s="253"/>
      <c r="H1316" s="253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50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</row>
    <row r="1317">
      <c r="A1317" s="17"/>
      <c r="B1317" s="17"/>
      <c r="C1317" s="17"/>
      <c r="D1317" s="17"/>
      <c r="E1317" s="86"/>
      <c r="F1317" s="253"/>
      <c r="G1317" s="253"/>
      <c r="H1317" s="253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50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</row>
    <row r="1318">
      <c r="A1318" s="17"/>
      <c r="B1318" s="17"/>
      <c r="C1318" s="17"/>
      <c r="D1318" s="17"/>
      <c r="E1318" s="86"/>
      <c r="F1318" s="253"/>
      <c r="G1318" s="253"/>
      <c r="H1318" s="253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50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</row>
    <row r="1319">
      <c r="A1319" s="17"/>
      <c r="B1319" s="17"/>
      <c r="C1319" s="17"/>
      <c r="D1319" s="17"/>
      <c r="E1319" s="86"/>
      <c r="F1319" s="253"/>
      <c r="G1319" s="253"/>
      <c r="H1319" s="253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50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</row>
    <row r="1320">
      <c r="A1320" s="17"/>
      <c r="B1320" s="17"/>
      <c r="C1320" s="17"/>
      <c r="D1320" s="17"/>
      <c r="E1320" s="86"/>
      <c r="F1320" s="253"/>
      <c r="G1320" s="253"/>
      <c r="H1320" s="253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50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</row>
    <row r="1321">
      <c r="A1321" s="17"/>
      <c r="B1321" s="17"/>
      <c r="C1321" s="17"/>
      <c r="D1321" s="17"/>
      <c r="E1321" s="86"/>
      <c r="F1321" s="253"/>
      <c r="G1321" s="253"/>
      <c r="H1321" s="253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50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</row>
    <row r="1322">
      <c r="A1322" s="17"/>
      <c r="B1322" s="17"/>
      <c r="C1322" s="17"/>
      <c r="D1322" s="17"/>
      <c r="E1322" s="86"/>
      <c r="F1322" s="253"/>
      <c r="G1322" s="253"/>
      <c r="H1322" s="253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50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</row>
    <row r="1323">
      <c r="A1323" s="17"/>
      <c r="B1323" s="17"/>
      <c r="C1323" s="17"/>
      <c r="D1323" s="17"/>
      <c r="E1323" s="86"/>
      <c r="F1323" s="253"/>
      <c r="G1323" s="253"/>
      <c r="H1323" s="253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50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</row>
    <row r="1324">
      <c r="A1324" s="17"/>
      <c r="B1324" s="17"/>
      <c r="C1324" s="17"/>
      <c r="D1324" s="17"/>
      <c r="E1324" s="86"/>
      <c r="F1324" s="253"/>
      <c r="G1324" s="253"/>
      <c r="H1324" s="253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50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</row>
    <row r="1325">
      <c r="A1325" s="17"/>
      <c r="B1325" s="17"/>
      <c r="C1325" s="17"/>
      <c r="D1325" s="17"/>
      <c r="E1325" s="86"/>
      <c r="F1325" s="253"/>
      <c r="G1325" s="253"/>
      <c r="H1325" s="253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50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</row>
    <row r="1326">
      <c r="A1326" s="17"/>
      <c r="B1326" s="17"/>
      <c r="C1326" s="17"/>
      <c r="D1326" s="17"/>
      <c r="E1326" s="86"/>
      <c r="F1326" s="253"/>
      <c r="G1326" s="253"/>
      <c r="H1326" s="253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50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</row>
    <row r="1327">
      <c r="A1327" s="17"/>
      <c r="B1327" s="17"/>
      <c r="C1327" s="17"/>
      <c r="D1327" s="17"/>
      <c r="E1327" s="86"/>
      <c r="F1327" s="253"/>
      <c r="G1327" s="253"/>
      <c r="H1327" s="253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50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</row>
    <row r="1328">
      <c r="A1328" s="17"/>
      <c r="B1328" s="17"/>
      <c r="C1328" s="17"/>
      <c r="D1328" s="17"/>
      <c r="E1328" s="86"/>
      <c r="F1328" s="253"/>
      <c r="G1328" s="253"/>
      <c r="H1328" s="253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50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</row>
    <row r="1329">
      <c r="A1329" s="17"/>
      <c r="B1329" s="17"/>
      <c r="C1329" s="17"/>
      <c r="D1329" s="17"/>
      <c r="E1329" s="86"/>
      <c r="F1329" s="253"/>
      <c r="G1329" s="253"/>
      <c r="H1329" s="253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50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</row>
    <row r="1330">
      <c r="A1330" s="17"/>
      <c r="B1330" s="17"/>
      <c r="C1330" s="17"/>
      <c r="D1330" s="17"/>
      <c r="E1330" s="86"/>
      <c r="F1330" s="253"/>
      <c r="G1330" s="253"/>
      <c r="H1330" s="253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50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</row>
    <row r="1331">
      <c r="A1331" s="17"/>
      <c r="B1331" s="17"/>
      <c r="C1331" s="17"/>
      <c r="D1331" s="17"/>
      <c r="E1331" s="86"/>
      <c r="F1331" s="253"/>
      <c r="G1331" s="253"/>
      <c r="H1331" s="253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50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</row>
    <row r="1332">
      <c r="A1332" s="17"/>
      <c r="B1332" s="17"/>
      <c r="C1332" s="17"/>
      <c r="D1332" s="17"/>
      <c r="E1332" s="86"/>
      <c r="F1332" s="253"/>
      <c r="G1332" s="253"/>
      <c r="H1332" s="253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50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</row>
    <row r="1333">
      <c r="A1333" s="17"/>
      <c r="B1333" s="17"/>
      <c r="C1333" s="17"/>
      <c r="D1333" s="17"/>
      <c r="E1333" s="86"/>
      <c r="F1333" s="253"/>
      <c r="G1333" s="253"/>
      <c r="H1333" s="253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50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</row>
    <row r="1334">
      <c r="A1334" s="17"/>
      <c r="B1334" s="17"/>
      <c r="C1334" s="17"/>
      <c r="D1334" s="17"/>
      <c r="E1334" s="86"/>
      <c r="F1334" s="253"/>
      <c r="G1334" s="253"/>
      <c r="H1334" s="253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50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</row>
    <row r="1335">
      <c r="A1335" s="17"/>
      <c r="B1335" s="17"/>
      <c r="C1335" s="17"/>
      <c r="D1335" s="17"/>
      <c r="E1335" s="86"/>
      <c r="F1335" s="253"/>
      <c r="G1335" s="253"/>
      <c r="H1335" s="253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50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</row>
    <row r="1336">
      <c r="A1336" s="17"/>
      <c r="B1336" s="17"/>
      <c r="C1336" s="17"/>
      <c r="D1336" s="17"/>
      <c r="E1336" s="86"/>
      <c r="F1336" s="253"/>
      <c r="G1336" s="253"/>
      <c r="H1336" s="253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50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</row>
    <row r="1337">
      <c r="A1337" s="17"/>
      <c r="B1337" s="17"/>
      <c r="C1337" s="17"/>
      <c r="D1337" s="17"/>
      <c r="E1337" s="86"/>
      <c r="F1337" s="253"/>
      <c r="G1337" s="253"/>
      <c r="H1337" s="253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50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</row>
    <row r="1338">
      <c r="A1338" s="17"/>
      <c r="B1338" s="17"/>
      <c r="C1338" s="17"/>
      <c r="D1338" s="17"/>
      <c r="E1338" s="86"/>
      <c r="F1338" s="253"/>
      <c r="G1338" s="253"/>
      <c r="H1338" s="253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50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</row>
    <row r="1339">
      <c r="A1339" s="17"/>
      <c r="B1339" s="17"/>
      <c r="C1339" s="17"/>
      <c r="D1339" s="17"/>
      <c r="E1339" s="86"/>
      <c r="F1339" s="253"/>
      <c r="G1339" s="253"/>
      <c r="H1339" s="253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50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</row>
    <row r="1340">
      <c r="A1340" s="17"/>
      <c r="B1340" s="17"/>
      <c r="C1340" s="17"/>
      <c r="D1340" s="17"/>
      <c r="E1340" s="86"/>
      <c r="F1340" s="253"/>
      <c r="G1340" s="253"/>
      <c r="H1340" s="253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50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</row>
    <row r="1341">
      <c r="A1341" s="17"/>
      <c r="B1341" s="17"/>
      <c r="C1341" s="17"/>
      <c r="D1341" s="17"/>
      <c r="E1341" s="86"/>
      <c r="F1341" s="253"/>
      <c r="G1341" s="253"/>
      <c r="H1341" s="253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50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</row>
    <row r="1342">
      <c r="A1342" s="17"/>
      <c r="B1342" s="17"/>
      <c r="C1342" s="17"/>
      <c r="D1342" s="17"/>
      <c r="E1342" s="86"/>
      <c r="F1342" s="253"/>
      <c r="G1342" s="253"/>
      <c r="H1342" s="253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50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</row>
    <row r="1343">
      <c r="A1343" s="17"/>
      <c r="B1343" s="17"/>
      <c r="C1343" s="17"/>
      <c r="D1343" s="17"/>
      <c r="E1343" s="86"/>
      <c r="F1343" s="253"/>
      <c r="G1343" s="253"/>
      <c r="H1343" s="253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50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</row>
    <row r="1344">
      <c r="A1344" s="17"/>
      <c r="B1344" s="17"/>
      <c r="C1344" s="17"/>
      <c r="D1344" s="17"/>
      <c r="E1344" s="86"/>
      <c r="F1344" s="253"/>
      <c r="G1344" s="253"/>
      <c r="H1344" s="253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50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</row>
    <row r="1345">
      <c r="A1345" s="17"/>
      <c r="B1345" s="17"/>
      <c r="C1345" s="17"/>
      <c r="D1345" s="17"/>
      <c r="E1345" s="86"/>
      <c r="F1345" s="253"/>
      <c r="G1345" s="253"/>
      <c r="H1345" s="253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50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</row>
    <row r="1346">
      <c r="A1346" s="17"/>
      <c r="B1346" s="17"/>
      <c r="C1346" s="17"/>
      <c r="D1346" s="17"/>
      <c r="E1346" s="86"/>
      <c r="F1346" s="253"/>
      <c r="G1346" s="253"/>
      <c r="H1346" s="253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50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</row>
    <row r="1347">
      <c r="A1347" s="17"/>
      <c r="B1347" s="17"/>
      <c r="C1347" s="17"/>
      <c r="D1347" s="17"/>
      <c r="E1347" s="86"/>
      <c r="F1347" s="253"/>
      <c r="G1347" s="253"/>
      <c r="H1347" s="253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50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</row>
    <row r="1348">
      <c r="A1348" s="17"/>
      <c r="B1348" s="17"/>
      <c r="C1348" s="17"/>
      <c r="D1348" s="17"/>
      <c r="E1348" s="86"/>
      <c r="F1348" s="253"/>
      <c r="G1348" s="253"/>
      <c r="H1348" s="253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50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</row>
    <row r="1349">
      <c r="A1349" s="17"/>
      <c r="B1349" s="17"/>
      <c r="C1349" s="17"/>
      <c r="D1349" s="17"/>
      <c r="E1349" s="86"/>
      <c r="F1349" s="253"/>
      <c r="G1349" s="253"/>
      <c r="H1349" s="253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50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</row>
    <row r="1350">
      <c r="A1350" s="17"/>
      <c r="B1350" s="17"/>
      <c r="C1350" s="17"/>
      <c r="D1350" s="17"/>
      <c r="E1350" s="86"/>
      <c r="F1350" s="253"/>
      <c r="G1350" s="253"/>
      <c r="H1350" s="253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50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</row>
    <row r="1351">
      <c r="A1351" s="17"/>
      <c r="B1351" s="17"/>
      <c r="C1351" s="17"/>
      <c r="D1351" s="17"/>
      <c r="E1351" s="86"/>
      <c r="F1351" s="253"/>
      <c r="G1351" s="253"/>
      <c r="H1351" s="253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50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</row>
    <row r="1352">
      <c r="A1352" s="17"/>
      <c r="B1352" s="17"/>
      <c r="C1352" s="17"/>
      <c r="D1352" s="17"/>
      <c r="E1352" s="86"/>
      <c r="F1352" s="253"/>
      <c r="G1352" s="253"/>
      <c r="H1352" s="253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50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</row>
    <row r="1353">
      <c r="A1353" s="17"/>
      <c r="B1353" s="17"/>
      <c r="C1353" s="17"/>
      <c r="D1353" s="17"/>
      <c r="E1353" s="86"/>
      <c r="F1353" s="253"/>
      <c r="G1353" s="253"/>
      <c r="H1353" s="253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50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</row>
    <row r="1354">
      <c r="A1354" s="17"/>
      <c r="B1354" s="17"/>
      <c r="C1354" s="17"/>
      <c r="D1354" s="17"/>
      <c r="E1354" s="86"/>
      <c r="F1354" s="253"/>
      <c r="G1354" s="253"/>
      <c r="H1354" s="253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50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</row>
    <row r="1355">
      <c r="A1355" s="17"/>
      <c r="B1355" s="17"/>
      <c r="C1355" s="17"/>
      <c r="D1355" s="17"/>
      <c r="E1355" s="86"/>
      <c r="F1355" s="253"/>
      <c r="G1355" s="253"/>
      <c r="H1355" s="253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50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</row>
    <row r="1356">
      <c r="A1356" s="17"/>
      <c r="B1356" s="17"/>
      <c r="C1356" s="17"/>
      <c r="D1356" s="17"/>
      <c r="E1356" s="86"/>
      <c r="F1356" s="253"/>
      <c r="G1356" s="253"/>
      <c r="H1356" s="253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50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</row>
    <row r="1357">
      <c r="A1357" s="17"/>
      <c r="B1357" s="17"/>
      <c r="C1357" s="17"/>
      <c r="D1357" s="17"/>
      <c r="E1357" s="86"/>
      <c r="F1357" s="253"/>
      <c r="G1357" s="253"/>
      <c r="H1357" s="253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50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</row>
    <row r="1358">
      <c r="A1358" s="17"/>
      <c r="B1358" s="17"/>
      <c r="C1358" s="17"/>
      <c r="D1358" s="17"/>
      <c r="E1358" s="86"/>
      <c r="F1358" s="253"/>
      <c r="G1358" s="253"/>
      <c r="H1358" s="253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50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</row>
    <row r="1359">
      <c r="A1359" s="17"/>
      <c r="B1359" s="17"/>
      <c r="C1359" s="17"/>
      <c r="D1359" s="17"/>
      <c r="E1359" s="86"/>
      <c r="F1359" s="253"/>
      <c r="G1359" s="253"/>
      <c r="H1359" s="253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50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</row>
    <row r="1360">
      <c r="A1360" s="17"/>
      <c r="B1360" s="17"/>
      <c r="C1360" s="17"/>
      <c r="D1360" s="17"/>
      <c r="E1360" s="86"/>
      <c r="F1360" s="253"/>
      <c r="G1360" s="253"/>
      <c r="H1360" s="253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50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</row>
    <row r="1361">
      <c r="A1361" s="17"/>
      <c r="B1361" s="17"/>
      <c r="C1361" s="17"/>
      <c r="D1361" s="17"/>
      <c r="E1361" s="86"/>
      <c r="F1361" s="253"/>
      <c r="G1361" s="253"/>
      <c r="H1361" s="253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50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</row>
    <row r="1362">
      <c r="A1362" s="17"/>
      <c r="B1362" s="17"/>
      <c r="C1362" s="17"/>
      <c r="D1362" s="17"/>
      <c r="E1362" s="86"/>
      <c r="F1362" s="253"/>
      <c r="G1362" s="253"/>
      <c r="H1362" s="253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50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</row>
    <row r="1363">
      <c r="A1363" s="17"/>
      <c r="B1363" s="17"/>
      <c r="C1363" s="17"/>
      <c r="D1363" s="17"/>
      <c r="E1363" s="86"/>
      <c r="F1363" s="253"/>
      <c r="G1363" s="253"/>
      <c r="H1363" s="253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50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</row>
    <row r="1364">
      <c r="A1364" s="17"/>
      <c r="B1364" s="17"/>
      <c r="C1364" s="17"/>
      <c r="D1364" s="17"/>
      <c r="E1364" s="86"/>
      <c r="F1364" s="253"/>
      <c r="G1364" s="253"/>
      <c r="H1364" s="253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50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</row>
    <row r="1365">
      <c r="A1365" s="17"/>
      <c r="B1365" s="17"/>
      <c r="C1365" s="17"/>
      <c r="D1365" s="17"/>
      <c r="E1365" s="86"/>
      <c r="F1365" s="253"/>
      <c r="G1365" s="253"/>
      <c r="H1365" s="253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50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</row>
    <row r="1366">
      <c r="A1366" s="17"/>
      <c r="B1366" s="17"/>
      <c r="C1366" s="17"/>
      <c r="D1366" s="17"/>
      <c r="E1366" s="86"/>
      <c r="F1366" s="253"/>
      <c r="G1366" s="253"/>
      <c r="H1366" s="253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50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</row>
    <row r="1367">
      <c r="A1367" s="17"/>
      <c r="B1367" s="17"/>
      <c r="C1367" s="17"/>
      <c r="D1367" s="17"/>
      <c r="E1367" s="86"/>
      <c r="F1367" s="253"/>
      <c r="G1367" s="253"/>
      <c r="H1367" s="253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50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</row>
    <row r="1368">
      <c r="A1368" s="17"/>
      <c r="B1368" s="17"/>
      <c r="C1368" s="17"/>
      <c r="D1368" s="17"/>
      <c r="E1368" s="86"/>
      <c r="F1368" s="253"/>
      <c r="G1368" s="253"/>
      <c r="H1368" s="253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50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</row>
    <row r="1369">
      <c r="A1369" s="17"/>
      <c r="B1369" s="17"/>
      <c r="C1369" s="17"/>
      <c r="D1369" s="17"/>
      <c r="E1369" s="86"/>
      <c r="F1369" s="253"/>
      <c r="G1369" s="253"/>
      <c r="H1369" s="253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50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</row>
    <row r="1370">
      <c r="A1370" s="17"/>
      <c r="B1370" s="17"/>
      <c r="C1370" s="17"/>
      <c r="D1370" s="17"/>
      <c r="E1370" s="86"/>
      <c r="F1370" s="253"/>
      <c r="G1370" s="253"/>
      <c r="H1370" s="253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50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</row>
    <row r="1371">
      <c r="A1371" s="17"/>
      <c r="B1371" s="17"/>
      <c r="C1371" s="17"/>
      <c r="D1371" s="17"/>
      <c r="E1371" s="86"/>
      <c r="F1371" s="253"/>
      <c r="G1371" s="253"/>
      <c r="H1371" s="253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50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</row>
    <row r="1372">
      <c r="A1372" s="17"/>
      <c r="B1372" s="17"/>
      <c r="C1372" s="17"/>
      <c r="D1372" s="17"/>
      <c r="E1372" s="86"/>
      <c r="F1372" s="253"/>
      <c r="G1372" s="253"/>
      <c r="H1372" s="253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50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</row>
    <row r="1373">
      <c r="A1373" s="17"/>
      <c r="B1373" s="17"/>
      <c r="C1373" s="17"/>
      <c r="D1373" s="17"/>
      <c r="E1373" s="86"/>
      <c r="F1373" s="253"/>
      <c r="G1373" s="253"/>
      <c r="H1373" s="253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50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</row>
    <row r="1374">
      <c r="A1374" s="17"/>
      <c r="B1374" s="17"/>
      <c r="C1374" s="17"/>
      <c r="D1374" s="17"/>
      <c r="E1374" s="86"/>
      <c r="F1374" s="253"/>
      <c r="G1374" s="253"/>
      <c r="H1374" s="253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50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</row>
    <row r="1375">
      <c r="A1375" s="17"/>
      <c r="B1375" s="17"/>
      <c r="C1375" s="17"/>
      <c r="D1375" s="17"/>
      <c r="E1375" s="86"/>
      <c r="F1375" s="253"/>
      <c r="G1375" s="253"/>
      <c r="H1375" s="253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50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</row>
    <row r="1376">
      <c r="A1376" s="17"/>
      <c r="B1376" s="17"/>
      <c r="C1376" s="17"/>
      <c r="D1376" s="17"/>
      <c r="E1376" s="86"/>
      <c r="F1376" s="253"/>
      <c r="G1376" s="253"/>
      <c r="H1376" s="253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50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</row>
    <row r="1377">
      <c r="A1377" s="17"/>
      <c r="B1377" s="17"/>
      <c r="C1377" s="17"/>
      <c r="D1377" s="17"/>
      <c r="E1377" s="86"/>
      <c r="F1377" s="253"/>
      <c r="G1377" s="253"/>
      <c r="H1377" s="253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50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</row>
    <row r="1378">
      <c r="A1378" s="17"/>
      <c r="B1378" s="17"/>
      <c r="C1378" s="17"/>
      <c r="D1378" s="17"/>
      <c r="E1378" s="86"/>
      <c r="F1378" s="253"/>
      <c r="G1378" s="253"/>
      <c r="H1378" s="253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50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</row>
    <row r="1379">
      <c r="A1379" s="17"/>
      <c r="B1379" s="17"/>
      <c r="C1379" s="17"/>
      <c r="D1379" s="17"/>
      <c r="E1379" s="86"/>
      <c r="F1379" s="253"/>
      <c r="G1379" s="253"/>
      <c r="H1379" s="253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50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</row>
    <row r="1380">
      <c r="A1380" s="17"/>
      <c r="B1380" s="17"/>
      <c r="C1380" s="17"/>
      <c r="D1380" s="17"/>
      <c r="E1380" s="86"/>
      <c r="F1380" s="253"/>
      <c r="G1380" s="253"/>
      <c r="H1380" s="253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50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</row>
    <row r="1381">
      <c r="A1381" s="17"/>
      <c r="B1381" s="17"/>
      <c r="C1381" s="17"/>
      <c r="D1381" s="17"/>
      <c r="E1381" s="86"/>
      <c r="F1381" s="253"/>
      <c r="G1381" s="253"/>
      <c r="H1381" s="253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50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</row>
    <row r="1382">
      <c r="A1382" s="17"/>
      <c r="B1382" s="17"/>
      <c r="C1382" s="17"/>
      <c r="D1382" s="17"/>
      <c r="E1382" s="86"/>
      <c r="F1382" s="253"/>
      <c r="G1382" s="253"/>
      <c r="H1382" s="253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50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</row>
    <row r="1383">
      <c r="A1383" s="17"/>
      <c r="B1383" s="17"/>
      <c r="C1383" s="17"/>
      <c r="D1383" s="17"/>
      <c r="E1383" s="86"/>
      <c r="F1383" s="253"/>
      <c r="G1383" s="253"/>
      <c r="H1383" s="253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50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</row>
    <row r="1384">
      <c r="A1384" s="17"/>
      <c r="B1384" s="17"/>
      <c r="C1384" s="17"/>
      <c r="D1384" s="17"/>
      <c r="E1384" s="86"/>
      <c r="F1384" s="253"/>
      <c r="G1384" s="253"/>
      <c r="H1384" s="253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50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</row>
    <row r="1385">
      <c r="A1385" s="17"/>
      <c r="B1385" s="17"/>
      <c r="C1385" s="17"/>
      <c r="D1385" s="17"/>
      <c r="E1385" s="86"/>
      <c r="F1385" s="253"/>
      <c r="G1385" s="253"/>
      <c r="H1385" s="253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50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</row>
    <row r="1386">
      <c r="A1386" s="17"/>
      <c r="B1386" s="17"/>
      <c r="C1386" s="17"/>
      <c r="D1386" s="17"/>
      <c r="E1386" s="86"/>
      <c r="F1386" s="253"/>
      <c r="G1386" s="253"/>
      <c r="H1386" s="253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50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</row>
    <row r="1387">
      <c r="A1387" s="17"/>
      <c r="B1387" s="17"/>
      <c r="C1387" s="17"/>
      <c r="D1387" s="17"/>
      <c r="E1387" s="86"/>
      <c r="F1387" s="253"/>
      <c r="G1387" s="253"/>
      <c r="H1387" s="253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50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</row>
    <row r="1388">
      <c r="A1388" s="17"/>
      <c r="B1388" s="17"/>
      <c r="C1388" s="17"/>
      <c r="D1388" s="17"/>
      <c r="E1388" s="86"/>
      <c r="F1388" s="253"/>
      <c r="G1388" s="253"/>
      <c r="H1388" s="253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50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</row>
    <row r="1389">
      <c r="A1389" s="17"/>
      <c r="B1389" s="17"/>
      <c r="C1389" s="17"/>
      <c r="D1389" s="17"/>
      <c r="E1389" s="86"/>
      <c r="F1389" s="253"/>
      <c r="G1389" s="253"/>
      <c r="H1389" s="253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50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</row>
    <row r="1390">
      <c r="A1390" s="17"/>
      <c r="B1390" s="17"/>
      <c r="C1390" s="17"/>
      <c r="D1390" s="17"/>
      <c r="E1390" s="86"/>
      <c r="F1390" s="253"/>
      <c r="G1390" s="253"/>
      <c r="H1390" s="253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50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</row>
    <row r="1391">
      <c r="A1391" s="17"/>
      <c r="B1391" s="17"/>
      <c r="C1391" s="17"/>
      <c r="D1391" s="17"/>
      <c r="E1391" s="86"/>
      <c r="F1391" s="253"/>
      <c r="G1391" s="253"/>
      <c r="H1391" s="253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50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</row>
    <row r="1392">
      <c r="A1392" s="17"/>
      <c r="B1392" s="17"/>
      <c r="C1392" s="17"/>
      <c r="D1392" s="17"/>
      <c r="E1392" s="86"/>
      <c r="F1392" s="253"/>
      <c r="G1392" s="253"/>
      <c r="H1392" s="253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50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</row>
    <row r="1393">
      <c r="A1393" s="17"/>
      <c r="B1393" s="17"/>
      <c r="C1393" s="17"/>
      <c r="D1393" s="17"/>
      <c r="E1393" s="86"/>
      <c r="F1393" s="253"/>
      <c r="G1393" s="253"/>
      <c r="H1393" s="253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50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</row>
    <row r="1394">
      <c r="A1394" s="17"/>
      <c r="B1394" s="17"/>
      <c r="C1394" s="17"/>
      <c r="D1394" s="17"/>
      <c r="E1394" s="86"/>
      <c r="F1394" s="253"/>
      <c r="G1394" s="253"/>
      <c r="H1394" s="253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50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</row>
    <row r="1395">
      <c r="A1395" s="17"/>
      <c r="B1395" s="17"/>
      <c r="C1395" s="17"/>
      <c r="D1395" s="17"/>
      <c r="E1395" s="86"/>
      <c r="F1395" s="253"/>
      <c r="G1395" s="253"/>
      <c r="H1395" s="253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50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</row>
    <row r="1396">
      <c r="A1396" s="17"/>
      <c r="B1396" s="17"/>
      <c r="C1396" s="17"/>
      <c r="D1396" s="17"/>
      <c r="E1396" s="86"/>
      <c r="F1396" s="253"/>
      <c r="G1396" s="253"/>
      <c r="H1396" s="253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50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</row>
    <row r="1397">
      <c r="A1397" s="17"/>
      <c r="B1397" s="17"/>
      <c r="C1397" s="17"/>
      <c r="D1397" s="17"/>
      <c r="E1397" s="86"/>
      <c r="F1397" s="253"/>
      <c r="G1397" s="253"/>
      <c r="H1397" s="253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50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</row>
    <row r="1398">
      <c r="A1398" s="17"/>
      <c r="B1398" s="17"/>
      <c r="C1398" s="17"/>
      <c r="D1398" s="17"/>
      <c r="E1398" s="86"/>
      <c r="F1398" s="253"/>
      <c r="G1398" s="253"/>
      <c r="H1398" s="253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50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</row>
    <row r="1399">
      <c r="A1399" s="17"/>
      <c r="B1399" s="17"/>
      <c r="C1399" s="17"/>
      <c r="D1399" s="17"/>
      <c r="E1399" s="86"/>
      <c r="F1399" s="253"/>
      <c r="G1399" s="253"/>
      <c r="H1399" s="253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50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</row>
    <row r="1400">
      <c r="A1400" s="17"/>
      <c r="B1400" s="17"/>
      <c r="C1400" s="17"/>
      <c r="D1400" s="17"/>
      <c r="E1400" s="86"/>
      <c r="F1400" s="253"/>
      <c r="G1400" s="253"/>
      <c r="H1400" s="253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50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</row>
    <row r="1401">
      <c r="A1401" s="17"/>
      <c r="B1401" s="17"/>
      <c r="C1401" s="17"/>
      <c r="D1401" s="17"/>
      <c r="E1401" s="86"/>
      <c r="F1401" s="253"/>
      <c r="G1401" s="253"/>
      <c r="H1401" s="253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50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</row>
    <row r="1402">
      <c r="A1402" s="17"/>
      <c r="B1402" s="17"/>
      <c r="C1402" s="17"/>
      <c r="D1402" s="17"/>
      <c r="E1402" s="86"/>
      <c r="F1402" s="253"/>
      <c r="G1402" s="253"/>
      <c r="H1402" s="253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50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</row>
    <row r="1403">
      <c r="A1403" s="17"/>
      <c r="B1403" s="17"/>
      <c r="C1403" s="17"/>
      <c r="D1403" s="17"/>
      <c r="E1403" s="86"/>
      <c r="F1403" s="253"/>
      <c r="G1403" s="253"/>
      <c r="H1403" s="253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50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</row>
    <row r="1404">
      <c r="A1404" s="17"/>
      <c r="B1404" s="17"/>
      <c r="C1404" s="17"/>
      <c r="D1404" s="17"/>
      <c r="E1404" s="86"/>
      <c r="F1404" s="253"/>
      <c r="G1404" s="253"/>
      <c r="H1404" s="253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50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</row>
    <row r="1405">
      <c r="A1405" s="17"/>
      <c r="B1405" s="17"/>
      <c r="C1405" s="17"/>
      <c r="D1405" s="17"/>
      <c r="E1405" s="86"/>
      <c r="F1405" s="253"/>
      <c r="G1405" s="253"/>
      <c r="H1405" s="253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50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</row>
    <row r="1406">
      <c r="A1406" s="17"/>
      <c r="B1406" s="17"/>
      <c r="C1406" s="17"/>
      <c r="D1406" s="17"/>
      <c r="E1406" s="86"/>
      <c r="F1406" s="253"/>
      <c r="G1406" s="253"/>
      <c r="H1406" s="253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50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</row>
    <row r="1407">
      <c r="A1407" s="17"/>
      <c r="B1407" s="17"/>
      <c r="C1407" s="17"/>
      <c r="D1407" s="17"/>
      <c r="E1407" s="86"/>
      <c r="F1407" s="253"/>
      <c r="G1407" s="253"/>
      <c r="H1407" s="253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50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</row>
    <row r="1408">
      <c r="A1408" s="17"/>
      <c r="B1408" s="17"/>
      <c r="C1408" s="17"/>
      <c r="D1408" s="17"/>
      <c r="E1408" s="86"/>
      <c r="F1408" s="253"/>
      <c r="G1408" s="253"/>
      <c r="H1408" s="253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50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</row>
    <row r="1409">
      <c r="A1409" s="17"/>
      <c r="B1409" s="17"/>
      <c r="C1409" s="17"/>
      <c r="D1409" s="17"/>
      <c r="E1409" s="86"/>
      <c r="F1409" s="253"/>
      <c r="G1409" s="253"/>
      <c r="H1409" s="253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50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</row>
    <row r="1410">
      <c r="A1410" s="17"/>
      <c r="B1410" s="17"/>
      <c r="C1410" s="17"/>
      <c r="D1410" s="17"/>
      <c r="E1410" s="86"/>
      <c r="F1410" s="253"/>
      <c r="G1410" s="253"/>
      <c r="H1410" s="253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50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</row>
    <row r="1411">
      <c r="A1411" s="17"/>
      <c r="B1411" s="17"/>
      <c r="C1411" s="17"/>
      <c r="D1411" s="17"/>
      <c r="E1411" s="86"/>
      <c r="F1411" s="253"/>
      <c r="G1411" s="253"/>
      <c r="H1411" s="253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50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</row>
    <row r="1412">
      <c r="A1412" s="17"/>
      <c r="B1412" s="17"/>
      <c r="C1412" s="17"/>
      <c r="D1412" s="17"/>
      <c r="E1412" s="86"/>
      <c r="F1412" s="253"/>
      <c r="G1412" s="253"/>
      <c r="H1412" s="253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50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</row>
    <row r="1413">
      <c r="A1413" s="17"/>
      <c r="B1413" s="17"/>
      <c r="C1413" s="17"/>
      <c r="D1413" s="17"/>
      <c r="E1413" s="86"/>
      <c r="F1413" s="253"/>
      <c r="G1413" s="253"/>
      <c r="H1413" s="253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50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</row>
    <row r="1414">
      <c r="A1414" s="17"/>
      <c r="B1414" s="17"/>
      <c r="C1414" s="17"/>
      <c r="D1414" s="17"/>
      <c r="E1414" s="86"/>
      <c r="F1414" s="253"/>
      <c r="G1414" s="253"/>
      <c r="H1414" s="253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50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</row>
    <row r="1415">
      <c r="A1415" s="17"/>
      <c r="B1415" s="17"/>
      <c r="C1415" s="17"/>
      <c r="D1415" s="17"/>
      <c r="E1415" s="86"/>
      <c r="F1415" s="253"/>
      <c r="G1415" s="253"/>
      <c r="H1415" s="253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50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</row>
    <row r="1416">
      <c r="A1416" s="17"/>
      <c r="B1416" s="17"/>
      <c r="C1416" s="17"/>
      <c r="D1416" s="17"/>
      <c r="E1416" s="86"/>
      <c r="F1416" s="253"/>
      <c r="G1416" s="253"/>
      <c r="H1416" s="253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50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</row>
    <row r="1417">
      <c r="A1417" s="17"/>
      <c r="B1417" s="17"/>
      <c r="C1417" s="17"/>
      <c r="D1417" s="17"/>
      <c r="E1417" s="86"/>
      <c r="F1417" s="253"/>
      <c r="G1417" s="253"/>
      <c r="H1417" s="253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50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</row>
    <row r="1418">
      <c r="A1418" s="17"/>
      <c r="B1418" s="17"/>
      <c r="C1418" s="17"/>
      <c r="D1418" s="17"/>
      <c r="E1418" s="86"/>
      <c r="F1418" s="253"/>
      <c r="G1418" s="253"/>
      <c r="H1418" s="253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50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17"/>
      <c r="AY1418" s="17"/>
      <c r="AZ1418" s="17"/>
      <c r="BA1418" s="17"/>
      <c r="BB1418" s="17"/>
      <c r="BC1418" s="17"/>
      <c r="BD1418" s="17"/>
      <c r="BE1418" s="17"/>
      <c r="BF1418" s="17"/>
      <c r="BG1418" s="17"/>
      <c r="BH1418" s="17"/>
      <c r="BI1418" s="17"/>
      <c r="BJ1418" s="17"/>
      <c r="BK1418" s="17"/>
      <c r="BL1418" s="17"/>
      <c r="BM1418" s="17"/>
      <c r="BN1418" s="17"/>
    </row>
    <row r="1419">
      <c r="A1419" s="17"/>
      <c r="B1419" s="17"/>
      <c r="C1419" s="17"/>
      <c r="D1419" s="17"/>
      <c r="E1419" s="86"/>
      <c r="F1419" s="253"/>
      <c r="G1419" s="253"/>
      <c r="H1419" s="253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50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</row>
    <row r="1420">
      <c r="A1420" s="17"/>
      <c r="B1420" s="17"/>
      <c r="C1420" s="17"/>
      <c r="D1420" s="17"/>
      <c r="E1420" s="86"/>
      <c r="F1420" s="253"/>
      <c r="G1420" s="253"/>
      <c r="H1420" s="253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50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</row>
    <row r="1421">
      <c r="A1421" s="17"/>
      <c r="B1421" s="17"/>
      <c r="C1421" s="17"/>
      <c r="D1421" s="17"/>
      <c r="E1421" s="86"/>
      <c r="F1421" s="253"/>
      <c r="G1421" s="253"/>
      <c r="H1421" s="253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50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</row>
    <row r="1422">
      <c r="A1422" s="17"/>
      <c r="B1422" s="17"/>
      <c r="C1422" s="17"/>
      <c r="D1422" s="17"/>
      <c r="E1422" s="86"/>
      <c r="F1422" s="253"/>
      <c r="G1422" s="253"/>
      <c r="H1422" s="253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50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</row>
    <row r="1423">
      <c r="A1423" s="17"/>
      <c r="B1423" s="17"/>
      <c r="C1423" s="17"/>
      <c r="D1423" s="17"/>
      <c r="E1423" s="86"/>
      <c r="F1423" s="253"/>
      <c r="G1423" s="253"/>
      <c r="H1423" s="253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50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</row>
    <row r="1424">
      <c r="A1424" s="17"/>
      <c r="B1424" s="17"/>
      <c r="C1424" s="17"/>
      <c r="D1424" s="17"/>
      <c r="E1424" s="86"/>
      <c r="F1424" s="253"/>
      <c r="G1424" s="253"/>
      <c r="H1424" s="253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50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</row>
    <row r="1425">
      <c r="A1425" s="17"/>
      <c r="B1425" s="17"/>
      <c r="C1425" s="17"/>
      <c r="D1425" s="17"/>
      <c r="E1425" s="86"/>
      <c r="F1425" s="253"/>
      <c r="G1425" s="253"/>
      <c r="H1425" s="253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50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</row>
    <row r="1426">
      <c r="A1426" s="17"/>
      <c r="B1426" s="17"/>
      <c r="C1426" s="17"/>
      <c r="D1426" s="17"/>
      <c r="E1426" s="86"/>
      <c r="F1426" s="253"/>
      <c r="G1426" s="253"/>
      <c r="H1426" s="253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50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</row>
    <row r="1427">
      <c r="A1427" s="17"/>
      <c r="B1427" s="17"/>
      <c r="C1427" s="17"/>
      <c r="D1427" s="17"/>
      <c r="E1427" s="86"/>
      <c r="F1427" s="253"/>
      <c r="G1427" s="253"/>
      <c r="H1427" s="253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50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</row>
    <row r="1428">
      <c r="A1428" s="17"/>
      <c r="B1428" s="17"/>
      <c r="C1428" s="17"/>
      <c r="D1428" s="17"/>
      <c r="E1428" s="86"/>
      <c r="F1428" s="253"/>
      <c r="G1428" s="253"/>
      <c r="H1428" s="253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50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</row>
    <row r="1429">
      <c r="A1429" s="17"/>
      <c r="B1429" s="17"/>
      <c r="C1429" s="17"/>
      <c r="D1429" s="17"/>
      <c r="E1429" s="86"/>
      <c r="F1429" s="253"/>
      <c r="G1429" s="253"/>
      <c r="H1429" s="253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50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</row>
    <row r="1430">
      <c r="A1430" s="17"/>
      <c r="B1430" s="17"/>
      <c r="C1430" s="17"/>
      <c r="D1430" s="17"/>
      <c r="E1430" s="86"/>
      <c r="F1430" s="253"/>
      <c r="G1430" s="253"/>
      <c r="H1430" s="253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50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</row>
    <row r="1431">
      <c r="A1431" s="17"/>
      <c r="B1431" s="17"/>
      <c r="C1431" s="17"/>
      <c r="D1431" s="17"/>
      <c r="E1431" s="86"/>
      <c r="F1431" s="253"/>
      <c r="G1431" s="253"/>
      <c r="H1431" s="253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50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</row>
    <row r="1432">
      <c r="A1432" s="17"/>
      <c r="B1432" s="17"/>
      <c r="C1432" s="17"/>
      <c r="D1432" s="17"/>
      <c r="E1432" s="86"/>
      <c r="F1432" s="253"/>
      <c r="G1432" s="253"/>
      <c r="H1432" s="253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50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</row>
    <row r="1433">
      <c r="A1433" s="17"/>
      <c r="B1433" s="17"/>
      <c r="C1433" s="17"/>
      <c r="D1433" s="17"/>
      <c r="E1433" s="86"/>
      <c r="F1433" s="253"/>
      <c r="G1433" s="253"/>
      <c r="H1433" s="253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50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</row>
    <row r="1434">
      <c r="A1434" s="17"/>
      <c r="B1434" s="17"/>
      <c r="C1434" s="17"/>
      <c r="D1434" s="17"/>
      <c r="E1434" s="86"/>
      <c r="F1434" s="253"/>
      <c r="G1434" s="253"/>
      <c r="H1434" s="253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50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</row>
    <row r="1435">
      <c r="A1435" s="17"/>
      <c r="B1435" s="17"/>
      <c r="C1435" s="17"/>
      <c r="D1435" s="17"/>
      <c r="E1435" s="86"/>
      <c r="F1435" s="253"/>
      <c r="G1435" s="253"/>
      <c r="H1435" s="253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50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</row>
    <row r="1436">
      <c r="A1436" s="17"/>
      <c r="B1436" s="17"/>
      <c r="C1436" s="17"/>
      <c r="D1436" s="17"/>
      <c r="E1436" s="86"/>
      <c r="F1436" s="253"/>
      <c r="G1436" s="253"/>
      <c r="H1436" s="253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50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</row>
    <row r="1437">
      <c r="A1437" s="17"/>
      <c r="B1437" s="17"/>
      <c r="C1437" s="17"/>
      <c r="D1437" s="17"/>
      <c r="E1437" s="86"/>
      <c r="F1437" s="253"/>
      <c r="G1437" s="253"/>
      <c r="H1437" s="253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50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17"/>
      <c r="AZ1437" s="17"/>
      <c r="BA1437" s="17"/>
      <c r="BB1437" s="17"/>
      <c r="BC1437" s="17"/>
      <c r="BD1437" s="17"/>
      <c r="BE1437" s="17"/>
      <c r="BF1437" s="17"/>
      <c r="BG1437" s="17"/>
      <c r="BH1437" s="17"/>
      <c r="BI1437" s="17"/>
      <c r="BJ1437" s="17"/>
      <c r="BK1437" s="17"/>
      <c r="BL1437" s="17"/>
      <c r="BM1437" s="17"/>
      <c r="BN1437" s="17"/>
    </row>
    <row r="1438">
      <c r="A1438" s="17"/>
      <c r="B1438" s="17"/>
      <c r="C1438" s="17"/>
      <c r="D1438" s="17"/>
      <c r="E1438" s="86"/>
      <c r="F1438" s="253"/>
      <c r="G1438" s="253"/>
      <c r="H1438" s="253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50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</row>
    <row r="1439">
      <c r="A1439" s="17"/>
      <c r="B1439" s="17"/>
      <c r="C1439" s="17"/>
      <c r="D1439" s="17"/>
      <c r="E1439" s="86"/>
      <c r="F1439" s="253"/>
      <c r="G1439" s="253"/>
      <c r="H1439" s="253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50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</row>
    <row r="1440">
      <c r="A1440" s="17"/>
      <c r="B1440" s="17"/>
      <c r="C1440" s="17"/>
      <c r="D1440" s="17"/>
      <c r="E1440" s="86"/>
      <c r="F1440" s="253"/>
      <c r="G1440" s="253"/>
      <c r="H1440" s="253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50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</row>
    <row r="1441">
      <c r="A1441" s="17"/>
      <c r="B1441" s="17"/>
      <c r="C1441" s="17"/>
      <c r="D1441" s="17"/>
      <c r="E1441" s="86"/>
      <c r="F1441" s="253"/>
      <c r="G1441" s="253"/>
      <c r="H1441" s="253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50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</row>
    <row r="1442">
      <c r="A1442" s="17"/>
      <c r="B1442" s="17"/>
      <c r="C1442" s="17"/>
      <c r="D1442" s="17"/>
      <c r="E1442" s="86"/>
      <c r="F1442" s="253"/>
      <c r="G1442" s="253"/>
      <c r="H1442" s="253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50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17"/>
      <c r="AZ1442" s="17"/>
      <c r="BA1442" s="17"/>
      <c r="BB1442" s="17"/>
      <c r="BC1442" s="17"/>
      <c r="BD1442" s="17"/>
      <c r="BE1442" s="17"/>
      <c r="BF1442" s="17"/>
      <c r="BG1442" s="17"/>
      <c r="BH1442" s="17"/>
      <c r="BI1442" s="17"/>
      <c r="BJ1442" s="17"/>
      <c r="BK1442" s="17"/>
      <c r="BL1442" s="17"/>
      <c r="BM1442" s="17"/>
      <c r="BN1442" s="17"/>
    </row>
    <row r="1443">
      <c r="A1443" s="17"/>
      <c r="B1443" s="17"/>
      <c r="C1443" s="17"/>
      <c r="D1443" s="17"/>
      <c r="E1443" s="86"/>
      <c r="F1443" s="253"/>
      <c r="G1443" s="253"/>
      <c r="H1443" s="253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50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</row>
    <row r="1444">
      <c r="A1444" s="17"/>
      <c r="B1444" s="17"/>
      <c r="C1444" s="17"/>
      <c r="D1444" s="17"/>
      <c r="E1444" s="86"/>
      <c r="F1444" s="253"/>
      <c r="G1444" s="253"/>
      <c r="H1444" s="253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50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</row>
    <row r="1445">
      <c r="A1445" s="17"/>
      <c r="B1445" s="17"/>
      <c r="C1445" s="17"/>
      <c r="D1445" s="17"/>
      <c r="E1445" s="86"/>
      <c r="F1445" s="253"/>
      <c r="G1445" s="253"/>
      <c r="H1445" s="253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50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</row>
    <row r="1446">
      <c r="A1446" s="17"/>
      <c r="B1446" s="17"/>
      <c r="C1446" s="17"/>
      <c r="D1446" s="17"/>
      <c r="E1446" s="86"/>
      <c r="F1446" s="253"/>
      <c r="G1446" s="253"/>
      <c r="H1446" s="253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50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</row>
    <row r="1447">
      <c r="A1447" s="17"/>
      <c r="B1447" s="17"/>
      <c r="C1447" s="17"/>
      <c r="D1447" s="17"/>
      <c r="E1447" s="86"/>
      <c r="F1447" s="253"/>
      <c r="G1447" s="253"/>
      <c r="H1447" s="253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50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</row>
    <row r="1448">
      <c r="A1448" s="17"/>
      <c r="B1448" s="17"/>
      <c r="C1448" s="17"/>
      <c r="D1448" s="17"/>
      <c r="E1448" s="86"/>
      <c r="F1448" s="253"/>
      <c r="G1448" s="253"/>
      <c r="H1448" s="253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50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</row>
    <row r="1449">
      <c r="A1449" s="17"/>
      <c r="B1449" s="17"/>
      <c r="C1449" s="17"/>
      <c r="D1449" s="17"/>
      <c r="E1449" s="86"/>
      <c r="F1449" s="253"/>
      <c r="G1449" s="253"/>
      <c r="H1449" s="253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50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</row>
    <row r="1450">
      <c r="A1450" s="17"/>
      <c r="B1450" s="17"/>
      <c r="C1450" s="17"/>
      <c r="D1450" s="17"/>
      <c r="E1450" s="86"/>
      <c r="F1450" s="253"/>
      <c r="G1450" s="253"/>
      <c r="H1450" s="253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50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</row>
    <row r="1451">
      <c r="A1451" s="17"/>
      <c r="B1451" s="17"/>
      <c r="C1451" s="17"/>
      <c r="D1451" s="17"/>
      <c r="E1451" s="86"/>
      <c r="F1451" s="253"/>
      <c r="G1451" s="253"/>
      <c r="H1451" s="253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50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</row>
    <row r="1452">
      <c r="A1452" s="17"/>
      <c r="B1452" s="17"/>
      <c r="C1452" s="17"/>
      <c r="D1452" s="17"/>
      <c r="E1452" s="86"/>
      <c r="F1452" s="253"/>
      <c r="G1452" s="253"/>
      <c r="H1452" s="253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50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</row>
    <row r="1453">
      <c r="A1453" s="17"/>
      <c r="B1453" s="17"/>
      <c r="C1453" s="17"/>
      <c r="D1453" s="17"/>
      <c r="E1453" s="86"/>
      <c r="F1453" s="253"/>
      <c r="G1453" s="253"/>
      <c r="H1453" s="253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50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</row>
    <row r="1454">
      <c r="A1454" s="17"/>
      <c r="B1454" s="17"/>
      <c r="C1454" s="17"/>
      <c r="D1454" s="17"/>
      <c r="E1454" s="86"/>
      <c r="F1454" s="253"/>
      <c r="G1454" s="253"/>
      <c r="H1454" s="253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50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</row>
    <row r="1455">
      <c r="A1455" s="17"/>
      <c r="B1455" s="17"/>
      <c r="C1455" s="17"/>
      <c r="D1455" s="17"/>
      <c r="E1455" s="86"/>
      <c r="F1455" s="253"/>
      <c r="G1455" s="253"/>
      <c r="H1455" s="253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50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</row>
    <row r="1456">
      <c r="A1456" s="17"/>
      <c r="B1456" s="17"/>
      <c r="C1456" s="17"/>
      <c r="D1456" s="17"/>
      <c r="E1456" s="86"/>
      <c r="F1456" s="253"/>
      <c r="G1456" s="253"/>
      <c r="H1456" s="253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50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</row>
    <row r="1457">
      <c r="A1457" s="17"/>
      <c r="B1457" s="17"/>
      <c r="C1457" s="17"/>
      <c r="D1457" s="17"/>
      <c r="E1457" s="86"/>
      <c r="F1457" s="253"/>
      <c r="G1457" s="253"/>
      <c r="H1457" s="253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50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</row>
    <row r="1458">
      <c r="A1458" s="17"/>
      <c r="B1458" s="17"/>
      <c r="C1458" s="17"/>
      <c r="D1458" s="17"/>
      <c r="E1458" s="86"/>
      <c r="F1458" s="253"/>
      <c r="G1458" s="253"/>
      <c r="H1458" s="253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50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</row>
    <row r="1459">
      <c r="A1459" s="17"/>
      <c r="B1459" s="17"/>
      <c r="C1459" s="17"/>
      <c r="D1459" s="17"/>
      <c r="E1459" s="86"/>
      <c r="F1459" s="253"/>
      <c r="G1459" s="253"/>
      <c r="H1459" s="253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50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</row>
    <row r="1460">
      <c r="A1460" s="17"/>
      <c r="B1460" s="17"/>
      <c r="C1460" s="17"/>
      <c r="D1460" s="17"/>
      <c r="E1460" s="86"/>
      <c r="F1460" s="253"/>
      <c r="G1460" s="253"/>
      <c r="H1460" s="253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50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</row>
    <row r="1461">
      <c r="A1461" s="17"/>
      <c r="B1461" s="17"/>
      <c r="C1461" s="17"/>
      <c r="D1461" s="17"/>
      <c r="E1461" s="86"/>
      <c r="F1461" s="253"/>
      <c r="G1461" s="253"/>
      <c r="H1461" s="253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50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</row>
    <row r="1462">
      <c r="A1462" s="17"/>
      <c r="B1462" s="17"/>
      <c r="C1462" s="17"/>
      <c r="D1462" s="17"/>
      <c r="E1462" s="86"/>
      <c r="F1462" s="253"/>
      <c r="G1462" s="253"/>
      <c r="H1462" s="253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50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</row>
    <row r="1463">
      <c r="A1463" s="17"/>
      <c r="B1463" s="17"/>
      <c r="C1463" s="17"/>
      <c r="D1463" s="17"/>
      <c r="E1463" s="86"/>
      <c r="F1463" s="253"/>
      <c r="G1463" s="253"/>
      <c r="H1463" s="253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50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</row>
    <row r="1464">
      <c r="A1464" s="17"/>
      <c r="B1464" s="17"/>
      <c r="C1464" s="17"/>
      <c r="D1464" s="17"/>
      <c r="E1464" s="86"/>
      <c r="F1464" s="253"/>
      <c r="G1464" s="253"/>
      <c r="H1464" s="253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50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</row>
    <row r="1465">
      <c r="A1465" s="17"/>
      <c r="B1465" s="17"/>
      <c r="C1465" s="17"/>
      <c r="D1465" s="17"/>
      <c r="E1465" s="86"/>
      <c r="F1465" s="253"/>
      <c r="G1465" s="253"/>
      <c r="H1465" s="253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50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</row>
    <row r="1466">
      <c r="A1466" s="17"/>
      <c r="B1466" s="17"/>
      <c r="C1466" s="17"/>
      <c r="D1466" s="17"/>
      <c r="E1466" s="86"/>
      <c r="F1466" s="253"/>
      <c r="G1466" s="253"/>
      <c r="H1466" s="253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50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</row>
    <row r="1467">
      <c r="A1467" s="17"/>
      <c r="B1467" s="17"/>
      <c r="C1467" s="17"/>
      <c r="D1467" s="17"/>
      <c r="E1467" s="86"/>
      <c r="F1467" s="253"/>
      <c r="G1467" s="253"/>
      <c r="H1467" s="253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50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</row>
    <row r="1468">
      <c r="A1468" s="17"/>
      <c r="B1468" s="17"/>
      <c r="C1468" s="17"/>
      <c r="D1468" s="17"/>
      <c r="E1468" s="86"/>
      <c r="F1468" s="253"/>
      <c r="G1468" s="253"/>
      <c r="H1468" s="253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50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</row>
    <row r="1469">
      <c r="A1469" s="17"/>
      <c r="B1469" s="17"/>
      <c r="C1469" s="17"/>
      <c r="D1469" s="17"/>
      <c r="E1469" s="86"/>
      <c r="F1469" s="253"/>
      <c r="G1469" s="253"/>
      <c r="H1469" s="253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50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</row>
    <row r="1470">
      <c r="A1470" s="17"/>
      <c r="B1470" s="17"/>
      <c r="C1470" s="17"/>
      <c r="D1470" s="17"/>
      <c r="E1470" s="86"/>
      <c r="F1470" s="253"/>
      <c r="G1470" s="253"/>
      <c r="H1470" s="253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50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</row>
    <row r="1471">
      <c r="A1471" s="17"/>
      <c r="B1471" s="17"/>
      <c r="C1471" s="17"/>
      <c r="D1471" s="17"/>
      <c r="E1471" s="86"/>
      <c r="F1471" s="253"/>
      <c r="G1471" s="253"/>
      <c r="H1471" s="253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50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</row>
    <row r="1472">
      <c r="A1472" s="17"/>
      <c r="B1472" s="17"/>
      <c r="C1472" s="17"/>
      <c r="D1472" s="17"/>
      <c r="E1472" s="86"/>
      <c r="F1472" s="253"/>
      <c r="G1472" s="253"/>
      <c r="H1472" s="253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50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</row>
    <row r="1473">
      <c r="A1473" s="17"/>
      <c r="B1473" s="17"/>
      <c r="C1473" s="17"/>
      <c r="D1473" s="17"/>
      <c r="E1473" s="86"/>
      <c r="F1473" s="253"/>
      <c r="G1473" s="253"/>
      <c r="H1473" s="253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50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</row>
    <row r="1474">
      <c r="A1474" s="17"/>
      <c r="B1474" s="17"/>
      <c r="C1474" s="17"/>
      <c r="D1474" s="17"/>
      <c r="E1474" s="86"/>
      <c r="F1474" s="253"/>
      <c r="G1474" s="253"/>
      <c r="H1474" s="253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50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</row>
    <row r="1475">
      <c r="A1475" s="17"/>
      <c r="B1475" s="17"/>
      <c r="C1475" s="17"/>
      <c r="D1475" s="17"/>
      <c r="E1475" s="86"/>
      <c r="F1475" s="253"/>
      <c r="G1475" s="253"/>
      <c r="H1475" s="253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50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</row>
    <row r="1476">
      <c r="A1476" s="17"/>
      <c r="B1476" s="17"/>
      <c r="C1476" s="17"/>
      <c r="D1476" s="17"/>
      <c r="E1476" s="86"/>
      <c r="F1476" s="253"/>
      <c r="G1476" s="253"/>
      <c r="H1476" s="253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50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</row>
    <row r="1477">
      <c r="A1477" s="17"/>
      <c r="B1477" s="17"/>
      <c r="C1477" s="17"/>
      <c r="D1477" s="17"/>
      <c r="E1477" s="86"/>
      <c r="F1477" s="253"/>
      <c r="G1477" s="253"/>
      <c r="H1477" s="253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50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</row>
    <row r="1478">
      <c r="A1478" s="17"/>
      <c r="B1478" s="17"/>
      <c r="C1478" s="17"/>
      <c r="D1478" s="17"/>
      <c r="E1478" s="86"/>
      <c r="F1478" s="253"/>
      <c r="G1478" s="253"/>
      <c r="H1478" s="253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50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</row>
    <row r="1479">
      <c r="A1479" s="17"/>
      <c r="B1479" s="17"/>
      <c r="C1479" s="17"/>
      <c r="D1479" s="17"/>
      <c r="E1479" s="86"/>
      <c r="F1479" s="253"/>
      <c r="G1479" s="253"/>
      <c r="H1479" s="253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50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</row>
    <row r="1480">
      <c r="A1480" s="17"/>
      <c r="B1480" s="17"/>
      <c r="C1480" s="17"/>
      <c r="D1480" s="17"/>
      <c r="E1480" s="86"/>
      <c r="F1480" s="253"/>
      <c r="G1480" s="253"/>
      <c r="H1480" s="253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50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</row>
    <row r="1481">
      <c r="A1481" s="17"/>
      <c r="B1481" s="17"/>
      <c r="C1481" s="17"/>
      <c r="D1481" s="17"/>
      <c r="E1481" s="86"/>
      <c r="F1481" s="253"/>
      <c r="G1481" s="253"/>
      <c r="H1481" s="253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50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</row>
    <row r="1482">
      <c r="A1482" s="17"/>
      <c r="B1482" s="17"/>
      <c r="C1482" s="17"/>
      <c r="D1482" s="17"/>
      <c r="E1482" s="86"/>
      <c r="F1482" s="253"/>
      <c r="G1482" s="253"/>
      <c r="H1482" s="253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50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</row>
    <row r="1483">
      <c r="A1483" s="17"/>
      <c r="B1483" s="17"/>
      <c r="C1483" s="17"/>
      <c r="D1483" s="17"/>
      <c r="E1483" s="86"/>
      <c r="F1483" s="253"/>
      <c r="G1483" s="253"/>
      <c r="H1483" s="253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50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</row>
    <row r="1484">
      <c r="A1484" s="17"/>
      <c r="B1484" s="17"/>
      <c r="C1484" s="17"/>
      <c r="D1484" s="17"/>
      <c r="E1484" s="86"/>
      <c r="F1484" s="253"/>
      <c r="G1484" s="253"/>
      <c r="H1484" s="253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50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</row>
    <row r="1485">
      <c r="A1485" s="17"/>
      <c r="B1485" s="17"/>
      <c r="C1485" s="17"/>
      <c r="D1485" s="17"/>
      <c r="E1485" s="86"/>
      <c r="F1485" s="253"/>
      <c r="G1485" s="253"/>
      <c r="H1485" s="253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50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</row>
    <row r="1486">
      <c r="A1486" s="17"/>
      <c r="B1486" s="17"/>
      <c r="C1486" s="17"/>
      <c r="D1486" s="17"/>
      <c r="E1486" s="86"/>
      <c r="F1486" s="253"/>
      <c r="G1486" s="253"/>
      <c r="H1486" s="253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50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</row>
    <row r="1487">
      <c r="A1487" s="17"/>
      <c r="B1487" s="17"/>
      <c r="C1487" s="17"/>
      <c r="D1487" s="17"/>
      <c r="E1487" s="86"/>
      <c r="F1487" s="253"/>
      <c r="G1487" s="253"/>
      <c r="H1487" s="253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50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</row>
    <row r="1488">
      <c r="A1488" s="17"/>
      <c r="B1488" s="17"/>
      <c r="C1488" s="17"/>
      <c r="D1488" s="17"/>
      <c r="E1488" s="86"/>
      <c r="F1488" s="253"/>
      <c r="G1488" s="253"/>
      <c r="H1488" s="253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50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17"/>
      <c r="AY1488" s="17"/>
      <c r="AZ1488" s="17"/>
      <c r="BA1488" s="17"/>
      <c r="BB1488" s="17"/>
      <c r="BC1488" s="17"/>
      <c r="BD1488" s="17"/>
      <c r="BE1488" s="17"/>
      <c r="BF1488" s="17"/>
      <c r="BG1488" s="17"/>
      <c r="BH1488" s="17"/>
      <c r="BI1488" s="17"/>
      <c r="BJ1488" s="17"/>
      <c r="BK1488" s="17"/>
      <c r="BL1488" s="17"/>
      <c r="BM1488" s="17"/>
      <c r="BN1488" s="17"/>
    </row>
    <row r="1489">
      <c r="A1489" s="17"/>
      <c r="B1489" s="17"/>
      <c r="C1489" s="17"/>
      <c r="D1489" s="17"/>
      <c r="E1489" s="86"/>
      <c r="F1489" s="253"/>
      <c r="G1489" s="253"/>
      <c r="H1489" s="253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50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</row>
    <row r="1490">
      <c r="A1490" s="17"/>
      <c r="B1490" s="17"/>
      <c r="C1490" s="17"/>
      <c r="D1490" s="17"/>
      <c r="E1490" s="86"/>
      <c r="F1490" s="253"/>
      <c r="G1490" s="253"/>
      <c r="H1490" s="253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50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</row>
    <row r="1491">
      <c r="A1491" s="17"/>
      <c r="B1491" s="17"/>
      <c r="C1491" s="17"/>
      <c r="D1491" s="17"/>
      <c r="E1491" s="86"/>
      <c r="F1491" s="253"/>
      <c r="G1491" s="253"/>
      <c r="H1491" s="253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50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</row>
    <row r="1492">
      <c r="A1492" s="17"/>
      <c r="B1492" s="17"/>
      <c r="C1492" s="17"/>
      <c r="D1492" s="17"/>
      <c r="E1492" s="86"/>
      <c r="F1492" s="253"/>
      <c r="G1492" s="253"/>
      <c r="H1492" s="253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50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</row>
    <row r="1493">
      <c r="A1493" s="17"/>
      <c r="B1493" s="17"/>
      <c r="C1493" s="17"/>
      <c r="D1493" s="17"/>
      <c r="E1493" s="86"/>
      <c r="F1493" s="253"/>
      <c r="G1493" s="253"/>
      <c r="H1493" s="253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50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</row>
    <row r="1494">
      <c r="A1494" s="17"/>
      <c r="B1494" s="17"/>
      <c r="C1494" s="17"/>
      <c r="D1494" s="17"/>
      <c r="E1494" s="86"/>
      <c r="F1494" s="253"/>
      <c r="G1494" s="253"/>
      <c r="H1494" s="253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50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</row>
    <row r="1495">
      <c r="A1495" s="17"/>
      <c r="B1495" s="17"/>
      <c r="C1495" s="17"/>
      <c r="D1495" s="17"/>
      <c r="E1495" s="86"/>
      <c r="F1495" s="253"/>
      <c r="G1495" s="253"/>
      <c r="H1495" s="253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50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</row>
    <row r="1496">
      <c r="A1496" s="17"/>
      <c r="B1496" s="17"/>
      <c r="C1496" s="17"/>
      <c r="D1496" s="17"/>
      <c r="E1496" s="86"/>
      <c r="F1496" s="253"/>
      <c r="G1496" s="253"/>
      <c r="H1496" s="253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50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</row>
    <row r="1497">
      <c r="A1497" s="17"/>
      <c r="B1497" s="17"/>
      <c r="C1497" s="17"/>
      <c r="D1497" s="17"/>
      <c r="E1497" s="86"/>
      <c r="F1497" s="253"/>
      <c r="G1497" s="253"/>
      <c r="H1497" s="253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50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</row>
    <row r="1498">
      <c r="A1498" s="17"/>
      <c r="B1498" s="17"/>
      <c r="C1498" s="17"/>
      <c r="D1498" s="17"/>
      <c r="E1498" s="86"/>
      <c r="F1498" s="253"/>
      <c r="G1498" s="253"/>
      <c r="H1498" s="253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50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</row>
    <row r="1499">
      <c r="A1499" s="17"/>
      <c r="B1499" s="17"/>
      <c r="C1499" s="17"/>
      <c r="D1499" s="17"/>
      <c r="E1499" s="86"/>
      <c r="F1499" s="253"/>
      <c r="G1499" s="253"/>
      <c r="H1499" s="253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50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</row>
    <row r="1500">
      <c r="A1500" s="17"/>
      <c r="B1500" s="17"/>
      <c r="C1500" s="17"/>
      <c r="D1500" s="17"/>
      <c r="E1500" s="86"/>
      <c r="F1500" s="253"/>
      <c r="G1500" s="253"/>
      <c r="H1500" s="253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50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</row>
    <row r="1501">
      <c r="A1501" s="17"/>
      <c r="B1501" s="17"/>
      <c r="C1501" s="17"/>
      <c r="D1501" s="17"/>
      <c r="E1501" s="86"/>
      <c r="F1501" s="253"/>
      <c r="G1501" s="253"/>
      <c r="H1501" s="253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50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</row>
    <row r="1502">
      <c r="A1502" s="17"/>
      <c r="B1502" s="17"/>
      <c r="C1502" s="17"/>
      <c r="D1502" s="17"/>
      <c r="E1502" s="86"/>
      <c r="F1502" s="253"/>
      <c r="G1502" s="253"/>
      <c r="H1502" s="253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50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</row>
    <row r="1503">
      <c r="A1503" s="17"/>
      <c r="B1503" s="17"/>
      <c r="C1503" s="17"/>
      <c r="D1503" s="17"/>
      <c r="E1503" s="86"/>
      <c r="F1503" s="253"/>
      <c r="G1503" s="253"/>
      <c r="H1503" s="253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50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</row>
    <row r="1504">
      <c r="A1504" s="17"/>
      <c r="B1504" s="17"/>
      <c r="C1504" s="17"/>
      <c r="D1504" s="17"/>
      <c r="E1504" s="86"/>
      <c r="F1504" s="253"/>
      <c r="G1504" s="253"/>
      <c r="H1504" s="253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50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</row>
    <row r="1505">
      <c r="A1505" s="17"/>
      <c r="B1505" s="17"/>
      <c r="C1505" s="17"/>
      <c r="D1505" s="17"/>
      <c r="E1505" s="86"/>
      <c r="F1505" s="253"/>
      <c r="G1505" s="253"/>
      <c r="H1505" s="253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50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</row>
    <row r="1506">
      <c r="A1506" s="17"/>
      <c r="B1506" s="17"/>
      <c r="C1506" s="17"/>
      <c r="D1506" s="17"/>
      <c r="E1506" s="86"/>
      <c r="F1506" s="253"/>
      <c r="G1506" s="253"/>
      <c r="H1506" s="253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50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</row>
    <row r="1507">
      <c r="A1507" s="17"/>
      <c r="B1507" s="17"/>
      <c r="C1507" s="17"/>
      <c r="D1507" s="17"/>
      <c r="E1507" s="86"/>
      <c r="F1507" s="253"/>
      <c r="G1507" s="253"/>
      <c r="H1507" s="253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50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</row>
    <row r="1508">
      <c r="A1508" s="17"/>
      <c r="B1508" s="17"/>
      <c r="C1508" s="17"/>
      <c r="D1508" s="17"/>
      <c r="E1508" s="86"/>
      <c r="F1508" s="253"/>
      <c r="G1508" s="253"/>
      <c r="H1508" s="253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50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</row>
    <row r="1509">
      <c r="A1509" s="17"/>
      <c r="B1509" s="17"/>
      <c r="C1509" s="17"/>
      <c r="D1509" s="17"/>
      <c r="E1509" s="86"/>
      <c r="F1509" s="253"/>
      <c r="G1509" s="253"/>
      <c r="H1509" s="253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50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</row>
    <row r="1510">
      <c r="A1510" s="17"/>
      <c r="B1510" s="17"/>
      <c r="C1510" s="17"/>
      <c r="D1510" s="17"/>
      <c r="E1510" s="86"/>
      <c r="F1510" s="253"/>
      <c r="G1510" s="253"/>
      <c r="H1510" s="253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50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</row>
    <row r="1511">
      <c r="A1511" s="17"/>
      <c r="B1511" s="17"/>
      <c r="C1511" s="17"/>
      <c r="D1511" s="17"/>
      <c r="E1511" s="86"/>
      <c r="F1511" s="253"/>
      <c r="G1511" s="253"/>
      <c r="H1511" s="253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50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</row>
    <row r="1512">
      <c r="A1512" s="17"/>
      <c r="B1512" s="17"/>
      <c r="C1512" s="17"/>
      <c r="D1512" s="17"/>
      <c r="E1512" s="86"/>
      <c r="F1512" s="253"/>
      <c r="G1512" s="253"/>
      <c r="H1512" s="253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50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</row>
    <row r="1513">
      <c r="A1513" s="17"/>
      <c r="B1513" s="17"/>
      <c r="C1513" s="17"/>
      <c r="D1513" s="17"/>
      <c r="E1513" s="86"/>
      <c r="F1513" s="253"/>
      <c r="G1513" s="253"/>
      <c r="H1513" s="253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50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</row>
    <row r="1514">
      <c r="A1514" s="17"/>
      <c r="B1514" s="17"/>
      <c r="C1514" s="17"/>
      <c r="D1514" s="17"/>
      <c r="E1514" s="86"/>
      <c r="F1514" s="253"/>
      <c r="G1514" s="253"/>
      <c r="H1514" s="253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50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</row>
    <row r="1515">
      <c r="A1515" s="17"/>
      <c r="B1515" s="17"/>
      <c r="C1515" s="17"/>
      <c r="D1515" s="17"/>
      <c r="E1515" s="86"/>
      <c r="F1515" s="253"/>
      <c r="G1515" s="253"/>
      <c r="H1515" s="253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50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</row>
    <row r="1516">
      <c r="A1516" s="17"/>
      <c r="B1516" s="17"/>
      <c r="C1516" s="17"/>
      <c r="D1516" s="17"/>
      <c r="E1516" s="86"/>
      <c r="F1516" s="253"/>
      <c r="G1516" s="253"/>
      <c r="H1516" s="253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50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</row>
    <row r="1517">
      <c r="A1517" s="17"/>
      <c r="B1517" s="17"/>
      <c r="C1517" s="17"/>
      <c r="D1517" s="17"/>
      <c r="E1517" s="86"/>
      <c r="F1517" s="253"/>
      <c r="G1517" s="253"/>
      <c r="H1517" s="253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50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</row>
    <row r="1518">
      <c r="A1518" s="17"/>
      <c r="B1518" s="17"/>
      <c r="C1518" s="17"/>
      <c r="D1518" s="17"/>
      <c r="E1518" s="86"/>
      <c r="F1518" s="253"/>
      <c r="G1518" s="253"/>
      <c r="H1518" s="253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50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</row>
    <row r="1519">
      <c r="A1519" s="17"/>
      <c r="B1519" s="17"/>
      <c r="C1519" s="17"/>
      <c r="D1519" s="17"/>
      <c r="E1519" s="86"/>
      <c r="F1519" s="253"/>
      <c r="G1519" s="253"/>
      <c r="H1519" s="253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50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</row>
    <row r="1520">
      <c r="A1520" s="17"/>
      <c r="B1520" s="17"/>
      <c r="C1520" s="17"/>
      <c r="D1520" s="17"/>
      <c r="E1520" s="86"/>
      <c r="F1520" s="253"/>
      <c r="G1520" s="253"/>
      <c r="H1520" s="253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50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</row>
    <row r="1521">
      <c r="A1521" s="17"/>
      <c r="B1521" s="17"/>
      <c r="C1521" s="17"/>
      <c r="D1521" s="17"/>
      <c r="E1521" s="86"/>
      <c r="F1521" s="253"/>
      <c r="G1521" s="253"/>
      <c r="H1521" s="253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50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</row>
    <row r="1522">
      <c r="A1522" s="17"/>
      <c r="B1522" s="17"/>
      <c r="C1522" s="17"/>
      <c r="D1522" s="17"/>
      <c r="E1522" s="86"/>
      <c r="F1522" s="253"/>
      <c r="G1522" s="253"/>
      <c r="H1522" s="253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50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</row>
    <row r="1523">
      <c r="A1523" s="17"/>
      <c r="B1523" s="17"/>
      <c r="C1523" s="17"/>
      <c r="D1523" s="17"/>
      <c r="E1523" s="86"/>
      <c r="F1523" s="253"/>
      <c r="G1523" s="253"/>
      <c r="H1523" s="253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50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</row>
    <row r="1524">
      <c r="A1524" s="17"/>
      <c r="B1524" s="17"/>
      <c r="C1524" s="17"/>
      <c r="D1524" s="17"/>
      <c r="E1524" s="86"/>
      <c r="F1524" s="253"/>
      <c r="G1524" s="253"/>
      <c r="H1524" s="253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50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</row>
    <row r="1525">
      <c r="A1525" s="17"/>
      <c r="B1525" s="17"/>
      <c r="C1525" s="17"/>
      <c r="D1525" s="17"/>
      <c r="E1525" s="86"/>
      <c r="F1525" s="253"/>
      <c r="G1525" s="253"/>
      <c r="H1525" s="253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50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</row>
    <row r="1526">
      <c r="A1526" s="17"/>
      <c r="B1526" s="17"/>
      <c r="C1526" s="17"/>
      <c r="D1526" s="17"/>
      <c r="E1526" s="86"/>
      <c r="F1526" s="253"/>
      <c r="G1526" s="253"/>
      <c r="H1526" s="253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50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</row>
    <row r="1527">
      <c r="A1527" s="17"/>
      <c r="B1527" s="17"/>
      <c r="C1527" s="17"/>
      <c r="D1527" s="17"/>
      <c r="E1527" s="86"/>
      <c r="F1527" s="253"/>
      <c r="G1527" s="253"/>
      <c r="H1527" s="253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50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</row>
    <row r="1528">
      <c r="A1528" s="17"/>
      <c r="B1528" s="17"/>
      <c r="C1528" s="17"/>
      <c r="D1528" s="17"/>
      <c r="E1528" s="86"/>
      <c r="F1528" s="253"/>
      <c r="G1528" s="253"/>
      <c r="H1528" s="253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50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</row>
    <row r="1529">
      <c r="A1529" s="17"/>
      <c r="B1529" s="17"/>
      <c r="C1529" s="17"/>
      <c r="D1529" s="17"/>
      <c r="E1529" s="86"/>
      <c r="F1529" s="253"/>
      <c r="G1529" s="253"/>
      <c r="H1529" s="253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50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</row>
    <row r="1530">
      <c r="A1530" s="17"/>
      <c r="B1530" s="17"/>
      <c r="C1530" s="17"/>
      <c r="D1530" s="17"/>
      <c r="E1530" s="86"/>
      <c r="F1530" s="253"/>
      <c r="G1530" s="253"/>
      <c r="H1530" s="253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50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</row>
    <row r="1531">
      <c r="A1531" s="17"/>
      <c r="B1531" s="17"/>
      <c r="C1531" s="17"/>
      <c r="D1531" s="17"/>
      <c r="E1531" s="86"/>
      <c r="F1531" s="253"/>
      <c r="G1531" s="253"/>
      <c r="H1531" s="253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50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</row>
    <row r="1532">
      <c r="A1532" s="17"/>
      <c r="B1532" s="17"/>
      <c r="C1532" s="17"/>
      <c r="D1532" s="17"/>
      <c r="E1532" s="86"/>
      <c r="F1532" s="253"/>
      <c r="G1532" s="253"/>
      <c r="H1532" s="253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50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</row>
    <row r="1533">
      <c r="A1533" s="17"/>
      <c r="B1533" s="17"/>
      <c r="C1533" s="17"/>
      <c r="D1533" s="17"/>
      <c r="E1533" s="86"/>
      <c r="F1533" s="253"/>
      <c r="G1533" s="253"/>
      <c r="H1533" s="253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50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</row>
    <row r="1534">
      <c r="A1534" s="17"/>
      <c r="B1534" s="17"/>
      <c r="C1534" s="17"/>
      <c r="D1534" s="17"/>
      <c r="E1534" s="86"/>
      <c r="F1534" s="253"/>
      <c r="G1534" s="253"/>
      <c r="H1534" s="253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50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</row>
    <row r="1535">
      <c r="A1535" s="17"/>
      <c r="B1535" s="17"/>
      <c r="C1535" s="17"/>
      <c r="D1535" s="17"/>
      <c r="E1535" s="86"/>
      <c r="F1535" s="253"/>
      <c r="G1535" s="253"/>
      <c r="H1535" s="253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50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</row>
    <row r="1536">
      <c r="A1536" s="17"/>
      <c r="B1536" s="17"/>
      <c r="C1536" s="17"/>
      <c r="D1536" s="17"/>
      <c r="E1536" s="86"/>
      <c r="F1536" s="253"/>
      <c r="G1536" s="253"/>
      <c r="H1536" s="253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50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</row>
    <row r="1537">
      <c r="A1537" s="17"/>
      <c r="B1537" s="17"/>
      <c r="C1537" s="17"/>
      <c r="D1537" s="17"/>
      <c r="E1537" s="86"/>
      <c r="F1537" s="253"/>
      <c r="G1537" s="253"/>
      <c r="H1537" s="253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50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</row>
    <row r="1538">
      <c r="A1538" s="17"/>
      <c r="B1538" s="17"/>
      <c r="C1538" s="17"/>
      <c r="D1538" s="17"/>
      <c r="E1538" s="86"/>
      <c r="F1538" s="253"/>
      <c r="G1538" s="253"/>
      <c r="H1538" s="253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50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</row>
    <row r="1539">
      <c r="A1539" s="17"/>
      <c r="B1539" s="17"/>
      <c r="C1539" s="17"/>
      <c r="D1539" s="17"/>
      <c r="E1539" s="86"/>
      <c r="F1539" s="253"/>
      <c r="G1539" s="253"/>
      <c r="H1539" s="253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50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</row>
    <row r="1540">
      <c r="A1540" s="17"/>
      <c r="B1540" s="17"/>
      <c r="C1540" s="17"/>
      <c r="D1540" s="17"/>
      <c r="E1540" s="86"/>
      <c r="F1540" s="253"/>
      <c r="G1540" s="253"/>
      <c r="H1540" s="253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50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</row>
    <row r="1541">
      <c r="A1541" s="17"/>
      <c r="B1541" s="17"/>
      <c r="C1541" s="17"/>
      <c r="D1541" s="17"/>
      <c r="E1541" s="86"/>
      <c r="F1541" s="253"/>
      <c r="G1541" s="253"/>
      <c r="H1541" s="253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50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</row>
    <row r="1542">
      <c r="A1542" s="17"/>
      <c r="B1542" s="17"/>
      <c r="C1542" s="17"/>
      <c r="D1542" s="17"/>
      <c r="E1542" s="86"/>
      <c r="F1542" s="253"/>
      <c r="G1542" s="253"/>
      <c r="H1542" s="253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50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</row>
    <row r="1543">
      <c r="A1543" s="17"/>
      <c r="B1543" s="17"/>
      <c r="C1543" s="17"/>
      <c r="D1543" s="17"/>
      <c r="E1543" s="86"/>
      <c r="F1543" s="253"/>
      <c r="G1543" s="253"/>
      <c r="H1543" s="253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50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</row>
    <row r="1544">
      <c r="A1544" s="17"/>
      <c r="B1544" s="17"/>
      <c r="C1544" s="17"/>
      <c r="D1544" s="17"/>
      <c r="E1544" s="86"/>
      <c r="F1544" s="253"/>
      <c r="G1544" s="253"/>
      <c r="H1544" s="253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50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</row>
    <row r="1545">
      <c r="A1545" s="17"/>
      <c r="B1545" s="17"/>
      <c r="C1545" s="17"/>
      <c r="D1545" s="17"/>
      <c r="E1545" s="86"/>
      <c r="F1545" s="253"/>
      <c r="G1545" s="253"/>
      <c r="H1545" s="253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50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</row>
    <row r="1546">
      <c r="A1546" s="17"/>
      <c r="B1546" s="17"/>
      <c r="C1546" s="17"/>
      <c r="D1546" s="17"/>
      <c r="E1546" s="86"/>
      <c r="F1546" s="253"/>
      <c r="G1546" s="253"/>
      <c r="H1546" s="253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50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</row>
    <row r="1547">
      <c r="A1547" s="17"/>
      <c r="B1547" s="17"/>
      <c r="C1547" s="17"/>
      <c r="D1547" s="17"/>
      <c r="E1547" s="86"/>
      <c r="F1547" s="253"/>
      <c r="G1547" s="253"/>
      <c r="H1547" s="253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50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</row>
    <row r="1548">
      <c r="A1548" s="17"/>
      <c r="B1548" s="17"/>
      <c r="C1548" s="17"/>
      <c r="D1548" s="17"/>
      <c r="E1548" s="86"/>
      <c r="F1548" s="253"/>
      <c r="G1548" s="253"/>
      <c r="H1548" s="253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50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</row>
    <row r="1549">
      <c r="A1549" s="17"/>
      <c r="B1549" s="17"/>
      <c r="C1549" s="17"/>
      <c r="D1549" s="17"/>
      <c r="E1549" s="86"/>
      <c r="F1549" s="253"/>
      <c r="G1549" s="253"/>
      <c r="H1549" s="253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50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/>
      <c r="BF1549" s="17"/>
      <c r="BG1549" s="17"/>
      <c r="BH1549" s="17"/>
      <c r="BI1549" s="17"/>
      <c r="BJ1549" s="17"/>
      <c r="BK1549" s="17"/>
      <c r="BL1549" s="17"/>
      <c r="BM1549" s="17"/>
      <c r="BN1549" s="17"/>
    </row>
    <row r="1550">
      <c r="A1550" s="17"/>
      <c r="B1550" s="17"/>
      <c r="C1550" s="17"/>
      <c r="D1550" s="17"/>
      <c r="E1550" s="86"/>
      <c r="F1550" s="253"/>
      <c r="G1550" s="253"/>
      <c r="H1550" s="253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50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/>
      <c r="BF1550" s="17"/>
      <c r="BG1550" s="17"/>
      <c r="BH1550" s="17"/>
      <c r="BI1550" s="17"/>
      <c r="BJ1550" s="17"/>
      <c r="BK1550" s="17"/>
      <c r="BL1550" s="17"/>
      <c r="BM1550" s="17"/>
      <c r="BN1550" s="17"/>
    </row>
    <row r="1551">
      <c r="A1551" s="17"/>
      <c r="B1551" s="17"/>
      <c r="C1551" s="17"/>
      <c r="D1551" s="17"/>
      <c r="E1551" s="86"/>
      <c r="F1551" s="253"/>
      <c r="G1551" s="253"/>
      <c r="H1551" s="253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50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/>
      <c r="BF1551" s="17"/>
      <c r="BG1551" s="17"/>
      <c r="BH1551" s="17"/>
      <c r="BI1551" s="17"/>
      <c r="BJ1551" s="17"/>
      <c r="BK1551" s="17"/>
      <c r="BL1551" s="17"/>
      <c r="BM1551" s="17"/>
      <c r="BN1551" s="17"/>
    </row>
    <row r="1552">
      <c r="A1552" s="17"/>
      <c r="B1552" s="17"/>
      <c r="C1552" s="17"/>
      <c r="D1552" s="17"/>
      <c r="E1552" s="86"/>
      <c r="F1552" s="253"/>
      <c r="G1552" s="253"/>
      <c r="H1552" s="253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50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/>
      <c r="BF1552" s="17"/>
      <c r="BG1552" s="17"/>
      <c r="BH1552" s="17"/>
      <c r="BI1552" s="17"/>
      <c r="BJ1552" s="17"/>
      <c r="BK1552" s="17"/>
      <c r="BL1552" s="17"/>
      <c r="BM1552" s="17"/>
      <c r="BN1552" s="17"/>
    </row>
    <row r="1553">
      <c r="A1553" s="17"/>
      <c r="B1553" s="17"/>
      <c r="C1553" s="17"/>
      <c r="D1553" s="17"/>
      <c r="E1553" s="86"/>
      <c r="F1553" s="253"/>
      <c r="G1553" s="253"/>
      <c r="H1553" s="253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50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/>
      <c r="BF1553" s="17"/>
      <c r="BG1553" s="17"/>
      <c r="BH1553" s="17"/>
      <c r="BI1553" s="17"/>
      <c r="BJ1553" s="17"/>
      <c r="BK1553" s="17"/>
      <c r="BL1553" s="17"/>
      <c r="BM1553" s="17"/>
      <c r="BN1553" s="17"/>
    </row>
    <row r="1554">
      <c r="A1554" s="17"/>
      <c r="B1554" s="17"/>
      <c r="C1554" s="17"/>
      <c r="D1554" s="17"/>
      <c r="E1554" s="86"/>
      <c r="F1554" s="253"/>
      <c r="G1554" s="253"/>
      <c r="H1554" s="253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50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</row>
    <row r="1555">
      <c r="A1555" s="17"/>
      <c r="B1555" s="17"/>
      <c r="C1555" s="17"/>
      <c r="D1555" s="17"/>
      <c r="E1555" s="86"/>
      <c r="F1555" s="253"/>
      <c r="G1555" s="253"/>
      <c r="H1555" s="253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50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</row>
    <row r="1556">
      <c r="A1556" s="17"/>
      <c r="B1556" s="17"/>
      <c r="C1556" s="17"/>
      <c r="D1556" s="17"/>
      <c r="E1556" s="86"/>
      <c r="F1556" s="253"/>
      <c r="G1556" s="253"/>
      <c r="H1556" s="253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50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/>
      <c r="BF1556" s="17"/>
      <c r="BG1556" s="17"/>
      <c r="BH1556" s="17"/>
      <c r="BI1556" s="17"/>
      <c r="BJ1556" s="17"/>
      <c r="BK1556" s="17"/>
      <c r="BL1556" s="17"/>
      <c r="BM1556" s="17"/>
      <c r="BN1556" s="17"/>
    </row>
    <row r="1557">
      <c r="A1557" s="17"/>
      <c r="B1557" s="17"/>
      <c r="C1557" s="17"/>
      <c r="D1557" s="17"/>
      <c r="E1557" s="86"/>
      <c r="F1557" s="253"/>
      <c r="G1557" s="253"/>
      <c r="H1557" s="253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50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/>
      <c r="BF1557" s="17"/>
      <c r="BG1557" s="17"/>
      <c r="BH1557" s="17"/>
      <c r="BI1557" s="17"/>
      <c r="BJ1557" s="17"/>
      <c r="BK1557" s="17"/>
      <c r="BL1557" s="17"/>
      <c r="BM1557" s="17"/>
      <c r="BN1557" s="17"/>
    </row>
    <row r="1558">
      <c r="A1558" s="17"/>
      <c r="B1558" s="17"/>
      <c r="C1558" s="17"/>
      <c r="D1558" s="17"/>
      <c r="E1558" s="86"/>
      <c r="F1558" s="253"/>
      <c r="G1558" s="253"/>
      <c r="H1558" s="253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50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/>
      <c r="BF1558" s="17"/>
      <c r="BG1558" s="17"/>
      <c r="BH1558" s="17"/>
      <c r="BI1558" s="17"/>
      <c r="BJ1558" s="17"/>
      <c r="BK1558" s="17"/>
      <c r="BL1558" s="17"/>
      <c r="BM1558" s="17"/>
      <c r="BN1558" s="17"/>
    </row>
    <row r="1559">
      <c r="A1559" s="17"/>
      <c r="B1559" s="17"/>
      <c r="C1559" s="17"/>
      <c r="D1559" s="17"/>
      <c r="E1559" s="86"/>
      <c r="F1559" s="253"/>
      <c r="G1559" s="253"/>
      <c r="H1559" s="253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50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/>
      <c r="BF1559" s="17"/>
      <c r="BG1559" s="17"/>
      <c r="BH1559" s="17"/>
      <c r="BI1559" s="17"/>
      <c r="BJ1559" s="17"/>
      <c r="BK1559" s="17"/>
      <c r="BL1559" s="17"/>
      <c r="BM1559" s="17"/>
      <c r="BN1559" s="17"/>
    </row>
    <row r="1560">
      <c r="A1560" s="17"/>
      <c r="B1560" s="17"/>
      <c r="C1560" s="17"/>
      <c r="D1560" s="17"/>
      <c r="E1560" s="86"/>
      <c r="F1560" s="253"/>
      <c r="G1560" s="253"/>
      <c r="H1560" s="253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50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/>
      <c r="BF1560" s="17"/>
      <c r="BG1560" s="17"/>
      <c r="BH1560" s="17"/>
      <c r="BI1560" s="17"/>
      <c r="BJ1560" s="17"/>
      <c r="BK1560" s="17"/>
      <c r="BL1560" s="17"/>
      <c r="BM1560" s="17"/>
      <c r="BN1560" s="17"/>
    </row>
    <row r="1561">
      <c r="A1561" s="17"/>
      <c r="B1561" s="17"/>
      <c r="C1561" s="17"/>
      <c r="D1561" s="17"/>
      <c r="E1561" s="86"/>
      <c r="F1561" s="253"/>
      <c r="G1561" s="253"/>
      <c r="H1561" s="253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50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/>
      <c r="BF1561" s="17"/>
      <c r="BG1561" s="17"/>
      <c r="BH1561" s="17"/>
      <c r="BI1561" s="17"/>
      <c r="BJ1561" s="17"/>
      <c r="BK1561" s="17"/>
      <c r="BL1561" s="17"/>
      <c r="BM1561" s="17"/>
      <c r="BN1561" s="17"/>
    </row>
    <row r="1562">
      <c r="A1562" s="17"/>
      <c r="B1562" s="17"/>
      <c r="C1562" s="17"/>
      <c r="D1562" s="17"/>
      <c r="E1562" s="86"/>
      <c r="F1562" s="253"/>
      <c r="G1562" s="253"/>
      <c r="H1562" s="253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50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/>
      <c r="BF1562" s="17"/>
      <c r="BG1562" s="17"/>
      <c r="BH1562" s="17"/>
      <c r="BI1562" s="17"/>
      <c r="BJ1562" s="17"/>
      <c r="BK1562" s="17"/>
      <c r="BL1562" s="17"/>
      <c r="BM1562" s="17"/>
      <c r="BN1562" s="17"/>
    </row>
    <row r="1563">
      <c r="A1563" s="17"/>
      <c r="B1563" s="17"/>
      <c r="C1563" s="17"/>
      <c r="D1563" s="17"/>
      <c r="E1563" s="86"/>
      <c r="F1563" s="253"/>
      <c r="G1563" s="253"/>
      <c r="H1563" s="253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50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/>
      <c r="BF1563" s="17"/>
      <c r="BG1563" s="17"/>
      <c r="BH1563" s="17"/>
      <c r="BI1563" s="17"/>
      <c r="BJ1563" s="17"/>
      <c r="BK1563" s="17"/>
      <c r="BL1563" s="17"/>
      <c r="BM1563" s="17"/>
      <c r="BN1563" s="17"/>
    </row>
    <row r="1564">
      <c r="A1564" s="17"/>
      <c r="B1564" s="17"/>
      <c r="C1564" s="17"/>
      <c r="D1564" s="17"/>
      <c r="E1564" s="86"/>
      <c r="F1564" s="253"/>
      <c r="G1564" s="253"/>
      <c r="H1564" s="253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50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/>
      <c r="BF1564" s="17"/>
      <c r="BG1564" s="17"/>
      <c r="BH1564" s="17"/>
      <c r="BI1564" s="17"/>
      <c r="BJ1564" s="17"/>
      <c r="BK1564" s="17"/>
      <c r="BL1564" s="17"/>
      <c r="BM1564" s="17"/>
      <c r="BN1564" s="17"/>
    </row>
    <row r="1565">
      <c r="A1565" s="17"/>
      <c r="B1565" s="17"/>
      <c r="C1565" s="17"/>
      <c r="D1565" s="17"/>
      <c r="E1565" s="86"/>
      <c r="F1565" s="253"/>
      <c r="G1565" s="253"/>
      <c r="H1565" s="253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50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/>
      <c r="BF1565" s="17"/>
      <c r="BG1565" s="17"/>
      <c r="BH1565" s="17"/>
      <c r="BI1565" s="17"/>
      <c r="BJ1565" s="17"/>
      <c r="BK1565" s="17"/>
      <c r="BL1565" s="17"/>
      <c r="BM1565" s="17"/>
      <c r="BN1565" s="17"/>
    </row>
    <row r="1566">
      <c r="A1566" s="17"/>
      <c r="B1566" s="17"/>
      <c r="C1566" s="17"/>
      <c r="D1566" s="17"/>
      <c r="E1566" s="86"/>
      <c r="F1566" s="253"/>
      <c r="G1566" s="253"/>
      <c r="H1566" s="253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50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/>
      <c r="BF1566" s="17"/>
      <c r="BG1566" s="17"/>
      <c r="BH1566" s="17"/>
      <c r="BI1566" s="17"/>
      <c r="BJ1566" s="17"/>
      <c r="BK1566" s="17"/>
      <c r="BL1566" s="17"/>
      <c r="BM1566" s="17"/>
      <c r="BN1566" s="17"/>
    </row>
    <row r="1567">
      <c r="A1567" s="17"/>
      <c r="B1567" s="17"/>
      <c r="C1567" s="17"/>
      <c r="D1567" s="17"/>
      <c r="E1567" s="86"/>
      <c r="F1567" s="253"/>
      <c r="G1567" s="253"/>
      <c r="H1567" s="253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50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/>
      <c r="BF1567" s="17"/>
      <c r="BG1567" s="17"/>
      <c r="BH1567" s="17"/>
      <c r="BI1567" s="17"/>
      <c r="BJ1567" s="17"/>
      <c r="BK1567" s="17"/>
      <c r="BL1567" s="17"/>
      <c r="BM1567" s="17"/>
      <c r="BN1567" s="17"/>
    </row>
    <row r="1568">
      <c r="A1568" s="17"/>
      <c r="B1568" s="17"/>
      <c r="C1568" s="17"/>
      <c r="D1568" s="17"/>
      <c r="E1568" s="86"/>
      <c r="F1568" s="253"/>
      <c r="G1568" s="253"/>
      <c r="H1568" s="253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50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/>
      <c r="BF1568" s="17"/>
      <c r="BG1568" s="17"/>
      <c r="BH1568" s="17"/>
      <c r="BI1568" s="17"/>
      <c r="BJ1568" s="17"/>
      <c r="BK1568" s="17"/>
      <c r="BL1568" s="17"/>
      <c r="BM1568" s="17"/>
      <c r="BN1568" s="17"/>
    </row>
    <row r="1569">
      <c r="A1569" s="17"/>
      <c r="B1569" s="17"/>
      <c r="C1569" s="17"/>
      <c r="D1569" s="17"/>
      <c r="E1569" s="86"/>
      <c r="F1569" s="253"/>
      <c r="G1569" s="253"/>
      <c r="H1569" s="253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50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/>
      <c r="BF1569" s="17"/>
      <c r="BG1569" s="17"/>
      <c r="BH1569" s="17"/>
      <c r="BI1569" s="17"/>
      <c r="BJ1569" s="17"/>
      <c r="BK1569" s="17"/>
      <c r="BL1569" s="17"/>
      <c r="BM1569" s="17"/>
      <c r="BN1569" s="17"/>
    </row>
    <row r="1570">
      <c r="A1570" s="17"/>
      <c r="B1570" s="17"/>
      <c r="C1570" s="17"/>
      <c r="D1570" s="17"/>
      <c r="E1570" s="86"/>
      <c r="F1570" s="253"/>
      <c r="G1570" s="253"/>
      <c r="H1570" s="253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50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/>
      <c r="BF1570" s="17"/>
      <c r="BG1570" s="17"/>
      <c r="BH1570" s="17"/>
      <c r="BI1570" s="17"/>
      <c r="BJ1570" s="17"/>
      <c r="BK1570" s="17"/>
      <c r="BL1570" s="17"/>
      <c r="BM1570" s="17"/>
      <c r="BN1570" s="17"/>
    </row>
    <row r="1571">
      <c r="A1571" s="17"/>
      <c r="B1571" s="17"/>
      <c r="C1571" s="17"/>
      <c r="D1571" s="17"/>
      <c r="E1571" s="86"/>
      <c r="F1571" s="253"/>
      <c r="G1571" s="253"/>
      <c r="H1571" s="253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50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/>
      <c r="BF1571" s="17"/>
      <c r="BG1571" s="17"/>
      <c r="BH1571" s="17"/>
      <c r="BI1571" s="17"/>
      <c r="BJ1571" s="17"/>
      <c r="BK1571" s="17"/>
      <c r="BL1571" s="17"/>
      <c r="BM1571" s="17"/>
      <c r="BN1571" s="17"/>
    </row>
    <row r="1572">
      <c r="A1572" s="17"/>
      <c r="B1572" s="17"/>
      <c r="C1572" s="17"/>
      <c r="D1572" s="17"/>
      <c r="E1572" s="86"/>
      <c r="F1572" s="253"/>
      <c r="G1572" s="253"/>
      <c r="H1572" s="253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50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/>
      <c r="BF1572" s="17"/>
      <c r="BG1572" s="17"/>
      <c r="BH1572" s="17"/>
      <c r="BI1572" s="17"/>
      <c r="BJ1572" s="17"/>
      <c r="BK1572" s="17"/>
      <c r="BL1572" s="17"/>
      <c r="BM1572" s="17"/>
      <c r="BN1572" s="17"/>
    </row>
    <row r="1573">
      <c r="A1573" s="17"/>
      <c r="B1573" s="17"/>
      <c r="C1573" s="17"/>
      <c r="D1573" s="17"/>
      <c r="E1573" s="86"/>
      <c r="F1573" s="253"/>
      <c r="G1573" s="253"/>
      <c r="H1573" s="253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50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/>
      <c r="BF1573" s="17"/>
      <c r="BG1573" s="17"/>
      <c r="BH1573" s="17"/>
      <c r="BI1573" s="17"/>
      <c r="BJ1573" s="17"/>
      <c r="BK1573" s="17"/>
      <c r="BL1573" s="17"/>
      <c r="BM1573" s="17"/>
      <c r="BN1573" s="17"/>
    </row>
    <row r="1574">
      <c r="A1574" s="17"/>
      <c r="B1574" s="17"/>
      <c r="C1574" s="17"/>
      <c r="D1574" s="17"/>
      <c r="E1574" s="86"/>
      <c r="F1574" s="253"/>
      <c r="G1574" s="253"/>
      <c r="H1574" s="253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50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/>
      <c r="BF1574" s="17"/>
      <c r="BG1574" s="17"/>
      <c r="BH1574" s="17"/>
      <c r="BI1574" s="17"/>
      <c r="BJ1574" s="17"/>
      <c r="BK1574" s="17"/>
      <c r="BL1574" s="17"/>
      <c r="BM1574" s="17"/>
      <c r="BN1574" s="17"/>
    </row>
    <row r="1575">
      <c r="A1575" s="17"/>
      <c r="B1575" s="17"/>
      <c r="C1575" s="17"/>
      <c r="D1575" s="17"/>
      <c r="E1575" s="86"/>
      <c r="F1575" s="253"/>
      <c r="G1575" s="253"/>
      <c r="H1575" s="253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50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/>
      <c r="BF1575" s="17"/>
      <c r="BG1575" s="17"/>
      <c r="BH1575" s="17"/>
      <c r="BI1575" s="17"/>
      <c r="BJ1575" s="17"/>
      <c r="BK1575" s="17"/>
      <c r="BL1575" s="17"/>
      <c r="BM1575" s="17"/>
      <c r="BN1575" s="17"/>
    </row>
    <row r="1576">
      <c r="A1576" s="17"/>
      <c r="B1576" s="17"/>
      <c r="C1576" s="17"/>
      <c r="D1576" s="17"/>
      <c r="E1576" s="86"/>
      <c r="F1576" s="253"/>
      <c r="G1576" s="253"/>
      <c r="H1576" s="253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50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/>
      <c r="BF1576" s="17"/>
      <c r="BG1576" s="17"/>
      <c r="BH1576" s="17"/>
      <c r="BI1576" s="17"/>
      <c r="BJ1576" s="17"/>
      <c r="BK1576" s="17"/>
      <c r="BL1576" s="17"/>
      <c r="BM1576" s="17"/>
      <c r="BN1576" s="17"/>
    </row>
    <row r="1577">
      <c r="A1577" s="17"/>
      <c r="B1577" s="17"/>
      <c r="C1577" s="17"/>
      <c r="D1577" s="17"/>
      <c r="E1577" s="86"/>
      <c r="F1577" s="253"/>
      <c r="G1577" s="253"/>
      <c r="H1577" s="253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50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/>
      <c r="BF1577" s="17"/>
      <c r="BG1577" s="17"/>
      <c r="BH1577" s="17"/>
      <c r="BI1577" s="17"/>
      <c r="BJ1577" s="17"/>
      <c r="BK1577" s="17"/>
      <c r="BL1577" s="17"/>
      <c r="BM1577" s="17"/>
      <c r="BN1577" s="17"/>
    </row>
    <row r="1578">
      <c r="A1578" s="17"/>
      <c r="B1578" s="17"/>
      <c r="C1578" s="17"/>
      <c r="D1578" s="17"/>
      <c r="E1578" s="86"/>
      <c r="F1578" s="253"/>
      <c r="G1578" s="253"/>
      <c r="H1578" s="253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50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/>
      <c r="BF1578" s="17"/>
      <c r="BG1578" s="17"/>
      <c r="BH1578" s="17"/>
      <c r="BI1578" s="17"/>
      <c r="BJ1578" s="17"/>
      <c r="BK1578" s="17"/>
      <c r="BL1578" s="17"/>
      <c r="BM1578" s="17"/>
      <c r="BN1578" s="17"/>
    </row>
    <row r="1579">
      <c r="A1579" s="17"/>
      <c r="B1579" s="17"/>
      <c r="C1579" s="17"/>
      <c r="D1579" s="17"/>
      <c r="E1579" s="86"/>
      <c r="F1579" s="253"/>
      <c r="G1579" s="253"/>
      <c r="H1579" s="253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50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/>
      <c r="BF1579" s="17"/>
      <c r="BG1579" s="17"/>
      <c r="BH1579" s="17"/>
      <c r="BI1579" s="17"/>
      <c r="BJ1579" s="17"/>
      <c r="BK1579" s="17"/>
      <c r="BL1579" s="17"/>
      <c r="BM1579" s="17"/>
      <c r="BN1579" s="17"/>
    </row>
    <row r="1580">
      <c r="A1580" s="17"/>
      <c r="B1580" s="17"/>
      <c r="C1580" s="17"/>
      <c r="D1580" s="17"/>
      <c r="E1580" s="86"/>
      <c r="F1580" s="253"/>
      <c r="G1580" s="253"/>
      <c r="H1580" s="253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50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/>
      <c r="BF1580" s="17"/>
      <c r="BG1580" s="17"/>
      <c r="BH1580" s="17"/>
      <c r="BI1580" s="17"/>
      <c r="BJ1580" s="17"/>
      <c r="BK1580" s="17"/>
      <c r="BL1580" s="17"/>
      <c r="BM1580" s="17"/>
      <c r="BN1580" s="17"/>
    </row>
    <row r="1581">
      <c r="A1581" s="17"/>
      <c r="B1581" s="17"/>
      <c r="C1581" s="17"/>
      <c r="D1581" s="17"/>
      <c r="E1581" s="86"/>
      <c r="F1581" s="253"/>
      <c r="G1581" s="253"/>
      <c r="H1581" s="253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50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/>
      <c r="BF1581" s="17"/>
      <c r="BG1581" s="17"/>
      <c r="BH1581" s="17"/>
      <c r="BI1581" s="17"/>
      <c r="BJ1581" s="17"/>
      <c r="BK1581" s="17"/>
      <c r="BL1581" s="17"/>
      <c r="BM1581" s="17"/>
      <c r="BN1581" s="17"/>
    </row>
    <row r="1582">
      <c r="A1582" s="17"/>
      <c r="B1582" s="17"/>
      <c r="C1582" s="17"/>
      <c r="D1582" s="17"/>
      <c r="E1582" s="86"/>
      <c r="F1582" s="253"/>
      <c r="G1582" s="253"/>
      <c r="H1582" s="253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50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/>
      <c r="BF1582" s="17"/>
      <c r="BG1582" s="17"/>
      <c r="BH1582" s="17"/>
      <c r="BI1582" s="17"/>
      <c r="BJ1582" s="17"/>
      <c r="BK1582" s="17"/>
      <c r="BL1582" s="17"/>
      <c r="BM1582" s="17"/>
      <c r="BN1582" s="17"/>
    </row>
    <row r="1583">
      <c r="A1583" s="17"/>
      <c r="B1583" s="17"/>
      <c r="C1583" s="17"/>
      <c r="D1583" s="17"/>
      <c r="E1583" s="86"/>
      <c r="F1583" s="253"/>
      <c r="G1583" s="253"/>
      <c r="H1583" s="253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50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/>
      <c r="BF1583" s="17"/>
      <c r="BG1583" s="17"/>
      <c r="BH1583" s="17"/>
      <c r="BI1583" s="17"/>
      <c r="BJ1583" s="17"/>
      <c r="BK1583" s="17"/>
      <c r="BL1583" s="17"/>
      <c r="BM1583" s="17"/>
      <c r="BN1583" s="17"/>
    </row>
    <row r="1584">
      <c r="A1584" s="17"/>
      <c r="B1584" s="17"/>
      <c r="C1584" s="17"/>
      <c r="D1584" s="17"/>
      <c r="E1584" s="86"/>
      <c r="F1584" s="253"/>
      <c r="G1584" s="253"/>
      <c r="H1584" s="253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50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/>
      <c r="BF1584" s="17"/>
      <c r="BG1584" s="17"/>
      <c r="BH1584" s="17"/>
      <c r="BI1584" s="17"/>
      <c r="BJ1584" s="17"/>
      <c r="BK1584" s="17"/>
      <c r="BL1584" s="17"/>
      <c r="BM1584" s="17"/>
      <c r="BN1584" s="17"/>
    </row>
    <row r="1585">
      <c r="A1585" s="17"/>
      <c r="B1585" s="17"/>
      <c r="C1585" s="17"/>
      <c r="D1585" s="17"/>
      <c r="E1585" s="86"/>
      <c r="F1585" s="253"/>
      <c r="G1585" s="253"/>
      <c r="H1585" s="253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50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/>
      <c r="BF1585" s="17"/>
      <c r="BG1585" s="17"/>
      <c r="BH1585" s="17"/>
      <c r="BI1585" s="17"/>
      <c r="BJ1585" s="17"/>
      <c r="BK1585" s="17"/>
      <c r="BL1585" s="17"/>
      <c r="BM1585" s="17"/>
      <c r="BN1585" s="17"/>
    </row>
    <row r="1586">
      <c r="A1586" s="17"/>
      <c r="B1586" s="17"/>
      <c r="C1586" s="17"/>
      <c r="D1586" s="17"/>
      <c r="E1586" s="86"/>
      <c r="F1586" s="253"/>
      <c r="G1586" s="253"/>
      <c r="H1586" s="253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50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/>
      <c r="BF1586" s="17"/>
      <c r="BG1586" s="17"/>
      <c r="BH1586" s="17"/>
      <c r="BI1586" s="17"/>
      <c r="BJ1586" s="17"/>
      <c r="BK1586" s="17"/>
      <c r="BL1586" s="17"/>
      <c r="BM1586" s="17"/>
      <c r="BN1586" s="17"/>
    </row>
    <row r="1587">
      <c r="A1587" s="17"/>
      <c r="B1587" s="17"/>
      <c r="C1587" s="17"/>
      <c r="D1587" s="17"/>
      <c r="E1587" s="86"/>
      <c r="F1587" s="253"/>
      <c r="G1587" s="253"/>
      <c r="H1587" s="253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50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/>
      <c r="BF1587" s="17"/>
      <c r="BG1587" s="17"/>
      <c r="BH1587" s="17"/>
      <c r="BI1587" s="17"/>
      <c r="BJ1587" s="17"/>
      <c r="BK1587" s="17"/>
      <c r="BL1587" s="17"/>
      <c r="BM1587" s="17"/>
      <c r="BN1587" s="17"/>
    </row>
    <row r="1588">
      <c r="A1588" s="17"/>
      <c r="B1588" s="17"/>
      <c r="C1588" s="17"/>
      <c r="D1588" s="17"/>
      <c r="E1588" s="86"/>
      <c r="F1588" s="253"/>
      <c r="G1588" s="253"/>
      <c r="H1588" s="253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50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/>
      <c r="BF1588" s="17"/>
      <c r="BG1588" s="17"/>
      <c r="BH1588" s="17"/>
      <c r="BI1588" s="17"/>
      <c r="BJ1588" s="17"/>
      <c r="BK1588" s="17"/>
      <c r="BL1588" s="17"/>
      <c r="BM1588" s="17"/>
      <c r="BN1588" s="17"/>
    </row>
    <row r="1589">
      <c r="A1589" s="17"/>
      <c r="B1589" s="17"/>
      <c r="C1589" s="17"/>
      <c r="D1589" s="17"/>
      <c r="E1589" s="86"/>
      <c r="F1589" s="253"/>
      <c r="G1589" s="253"/>
      <c r="H1589" s="253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50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/>
      <c r="BF1589" s="17"/>
      <c r="BG1589" s="17"/>
      <c r="BH1589" s="17"/>
      <c r="BI1589" s="17"/>
      <c r="BJ1589" s="17"/>
      <c r="BK1589" s="17"/>
      <c r="BL1589" s="17"/>
      <c r="BM1589" s="17"/>
      <c r="BN1589" s="17"/>
    </row>
    <row r="1590">
      <c r="A1590" s="17"/>
      <c r="B1590" s="17"/>
      <c r="C1590" s="17"/>
      <c r="D1590" s="17"/>
      <c r="E1590" s="86"/>
      <c r="F1590" s="253"/>
      <c r="G1590" s="253"/>
      <c r="H1590" s="253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50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/>
      <c r="BF1590" s="17"/>
      <c r="BG1590" s="17"/>
      <c r="BH1590" s="17"/>
      <c r="BI1590" s="17"/>
      <c r="BJ1590" s="17"/>
      <c r="BK1590" s="17"/>
      <c r="BL1590" s="17"/>
      <c r="BM1590" s="17"/>
      <c r="BN1590" s="17"/>
    </row>
    <row r="1591">
      <c r="A1591" s="17"/>
      <c r="B1591" s="17"/>
      <c r="C1591" s="17"/>
      <c r="D1591" s="17"/>
      <c r="E1591" s="86"/>
      <c r="F1591" s="253"/>
      <c r="G1591" s="253"/>
      <c r="H1591" s="253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50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/>
      <c r="BF1591" s="17"/>
      <c r="BG1591" s="17"/>
      <c r="BH1591" s="17"/>
      <c r="BI1591" s="17"/>
      <c r="BJ1591" s="17"/>
      <c r="BK1591" s="17"/>
      <c r="BL1591" s="17"/>
      <c r="BM1591" s="17"/>
      <c r="BN1591" s="17"/>
    </row>
    <row r="1592">
      <c r="A1592" s="17"/>
      <c r="B1592" s="17"/>
      <c r="C1592" s="17"/>
      <c r="D1592" s="17"/>
      <c r="E1592" s="86"/>
      <c r="F1592" s="253"/>
      <c r="G1592" s="253"/>
      <c r="H1592" s="253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50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/>
      <c r="BF1592" s="17"/>
      <c r="BG1592" s="17"/>
      <c r="BH1592" s="17"/>
      <c r="BI1592" s="17"/>
      <c r="BJ1592" s="17"/>
      <c r="BK1592" s="17"/>
      <c r="BL1592" s="17"/>
      <c r="BM1592" s="17"/>
      <c r="BN1592" s="17"/>
    </row>
    <row r="1593">
      <c r="A1593" s="17"/>
      <c r="B1593" s="17"/>
      <c r="C1593" s="17"/>
      <c r="D1593" s="17"/>
      <c r="E1593" s="86"/>
      <c r="F1593" s="253"/>
      <c r="G1593" s="253"/>
      <c r="H1593" s="253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50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/>
      <c r="BF1593" s="17"/>
      <c r="BG1593" s="17"/>
      <c r="BH1593" s="17"/>
      <c r="BI1593" s="17"/>
      <c r="BJ1593" s="17"/>
      <c r="BK1593" s="17"/>
      <c r="BL1593" s="17"/>
      <c r="BM1593" s="17"/>
      <c r="BN1593" s="17"/>
    </row>
    <row r="1594">
      <c r="A1594" s="17"/>
      <c r="B1594" s="17"/>
      <c r="C1594" s="17"/>
      <c r="D1594" s="17"/>
      <c r="E1594" s="86"/>
      <c r="F1594" s="253"/>
      <c r="G1594" s="253"/>
      <c r="H1594" s="253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50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/>
      <c r="BF1594" s="17"/>
      <c r="BG1594" s="17"/>
      <c r="BH1594" s="17"/>
      <c r="BI1594" s="17"/>
      <c r="BJ1594" s="17"/>
      <c r="BK1594" s="17"/>
      <c r="BL1594" s="17"/>
      <c r="BM1594" s="17"/>
      <c r="BN1594" s="17"/>
    </row>
    <row r="1595">
      <c r="A1595" s="17"/>
      <c r="B1595" s="17"/>
      <c r="C1595" s="17"/>
      <c r="D1595" s="17"/>
      <c r="E1595" s="86"/>
      <c r="F1595" s="253"/>
      <c r="G1595" s="253"/>
      <c r="H1595" s="253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50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/>
      <c r="BF1595" s="17"/>
      <c r="BG1595" s="17"/>
      <c r="BH1595" s="17"/>
      <c r="BI1595" s="17"/>
      <c r="BJ1595" s="17"/>
      <c r="BK1595" s="17"/>
      <c r="BL1595" s="17"/>
      <c r="BM1595" s="17"/>
      <c r="BN1595" s="17"/>
    </row>
    <row r="1596">
      <c r="A1596" s="17"/>
      <c r="B1596" s="17"/>
      <c r="C1596" s="17"/>
      <c r="D1596" s="17"/>
      <c r="E1596" s="86"/>
      <c r="F1596" s="253"/>
      <c r="G1596" s="253"/>
      <c r="H1596" s="253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50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/>
      <c r="BF1596" s="17"/>
      <c r="BG1596" s="17"/>
      <c r="BH1596" s="17"/>
      <c r="BI1596" s="17"/>
      <c r="BJ1596" s="17"/>
      <c r="BK1596" s="17"/>
      <c r="BL1596" s="17"/>
      <c r="BM1596" s="17"/>
      <c r="BN1596" s="17"/>
    </row>
    <row r="1597">
      <c r="A1597" s="17"/>
      <c r="B1597" s="17"/>
      <c r="C1597" s="17"/>
      <c r="D1597" s="17"/>
      <c r="E1597" s="86"/>
      <c r="F1597" s="253"/>
      <c r="G1597" s="253"/>
      <c r="H1597" s="253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50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/>
      <c r="BF1597" s="17"/>
      <c r="BG1597" s="17"/>
      <c r="BH1597" s="17"/>
      <c r="BI1597" s="17"/>
      <c r="BJ1597" s="17"/>
      <c r="BK1597" s="17"/>
      <c r="BL1597" s="17"/>
      <c r="BM1597" s="17"/>
      <c r="BN1597" s="17"/>
    </row>
    <row r="1598">
      <c r="A1598" s="17"/>
      <c r="B1598" s="17"/>
      <c r="C1598" s="17"/>
      <c r="D1598" s="17"/>
      <c r="E1598" s="86"/>
      <c r="F1598" s="253"/>
      <c r="G1598" s="253"/>
      <c r="H1598" s="253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50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/>
      <c r="BF1598" s="17"/>
      <c r="BG1598" s="17"/>
      <c r="BH1598" s="17"/>
      <c r="BI1598" s="17"/>
      <c r="BJ1598" s="17"/>
      <c r="BK1598" s="17"/>
      <c r="BL1598" s="17"/>
      <c r="BM1598" s="17"/>
      <c r="BN1598" s="17"/>
    </row>
    <row r="1599">
      <c r="A1599" s="17"/>
      <c r="B1599" s="17"/>
      <c r="C1599" s="17"/>
      <c r="D1599" s="17"/>
      <c r="E1599" s="86"/>
      <c r="F1599" s="253"/>
      <c r="G1599" s="253"/>
      <c r="H1599" s="253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50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/>
      <c r="BF1599" s="17"/>
      <c r="BG1599" s="17"/>
      <c r="BH1599" s="17"/>
      <c r="BI1599" s="17"/>
      <c r="BJ1599" s="17"/>
      <c r="BK1599" s="17"/>
      <c r="BL1599" s="17"/>
      <c r="BM1599" s="17"/>
      <c r="BN1599" s="17"/>
    </row>
    <row r="1600">
      <c r="A1600" s="17"/>
      <c r="B1600" s="17"/>
      <c r="C1600" s="17"/>
      <c r="D1600" s="17"/>
      <c r="E1600" s="86"/>
      <c r="F1600" s="253"/>
      <c r="G1600" s="253"/>
      <c r="H1600" s="253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50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/>
      <c r="BF1600" s="17"/>
      <c r="BG1600" s="17"/>
      <c r="BH1600" s="17"/>
      <c r="BI1600" s="17"/>
      <c r="BJ1600" s="17"/>
      <c r="BK1600" s="17"/>
      <c r="BL1600" s="17"/>
      <c r="BM1600" s="17"/>
      <c r="BN1600" s="17"/>
    </row>
    <row r="1601">
      <c r="A1601" s="17"/>
      <c r="B1601" s="17"/>
      <c r="C1601" s="17"/>
      <c r="D1601" s="17"/>
      <c r="E1601" s="86"/>
      <c r="F1601" s="253"/>
      <c r="G1601" s="253"/>
      <c r="H1601" s="253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50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/>
      <c r="BF1601" s="17"/>
      <c r="BG1601" s="17"/>
      <c r="BH1601" s="17"/>
      <c r="BI1601" s="17"/>
      <c r="BJ1601" s="17"/>
      <c r="BK1601" s="17"/>
      <c r="BL1601" s="17"/>
      <c r="BM1601" s="17"/>
      <c r="BN1601" s="17"/>
    </row>
    <row r="1602">
      <c r="A1602" s="17"/>
      <c r="B1602" s="17"/>
      <c r="C1602" s="17"/>
      <c r="D1602" s="17"/>
      <c r="E1602" s="86"/>
      <c r="F1602" s="253"/>
      <c r="G1602" s="253"/>
      <c r="H1602" s="253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50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/>
      <c r="BF1602" s="17"/>
      <c r="BG1602" s="17"/>
      <c r="BH1602" s="17"/>
      <c r="BI1602" s="17"/>
      <c r="BJ1602" s="17"/>
      <c r="BK1602" s="17"/>
      <c r="BL1602" s="17"/>
      <c r="BM1602" s="17"/>
      <c r="BN1602" s="17"/>
    </row>
    <row r="1603">
      <c r="A1603" s="17"/>
      <c r="B1603" s="17"/>
      <c r="C1603" s="17"/>
      <c r="D1603" s="17"/>
      <c r="E1603" s="86"/>
      <c r="F1603" s="253"/>
      <c r="G1603" s="253"/>
      <c r="H1603" s="253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50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/>
      <c r="BF1603" s="17"/>
      <c r="BG1603" s="17"/>
      <c r="BH1603" s="17"/>
      <c r="BI1603" s="17"/>
      <c r="BJ1603" s="17"/>
      <c r="BK1603" s="17"/>
      <c r="BL1603" s="17"/>
      <c r="BM1603" s="17"/>
      <c r="BN1603" s="17"/>
    </row>
    <row r="1604">
      <c r="A1604" s="17"/>
      <c r="B1604" s="17"/>
      <c r="C1604" s="17"/>
      <c r="D1604" s="17"/>
      <c r="E1604" s="86"/>
      <c r="F1604" s="253"/>
      <c r="G1604" s="253"/>
      <c r="H1604" s="253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50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/>
      <c r="BF1604" s="17"/>
      <c r="BG1604" s="17"/>
      <c r="BH1604" s="17"/>
      <c r="BI1604" s="17"/>
      <c r="BJ1604" s="17"/>
      <c r="BK1604" s="17"/>
      <c r="BL1604" s="17"/>
      <c r="BM1604" s="17"/>
      <c r="BN1604" s="17"/>
    </row>
    <row r="1605">
      <c r="A1605" s="17"/>
      <c r="B1605" s="17"/>
      <c r="C1605" s="17"/>
      <c r="D1605" s="17"/>
      <c r="E1605" s="86"/>
      <c r="F1605" s="253"/>
      <c r="G1605" s="253"/>
      <c r="H1605" s="253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50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/>
      <c r="BF1605" s="17"/>
      <c r="BG1605" s="17"/>
      <c r="BH1605" s="17"/>
      <c r="BI1605" s="17"/>
      <c r="BJ1605" s="17"/>
      <c r="BK1605" s="17"/>
      <c r="BL1605" s="17"/>
      <c r="BM1605" s="17"/>
      <c r="BN1605" s="17"/>
    </row>
    <row r="1606">
      <c r="A1606" s="17"/>
      <c r="B1606" s="17"/>
      <c r="C1606" s="17"/>
      <c r="D1606" s="17"/>
      <c r="E1606" s="86"/>
      <c r="F1606" s="253"/>
      <c r="G1606" s="253"/>
      <c r="H1606" s="253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50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/>
      <c r="BF1606" s="17"/>
      <c r="BG1606" s="17"/>
      <c r="BH1606" s="17"/>
      <c r="BI1606" s="17"/>
      <c r="BJ1606" s="17"/>
      <c r="BK1606" s="17"/>
      <c r="BL1606" s="17"/>
      <c r="BM1606" s="17"/>
      <c r="BN1606" s="17"/>
    </row>
    <row r="1607">
      <c r="A1607" s="17"/>
      <c r="B1607" s="17"/>
      <c r="C1607" s="17"/>
      <c r="D1607" s="17"/>
      <c r="E1607" s="86"/>
      <c r="F1607" s="253"/>
      <c r="G1607" s="253"/>
      <c r="H1607" s="253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50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/>
      <c r="BF1607" s="17"/>
      <c r="BG1607" s="17"/>
      <c r="BH1607" s="17"/>
      <c r="BI1607" s="17"/>
      <c r="BJ1607" s="17"/>
      <c r="BK1607" s="17"/>
      <c r="BL1607" s="17"/>
      <c r="BM1607" s="17"/>
      <c r="BN1607" s="17"/>
    </row>
    <row r="1608">
      <c r="A1608" s="17"/>
      <c r="B1608" s="17"/>
      <c r="C1608" s="17"/>
      <c r="D1608" s="17"/>
      <c r="E1608" s="86"/>
      <c r="F1608" s="253"/>
      <c r="G1608" s="253"/>
      <c r="H1608" s="253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50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</row>
    <row r="1609">
      <c r="A1609" s="17"/>
      <c r="B1609" s="17"/>
      <c r="C1609" s="17"/>
      <c r="D1609" s="17"/>
      <c r="E1609" s="86"/>
      <c r="F1609" s="253"/>
      <c r="G1609" s="253"/>
      <c r="H1609" s="253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50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</row>
    <row r="1610">
      <c r="A1610" s="17"/>
      <c r="B1610" s="17"/>
      <c r="C1610" s="17"/>
      <c r="D1610" s="17"/>
      <c r="E1610" s="86"/>
      <c r="F1610" s="253"/>
      <c r="G1610" s="253"/>
      <c r="H1610" s="253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50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</row>
    <row r="1611">
      <c r="A1611" s="17"/>
      <c r="B1611" s="17"/>
      <c r="C1611" s="17"/>
      <c r="D1611" s="17"/>
      <c r="E1611" s="86"/>
      <c r="F1611" s="253"/>
      <c r="G1611" s="253"/>
      <c r="H1611" s="253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50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</row>
    <row r="1612">
      <c r="A1612" s="17"/>
      <c r="B1612" s="17"/>
      <c r="C1612" s="17"/>
      <c r="D1612" s="17"/>
      <c r="E1612" s="86"/>
      <c r="F1612" s="253"/>
      <c r="G1612" s="253"/>
      <c r="H1612" s="253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50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</row>
    <row r="1613">
      <c r="A1613" s="17"/>
      <c r="B1613" s="17"/>
      <c r="C1613" s="17"/>
      <c r="D1613" s="17"/>
      <c r="E1613" s="86"/>
      <c r="F1613" s="253"/>
      <c r="G1613" s="253"/>
      <c r="H1613" s="253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50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</row>
    <row r="1614">
      <c r="A1614" s="17"/>
      <c r="B1614" s="17"/>
      <c r="C1614" s="17"/>
      <c r="D1614" s="17"/>
      <c r="E1614" s="86"/>
      <c r="F1614" s="253"/>
      <c r="G1614" s="253"/>
      <c r="H1614" s="253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50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</row>
    <row r="1615">
      <c r="A1615" s="17"/>
      <c r="B1615" s="17"/>
      <c r="C1615" s="17"/>
      <c r="D1615" s="17"/>
      <c r="E1615" s="86"/>
      <c r="F1615" s="253"/>
      <c r="G1615" s="253"/>
      <c r="H1615" s="253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50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</row>
    <row r="1616">
      <c r="A1616" s="17"/>
      <c r="B1616" s="17"/>
      <c r="C1616" s="17"/>
      <c r="D1616" s="17"/>
      <c r="E1616" s="86"/>
      <c r="F1616" s="253"/>
      <c r="G1616" s="253"/>
      <c r="H1616" s="253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50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</row>
    <row r="1617">
      <c r="A1617" s="17"/>
      <c r="B1617" s="17"/>
      <c r="C1617" s="17"/>
      <c r="D1617" s="17"/>
      <c r="E1617" s="86"/>
      <c r="F1617" s="253"/>
      <c r="G1617" s="253"/>
      <c r="H1617" s="253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50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</row>
    <row r="1618">
      <c r="A1618" s="17"/>
      <c r="B1618" s="17"/>
      <c r="C1618" s="17"/>
      <c r="D1618" s="17"/>
      <c r="E1618" s="86"/>
      <c r="F1618" s="253"/>
      <c r="G1618" s="253"/>
      <c r="H1618" s="253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50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</row>
    <row r="1619">
      <c r="A1619" s="17"/>
      <c r="B1619" s="17"/>
      <c r="C1619" s="17"/>
      <c r="D1619" s="17"/>
      <c r="E1619" s="86"/>
      <c r="F1619" s="253"/>
      <c r="G1619" s="253"/>
      <c r="H1619" s="253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50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</row>
    <row r="1620">
      <c r="A1620" s="17"/>
      <c r="B1620" s="17"/>
      <c r="C1620" s="17"/>
      <c r="D1620" s="17"/>
      <c r="E1620" s="86"/>
      <c r="F1620" s="253"/>
      <c r="G1620" s="253"/>
      <c r="H1620" s="253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50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</row>
    <row r="1621">
      <c r="A1621" s="17"/>
      <c r="B1621" s="17"/>
      <c r="C1621" s="17"/>
      <c r="D1621" s="17"/>
      <c r="E1621" s="86"/>
      <c r="F1621" s="253"/>
      <c r="G1621" s="253"/>
      <c r="H1621" s="253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50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</row>
    <row r="1622">
      <c r="A1622" s="17"/>
      <c r="B1622" s="17"/>
      <c r="C1622" s="17"/>
      <c r="D1622" s="17"/>
      <c r="E1622" s="86"/>
      <c r="F1622" s="253"/>
      <c r="G1622" s="253"/>
      <c r="H1622" s="253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50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</row>
    <row r="1623">
      <c r="A1623" s="17"/>
      <c r="B1623" s="17"/>
      <c r="C1623" s="17"/>
      <c r="D1623" s="17"/>
      <c r="E1623" s="86"/>
      <c r="F1623" s="253"/>
      <c r="G1623" s="253"/>
      <c r="H1623" s="253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50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</row>
    <row r="1624">
      <c r="A1624" s="17"/>
      <c r="B1624" s="17"/>
      <c r="C1624" s="17"/>
      <c r="D1624" s="17"/>
      <c r="E1624" s="86"/>
      <c r="F1624" s="253"/>
      <c r="G1624" s="253"/>
      <c r="H1624" s="253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50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</row>
    <row r="1625">
      <c r="A1625" s="17"/>
      <c r="B1625" s="17"/>
      <c r="C1625" s="17"/>
      <c r="D1625" s="17"/>
      <c r="E1625" s="86"/>
      <c r="F1625" s="253"/>
      <c r="G1625" s="253"/>
      <c r="H1625" s="253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50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</row>
    <row r="1626">
      <c r="A1626" s="17"/>
      <c r="B1626" s="17"/>
      <c r="C1626" s="17"/>
      <c r="D1626" s="17"/>
      <c r="E1626" s="86"/>
      <c r="F1626" s="253"/>
      <c r="G1626" s="253"/>
      <c r="H1626" s="253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50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</row>
    <row r="1627">
      <c r="A1627" s="17"/>
      <c r="B1627" s="17"/>
      <c r="C1627" s="17"/>
      <c r="D1627" s="17"/>
      <c r="E1627" s="86"/>
      <c r="F1627" s="253"/>
      <c r="G1627" s="253"/>
      <c r="H1627" s="253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50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</row>
    <row r="1628">
      <c r="A1628" s="17"/>
      <c r="B1628" s="17"/>
      <c r="C1628" s="17"/>
      <c r="D1628" s="17"/>
      <c r="E1628" s="86"/>
      <c r="F1628" s="253"/>
      <c r="G1628" s="253"/>
      <c r="H1628" s="253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50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</row>
    <row r="1629">
      <c r="A1629" s="17"/>
      <c r="B1629" s="17"/>
      <c r="C1629" s="17"/>
      <c r="D1629" s="17"/>
      <c r="E1629" s="86"/>
      <c r="F1629" s="253"/>
      <c r="G1629" s="253"/>
      <c r="H1629" s="253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50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</row>
    <row r="1630">
      <c r="A1630" s="17"/>
      <c r="B1630" s="17"/>
      <c r="C1630" s="17"/>
      <c r="D1630" s="17"/>
      <c r="E1630" s="86"/>
      <c r="F1630" s="253"/>
      <c r="G1630" s="253"/>
      <c r="H1630" s="253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50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</row>
    <row r="1631">
      <c r="A1631" s="17"/>
      <c r="B1631" s="17"/>
      <c r="C1631" s="17"/>
      <c r="D1631" s="17"/>
      <c r="E1631" s="86"/>
      <c r="F1631" s="253"/>
      <c r="G1631" s="253"/>
      <c r="H1631" s="253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50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</row>
    <row r="1632">
      <c r="A1632" s="17"/>
      <c r="B1632" s="17"/>
      <c r="C1632" s="17"/>
      <c r="D1632" s="17"/>
      <c r="E1632" s="86"/>
      <c r="F1632" s="253"/>
      <c r="G1632" s="253"/>
      <c r="H1632" s="253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50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</row>
    <row r="1633">
      <c r="A1633" s="17"/>
      <c r="B1633" s="17"/>
      <c r="C1633" s="17"/>
      <c r="D1633" s="17"/>
      <c r="E1633" s="86"/>
      <c r="F1633" s="253"/>
      <c r="G1633" s="253"/>
      <c r="H1633" s="253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50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</row>
    <row r="1634">
      <c r="A1634" s="17"/>
      <c r="B1634" s="17"/>
      <c r="C1634" s="17"/>
      <c r="D1634" s="17"/>
      <c r="E1634" s="86"/>
      <c r="F1634" s="253"/>
      <c r="G1634" s="253"/>
      <c r="H1634" s="253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50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</row>
    <row r="1635">
      <c r="A1635" s="17"/>
      <c r="B1635" s="17"/>
      <c r="C1635" s="17"/>
      <c r="D1635" s="17"/>
      <c r="E1635" s="86"/>
      <c r="F1635" s="253"/>
      <c r="G1635" s="253"/>
      <c r="H1635" s="253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50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</row>
    <row r="1636">
      <c r="A1636" s="17"/>
      <c r="B1636" s="17"/>
      <c r="C1636" s="17"/>
      <c r="D1636" s="17"/>
      <c r="E1636" s="86"/>
      <c r="F1636" s="253"/>
      <c r="G1636" s="253"/>
      <c r="H1636" s="253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50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</row>
    <row r="1637">
      <c r="A1637" s="17"/>
      <c r="B1637" s="17"/>
      <c r="C1637" s="17"/>
      <c r="D1637" s="17"/>
      <c r="E1637" s="86"/>
      <c r="F1637" s="253"/>
      <c r="G1637" s="253"/>
      <c r="H1637" s="253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50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</row>
    <row r="1638">
      <c r="A1638" s="17"/>
      <c r="B1638" s="17"/>
      <c r="C1638" s="17"/>
      <c r="D1638" s="17"/>
      <c r="E1638" s="86"/>
      <c r="F1638" s="253"/>
      <c r="G1638" s="253"/>
      <c r="H1638" s="253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50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</row>
    <row r="1639">
      <c r="A1639" s="17"/>
      <c r="B1639" s="17"/>
      <c r="C1639" s="17"/>
      <c r="D1639" s="17"/>
      <c r="E1639" s="86"/>
      <c r="F1639" s="253"/>
      <c r="G1639" s="253"/>
      <c r="H1639" s="253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50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</row>
    <row r="1640">
      <c r="A1640" s="17"/>
      <c r="B1640" s="17"/>
      <c r="C1640" s="17"/>
      <c r="D1640" s="17"/>
      <c r="E1640" s="86"/>
      <c r="F1640" s="253"/>
      <c r="G1640" s="253"/>
      <c r="H1640" s="253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50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</row>
    <row r="1641">
      <c r="A1641" s="17"/>
      <c r="B1641" s="17"/>
      <c r="C1641" s="17"/>
      <c r="D1641" s="17"/>
      <c r="E1641" s="86"/>
      <c r="F1641" s="253"/>
      <c r="G1641" s="253"/>
      <c r="H1641" s="253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50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</row>
    <row r="1642">
      <c r="A1642" s="17"/>
      <c r="B1642" s="17"/>
      <c r="C1642" s="17"/>
      <c r="D1642" s="17"/>
      <c r="E1642" s="86"/>
      <c r="F1642" s="253"/>
      <c r="G1642" s="253"/>
      <c r="H1642" s="253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50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</row>
    <row r="1643">
      <c r="A1643" s="17"/>
      <c r="B1643" s="17"/>
      <c r="C1643" s="17"/>
      <c r="D1643" s="17"/>
      <c r="E1643" s="86"/>
      <c r="F1643" s="253"/>
      <c r="G1643" s="253"/>
      <c r="H1643" s="253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50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</row>
    <row r="1644">
      <c r="A1644" s="17"/>
      <c r="B1644" s="17"/>
      <c r="C1644" s="17"/>
      <c r="D1644" s="17"/>
      <c r="E1644" s="86"/>
      <c r="F1644" s="253"/>
      <c r="G1644" s="253"/>
      <c r="H1644" s="253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50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</row>
    <row r="1645">
      <c r="A1645" s="17"/>
      <c r="B1645" s="17"/>
      <c r="C1645" s="17"/>
      <c r="D1645" s="17"/>
      <c r="E1645" s="86"/>
      <c r="F1645" s="253"/>
      <c r="G1645" s="253"/>
      <c r="H1645" s="253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50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</row>
    <row r="1646">
      <c r="A1646" s="17"/>
      <c r="B1646" s="17"/>
      <c r="C1646" s="17"/>
      <c r="D1646" s="17"/>
      <c r="E1646" s="86"/>
      <c r="F1646" s="253"/>
      <c r="G1646" s="253"/>
      <c r="H1646" s="253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50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</row>
    <row r="1647">
      <c r="A1647" s="17"/>
      <c r="B1647" s="17"/>
      <c r="C1647" s="17"/>
      <c r="D1647" s="17"/>
      <c r="E1647" s="86"/>
      <c r="F1647" s="253"/>
      <c r="G1647" s="253"/>
      <c r="H1647" s="253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50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</row>
    <row r="1648">
      <c r="A1648" s="17"/>
      <c r="B1648" s="17"/>
      <c r="C1648" s="17"/>
      <c r="D1648" s="17"/>
      <c r="E1648" s="86"/>
      <c r="F1648" s="253"/>
      <c r="G1648" s="253"/>
      <c r="H1648" s="253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50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</row>
    <row r="1649">
      <c r="A1649" s="17"/>
      <c r="B1649" s="17"/>
      <c r="C1649" s="17"/>
      <c r="D1649" s="17"/>
      <c r="E1649" s="86"/>
      <c r="F1649" s="253"/>
      <c r="G1649" s="253"/>
      <c r="H1649" s="253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50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</row>
    <row r="1650">
      <c r="A1650" s="17"/>
      <c r="B1650" s="17"/>
      <c r="C1650" s="17"/>
      <c r="D1650" s="17"/>
      <c r="E1650" s="86"/>
      <c r="F1650" s="253"/>
      <c r="G1650" s="253"/>
      <c r="H1650" s="253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50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</row>
    <row r="1651">
      <c r="A1651" s="17"/>
      <c r="B1651" s="17"/>
      <c r="C1651" s="17"/>
      <c r="D1651" s="17"/>
      <c r="E1651" s="86"/>
      <c r="F1651" s="253"/>
      <c r="G1651" s="253"/>
      <c r="H1651" s="253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50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</row>
    <row r="1652">
      <c r="A1652" s="17"/>
      <c r="B1652" s="17"/>
      <c r="C1652" s="17"/>
      <c r="D1652" s="17"/>
      <c r="E1652" s="86"/>
      <c r="F1652" s="253"/>
      <c r="G1652" s="253"/>
      <c r="H1652" s="253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50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</row>
    <row r="1653">
      <c r="A1653" s="17"/>
      <c r="B1653" s="17"/>
      <c r="C1653" s="17"/>
      <c r="D1653" s="17"/>
      <c r="E1653" s="86"/>
      <c r="F1653" s="253"/>
      <c r="G1653" s="253"/>
      <c r="H1653" s="253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50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</row>
    <row r="1654">
      <c r="A1654" s="17"/>
      <c r="B1654" s="17"/>
      <c r="C1654" s="17"/>
      <c r="D1654" s="17"/>
      <c r="E1654" s="86"/>
      <c r="F1654" s="253"/>
      <c r="G1654" s="253"/>
      <c r="H1654" s="253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50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</row>
    <row r="1655">
      <c r="A1655" s="17"/>
      <c r="B1655" s="17"/>
      <c r="C1655" s="17"/>
      <c r="D1655" s="17"/>
      <c r="E1655" s="86"/>
      <c r="F1655" s="253"/>
      <c r="G1655" s="253"/>
      <c r="H1655" s="253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50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</row>
    <row r="1656">
      <c r="A1656" s="17"/>
      <c r="B1656" s="17"/>
      <c r="C1656" s="17"/>
      <c r="D1656" s="17"/>
      <c r="E1656" s="86"/>
      <c r="F1656" s="253"/>
      <c r="G1656" s="253"/>
      <c r="H1656" s="253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50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</row>
    <row r="1657">
      <c r="A1657" s="17"/>
      <c r="B1657" s="17"/>
      <c r="C1657" s="17"/>
      <c r="D1657" s="17"/>
      <c r="E1657" s="86"/>
      <c r="F1657" s="253"/>
      <c r="G1657" s="253"/>
      <c r="H1657" s="253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50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</row>
    <row r="1658">
      <c r="A1658" s="17"/>
      <c r="B1658" s="17"/>
      <c r="C1658" s="17"/>
      <c r="D1658" s="17"/>
      <c r="E1658" s="86"/>
      <c r="F1658" s="253"/>
      <c r="G1658" s="253"/>
      <c r="H1658" s="253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50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</row>
    <row r="1659">
      <c r="A1659" s="17"/>
      <c r="B1659" s="17"/>
      <c r="C1659" s="17"/>
      <c r="D1659" s="17"/>
      <c r="E1659" s="86"/>
      <c r="F1659" s="253"/>
      <c r="G1659" s="253"/>
      <c r="H1659" s="253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50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</row>
    <row r="1660">
      <c r="A1660" s="17"/>
      <c r="B1660" s="17"/>
      <c r="C1660" s="17"/>
      <c r="D1660" s="17"/>
      <c r="E1660" s="86"/>
      <c r="F1660" s="253"/>
      <c r="G1660" s="253"/>
      <c r="H1660" s="253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50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</row>
    <row r="1661">
      <c r="A1661" s="17"/>
      <c r="B1661" s="17"/>
      <c r="C1661" s="17"/>
      <c r="D1661" s="17"/>
      <c r="E1661" s="86"/>
      <c r="F1661" s="253"/>
      <c r="G1661" s="253"/>
      <c r="H1661" s="253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50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</row>
    <row r="1662">
      <c r="A1662" s="17"/>
      <c r="B1662" s="17"/>
      <c r="C1662" s="17"/>
      <c r="D1662" s="17"/>
      <c r="E1662" s="86"/>
      <c r="F1662" s="253"/>
      <c r="G1662" s="253"/>
      <c r="H1662" s="253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50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</row>
    <row r="1663">
      <c r="A1663" s="17"/>
      <c r="B1663" s="17"/>
      <c r="C1663" s="17"/>
      <c r="D1663" s="17"/>
      <c r="E1663" s="86"/>
      <c r="F1663" s="253"/>
      <c r="G1663" s="253"/>
      <c r="H1663" s="253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50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</row>
    <row r="1664">
      <c r="A1664" s="17"/>
      <c r="B1664" s="17"/>
      <c r="C1664" s="17"/>
      <c r="D1664" s="17"/>
      <c r="E1664" s="86"/>
      <c r="F1664" s="253"/>
      <c r="G1664" s="253"/>
      <c r="H1664" s="253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50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</row>
    <row r="1665">
      <c r="A1665" s="17"/>
      <c r="B1665" s="17"/>
      <c r="C1665" s="17"/>
      <c r="D1665" s="17"/>
      <c r="E1665" s="86"/>
      <c r="F1665" s="253"/>
      <c r="G1665" s="253"/>
      <c r="H1665" s="253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50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</row>
    <row r="1666">
      <c r="A1666" s="17"/>
      <c r="B1666" s="17"/>
      <c r="C1666" s="17"/>
      <c r="D1666" s="17"/>
      <c r="E1666" s="86"/>
      <c r="F1666" s="253"/>
      <c r="G1666" s="253"/>
      <c r="H1666" s="253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50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</row>
    <row r="1667">
      <c r="A1667" s="17"/>
      <c r="B1667" s="17"/>
      <c r="C1667" s="17"/>
      <c r="D1667" s="17"/>
      <c r="E1667" s="86"/>
      <c r="F1667" s="253"/>
      <c r="G1667" s="253"/>
      <c r="H1667" s="253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50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</row>
    <row r="1668">
      <c r="A1668" s="17"/>
      <c r="B1668" s="17"/>
      <c r="C1668" s="17"/>
      <c r="D1668" s="17"/>
      <c r="E1668" s="86"/>
      <c r="F1668" s="253"/>
      <c r="G1668" s="253"/>
      <c r="H1668" s="253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50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</row>
    <row r="1669">
      <c r="A1669" s="17"/>
      <c r="B1669" s="17"/>
      <c r="C1669" s="17"/>
      <c r="D1669" s="17"/>
      <c r="E1669" s="86"/>
      <c r="F1669" s="253"/>
      <c r="G1669" s="253"/>
      <c r="H1669" s="253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50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</row>
    <row r="1670">
      <c r="A1670" s="17"/>
      <c r="B1670" s="17"/>
      <c r="C1670" s="17"/>
      <c r="D1670" s="17"/>
      <c r="E1670" s="86"/>
      <c r="F1670" s="253"/>
      <c r="G1670" s="253"/>
      <c r="H1670" s="253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50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</row>
    <row r="1671">
      <c r="A1671" s="17"/>
      <c r="B1671" s="17"/>
      <c r="C1671" s="17"/>
      <c r="D1671" s="17"/>
      <c r="E1671" s="86"/>
      <c r="F1671" s="253"/>
      <c r="G1671" s="253"/>
      <c r="H1671" s="253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50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</row>
    <row r="1672">
      <c r="A1672" s="17"/>
      <c r="B1672" s="17"/>
      <c r="C1672" s="17"/>
      <c r="D1672" s="17"/>
      <c r="E1672" s="86"/>
      <c r="F1672" s="253"/>
      <c r="G1672" s="253"/>
      <c r="H1672" s="253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50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</row>
    <row r="1673">
      <c r="A1673" s="17"/>
      <c r="B1673" s="17"/>
      <c r="C1673" s="17"/>
      <c r="D1673" s="17"/>
      <c r="E1673" s="86"/>
      <c r="F1673" s="253"/>
      <c r="G1673" s="253"/>
      <c r="H1673" s="253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50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</row>
    <row r="1674">
      <c r="A1674" s="17"/>
      <c r="B1674" s="17"/>
      <c r="C1674" s="17"/>
      <c r="D1674" s="17"/>
      <c r="E1674" s="86"/>
      <c r="F1674" s="253"/>
      <c r="G1674" s="253"/>
      <c r="H1674" s="253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50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</row>
    <row r="1675">
      <c r="A1675" s="17"/>
      <c r="B1675" s="17"/>
      <c r="C1675" s="17"/>
      <c r="D1675" s="17"/>
      <c r="E1675" s="86"/>
      <c r="F1675" s="253"/>
      <c r="G1675" s="253"/>
      <c r="H1675" s="253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50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</row>
    <row r="1676">
      <c r="A1676" s="17"/>
      <c r="B1676" s="17"/>
      <c r="C1676" s="17"/>
      <c r="D1676" s="17"/>
      <c r="E1676" s="86"/>
      <c r="F1676" s="253"/>
      <c r="G1676" s="253"/>
      <c r="H1676" s="253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50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</row>
    <row r="1677">
      <c r="A1677" s="17"/>
      <c r="B1677" s="17"/>
      <c r="C1677" s="17"/>
      <c r="D1677" s="17"/>
      <c r="E1677" s="86"/>
      <c r="F1677" s="253"/>
      <c r="G1677" s="253"/>
      <c r="H1677" s="253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50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</row>
    <row r="1678">
      <c r="A1678" s="17"/>
      <c r="B1678" s="17"/>
      <c r="C1678" s="17"/>
      <c r="D1678" s="17"/>
      <c r="E1678" s="86"/>
      <c r="F1678" s="253"/>
      <c r="G1678" s="253"/>
      <c r="H1678" s="253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50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</row>
    <row r="1679">
      <c r="A1679" s="17"/>
      <c r="B1679" s="17"/>
      <c r="C1679" s="17"/>
      <c r="D1679" s="17"/>
      <c r="E1679" s="86"/>
      <c r="F1679" s="253"/>
      <c r="G1679" s="253"/>
      <c r="H1679" s="253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50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</row>
    <row r="1680">
      <c r="A1680" s="17"/>
      <c r="B1680" s="17"/>
      <c r="C1680" s="17"/>
      <c r="D1680" s="17"/>
      <c r="E1680" s="86"/>
      <c r="F1680" s="253"/>
      <c r="G1680" s="253"/>
      <c r="H1680" s="253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50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</row>
    <row r="1681">
      <c r="A1681" s="17"/>
      <c r="B1681" s="17"/>
      <c r="C1681" s="17"/>
      <c r="D1681" s="17"/>
      <c r="E1681" s="86"/>
      <c r="F1681" s="253"/>
      <c r="G1681" s="253"/>
      <c r="H1681" s="253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50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</row>
    <row r="1682">
      <c r="A1682" s="17"/>
      <c r="B1682" s="17"/>
      <c r="C1682" s="17"/>
      <c r="D1682" s="17"/>
      <c r="E1682" s="86"/>
      <c r="F1682" s="253"/>
      <c r="G1682" s="253"/>
      <c r="H1682" s="253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50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</row>
    <row r="1683">
      <c r="A1683" s="17"/>
      <c r="B1683" s="17"/>
      <c r="C1683" s="17"/>
      <c r="D1683" s="17"/>
      <c r="E1683" s="86"/>
      <c r="F1683" s="253"/>
      <c r="G1683" s="253"/>
      <c r="H1683" s="253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50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</row>
    <row r="1684">
      <c r="A1684" s="17"/>
      <c r="B1684" s="17"/>
      <c r="C1684" s="17"/>
      <c r="D1684" s="17"/>
      <c r="E1684" s="86"/>
      <c r="F1684" s="253"/>
      <c r="G1684" s="253"/>
      <c r="H1684" s="253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50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</row>
    <row r="1685">
      <c r="A1685" s="17"/>
      <c r="B1685" s="17"/>
      <c r="C1685" s="17"/>
      <c r="D1685" s="17"/>
      <c r="E1685" s="86"/>
      <c r="F1685" s="253"/>
      <c r="G1685" s="253"/>
      <c r="H1685" s="253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50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</row>
    <row r="1686">
      <c r="A1686" s="17"/>
      <c r="B1686" s="17"/>
      <c r="C1686" s="17"/>
      <c r="D1686" s="17"/>
      <c r="E1686" s="86"/>
      <c r="F1686" s="253"/>
      <c r="G1686" s="253"/>
      <c r="H1686" s="253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50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</row>
    <row r="1687">
      <c r="A1687" s="17"/>
      <c r="B1687" s="17"/>
      <c r="C1687" s="17"/>
      <c r="D1687" s="17"/>
      <c r="E1687" s="86"/>
      <c r="F1687" s="253"/>
      <c r="G1687" s="253"/>
      <c r="H1687" s="253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50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</row>
    <row r="1688">
      <c r="A1688" s="17"/>
      <c r="B1688" s="17"/>
      <c r="C1688" s="17"/>
      <c r="D1688" s="17"/>
      <c r="E1688" s="86"/>
      <c r="F1688" s="253"/>
      <c r="G1688" s="253"/>
      <c r="H1688" s="253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50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</row>
    <row r="1689">
      <c r="A1689" s="17"/>
      <c r="B1689" s="17"/>
      <c r="C1689" s="17"/>
      <c r="D1689" s="17"/>
      <c r="E1689" s="86"/>
      <c r="F1689" s="253"/>
      <c r="G1689" s="253"/>
      <c r="H1689" s="253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50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</row>
    <row r="1690">
      <c r="A1690" s="17"/>
      <c r="B1690" s="17"/>
      <c r="C1690" s="17"/>
      <c r="D1690" s="17"/>
      <c r="E1690" s="86"/>
      <c r="F1690" s="253"/>
      <c r="G1690" s="253"/>
      <c r="H1690" s="253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50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/>
      <c r="BF1690" s="17"/>
      <c r="BG1690" s="17"/>
      <c r="BH1690" s="17"/>
      <c r="BI1690" s="17"/>
      <c r="BJ1690" s="17"/>
      <c r="BK1690" s="17"/>
      <c r="BL1690" s="17"/>
      <c r="BM1690" s="17"/>
      <c r="BN1690" s="17"/>
    </row>
    <row r="1691">
      <c r="A1691" s="17"/>
      <c r="B1691" s="17"/>
      <c r="C1691" s="17"/>
      <c r="D1691" s="17"/>
      <c r="E1691" s="86"/>
      <c r="F1691" s="253"/>
      <c r="G1691" s="253"/>
      <c r="H1691" s="253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50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/>
      <c r="BF1691" s="17"/>
      <c r="BG1691" s="17"/>
      <c r="BH1691" s="17"/>
      <c r="BI1691" s="17"/>
      <c r="BJ1691" s="17"/>
      <c r="BK1691" s="17"/>
      <c r="BL1691" s="17"/>
      <c r="BM1691" s="17"/>
      <c r="BN1691" s="17"/>
    </row>
    <row r="1692">
      <c r="A1692" s="17"/>
      <c r="B1692" s="17"/>
      <c r="C1692" s="17"/>
      <c r="D1692" s="17"/>
      <c r="E1692" s="86"/>
      <c r="F1692" s="253"/>
      <c r="G1692" s="253"/>
      <c r="H1692" s="253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50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/>
      <c r="BF1692" s="17"/>
      <c r="BG1692" s="17"/>
      <c r="BH1692" s="17"/>
      <c r="BI1692" s="17"/>
      <c r="BJ1692" s="17"/>
      <c r="BK1692" s="17"/>
      <c r="BL1692" s="17"/>
      <c r="BM1692" s="17"/>
      <c r="BN1692" s="17"/>
    </row>
    <row r="1693">
      <c r="A1693" s="17"/>
      <c r="B1693" s="17"/>
      <c r="C1693" s="17"/>
      <c r="D1693" s="17"/>
      <c r="E1693" s="86"/>
      <c r="F1693" s="253"/>
      <c r="G1693" s="253"/>
      <c r="H1693" s="253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50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/>
      <c r="BF1693" s="17"/>
      <c r="BG1693" s="17"/>
      <c r="BH1693" s="17"/>
      <c r="BI1693" s="17"/>
      <c r="BJ1693" s="17"/>
      <c r="BK1693" s="17"/>
      <c r="BL1693" s="17"/>
      <c r="BM1693" s="17"/>
      <c r="BN1693" s="17"/>
    </row>
    <row r="1694">
      <c r="A1694" s="17"/>
      <c r="B1694" s="17"/>
      <c r="C1694" s="17"/>
      <c r="D1694" s="17"/>
      <c r="E1694" s="86"/>
      <c r="F1694" s="253"/>
      <c r="G1694" s="253"/>
      <c r="H1694" s="253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50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/>
      <c r="BF1694" s="17"/>
      <c r="BG1694" s="17"/>
      <c r="BH1694" s="17"/>
      <c r="BI1694" s="17"/>
      <c r="BJ1694" s="17"/>
      <c r="BK1694" s="17"/>
      <c r="BL1694" s="17"/>
      <c r="BM1694" s="17"/>
      <c r="BN1694" s="17"/>
    </row>
    <row r="1695">
      <c r="A1695" s="17"/>
      <c r="B1695" s="17"/>
      <c r="C1695" s="17"/>
      <c r="D1695" s="17"/>
      <c r="E1695" s="86"/>
      <c r="F1695" s="253"/>
      <c r="G1695" s="253"/>
      <c r="H1695" s="253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50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/>
      <c r="BF1695" s="17"/>
      <c r="BG1695" s="17"/>
      <c r="BH1695" s="17"/>
      <c r="BI1695" s="17"/>
      <c r="BJ1695" s="17"/>
      <c r="BK1695" s="17"/>
      <c r="BL1695" s="17"/>
      <c r="BM1695" s="17"/>
      <c r="BN1695" s="17"/>
    </row>
    <row r="1696">
      <c r="A1696" s="17"/>
      <c r="B1696" s="17"/>
      <c r="C1696" s="17"/>
      <c r="D1696" s="17"/>
      <c r="E1696" s="86"/>
      <c r="F1696" s="253"/>
      <c r="G1696" s="253"/>
      <c r="H1696" s="253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50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</row>
    <row r="1697">
      <c r="A1697" s="17"/>
      <c r="B1697" s="17"/>
      <c r="C1697" s="17"/>
      <c r="D1697" s="17"/>
      <c r="E1697" s="86"/>
      <c r="F1697" s="253"/>
      <c r="G1697" s="253"/>
      <c r="H1697" s="253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50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</row>
    <row r="1698">
      <c r="A1698" s="17"/>
      <c r="B1698" s="17"/>
      <c r="C1698" s="17"/>
      <c r="D1698" s="17"/>
      <c r="E1698" s="86"/>
      <c r="F1698" s="253"/>
      <c r="G1698" s="253"/>
      <c r="H1698" s="253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50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</row>
    <row r="1699">
      <c r="A1699" s="17"/>
      <c r="B1699" s="17"/>
      <c r="C1699" s="17"/>
      <c r="D1699" s="17"/>
      <c r="E1699" s="86"/>
      <c r="F1699" s="253"/>
      <c r="G1699" s="253"/>
      <c r="H1699" s="253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50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</row>
    <row r="1700">
      <c r="A1700" s="17"/>
      <c r="B1700" s="17"/>
      <c r="C1700" s="17"/>
      <c r="D1700" s="17"/>
      <c r="E1700" s="86"/>
      <c r="F1700" s="253"/>
      <c r="G1700" s="253"/>
      <c r="H1700" s="253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50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</row>
    <row r="1701">
      <c r="A1701" s="17"/>
      <c r="B1701" s="17"/>
      <c r="C1701" s="17"/>
      <c r="D1701" s="17"/>
      <c r="E1701" s="86"/>
      <c r="F1701" s="253"/>
      <c r="G1701" s="253"/>
      <c r="H1701" s="253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50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</row>
    <row r="1702">
      <c r="A1702" s="17"/>
      <c r="B1702" s="17"/>
      <c r="C1702" s="17"/>
      <c r="D1702" s="17"/>
      <c r="E1702" s="86"/>
      <c r="F1702" s="253"/>
      <c r="G1702" s="253"/>
      <c r="H1702" s="253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50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</row>
    <row r="1703">
      <c r="A1703" s="17"/>
      <c r="B1703" s="17"/>
      <c r="C1703" s="17"/>
      <c r="D1703" s="17"/>
      <c r="E1703" s="86"/>
      <c r="F1703" s="253"/>
      <c r="G1703" s="253"/>
      <c r="H1703" s="253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50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</row>
    <row r="1704">
      <c r="A1704" s="17"/>
      <c r="B1704" s="17"/>
      <c r="C1704" s="17"/>
      <c r="D1704" s="17"/>
      <c r="E1704" s="86"/>
      <c r="F1704" s="253"/>
      <c r="G1704" s="253"/>
      <c r="H1704" s="253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50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</row>
    <row r="1705">
      <c r="A1705" s="17"/>
      <c r="B1705" s="17"/>
      <c r="C1705" s="17"/>
      <c r="D1705" s="17"/>
      <c r="E1705" s="86"/>
      <c r="F1705" s="253"/>
      <c r="G1705" s="253"/>
      <c r="H1705" s="253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50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</row>
    <row r="1706">
      <c r="A1706" s="17"/>
      <c r="B1706" s="17"/>
      <c r="C1706" s="17"/>
      <c r="D1706" s="17"/>
      <c r="E1706" s="86"/>
      <c r="F1706" s="253"/>
      <c r="G1706" s="253"/>
      <c r="H1706" s="253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50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</row>
    <row r="1707">
      <c r="A1707" s="17"/>
      <c r="B1707" s="17"/>
      <c r="C1707" s="17"/>
      <c r="D1707" s="17"/>
      <c r="E1707" s="86"/>
      <c r="F1707" s="253"/>
      <c r="G1707" s="253"/>
      <c r="H1707" s="253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50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</row>
    <row r="1708">
      <c r="A1708" s="17"/>
      <c r="B1708" s="17"/>
      <c r="C1708" s="17"/>
      <c r="D1708" s="17"/>
      <c r="E1708" s="86"/>
      <c r="F1708" s="253"/>
      <c r="G1708" s="253"/>
      <c r="H1708" s="253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50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</row>
    <row r="1709">
      <c r="A1709" s="17"/>
      <c r="B1709" s="17"/>
      <c r="C1709" s="17"/>
      <c r="D1709" s="17"/>
      <c r="E1709" s="86"/>
      <c r="F1709" s="253"/>
      <c r="G1709" s="253"/>
      <c r="H1709" s="253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50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</row>
    <row r="1710">
      <c r="A1710" s="17"/>
      <c r="B1710" s="17"/>
      <c r="C1710" s="17"/>
      <c r="D1710" s="17"/>
      <c r="E1710" s="86"/>
      <c r="F1710" s="253"/>
      <c r="G1710" s="253"/>
      <c r="H1710" s="253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50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</row>
    <row r="1711">
      <c r="A1711" s="17"/>
      <c r="B1711" s="17"/>
      <c r="C1711" s="17"/>
      <c r="D1711" s="17"/>
      <c r="E1711" s="86"/>
      <c r="F1711" s="253"/>
      <c r="G1711" s="253"/>
      <c r="H1711" s="253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50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</row>
    <row r="1712">
      <c r="A1712" s="17"/>
      <c r="B1712" s="17"/>
      <c r="C1712" s="17"/>
      <c r="D1712" s="17"/>
      <c r="E1712" s="86"/>
      <c r="F1712" s="253"/>
      <c r="G1712" s="253"/>
      <c r="H1712" s="253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50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</row>
    <row r="1713">
      <c r="A1713" s="17"/>
      <c r="B1713" s="17"/>
      <c r="C1713" s="17"/>
      <c r="D1713" s="17"/>
      <c r="E1713" s="86"/>
      <c r="F1713" s="253"/>
      <c r="G1713" s="253"/>
      <c r="H1713" s="253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50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</row>
    <row r="1714">
      <c r="A1714" s="17"/>
      <c r="B1714" s="17"/>
      <c r="C1714" s="17"/>
      <c r="D1714" s="17"/>
      <c r="E1714" s="86"/>
      <c r="F1714" s="253"/>
      <c r="G1714" s="253"/>
      <c r="H1714" s="253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50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</row>
    <row r="1715">
      <c r="A1715" s="17"/>
      <c r="B1715" s="17"/>
      <c r="C1715" s="17"/>
      <c r="D1715" s="17"/>
      <c r="E1715" s="86"/>
      <c r="F1715" s="253"/>
      <c r="G1715" s="253"/>
      <c r="H1715" s="253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50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</row>
    <row r="1716">
      <c r="A1716" s="17"/>
      <c r="B1716" s="17"/>
      <c r="C1716" s="17"/>
      <c r="D1716" s="17"/>
      <c r="E1716" s="86"/>
      <c r="F1716" s="253"/>
      <c r="G1716" s="253"/>
      <c r="H1716" s="253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50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</row>
    <row r="1717">
      <c r="A1717" s="17"/>
      <c r="B1717" s="17"/>
      <c r="C1717" s="17"/>
      <c r="D1717" s="17"/>
      <c r="E1717" s="86"/>
      <c r="F1717" s="253"/>
      <c r="G1717" s="253"/>
      <c r="H1717" s="253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50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</row>
    <row r="1718">
      <c r="A1718" s="17"/>
      <c r="B1718" s="17"/>
      <c r="C1718" s="17"/>
      <c r="D1718" s="17"/>
      <c r="E1718" s="86"/>
      <c r="F1718" s="253"/>
      <c r="G1718" s="253"/>
      <c r="H1718" s="253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50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/>
      <c r="BF1718" s="17"/>
      <c r="BG1718" s="17"/>
      <c r="BH1718" s="17"/>
      <c r="BI1718" s="17"/>
      <c r="BJ1718" s="17"/>
      <c r="BK1718" s="17"/>
      <c r="BL1718" s="17"/>
      <c r="BM1718" s="17"/>
      <c r="BN1718" s="17"/>
    </row>
    <row r="1719">
      <c r="A1719" s="17"/>
      <c r="B1719" s="17"/>
      <c r="C1719" s="17"/>
      <c r="D1719" s="17"/>
      <c r="E1719" s="86"/>
      <c r="F1719" s="253"/>
      <c r="G1719" s="253"/>
      <c r="H1719" s="253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50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/>
      <c r="BF1719" s="17"/>
      <c r="BG1719" s="17"/>
      <c r="BH1719" s="17"/>
      <c r="BI1719" s="17"/>
      <c r="BJ1719" s="17"/>
      <c r="BK1719" s="17"/>
      <c r="BL1719" s="17"/>
      <c r="BM1719" s="17"/>
      <c r="BN1719" s="17"/>
    </row>
    <row r="1720">
      <c r="A1720" s="17"/>
      <c r="B1720" s="17"/>
      <c r="C1720" s="17"/>
      <c r="D1720" s="17"/>
      <c r="E1720" s="86"/>
      <c r="F1720" s="253"/>
      <c r="G1720" s="253"/>
      <c r="H1720" s="253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50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/>
      <c r="BF1720" s="17"/>
      <c r="BG1720" s="17"/>
      <c r="BH1720" s="17"/>
      <c r="BI1720" s="17"/>
      <c r="BJ1720" s="17"/>
      <c r="BK1720" s="17"/>
      <c r="BL1720" s="17"/>
      <c r="BM1720" s="17"/>
      <c r="BN1720" s="17"/>
    </row>
    <row r="1721">
      <c r="A1721" s="17"/>
      <c r="B1721" s="17"/>
      <c r="C1721" s="17"/>
      <c r="D1721" s="17"/>
      <c r="E1721" s="86"/>
      <c r="F1721" s="253"/>
      <c r="G1721" s="253"/>
      <c r="H1721" s="253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50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/>
      <c r="BF1721" s="17"/>
      <c r="BG1721" s="17"/>
      <c r="BH1721" s="17"/>
      <c r="BI1721" s="17"/>
      <c r="BJ1721" s="17"/>
      <c r="BK1721" s="17"/>
      <c r="BL1721" s="17"/>
      <c r="BM1721" s="17"/>
      <c r="BN1721" s="17"/>
    </row>
    <row r="1722">
      <c r="A1722" s="17"/>
      <c r="B1722" s="17"/>
      <c r="C1722" s="17"/>
      <c r="D1722" s="17"/>
      <c r="E1722" s="86"/>
      <c r="F1722" s="253"/>
      <c r="G1722" s="253"/>
      <c r="H1722" s="253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50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/>
      <c r="BF1722" s="17"/>
      <c r="BG1722" s="17"/>
      <c r="BH1722" s="17"/>
      <c r="BI1722" s="17"/>
      <c r="BJ1722" s="17"/>
      <c r="BK1722" s="17"/>
      <c r="BL1722" s="17"/>
      <c r="BM1722" s="17"/>
      <c r="BN1722" s="17"/>
    </row>
    <row r="1723">
      <c r="A1723" s="17"/>
      <c r="B1723" s="17"/>
      <c r="C1723" s="17"/>
      <c r="D1723" s="17"/>
      <c r="E1723" s="86"/>
      <c r="F1723" s="253"/>
      <c r="G1723" s="253"/>
      <c r="H1723" s="253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50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/>
      <c r="BF1723" s="17"/>
      <c r="BG1723" s="17"/>
      <c r="BH1723" s="17"/>
      <c r="BI1723" s="17"/>
      <c r="BJ1723" s="17"/>
      <c r="BK1723" s="17"/>
      <c r="BL1723" s="17"/>
      <c r="BM1723" s="17"/>
      <c r="BN1723" s="17"/>
    </row>
    <row r="1724">
      <c r="A1724" s="17"/>
      <c r="B1724" s="17"/>
      <c r="C1724" s="17"/>
      <c r="D1724" s="17"/>
      <c r="E1724" s="86"/>
      <c r="F1724" s="253"/>
      <c r="G1724" s="253"/>
      <c r="H1724" s="253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50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/>
      <c r="BF1724" s="17"/>
      <c r="BG1724" s="17"/>
      <c r="BH1724" s="17"/>
      <c r="BI1724" s="17"/>
      <c r="BJ1724" s="17"/>
      <c r="BK1724" s="17"/>
      <c r="BL1724" s="17"/>
      <c r="BM1724" s="17"/>
      <c r="BN1724" s="17"/>
    </row>
    <row r="1725">
      <c r="A1725" s="17"/>
      <c r="B1725" s="17"/>
      <c r="C1725" s="17"/>
      <c r="D1725" s="17"/>
      <c r="E1725" s="86"/>
      <c r="F1725" s="253"/>
      <c r="G1725" s="253"/>
      <c r="H1725" s="253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50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/>
      <c r="BF1725" s="17"/>
      <c r="BG1725" s="17"/>
      <c r="BH1725" s="17"/>
      <c r="BI1725" s="17"/>
      <c r="BJ1725" s="17"/>
      <c r="BK1725" s="17"/>
      <c r="BL1725" s="17"/>
      <c r="BM1725" s="17"/>
      <c r="BN1725" s="17"/>
    </row>
    <row r="1726">
      <c r="A1726" s="17"/>
      <c r="B1726" s="17"/>
      <c r="C1726" s="17"/>
      <c r="D1726" s="17"/>
      <c r="E1726" s="86"/>
      <c r="F1726" s="253"/>
      <c r="G1726" s="253"/>
      <c r="H1726" s="253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50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/>
      <c r="BF1726" s="17"/>
      <c r="BG1726" s="17"/>
      <c r="BH1726" s="17"/>
      <c r="BI1726" s="17"/>
      <c r="BJ1726" s="17"/>
      <c r="BK1726" s="17"/>
      <c r="BL1726" s="17"/>
      <c r="BM1726" s="17"/>
      <c r="BN1726" s="17"/>
    </row>
    <row r="1727">
      <c r="A1727" s="17"/>
      <c r="B1727" s="17"/>
      <c r="C1727" s="17"/>
      <c r="D1727" s="17"/>
      <c r="E1727" s="86"/>
      <c r="F1727" s="253"/>
      <c r="G1727" s="253"/>
      <c r="H1727" s="253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50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/>
      <c r="BF1727" s="17"/>
      <c r="BG1727" s="17"/>
      <c r="BH1727" s="17"/>
      <c r="BI1727" s="17"/>
      <c r="BJ1727" s="17"/>
      <c r="BK1727" s="17"/>
      <c r="BL1727" s="17"/>
      <c r="BM1727" s="17"/>
      <c r="BN1727" s="17"/>
    </row>
    <row r="1728">
      <c r="A1728" s="17"/>
      <c r="B1728" s="17"/>
      <c r="C1728" s="17"/>
      <c r="D1728" s="17"/>
      <c r="E1728" s="86"/>
      <c r="F1728" s="253"/>
      <c r="G1728" s="253"/>
      <c r="H1728" s="253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50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/>
      <c r="BF1728" s="17"/>
      <c r="BG1728" s="17"/>
      <c r="BH1728" s="17"/>
      <c r="BI1728" s="17"/>
      <c r="BJ1728" s="17"/>
      <c r="BK1728" s="17"/>
      <c r="BL1728" s="17"/>
      <c r="BM1728" s="17"/>
      <c r="BN1728" s="17"/>
    </row>
    <row r="1729">
      <c r="A1729" s="17"/>
      <c r="B1729" s="17"/>
      <c r="C1729" s="17"/>
      <c r="D1729" s="17"/>
      <c r="E1729" s="86"/>
      <c r="F1729" s="253"/>
      <c r="G1729" s="253"/>
      <c r="H1729" s="253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50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/>
      <c r="BF1729" s="17"/>
      <c r="BG1729" s="17"/>
      <c r="BH1729" s="17"/>
      <c r="BI1729" s="17"/>
      <c r="BJ1729" s="17"/>
      <c r="BK1729" s="17"/>
      <c r="BL1729" s="17"/>
      <c r="BM1729" s="17"/>
      <c r="BN1729" s="17"/>
    </row>
    <row r="1730">
      <c r="A1730" s="17"/>
      <c r="B1730" s="17"/>
      <c r="C1730" s="17"/>
      <c r="D1730" s="17"/>
      <c r="E1730" s="86"/>
      <c r="F1730" s="253"/>
      <c r="G1730" s="253"/>
      <c r="H1730" s="253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50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/>
      <c r="BF1730" s="17"/>
      <c r="BG1730" s="17"/>
      <c r="BH1730" s="17"/>
      <c r="BI1730" s="17"/>
      <c r="BJ1730" s="17"/>
      <c r="BK1730" s="17"/>
      <c r="BL1730" s="17"/>
      <c r="BM1730" s="17"/>
      <c r="BN1730" s="17"/>
    </row>
    <row r="1731">
      <c r="A1731" s="17"/>
      <c r="B1731" s="17"/>
      <c r="C1731" s="17"/>
      <c r="D1731" s="17"/>
      <c r="E1731" s="86"/>
      <c r="F1731" s="253"/>
      <c r="G1731" s="253"/>
      <c r="H1731" s="253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50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/>
      <c r="BF1731" s="17"/>
      <c r="BG1731" s="17"/>
      <c r="BH1731" s="17"/>
      <c r="BI1731" s="17"/>
      <c r="BJ1731" s="17"/>
      <c r="BK1731" s="17"/>
      <c r="BL1731" s="17"/>
      <c r="BM1731" s="17"/>
      <c r="BN1731" s="17"/>
    </row>
    <row r="1732">
      <c r="A1732" s="17"/>
      <c r="B1732" s="17"/>
      <c r="C1732" s="17"/>
      <c r="D1732" s="17"/>
      <c r="E1732" s="86"/>
      <c r="F1732" s="253"/>
      <c r="G1732" s="253"/>
      <c r="H1732" s="253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50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/>
      <c r="BF1732" s="17"/>
      <c r="BG1732" s="17"/>
      <c r="BH1732" s="17"/>
      <c r="BI1732" s="17"/>
      <c r="BJ1732" s="17"/>
      <c r="BK1732" s="17"/>
      <c r="BL1732" s="17"/>
      <c r="BM1732" s="17"/>
      <c r="BN1732" s="17"/>
    </row>
    <row r="1733">
      <c r="A1733" s="17"/>
      <c r="B1733" s="17"/>
      <c r="C1733" s="17"/>
      <c r="D1733" s="17"/>
      <c r="E1733" s="86"/>
      <c r="F1733" s="253"/>
      <c r="G1733" s="253"/>
      <c r="H1733" s="253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50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/>
      <c r="BF1733" s="17"/>
      <c r="BG1733" s="17"/>
      <c r="BH1733" s="17"/>
      <c r="BI1733" s="17"/>
      <c r="BJ1733" s="17"/>
      <c r="BK1733" s="17"/>
      <c r="BL1733" s="17"/>
      <c r="BM1733" s="17"/>
      <c r="BN1733" s="17"/>
    </row>
    <row r="1734">
      <c r="A1734" s="17"/>
      <c r="B1734" s="17"/>
      <c r="C1734" s="17"/>
      <c r="D1734" s="17"/>
      <c r="E1734" s="86"/>
      <c r="F1734" s="253"/>
      <c r="G1734" s="253"/>
      <c r="H1734" s="253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50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/>
      <c r="BF1734" s="17"/>
      <c r="BG1734" s="17"/>
      <c r="BH1734" s="17"/>
      <c r="BI1734" s="17"/>
      <c r="BJ1734" s="17"/>
      <c r="BK1734" s="17"/>
      <c r="BL1734" s="17"/>
      <c r="BM1734" s="17"/>
      <c r="BN1734" s="17"/>
    </row>
    <row r="1735">
      <c r="A1735" s="17"/>
      <c r="B1735" s="17"/>
      <c r="C1735" s="17"/>
      <c r="D1735" s="17"/>
      <c r="E1735" s="86"/>
      <c r="F1735" s="253"/>
      <c r="G1735" s="253"/>
      <c r="H1735" s="253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50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/>
      <c r="BF1735" s="17"/>
      <c r="BG1735" s="17"/>
      <c r="BH1735" s="17"/>
      <c r="BI1735" s="17"/>
      <c r="BJ1735" s="17"/>
      <c r="BK1735" s="17"/>
      <c r="BL1735" s="17"/>
      <c r="BM1735" s="17"/>
      <c r="BN1735" s="17"/>
    </row>
    <row r="1736">
      <c r="A1736" s="17"/>
      <c r="B1736" s="17"/>
      <c r="C1736" s="17"/>
      <c r="D1736" s="17"/>
      <c r="E1736" s="86"/>
      <c r="F1736" s="253"/>
      <c r="G1736" s="253"/>
      <c r="H1736" s="253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50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/>
      <c r="BF1736" s="17"/>
      <c r="BG1736" s="17"/>
      <c r="BH1736" s="17"/>
      <c r="BI1736" s="17"/>
      <c r="BJ1736" s="17"/>
      <c r="BK1736" s="17"/>
      <c r="BL1736" s="17"/>
      <c r="BM1736" s="17"/>
      <c r="BN1736" s="17"/>
    </row>
    <row r="1737">
      <c r="A1737" s="17"/>
      <c r="B1737" s="17"/>
      <c r="C1737" s="17"/>
      <c r="D1737" s="17"/>
      <c r="E1737" s="86"/>
      <c r="F1737" s="253"/>
      <c r="G1737" s="253"/>
      <c r="H1737" s="253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50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/>
      <c r="BF1737" s="17"/>
      <c r="BG1737" s="17"/>
      <c r="BH1737" s="17"/>
      <c r="BI1737" s="17"/>
      <c r="BJ1737" s="17"/>
      <c r="BK1737" s="17"/>
      <c r="BL1737" s="17"/>
      <c r="BM1737" s="17"/>
      <c r="BN1737" s="17"/>
    </row>
    <row r="1738">
      <c r="A1738" s="17"/>
      <c r="B1738" s="17"/>
      <c r="C1738" s="17"/>
      <c r="D1738" s="17"/>
      <c r="E1738" s="86"/>
      <c r="F1738" s="253"/>
      <c r="G1738" s="253"/>
      <c r="H1738" s="253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50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/>
      <c r="BF1738" s="17"/>
      <c r="BG1738" s="17"/>
      <c r="BH1738" s="17"/>
      <c r="BI1738" s="17"/>
      <c r="BJ1738" s="17"/>
      <c r="BK1738" s="17"/>
      <c r="BL1738" s="17"/>
      <c r="BM1738" s="17"/>
      <c r="BN1738" s="17"/>
    </row>
    <row r="1739">
      <c r="A1739" s="17"/>
      <c r="B1739" s="17"/>
      <c r="C1739" s="17"/>
      <c r="D1739" s="17"/>
      <c r="E1739" s="86"/>
      <c r="F1739" s="253"/>
      <c r="G1739" s="253"/>
      <c r="H1739" s="253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50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/>
      <c r="BF1739" s="17"/>
      <c r="BG1739" s="17"/>
      <c r="BH1739" s="17"/>
      <c r="BI1739" s="17"/>
      <c r="BJ1739" s="17"/>
      <c r="BK1739" s="17"/>
      <c r="BL1739" s="17"/>
      <c r="BM1739" s="17"/>
      <c r="BN1739" s="17"/>
    </row>
    <row r="1740">
      <c r="A1740" s="17"/>
      <c r="B1740" s="17"/>
      <c r="C1740" s="17"/>
      <c r="D1740" s="17"/>
      <c r="E1740" s="86"/>
      <c r="F1740" s="253"/>
      <c r="G1740" s="253"/>
      <c r="H1740" s="253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50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/>
      <c r="BF1740" s="17"/>
      <c r="BG1740" s="17"/>
      <c r="BH1740" s="17"/>
      <c r="BI1740" s="17"/>
      <c r="BJ1740" s="17"/>
      <c r="BK1740" s="17"/>
      <c r="BL1740" s="17"/>
      <c r="BM1740" s="17"/>
      <c r="BN1740" s="17"/>
    </row>
    <row r="1741">
      <c r="A1741" s="17"/>
      <c r="B1741" s="17"/>
      <c r="C1741" s="17"/>
      <c r="D1741" s="17"/>
      <c r="E1741" s="86"/>
      <c r="F1741" s="253"/>
      <c r="G1741" s="253"/>
      <c r="H1741" s="253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50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/>
      <c r="BF1741" s="17"/>
      <c r="BG1741" s="17"/>
      <c r="BH1741" s="17"/>
      <c r="BI1741" s="17"/>
      <c r="BJ1741" s="17"/>
      <c r="BK1741" s="17"/>
      <c r="BL1741" s="17"/>
      <c r="BM1741" s="17"/>
      <c r="BN1741" s="17"/>
    </row>
    <row r="1742">
      <c r="A1742" s="17"/>
      <c r="B1742" s="17"/>
      <c r="C1742" s="17"/>
      <c r="D1742" s="17"/>
      <c r="E1742" s="86"/>
      <c r="F1742" s="253"/>
      <c r="G1742" s="253"/>
      <c r="H1742" s="253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50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/>
      <c r="BF1742" s="17"/>
      <c r="BG1742" s="17"/>
      <c r="BH1742" s="17"/>
      <c r="BI1742" s="17"/>
      <c r="BJ1742" s="17"/>
      <c r="BK1742" s="17"/>
      <c r="BL1742" s="17"/>
      <c r="BM1742" s="17"/>
      <c r="BN1742" s="17"/>
    </row>
    <row r="1743">
      <c r="A1743" s="17"/>
      <c r="B1743" s="17"/>
      <c r="C1743" s="17"/>
      <c r="D1743" s="17"/>
      <c r="E1743" s="86"/>
      <c r="F1743" s="253"/>
      <c r="G1743" s="253"/>
      <c r="H1743" s="253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50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/>
      <c r="BF1743" s="17"/>
      <c r="BG1743" s="17"/>
      <c r="BH1743" s="17"/>
      <c r="BI1743" s="17"/>
      <c r="BJ1743" s="17"/>
      <c r="BK1743" s="17"/>
      <c r="BL1743" s="17"/>
      <c r="BM1743" s="17"/>
      <c r="BN1743" s="17"/>
    </row>
    <row r="1744">
      <c r="A1744" s="17"/>
      <c r="B1744" s="17"/>
      <c r="C1744" s="17"/>
      <c r="D1744" s="17"/>
      <c r="E1744" s="86"/>
      <c r="F1744" s="253"/>
      <c r="G1744" s="253"/>
      <c r="H1744" s="253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50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/>
      <c r="BF1744" s="17"/>
      <c r="BG1744" s="17"/>
      <c r="BH1744" s="17"/>
      <c r="BI1744" s="17"/>
      <c r="BJ1744" s="17"/>
      <c r="BK1744" s="17"/>
      <c r="BL1744" s="17"/>
      <c r="BM1744" s="17"/>
      <c r="BN1744" s="17"/>
    </row>
    <row r="1745">
      <c r="A1745" s="17"/>
      <c r="B1745" s="17"/>
      <c r="C1745" s="17"/>
      <c r="D1745" s="17"/>
      <c r="E1745" s="86"/>
      <c r="F1745" s="253"/>
      <c r="G1745" s="253"/>
      <c r="H1745" s="253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50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/>
      <c r="BF1745" s="17"/>
      <c r="BG1745" s="17"/>
      <c r="BH1745" s="17"/>
      <c r="BI1745" s="17"/>
      <c r="BJ1745" s="17"/>
      <c r="BK1745" s="17"/>
      <c r="BL1745" s="17"/>
      <c r="BM1745" s="17"/>
      <c r="BN1745" s="17"/>
    </row>
    <row r="1746">
      <c r="A1746" s="17"/>
      <c r="B1746" s="17"/>
      <c r="C1746" s="17"/>
      <c r="D1746" s="17"/>
      <c r="E1746" s="86"/>
      <c r="F1746" s="253"/>
      <c r="G1746" s="253"/>
      <c r="H1746" s="253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50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/>
      <c r="BF1746" s="17"/>
      <c r="BG1746" s="17"/>
      <c r="BH1746" s="17"/>
      <c r="BI1746" s="17"/>
      <c r="BJ1746" s="17"/>
      <c r="BK1746" s="17"/>
      <c r="BL1746" s="17"/>
      <c r="BM1746" s="17"/>
      <c r="BN1746" s="17"/>
    </row>
    <row r="1747">
      <c r="A1747" s="17"/>
      <c r="B1747" s="17"/>
      <c r="C1747" s="17"/>
      <c r="D1747" s="17"/>
      <c r="E1747" s="86"/>
      <c r="F1747" s="253"/>
      <c r="G1747" s="253"/>
      <c r="H1747" s="253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50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/>
      <c r="BF1747" s="17"/>
      <c r="BG1747" s="17"/>
      <c r="BH1747" s="17"/>
      <c r="BI1747" s="17"/>
      <c r="BJ1747" s="17"/>
      <c r="BK1747" s="17"/>
      <c r="BL1747" s="17"/>
      <c r="BM1747" s="17"/>
      <c r="BN1747" s="17"/>
    </row>
    <row r="1748">
      <c r="A1748" s="17"/>
      <c r="B1748" s="17"/>
      <c r="C1748" s="17"/>
      <c r="D1748" s="17"/>
      <c r="E1748" s="86"/>
      <c r="F1748" s="253"/>
      <c r="G1748" s="253"/>
      <c r="H1748" s="253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50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/>
      <c r="BF1748" s="17"/>
      <c r="BG1748" s="17"/>
      <c r="BH1748" s="17"/>
      <c r="BI1748" s="17"/>
      <c r="BJ1748" s="17"/>
      <c r="BK1748" s="17"/>
      <c r="BL1748" s="17"/>
      <c r="BM1748" s="17"/>
      <c r="BN1748" s="17"/>
    </row>
    <row r="1749">
      <c r="A1749" s="17"/>
      <c r="B1749" s="17"/>
      <c r="C1749" s="17"/>
      <c r="D1749" s="17"/>
      <c r="E1749" s="86"/>
      <c r="F1749" s="253"/>
      <c r="G1749" s="253"/>
      <c r="H1749" s="253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50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/>
      <c r="BF1749" s="17"/>
      <c r="BG1749" s="17"/>
      <c r="BH1749" s="17"/>
      <c r="BI1749" s="17"/>
      <c r="BJ1749" s="17"/>
      <c r="BK1749" s="17"/>
      <c r="BL1749" s="17"/>
      <c r="BM1749" s="17"/>
      <c r="BN1749" s="17"/>
    </row>
    <row r="1750">
      <c r="A1750" s="17"/>
      <c r="B1750" s="17"/>
      <c r="C1750" s="17"/>
      <c r="D1750" s="17"/>
      <c r="E1750" s="86"/>
      <c r="F1750" s="253"/>
      <c r="G1750" s="253"/>
      <c r="H1750" s="253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50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/>
      <c r="BF1750" s="17"/>
      <c r="BG1750" s="17"/>
      <c r="BH1750" s="17"/>
      <c r="BI1750" s="17"/>
      <c r="BJ1750" s="17"/>
      <c r="BK1750" s="17"/>
      <c r="BL1750" s="17"/>
      <c r="BM1750" s="17"/>
      <c r="BN1750" s="17"/>
    </row>
    <row r="1751">
      <c r="A1751" s="17"/>
      <c r="B1751" s="17"/>
      <c r="C1751" s="17"/>
      <c r="D1751" s="17"/>
      <c r="E1751" s="86"/>
      <c r="F1751" s="253"/>
      <c r="G1751" s="253"/>
      <c r="H1751" s="253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50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/>
      <c r="BF1751" s="17"/>
      <c r="BG1751" s="17"/>
      <c r="BH1751" s="17"/>
      <c r="BI1751" s="17"/>
      <c r="BJ1751" s="17"/>
      <c r="BK1751" s="17"/>
      <c r="BL1751" s="17"/>
      <c r="BM1751" s="17"/>
      <c r="BN1751" s="17"/>
    </row>
    <row r="1752">
      <c r="A1752" s="17"/>
      <c r="B1752" s="17"/>
      <c r="C1752" s="17"/>
      <c r="D1752" s="17"/>
      <c r="E1752" s="86"/>
      <c r="F1752" s="253"/>
      <c r="G1752" s="253"/>
      <c r="H1752" s="253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50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/>
      <c r="BF1752" s="17"/>
      <c r="BG1752" s="17"/>
      <c r="BH1752" s="17"/>
      <c r="BI1752" s="17"/>
      <c r="BJ1752" s="17"/>
      <c r="BK1752" s="17"/>
      <c r="BL1752" s="17"/>
      <c r="BM1752" s="17"/>
      <c r="BN1752" s="17"/>
    </row>
    <row r="1753">
      <c r="A1753" s="17"/>
      <c r="B1753" s="17"/>
      <c r="C1753" s="17"/>
      <c r="D1753" s="17"/>
      <c r="E1753" s="86"/>
      <c r="F1753" s="253"/>
      <c r="G1753" s="253"/>
      <c r="H1753" s="253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50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/>
      <c r="BF1753" s="17"/>
      <c r="BG1753" s="17"/>
      <c r="BH1753" s="17"/>
      <c r="BI1753" s="17"/>
      <c r="BJ1753" s="17"/>
      <c r="BK1753" s="17"/>
      <c r="BL1753" s="17"/>
      <c r="BM1753" s="17"/>
      <c r="BN1753" s="17"/>
    </row>
    <row r="1754">
      <c r="A1754" s="17"/>
      <c r="B1754" s="17"/>
      <c r="C1754" s="17"/>
      <c r="D1754" s="17"/>
      <c r="E1754" s="86"/>
      <c r="F1754" s="253"/>
      <c r="G1754" s="253"/>
      <c r="H1754" s="253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50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/>
      <c r="BF1754" s="17"/>
      <c r="BG1754" s="17"/>
      <c r="BH1754" s="17"/>
      <c r="BI1754" s="17"/>
      <c r="BJ1754" s="17"/>
      <c r="BK1754" s="17"/>
      <c r="BL1754" s="17"/>
      <c r="BM1754" s="17"/>
      <c r="BN1754" s="17"/>
    </row>
    <row r="1755">
      <c r="A1755" s="17"/>
      <c r="B1755" s="17"/>
      <c r="C1755" s="17"/>
      <c r="D1755" s="17"/>
      <c r="E1755" s="86"/>
      <c r="F1755" s="253"/>
      <c r="G1755" s="253"/>
      <c r="H1755" s="253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50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/>
      <c r="BF1755" s="17"/>
      <c r="BG1755" s="17"/>
      <c r="BH1755" s="17"/>
      <c r="BI1755" s="17"/>
      <c r="BJ1755" s="17"/>
      <c r="BK1755" s="17"/>
      <c r="BL1755" s="17"/>
      <c r="BM1755" s="17"/>
      <c r="BN1755" s="17"/>
    </row>
    <row r="1756">
      <c r="A1756" s="17"/>
      <c r="B1756" s="17"/>
      <c r="C1756" s="17"/>
      <c r="D1756" s="17"/>
      <c r="E1756" s="86"/>
      <c r="F1756" s="253"/>
      <c r="G1756" s="253"/>
      <c r="H1756" s="253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50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/>
      <c r="BF1756" s="17"/>
      <c r="BG1756" s="17"/>
      <c r="BH1756" s="17"/>
      <c r="BI1756" s="17"/>
      <c r="BJ1756" s="17"/>
      <c r="BK1756" s="17"/>
      <c r="BL1756" s="17"/>
      <c r="BM1756" s="17"/>
      <c r="BN1756" s="17"/>
    </row>
    <row r="1757">
      <c r="A1757" s="17"/>
      <c r="B1757" s="17"/>
      <c r="C1757" s="17"/>
      <c r="D1757" s="17"/>
      <c r="E1757" s="86"/>
      <c r="F1757" s="253"/>
      <c r="G1757" s="253"/>
      <c r="H1757" s="253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50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/>
      <c r="BF1757" s="17"/>
      <c r="BG1757" s="17"/>
      <c r="BH1757" s="17"/>
      <c r="BI1757" s="17"/>
      <c r="BJ1757" s="17"/>
      <c r="BK1757" s="17"/>
      <c r="BL1757" s="17"/>
      <c r="BM1757" s="17"/>
      <c r="BN1757" s="17"/>
    </row>
    <row r="1758">
      <c r="A1758" s="17"/>
      <c r="B1758" s="17"/>
      <c r="C1758" s="17"/>
      <c r="D1758" s="17"/>
      <c r="E1758" s="86"/>
      <c r="F1758" s="253"/>
      <c r="G1758" s="253"/>
      <c r="H1758" s="253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50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/>
      <c r="BF1758" s="17"/>
      <c r="BG1758" s="17"/>
      <c r="BH1758" s="17"/>
      <c r="BI1758" s="17"/>
      <c r="BJ1758" s="17"/>
      <c r="BK1758" s="17"/>
      <c r="BL1758" s="17"/>
      <c r="BM1758" s="17"/>
      <c r="BN1758" s="17"/>
    </row>
    <row r="1759">
      <c r="A1759" s="17"/>
      <c r="B1759" s="17"/>
      <c r="C1759" s="17"/>
      <c r="D1759" s="17"/>
      <c r="E1759" s="86"/>
      <c r="F1759" s="253"/>
      <c r="G1759" s="253"/>
      <c r="H1759" s="253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50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/>
      <c r="BF1759" s="17"/>
      <c r="BG1759" s="17"/>
      <c r="BH1759" s="17"/>
      <c r="BI1759" s="17"/>
      <c r="BJ1759" s="17"/>
      <c r="BK1759" s="17"/>
      <c r="BL1759" s="17"/>
      <c r="BM1759" s="17"/>
      <c r="BN1759" s="17"/>
    </row>
    <row r="1760">
      <c r="A1760" s="17"/>
      <c r="B1760" s="17"/>
      <c r="C1760" s="17"/>
      <c r="D1760" s="17"/>
      <c r="E1760" s="86"/>
      <c r="F1760" s="253"/>
      <c r="G1760" s="253"/>
      <c r="H1760" s="253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50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/>
      <c r="BF1760" s="17"/>
      <c r="BG1760" s="17"/>
      <c r="BH1760" s="17"/>
      <c r="BI1760" s="17"/>
      <c r="BJ1760" s="17"/>
      <c r="BK1760" s="17"/>
      <c r="BL1760" s="17"/>
      <c r="BM1760" s="17"/>
      <c r="BN1760" s="17"/>
    </row>
    <row r="1761">
      <c r="A1761" s="17"/>
      <c r="B1761" s="17"/>
      <c r="C1761" s="17"/>
      <c r="D1761" s="17"/>
      <c r="E1761" s="86"/>
      <c r="F1761" s="253"/>
      <c r="G1761" s="253"/>
      <c r="H1761" s="253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50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/>
      <c r="BF1761" s="17"/>
      <c r="BG1761" s="17"/>
      <c r="BH1761" s="17"/>
      <c r="BI1761" s="17"/>
      <c r="BJ1761" s="17"/>
      <c r="BK1761" s="17"/>
      <c r="BL1761" s="17"/>
      <c r="BM1761" s="17"/>
      <c r="BN1761" s="17"/>
    </row>
    <row r="1762">
      <c r="A1762" s="17"/>
      <c r="B1762" s="17"/>
      <c r="C1762" s="17"/>
      <c r="D1762" s="17"/>
      <c r="E1762" s="86"/>
      <c r="F1762" s="253"/>
      <c r="G1762" s="253"/>
      <c r="H1762" s="253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50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/>
      <c r="BF1762" s="17"/>
      <c r="BG1762" s="17"/>
      <c r="BH1762" s="17"/>
      <c r="BI1762" s="17"/>
      <c r="BJ1762" s="17"/>
      <c r="BK1762" s="17"/>
      <c r="BL1762" s="17"/>
      <c r="BM1762" s="17"/>
      <c r="BN1762" s="17"/>
    </row>
    <row r="1763">
      <c r="A1763" s="17"/>
      <c r="B1763" s="17"/>
      <c r="C1763" s="17"/>
      <c r="D1763" s="17"/>
      <c r="E1763" s="86"/>
      <c r="F1763" s="253"/>
      <c r="G1763" s="253"/>
      <c r="H1763" s="253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50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/>
      <c r="BF1763" s="17"/>
      <c r="BG1763" s="17"/>
      <c r="BH1763" s="17"/>
      <c r="BI1763" s="17"/>
      <c r="BJ1763" s="17"/>
      <c r="BK1763" s="17"/>
      <c r="BL1763" s="17"/>
      <c r="BM1763" s="17"/>
      <c r="BN1763" s="17"/>
    </row>
    <row r="1764">
      <c r="A1764" s="17"/>
      <c r="B1764" s="17"/>
      <c r="C1764" s="17"/>
      <c r="D1764" s="17"/>
      <c r="E1764" s="86"/>
      <c r="F1764" s="253"/>
      <c r="G1764" s="253"/>
      <c r="H1764" s="253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50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/>
      <c r="BF1764" s="17"/>
      <c r="BG1764" s="17"/>
      <c r="BH1764" s="17"/>
      <c r="BI1764" s="17"/>
      <c r="BJ1764" s="17"/>
      <c r="BK1764" s="17"/>
      <c r="BL1764" s="17"/>
      <c r="BM1764" s="17"/>
      <c r="BN1764" s="17"/>
    </row>
    <row r="1765">
      <c r="A1765" s="17"/>
      <c r="B1765" s="17"/>
      <c r="C1765" s="17"/>
      <c r="D1765" s="17"/>
      <c r="E1765" s="86"/>
      <c r="F1765" s="253"/>
      <c r="G1765" s="253"/>
      <c r="H1765" s="253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50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/>
      <c r="BF1765" s="17"/>
      <c r="BG1765" s="17"/>
      <c r="BH1765" s="17"/>
      <c r="BI1765" s="17"/>
      <c r="BJ1765" s="17"/>
      <c r="BK1765" s="17"/>
      <c r="BL1765" s="17"/>
      <c r="BM1765" s="17"/>
      <c r="BN1765" s="17"/>
    </row>
    <row r="1766">
      <c r="A1766" s="17"/>
      <c r="B1766" s="17"/>
      <c r="C1766" s="17"/>
      <c r="D1766" s="17"/>
      <c r="E1766" s="86"/>
      <c r="F1766" s="253"/>
      <c r="G1766" s="253"/>
      <c r="H1766" s="253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50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</row>
    <row r="1767">
      <c r="A1767" s="17"/>
      <c r="B1767" s="17"/>
      <c r="C1767" s="17"/>
      <c r="D1767" s="17"/>
      <c r="E1767" s="86"/>
      <c r="F1767" s="253"/>
      <c r="G1767" s="253"/>
      <c r="H1767" s="253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50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</row>
    <row r="1768">
      <c r="A1768" s="17"/>
      <c r="B1768" s="17"/>
      <c r="C1768" s="17"/>
      <c r="D1768" s="17"/>
      <c r="E1768" s="86"/>
      <c r="F1768" s="253"/>
      <c r="G1768" s="253"/>
      <c r="H1768" s="253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50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/>
      <c r="BM1768" s="17"/>
      <c r="BN1768" s="17"/>
    </row>
    <row r="1769">
      <c r="A1769" s="17"/>
      <c r="B1769" s="17"/>
      <c r="C1769" s="17"/>
      <c r="D1769" s="17"/>
      <c r="E1769" s="86"/>
      <c r="F1769" s="253"/>
      <c r="G1769" s="253"/>
      <c r="H1769" s="253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50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</row>
    <row r="1770">
      <c r="A1770" s="17"/>
      <c r="B1770" s="17"/>
      <c r="C1770" s="17"/>
      <c r="D1770" s="17"/>
      <c r="E1770" s="86"/>
      <c r="F1770" s="253"/>
      <c r="G1770" s="253"/>
      <c r="H1770" s="253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50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</row>
    <row r="1771">
      <c r="A1771" s="17"/>
      <c r="B1771" s="17"/>
      <c r="C1771" s="17"/>
      <c r="D1771" s="17"/>
      <c r="E1771" s="86"/>
      <c r="F1771" s="253"/>
      <c r="G1771" s="253"/>
      <c r="H1771" s="253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50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</row>
    <row r="1772">
      <c r="A1772" s="17"/>
      <c r="B1772" s="17"/>
      <c r="C1772" s="17"/>
      <c r="D1772" s="17"/>
      <c r="E1772" s="86"/>
      <c r="F1772" s="253"/>
      <c r="G1772" s="253"/>
      <c r="H1772" s="253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50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</row>
    <row r="1773">
      <c r="A1773" s="17"/>
      <c r="B1773" s="17"/>
      <c r="C1773" s="17"/>
      <c r="D1773" s="17"/>
      <c r="E1773" s="86"/>
      <c r="F1773" s="253"/>
      <c r="G1773" s="253"/>
      <c r="H1773" s="253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50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</row>
    <row r="1774">
      <c r="A1774" s="17"/>
      <c r="B1774" s="17"/>
      <c r="C1774" s="17"/>
      <c r="D1774" s="17"/>
      <c r="E1774" s="86"/>
      <c r="F1774" s="253"/>
      <c r="G1774" s="253"/>
      <c r="H1774" s="253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50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/>
      <c r="BF1774" s="17"/>
      <c r="BG1774" s="17"/>
      <c r="BH1774" s="17"/>
      <c r="BI1774" s="17"/>
      <c r="BJ1774" s="17"/>
      <c r="BK1774" s="17"/>
      <c r="BL1774" s="17"/>
      <c r="BM1774" s="17"/>
      <c r="BN1774" s="17"/>
    </row>
    <row r="1775">
      <c r="A1775" s="17"/>
      <c r="B1775" s="17"/>
      <c r="C1775" s="17"/>
      <c r="D1775" s="17"/>
      <c r="E1775" s="86"/>
      <c r="F1775" s="253"/>
      <c r="G1775" s="253"/>
      <c r="H1775" s="253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50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</row>
    <row r="1776">
      <c r="A1776" s="17"/>
      <c r="B1776" s="17"/>
      <c r="C1776" s="17"/>
      <c r="D1776" s="17"/>
      <c r="E1776" s="86"/>
      <c r="F1776" s="253"/>
      <c r="G1776" s="253"/>
      <c r="H1776" s="253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50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/>
      <c r="BF1776" s="17"/>
      <c r="BG1776" s="17"/>
      <c r="BH1776" s="17"/>
      <c r="BI1776" s="17"/>
      <c r="BJ1776" s="17"/>
      <c r="BK1776" s="17"/>
      <c r="BL1776" s="17"/>
      <c r="BM1776" s="17"/>
      <c r="BN1776" s="17"/>
    </row>
    <row r="1777">
      <c r="A1777" s="17"/>
      <c r="B1777" s="17"/>
      <c r="C1777" s="17"/>
      <c r="D1777" s="17"/>
      <c r="E1777" s="86"/>
      <c r="F1777" s="253"/>
      <c r="G1777" s="253"/>
      <c r="H1777" s="253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50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</row>
    <row r="1778">
      <c r="A1778" s="17"/>
      <c r="B1778" s="17"/>
      <c r="C1778" s="17"/>
      <c r="D1778" s="17"/>
      <c r="E1778" s="86"/>
      <c r="F1778" s="253"/>
      <c r="G1778" s="253"/>
      <c r="H1778" s="253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50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/>
      <c r="BF1778" s="17"/>
      <c r="BG1778" s="17"/>
      <c r="BH1778" s="17"/>
      <c r="BI1778" s="17"/>
      <c r="BJ1778" s="17"/>
      <c r="BK1778" s="17"/>
      <c r="BL1778" s="17"/>
      <c r="BM1778" s="17"/>
      <c r="BN1778" s="17"/>
    </row>
    <row r="1779">
      <c r="A1779" s="17"/>
      <c r="B1779" s="17"/>
      <c r="C1779" s="17"/>
      <c r="D1779" s="17"/>
      <c r="E1779" s="86"/>
      <c r="F1779" s="253"/>
      <c r="G1779" s="253"/>
      <c r="H1779" s="253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50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</row>
    <row r="1780">
      <c r="A1780" s="17"/>
      <c r="B1780" s="17"/>
      <c r="C1780" s="17"/>
      <c r="D1780" s="17"/>
      <c r="E1780" s="86"/>
      <c r="F1780" s="253"/>
      <c r="G1780" s="253"/>
      <c r="H1780" s="253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50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/>
      <c r="BF1780" s="17"/>
      <c r="BG1780" s="17"/>
      <c r="BH1780" s="17"/>
      <c r="BI1780" s="17"/>
      <c r="BJ1780" s="17"/>
      <c r="BK1780" s="17"/>
      <c r="BL1780" s="17"/>
      <c r="BM1780" s="17"/>
      <c r="BN1780" s="17"/>
    </row>
    <row r="1781">
      <c r="A1781" s="17"/>
      <c r="B1781" s="17"/>
      <c r="C1781" s="17"/>
      <c r="D1781" s="17"/>
      <c r="E1781" s="86"/>
      <c r="F1781" s="253"/>
      <c r="G1781" s="253"/>
      <c r="H1781" s="253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50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/>
      <c r="BF1781" s="17"/>
      <c r="BG1781" s="17"/>
      <c r="BH1781" s="17"/>
      <c r="BI1781" s="17"/>
      <c r="BJ1781" s="17"/>
      <c r="BK1781" s="17"/>
      <c r="BL1781" s="17"/>
      <c r="BM1781" s="17"/>
      <c r="BN1781" s="17"/>
    </row>
    <row r="1782">
      <c r="A1782" s="17"/>
      <c r="B1782" s="17"/>
      <c r="C1782" s="17"/>
      <c r="D1782" s="17"/>
      <c r="E1782" s="86"/>
      <c r="F1782" s="253"/>
      <c r="G1782" s="253"/>
      <c r="H1782" s="253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50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</row>
    <row r="1783">
      <c r="A1783" s="17"/>
      <c r="B1783" s="17"/>
      <c r="C1783" s="17"/>
      <c r="D1783" s="17"/>
      <c r="E1783" s="86"/>
      <c r="F1783" s="253"/>
      <c r="G1783" s="253"/>
      <c r="H1783" s="253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50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/>
      <c r="BF1783" s="17"/>
      <c r="BG1783" s="17"/>
      <c r="BH1783" s="17"/>
      <c r="BI1783" s="17"/>
      <c r="BJ1783" s="17"/>
      <c r="BK1783" s="17"/>
      <c r="BL1783" s="17"/>
      <c r="BM1783" s="17"/>
      <c r="BN1783" s="17"/>
    </row>
    <row r="1784">
      <c r="A1784" s="17"/>
      <c r="B1784" s="17"/>
      <c r="C1784" s="17"/>
      <c r="D1784" s="17"/>
      <c r="E1784" s="86"/>
      <c r="F1784" s="253"/>
      <c r="G1784" s="253"/>
      <c r="H1784" s="253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50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</row>
    <row r="1785">
      <c r="A1785" s="17"/>
      <c r="B1785" s="17"/>
      <c r="C1785" s="17"/>
      <c r="D1785" s="17"/>
      <c r="E1785" s="86"/>
      <c r="F1785" s="253"/>
      <c r="G1785" s="253"/>
      <c r="H1785" s="253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50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/>
      <c r="BF1785" s="17"/>
      <c r="BG1785" s="17"/>
      <c r="BH1785" s="17"/>
      <c r="BI1785" s="17"/>
      <c r="BJ1785" s="17"/>
      <c r="BK1785" s="17"/>
      <c r="BL1785" s="17"/>
      <c r="BM1785" s="17"/>
      <c r="BN1785" s="17"/>
    </row>
    <row r="1786">
      <c r="A1786" s="17"/>
      <c r="B1786" s="17"/>
      <c r="C1786" s="17"/>
      <c r="D1786" s="17"/>
      <c r="E1786" s="86"/>
      <c r="F1786" s="253"/>
      <c r="G1786" s="253"/>
      <c r="H1786" s="253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50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</row>
    <row r="1787">
      <c r="A1787" s="17"/>
      <c r="B1787" s="17"/>
      <c r="C1787" s="17"/>
      <c r="D1787" s="17"/>
      <c r="E1787" s="86"/>
      <c r="F1787" s="253"/>
      <c r="G1787" s="253"/>
      <c r="H1787" s="253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50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/>
      <c r="BF1787" s="17"/>
      <c r="BG1787" s="17"/>
      <c r="BH1787" s="17"/>
      <c r="BI1787" s="17"/>
      <c r="BJ1787" s="17"/>
      <c r="BK1787" s="17"/>
      <c r="BL1787" s="17"/>
      <c r="BM1787" s="17"/>
      <c r="BN1787" s="17"/>
    </row>
    <row r="1788">
      <c r="A1788" s="17"/>
      <c r="B1788" s="17"/>
      <c r="C1788" s="17"/>
      <c r="D1788" s="17"/>
      <c r="E1788" s="86"/>
      <c r="F1788" s="253"/>
      <c r="G1788" s="253"/>
      <c r="H1788" s="253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50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</row>
    <row r="1789">
      <c r="A1789" s="17"/>
      <c r="B1789" s="17"/>
      <c r="C1789" s="17"/>
      <c r="D1789" s="17"/>
      <c r="E1789" s="86"/>
      <c r="F1789" s="253"/>
      <c r="G1789" s="253"/>
      <c r="H1789" s="253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50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/>
      <c r="BF1789" s="17"/>
      <c r="BG1789" s="17"/>
      <c r="BH1789" s="17"/>
      <c r="BI1789" s="17"/>
      <c r="BJ1789" s="17"/>
      <c r="BK1789" s="17"/>
      <c r="BL1789" s="17"/>
      <c r="BM1789" s="17"/>
      <c r="BN1789" s="17"/>
    </row>
    <row r="1790">
      <c r="A1790" s="17"/>
      <c r="B1790" s="17"/>
      <c r="C1790" s="17"/>
      <c r="D1790" s="17"/>
      <c r="E1790" s="86"/>
      <c r="F1790" s="253"/>
      <c r="G1790" s="253"/>
      <c r="H1790" s="253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50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</row>
    <row r="1791">
      <c r="A1791" s="17"/>
      <c r="B1791" s="17"/>
      <c r="C1791" s="17"/>
      <c r="D1791" s="17"/>
      <c r="E1791" s="86"/>
      <c r="F1791" s="253"/>
      <c r="G1791" s="253"/>
      <c r="H1791" s="253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50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/>
      <c r="BF1791" s="17"/>
      <c r="BG1791" s="17"/>
      <c r="BH1791" s="17"/>
      <c r="BI1791" s="17"/>
      <c r="BJ1791" s="17"/>
      <c r="BK1791" s="17"/>
      <c r="BL1791" s="17"/>
      <c r="BM1791" s="17"/>
      <c r="BN1791" s="17"/>
    </row>
    <row r="1792">
      <c r="A1792" s="17"/>
      <c r="B1792" s="17"/>
      <c r="C1792" s="17"/>
      <c r="D1792" s="17"/>
      <c r="E1792" s="86"/>
      <c r="F1792" s="253"/>
      <c r="G1792" s="253"/>
      <c r="H1792" s="253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50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</row>
    <row r="1793">
      <c r="A1793" s="17"/>
      <c r="B1793" s="17"/>
      <c r="C1793" s="17"/>
      <c r="D1793" s="17"/>
      <c r="E1793" s="86"/>
      <c r="F1793" s="253"/>
      <c r="G1793" s="253"/>
      <c r="H1793" s="253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50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/>
      <c r="BF1793" s="17"/>
      <c r="BG1793" s="17"/>
      <c r="BH1793" s="17"/>
      <c r="BI1793" s="17"/>
      <c r="BJ1793" s="17"/>
      <c r="BK1793" s="17"/>
      <c r="BL1793" s="17"/>
      <c r="BM1793" s="17"/>
      <c r="BN1793" s="17"/>
    </row>
    <row r="1794">
      <c r="A1794" s="17"/>
      <c r="B1794" s="17"/>
      <c r="C1794" s="17"/>
      <c r="D1794" s="17"/>
      <c r="E1794" s="86"/>
      <c r="F1794" s="253"/>
      <c r="G1794" s="253"/>
      <c r="H1794" s="253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50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</row>
    <row r="1795">
      <c r="A1795" s="17"/>
      <c r="B1795" s="17"/>
      <c r="C1795" s="17"/>
      <c r="D1795" s="17"/>
      <c r="E1795" s="86"/>
      <c r="F1795" s="253"/>
      <c r="G1795" s="253"/>
      <c r="H1795" s="253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50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/>
      <c r="BF1795" s="17"/>
      <c r="BG1795" s="17"/>
      <c r="BH1795" s="17"/>
      <c r="BI1795" s="17"/>
      <c r="BJ1795" s="17"/>
      <c r="BK1795" s="17"/>
      <c r="BL1795" s="17"/>
      <c r="BM1795" s="17"/>
      <c r="BN1795" s="17"/>
    </row>
    <row r="1796">
      <c r="A1796" s="17"/>
      <c r="B1796" s="17"/>
      <c r="C1796" s="17"/>
      <c r="D1796" s="17"/>
      <c r="E1796" s="86"/>
      <c r="F1796" s="253"/>
      <c r="G1796" s="253"/>
      <c r="H1796" s="253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50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</row>
    <row r="1797">
      <c r="A1797" s="17"/>
      <c r="B1797" s="17"/>
      <c r="C1797" s="17"/>
      <c r="D1797" s="17"/>
      <c r="E1797" s="86"/>
      <c r="F1797" s="253"/>
      <c r="G1797" s="253"/>
      <c r="H1797" s="253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50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/>
      <c r="BF1797" s="17"/>
      <c r="BG1797" s="17"/>
      <c r="BH1797" s="17"/>
      <c r="BI1797" s="17"/>
      <c r="BJ1797" s="17"/>
      <c r="BK1797" s="17"/>
      <c r="BL1797" s="17"/>
      <c r="BM1797" s="17"/>
      <c r="BN1797" s="17"/>
    </row>
    <row r="1798">
      <c r="A1798" s="17"/>
      <c r="B1798" s="17"/>
      <c r="C1798" s="17"/>
      <c r="D1798" s="17"/>
      <c r="E1798" s="86"/>
      <c r="F1798" s="253"/>
      <c r="G1798" s="253"/>
      <c r="H1798" s="253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50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</row>
    <row r="1799">
      <c r="A1799" s="17"/>
      <c r="B1799" s="17"/>
      <c r="C1799" s="17"/>
      <c r="D1799" s="17"/>
      <c r="E1799" s="86"/>
      <c r="F1799" s="253"/>
      <c r="G1799" s="253"/>
      <c r="H1799" s="253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50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/>
      <c r="BF1799" s="17"/>
      <c r="BG1799" s="17"/>
      <c r="BH1799" s="17"/>
      <c r="BI1799" s="17"/>
      <c r="BJ1799" s="17"/>
      <c r="BK1799" s="17"/>
      <c r="BL1799" s="17"/>
      <c r="BM1799" s="17"/>
      <c r="BN1799" s="17"/>
    </row>
    <row r="1800">
      <c r="A1800" s="17"/>
      <c r="B1800" s="17"/>
      <c r="C1800" s="17"/>
      <c r="D1800" s="17"/>
      <c r="E1800" s="86"/>
      <c r="F1800" s="253"/>
      <c r="G1800" s="253"/>
      <c r="H1800" s="253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50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</row>
    <row r="1801">
      <c r="A1801" s="17"/>
      <c r="B1801" s="17"/>
      <c r="C1801" s="17"/>
      <c r="D1801" s="17"/>
      <c r="E1801" s="86"/>
      <c r="F1801" s="253"/>
      <c r="G1801" s="253"/>
      <c r="H1801" s="253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50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/>
      <c r="BF1801" s="17"/>
      <c r="BG1801" s="17"/>
      <c r="BH1801" s="17"/>
      <c r="BI1801" s="17"/>
      <c r="BJ1801" s="17"/>
      <c r="BK1801" s="17"/>
      <c r="BL1801" s="17"/>
      <c r="BM1801" s="17"/>
      <c r="BN1801" s="17"/>
    </row>
    <row r="1802">
      <c r="A1802" s="17"/>
      <c r="B1802" s="17"/>
      <c r="C1802" s="17"/>
      <c r="D1802" s="17"/>
      <c r="E1802" s="86"/>
      <c r="F1802" s="253"/>
      <c r="G1802" s="253"/>
      <c r="H1802" s="253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50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/>
      <c r="BF1802" s="17"/>
      <c r="BG1802" s="17"/>
      <c r="BH1802" s="17"/>
      <c r="BI1802" s="17"/>
      <c r="BJ1802" s="17"/>
      <c r="BK1802" s="17"/>
      <c r="BL1802" s="17"/>
      <c r="BM1802" s="17"/>
      <c r="BN1802" s="17"/>
    </row>
    <row r="1803">
      <c r="A1803" s="17"/>
      <c r="B1803" s="17"/>
      <c r="C1803" s="17"/>
      <c r="D1803" s="17"/>
      <c r="E1803" s="86"/>
      <c r="F1803" s="253"/>
      <c r="G1803" s="253"/>
      <c r="H1803" s="253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50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</row>
    <row r="1804">
      <c r="A1804" s="17"/>
      <c r="B1804" s="17"/>
      <c r="C1804" s="17"/>
      <c r="D1804" s="17"/>
      <c r="E1804" s="86"/>
      <c r="F1804" s="253"/>
      <c r="G1804" s="253"/>
      <c r="H1804" s="253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50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/>
      <c r="BF1804" s="17"/>
      <c r="BG1804" s="17"/>
      <c r="BH1804" s="17"/>
      <c r="BI1804" s="17"/>
      <c r="BJ1804" s="17"/>
      <c r="BK1804" s="17"/>
      <c r="BL1804" s="17"/>
      <c r="BM1804" s="17"/>
      <c r="BN1804" s="17"/>
    </row>
    <row r="1805">
      <c r="A1805" s="17"/>
      <c r="B1805" s="17"/>
      <c r="C1805" s="17"/>
      <c r="D1805" s="17"/>
      <c r="E1805" s="86"/>
      <c r="F1805" s="253"/>
      <c r="G1805" s="253"/>
      <c r="H1805" s="253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50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/>
      <c r="BF1805" s="17"/>
      <c r="BG1805" s="17"/>
      <c r="BH1805" s="17"/>
      <c r="BI1805" s="17"/>
      <c r="BJ1805" s="17"/>
      <c r="BK1805" s="17"/>
      <c r="BL1805" s="17"/>
      <c r="BM1805" s="17"/>
      <c r="BN1805" s="17"/>
    </row>
    <row r="1806">
      <c r="A1806" s="17"/>
      <c r="B1806" s="17"/>
      <c r="C1806" s="17"/>
      <c r="D1806" s="17"/>
      <c r="E1806" s="86"/>
      <c r="F1806" s="253"/>
      <c r="G1806" s="253"/>
      <c r="H1806" s="253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50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</row>
    <row r="1807">
      <c r="A1807" s="17"/>
      <c r="B1807" s="17"/>
      <c r="C1807" s="17"/>
      <c r="D1807" s="17"/>
      <c r="E1807" s="86"/>
      <c r="F1807" s="253"/>
      <c r="G1807" s="253"/>
      <c r="H1807" s="253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50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/>
      <c r="BF1807" s="17"/>
      <c r="BG1807" s="17"/>
      <c r="BH1807" s="17"/>
      <c r="BI1807" s="17"/>
      <c r="BJ1807" s="17"/>
      <c r="BK1807" s="17"/>
      <c r="BL1807" s="17"/>
      <c r="BM1807" s="17"/>
      <c r="BN1807" s="17"/>
    </row>
    <row r="1808">
      <c r="A1808" s="17"/>
      <c r="B1808" s="17"/>
      <c r="C1808" s="17"/>
      <c r="D1808" s="17"/>
      <c r="E1808" s="86"/>
      <c r="F1808" s="253"/>
      <c r="G1808" s="253"/>
      <c r="H1808" s="253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50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</row>
    <row r="1809">
      <c r="A1809" s="17"/>
      <c r="B1809" s="17"/>
      <c r="C1809" s="17"/>
      <c r="D1809" s="17"/>
      <c r="E1809" s="86"/>
      <c r="F1809" s="253"/>
      <c r="G1809" s="253"/>
      <c r="H1809" s="253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50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/>
      <c r="BF1809" s="17"/>
      <c r="BG1809" s="17"/>
      <c r="BH1809" s="17"/>
      <c r="BI1809" s="17"/>
      <c r="BJ1809" s="17"/>
      <c r="BK1809" s="17"/>
      <c r="BL1809" s="17"/>
      <c r="BM1809" s="17"/>
      <c r="BN1809" s="17"/>
    </row>
    <row r="1810">
      <c r="A1810" s="17"/>
      <c r="B1810" s="17"/>
      <c r="C1810" s="17"/>
      <c r="D1810" s="17"/>
      <c r="E1810" s="86"/>
      <c r="F1810" s="253"/>
      <c r="G1810" s="253"/>
      <c r="H1810" s="253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50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/>
      <c r="BF1810" s="17"/>
      <c r="BG1810" s="17"/>
      <c r="BH1810" s="17"/>
      <c r="BI1810" s="17"/>
      <c r="BJ1810" s="17"/>
      <c r="BK1810" s="17"/>
      <c r="BL1810" s="17"/>
      <c r="BM1810" s="17"/>
      <c r="BN1810" s="17"/>
    </row>
    <row r="1811">
      <c r="A1811" s="17"/>
      <c r="B1811" s="17"/>
      <c r="C1811" s="17"/>
      <c r="D1811" s="17"/>
      <c r="E1811" s="86"/>
      <c r="F1811" s="253"/>
      <c r="G1811" s="253"/>
      <c r="H1811" s="253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50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/>
      <c r="BF1811" s="17"/>
      <c r="BG1811" s="17"/>
      <c r="BH1811" s="17"/>
      <c r="BI1811" s="17"/>
      <c r="BJ1811" s="17"/>
      <c r="BK1811" s="17"/>
      <c r="BL1811" s="17"/>
      <c r="BM1811" s="17"/>
      <c r="BN1811" s="17"/>
    </row>
    <row r="1812">
      <c r="A1812" s="17"/>
      <c r="B1812" s="17"/>
      <c r="C1812" s="17"/>
      <c r="D1812" s="17"/>
      <c r="E1812" s="86"/>
      <c r="F1812" s="253"/>
      <c r="G1812" s="253"/>
      <c r="H1812" s="253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50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/>
      <c r="BF1812" s="17"/>
      <c r="BG1812" s="17"/>
      <c r="BH1812" s="17"/>
      <c r="BI1812" s="17"/>
      <c r="BJ1812" s="17"/>
      <c r="BK1812" s="17"/>
      <c r="BL1812" s="17"/>
      <c r="BM1812" s="17"/>
      <c r="BN1812" s="17"/>
    </row>
    <row r="1813">
      <c r="A1813" s="17"/>
      <c r="B1813" s="17"/>
      <c r="C1813" s="17"/>
      <c r="D1813" s="17"/>
      <c r="E1813" s="86"/>
      <c r="F1813" s="253"/>
      <c r="G1813" s="253"/>
      <c r="H1813" s="253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50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/>
      <c r="BF1813" s="17"/>
      <c r="BG1813" s="17"/>
      <c r="BH1813" s="17"/>
      <c r="BI1813" s="17"/>
      <c r="BJ1813" s="17"/>
      <c r="BK1813" s="17"/>
      <c r="BL1813" s="17"/>
      <c r="BM1813" s="17"/>
      <c r="BN1813" s="17"/>
    </row>
    <row r="1814">
      <c r="A1814" s="17"/>
      <c r="B1814" s="17"/>
      <c r="C1814" s="17"/>
      <c r="D1814" s="17"/>
      <c r="E1814" s="86"/>
      <c r="F1814" s="253"/>
      <c r="G1814" s="253"/>
      <c r="H1814" s="253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50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/>
      <c r="BF1814" s="17"/>
      <c r="BG1814" s="17"/>
      <c r="BH1814" s="17"/>
      <c r="BI1814" s="17"/>
      <c r="BJ1814" s="17"/>
      <c r="BK1814" s="17"/>
      <c r="BL1814" s="17"/>
      <c r="BM1814" s="17"/>
      <c r="BN1814" s="17"/>
    </row>
    <row r="1815">
      <c r="A1815" s="17"/>
      <c r="B1815" s="17"/>
      <c r="C1815" s="17"/>
      <c r="D1815" s="17"/>
      <c r="E1815" s="86"/>
      <c r="F1815" s="253"/>
      <c r="G1815" s="253"/>
      <c r="H1815" s="253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50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/>
      <c r="BF1815" s="17"/>
      <c r="BG1815" s="17"/>
      <c r="BH1815" s="17"/>
      <c r="BI1815" s="17"/>
      <c r="BJ1815" s="17"/>
      <c r="BK1815" s="17"/>
      <c r="BL1815" s="17"/>
      <c r="BM1815" s="17"/>
      <c r="BN1815" s="17"/>
    </row>
    <row r="1816">
      <c r="A1816" s="17"/>
      <c r="B1816" s="17"/>
      <c r="C1816" s="17"/>
      <c r="D1816" s="17"/>
      <c r="E1816" s="86"/>
      <c r="F1816" s="253"/>
      <c r="G1816" s="253"/>
      <c r="H1816" s="253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50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/>
      <c r="BF1816" s="17"/>
      <c r="BG1816" s="17"/>
      <c r="BH1816" s="17"/>
      <c r="BI1816" s="17"/>
      <c r="BJ1816" s="17"/>
      <c r="BK1816" s="17"/>
      <c r="BL1816" s="17"/>
      <c r="BM1816" s="17"/>
      <c r="BN1816" s="17"/>
    </row>
    <row r="1817">
      <c r="A1817" s="17"/>
      <c r="B1817" s="17"/>
      <c r="C1817" s="17"/>
      <c r="D1817" s="17"/>
      <c r="E1817" s="86"/>
      <c r="F1817" s="253"/>
      <c r="G1817" s="253"/>
      <c r="H1817" s="253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50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/>
      <c r="BF1817" s="17"/>
      <c r="BG1817" s="17"/>
      <c r="BH1817" s="17"/>
      <c r="BI1817" s="17"/>
      <c r="BJ1817" s="17"/>
      <c r="BK1817" s="17"/>
      <c r="BL1817" s="17"/>
      <c r="BM1817" s="17"/>
      <c r="BN1817" s="17"/>
    </row>
    <row r="1818">
      <c r="A1818" s="17"/>
      <c r="B1818" s="17"/>
      <c r="C1818" s="17"/>
      <c r="D1818" s="17"/>
      <c r="E1818" s="86"/>
      <c r="F1818" s="253"/>
      <c r="G1818" s="253"/>
      <c r="H1818" s="253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50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/>
      <c r="BF1818" s="17"/>
      <c r="BG1818" s="17"/>
      <c r="BH1818" s="17"/>
      <c r="BI1818" s="17"/>
      <c r="BJ1818" s="17"/>
      <c r="BK1818" s="17"/>
      <c r="BL1818" s="17"/>
      <c r="BM1818" s="17"/>
      <c r="BN1818" s="17"/>
    </row>
    <row r="1819">
      <c r="A1819" s="17"/>
      <c r="B1819" s="17"/>
      <c r="C1819" s="17"/>
      <c r="D1819" s="17"/>
      <c r="E1819" s="86"/>
      <c r="F1819" s="253"/>
      <c r="G1819" s="253"/>
      <c r="H1819" s="253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50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/>
      <c r="BF1819" s="17"/>
      <c r="BG1819" s="17"/>
      <c r="BH1819" s="17"/>
      <c r="BI1819" s="17"/>
      <c r="BJ1819" s="17"/>
      <c r="BK1819" s="17"/>
      <c r="BL1819" s="17"/>
      <c r="BM1819" s="17"/>
      <c r="BN1819" s="17"/>
    </row>
    <row r="1820">
      <c r="A1820" s="17"/>
      <c r="B1820" s="17"/>
      <c r="C1820" s="17"/>
      <c r="D1820" s="17"/>
      <c r="E1820" s="86"/>
      <c r="F1820" s="253"/>
      <c r="G1820" s="253"/>
      <c r="H1820" s="253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50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/>
      <c r="BF1820" s="17"/>
      <c r="BG1820" s="17"/>
      <c r="BH1820" s="17"/>
      <c r="BI1820" s="17"/>
      <c r="BJ1820" s="17"/>
      <c r="BK1820" s="17"/>
      <c r="BL1820" s="17"/>
      <c r="BM1820" s="17"/>
      <c r="BN1820" s="17"/>
    </row>
    <row r="1821">
      <c r="A1821" s="17"/>
      <c r="B1821" s="17"/>
      <c r="C1821" s="17"/>
      <c r="D1821" s="17"/>
      <c r="E1821" s="86"/>
      <c r="F1821" s="253"/>
      <c r="G1821" s="253"/>
      <c r="H1821" s="253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50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/>
      <c r="BF1821" s="17"/>
      <c r="BG1821" s="17"/>
      <c r="BH1821" s="17"/>
      <c r="BI1821" s="17"/>
      <c r="BJ1821" s="17"/>
      <c r="BK1821" s="17"/>
      <c r="BL1821" s="17"/>
      <c r="BM1821" s="17"/>
      <c r="BN1821" s="17"/>
    </row>
    <row r="1822">
      <c r="A1822" s="17"/>
      <c r="B1822" s="17"/>
      <c r="C1822" s="17"/>
      <c r="D1822" s="17"/>
      <c r="E1822" s="86"/>
      <c r="F1822" s="253"/>
      <c r="G1822" s="253"/>
      <c r="H1822" s="253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50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/>
      <c r="BF1822" s="17"/>
      <c r="BG1822" s="17"/>
      <c r="BH1822" s="17"/>
      <c r="BI1822" s="17"/>
      <c r="BJ1822" s="17"/>
      <c r="BK1822" s="17"/>
      <c r="BL1822" s="17"/>
      <c r="BM1822" s="17"/>
      <c r="BN1822" s="17"/>
    </row>
    <row r="1823">
      <c r="A1823" s="17"/>
      <c r="B1823" s="17"/>
      <c r="C1823" s="17"/>
      <c r="D1823" s="17"/>
      <c r="E1823" s="86"/>
      <c r="F1823" s="253"/>
      <c r="G1823" s="253"/>
      <c r="H1823" s="253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50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/>
      <c r="BF1823" s="17"/>
      <c r="BG1823" s="17"/>
      <c r="BH1823" s="17"/>
      <c r="BI1823" s="17"/>
      <c r="BJ1823" s="17"/>
      <c r="BK1823" s="17"/>
      <c r="BL1823" s="17"/>
      <c r="BM1823" s="17"/>
      <c r="BN1823" s="17"/>
    </row>
    <row r="1824">
      <c r="A1824" s="17"/>
      <c r="B1824" s="17"/>
      <c r="C1824" s="17"/>
      <c r="D1824" s="17"/>
      <c r="E1824" s="86"/>
      <c r="F1824" s="253"/>
      <c r="G1824" s="253"/>
      <c r="H1824" s="253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50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/>
      <c r="BF1824" s="17"/>
      <c r="BG1824" s="17"/>
      <c r="BH1824" s="17"/>
      <c r="BI1824" s="17"/>
      <c r="BJ1824" s="17"/>
      <c r="BK1824" s="17"/>
      <c r="BL1824" s="17"/>
      <c r="BM1824" s="17"/>
      <c r="BN1824" s="17"/>
    </row>
    <row r="1825">
      <c r="A1825" s="17"/>
      <c r="B1825" s="17"/>
      <c r="C1825" s="17"/>
      <c r="D1825" s="17"/>
      <c r="E1825" s="86"/>
      <c r="F1825" s="253"/>
      <c r="G1825" s="253"/>
      <c r="H1825" s="253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50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/>
      <c r="BF1825" s="17"/>
      <c r="BG1825" s="17"/>
      <c r="BH1825" s="17"/>
      <c r="BI1825" s="17"/>
      <c r="BJ1825" s="17"/>
      <c r="BK1825" s="17"/>
      <c r="BL1825" s="17"/>
      <c r="BM1825" s="17"/>
      <c r="BN1825" s="17"/>
    </row>
    <row r="1826">
      <c r="A1826" s="17"/>
      <c r="B1826" s="17"/>
      <c r="C1826" s="17"/>
      <c r="D1826" s="17"/>
      <c r="E1826" s="86"/>
      <c r="F1826" s="253"/>
      <c r="G1826" s="253"/>
      <c r="H1826" s="253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50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/>
      <c r="BF1826" s="17"/>
      <c r="BG1826" s="17"/>
      <c r="BH1826" s="17"/>
      <c r="BI1826" s="17"/>
      <c r="BJ1826" s="17"/>
      <c r="BK1826" s="17"/>
      <c r="BL1826" s="17"/>
      <c r="BM1826" s="17"/>
      <c r="BN1826" s="17"/>
    </row>
    <row r="1827">
      <c r="A1827" s="17"/>
      <c r="B1827" s="17"/>
      <c r="C1827" s="17"/>
      <c r="D1827" s="17"/>
      <c r="E1827" s="86"/>
      <c r="F1827" s="253"/>
      <c r="G1827" s="253"/>
      <c r="H1827" s="253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50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/>
      <c r="BF1827" s="17"/>
      <c r="BG1827" s="17"/>
      <c r="BH1827" s="17"/>
      <c r="BI1827" s="17"/>
      <c r="BJ1827" s="17"/>
      <c r="BK1827" s="17"/>
      <c r="BL1827" s="17"/>
      <c r="BM1827" s="17"/>
      <c r="BN1827" s="17"/>
    </row>
    <row r="1828">
      <c r="A1828" s="17"/>
      <c r="B1828" s="17"/>
      <c r="C1828" s="17"/>
      <c r="D1828" s="17"/>
      <c r="E1828" s="86"/>
      <c r="F1828" s="253"/>
      <c r="G1828" s="253"/>
      <c r="H1828" s="253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50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/>
      <c r="BF1828" s="17"/>
      <c r="BG1828" s="17"/>
      <c r="BH1828" s="17"/>
      <c r="BI1828" s="17"/>
      <c r="BJ1828" s="17"/>
      <c r="BK1828" s="17"/>
      <c r="BL1828" s="17"/>
      <c r="BM1828" s="17"/>
      <c r="BN1828" s="17"/>
    </row>
    <row r="1829">
      <c r="A1829" s="17"/>
      <c r="B1829" s="17"/>
      <c r="C1829" s="17"/>
      <c r="D1829" s="17"/>
      <c r="E1829" s="86"/>
      <c r="F1829" s="253"/>
      <c r="G1829" s="253"/>
      <c r="H1829" s="253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50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/>
      <c r="BF1829" s="17"/>
      <c r="BG1829" s="17"/>
      <c r="BH1829" s="17"/>
      <c r="BI1829" s="17"/>
      <c r="BJ1829" s="17"/>
      <c r="BK1829" s="17"/>
      <c r="BL1829" s="17"/>
      <c r="BM1829" s="17"/>
      <c r="BN1829" s="17"/>
    </row>
    <row r="1830">
      <c r="A1830" s="17"/>
      <c r="B1830" s="17"/>
      <c r="C1830" s="17"/>
      <c r="D1830" s="17"/>
      <c r="E1830" s="86"/>
      <c r="F1830" s="253"/>
      <c r="G1830" s="253"/>
      <c r="H1830" s="253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50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/>
      <c r="BF1830" s="17"/>
      <c r="BG1830" s="17"/>
      <c r="BH1830" s="17"/>
      <c r="BI1830" s="17"/>
      <c r="BJ1830" s="17"/>
      <c r="BK1830" s="17"/>
      <c r="BL1830" s="17"/>
      <c r="BM1830" s="17"/>
      <c r="BN1830" s="17"/>
    </row>
    <row r="1831">
      <c r="A1831" s="17"/>
      <c r="B1831" s="17"/>
      <c r="C1831" s="17"/>
      <c r="D1831" s="17"/>
      <c r="E1831" s="86"/>
      <c r="F1831" s="253"/>
      <c r="G1831" s="253"/>
      <c r="H1831" s="253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50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/>
      <c r="BF1831" s="17"/>
      <c r="BG1831" s="17"/>
      <c r="BH1831" s="17"/>
      <c r="BI1831" s="17"/>
      <c r="BJ1831" s="17"/>
      <c r="BK1831" s="17"/>
      <c r="BL1831" s="17"/>
      <c r="BM1831" s="17"/>
      <c r="BN1831" s="17"/>
    </row>
    <row r="1832">
      <c r="A1832" s="17"/>
      <c r="B1832" s="17"/>
      <c r="C1832" s="17"/>
      <c r="D1832" s="17"/>
      <c r="E1832" s="86"/>
      <c r="F1832" s="253"/>
      <c r="G1832" s="253"/>
      <c r="H1832" s="253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50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/>
      <c r="BF1832" s="17"/>
      <c r="BG1832" s="17"/>
      <c r="BH1832" s="17"/>
      <c r="BI1832" s="17"/>
      <c r="BJ1832" s="17"/>
      <c r="BK1832" s="17"/>
      <c r="BL1832" s="17"/>
      <c r="BM1832" s="17"/>
      <c r="BN1832" s="17"/>
    </row>
    <row r="1833">
      <c r="A1833" s="17"/>
      <c r="B1833" s="17"/>
      <c r="C1833" s="17"/>
      <c r="D1833" s="17"/>
      <c r="E1833" s="86"/>
      <c r="F1833" s="253"/>
      <c r="G1833" s="253"/>
      <c r="H1833" s="253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50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/>
      <c r="BF1833" s="17"/>
      <c r="BG1833" s="17"/>
      <c r="BH1833" s="17"/>
      <c r="BI1833" s="17"/>
      <c r="BJ1833" s="17"/>
      <c r="BK1833" s="17"/>
      <c r="BL1833" s="17"/>
      <c r="BM1833" s="17"/>
      <c r="BN1833" s="17"/>
    </row>
    <row r="1834">
      <c r="A1834" s="17"/>
      <c r="B1834" s="17"/>
      <c r="C1834" s="17"/>
      <c r="D1834" s="17"/>
      <c r="E1834" s="86"/>
      <c r="F1834" s="253"/>
      <c r="G1834" s="253"/>
      <c r="H1834" s="253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50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/>
      <c r="BF1834" s="17"/>
      <c r="BG1834" s="17"/>
      <c r="BH1834" s="17"/>
      <c r="BI1834" s="17"/>
      <c r="BJ1834" s="17"/>
      <c r="BK1834" s="17"/>
      <c r="BL1834" s="17"/>
      <c r="BM1834" s="17"/>
      <c r="BN1834" s="17"/>
    </row>
    <row r="1835">
      <c r="A1835" s="17"/>
      <c r="B1835" s="17"/>
      <c r="C1835" s="17"/>
      <c r="D1835" s="17"/>
      <c r="E1835" s="86"/>
      <c r="F1835" s="253"/>
      <c r="G1835" s="253"/>
      <c r="H1835" s="253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50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/>
      <c r="BF1835" s="17"/>
      <c r="BG1835" s="17"/>
      <c r="BH1835" s="17"/>
      <c r="BI1835" s="17"/>
      <c r="BJ1835" s="17"/>
      <c r="BK1835" s="17"/>
      <c r="BL1835" s="17"/>
      <c r="BM1835" s="17"/>
      <c r="BN1835" s="17"/>
    </row>
    <row r="1836">
      <c r="A1836" s="17"/>
      <c r="B1836" s="17"/>
      <c r="C1836" s="17"/>
      <c r="D1836" s="17"/>
      <c r="E1836" s="86"/>
      <c r="F1836" s="253"/>
      <c r="G1836" s="253"/>
      <c r="H1836" s="253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50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/>
      <c r="BF1836" s="17"/>
      <c r="BG1836" s="17"/>
      <c r="BH1836" s="17"/>
      <c r="BI1836" s="17"/>
      <c r="BJ1836" s="17"/>
      <c r="BK1836" s="17"/>
      <c r="BL1836" s="17"/>
      <c r="BM1836" s="17"/>
      <c r="BN1836" s="17"/>
    </row>
    <row r="1837">
      <c r="A1837" s="17"/>
      <c r="B1837" s="17"/>
      <c r="C1837" s="17"/>
      <c r="D1837" s="17"/>
      <c r="E1837" s="86"/>
      <c r="F1837" s="253"/>
      <c r="G1837" s="253"/>
      <c r="H1837" s="253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50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/>
      <c r="BF1837" s="17"/>
      <c r="BG1837" s="17"/>
      <c r="BH1837" s="17"/>
      <c r="BI1837" s="17"/>
      <c r="BJ1837" s="17"/>
      <c r="BK1837" s="17"/>
      <c r="BL1837" s="17"/>
      <c r="BM1837" s="17"/>
      <c r="BN1837" s="17"/>
    </row>
    <row r="1838">
      <c r="A1838" s="17"/>
      <c r="B1838" s="17"/>
      <c r="C1838" s="17"/>
      <c r="D1838" s="17"/>
      <c r="E1838" s="86"/>
      <c r="F1838" s="253"/>
      <c r="G1838" s="253"/>
      <c r="H1838" s="253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50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/>
      <c r="BF1838" s="17"/>
      <c r="BG1838" s="17"/>
      <c r="BH1838" s="17"/>
      <c r="BI1838" s="17"/>
      <c r="BJ1838" s="17"/>
      <c r="BK1838" s="17"/>
      <c r="BL1838" s="17"/>
      <c r="BM1838" s="17"/>
      <c r="BN1838" s="17"/>
    </row>
    <row r="1839">
      <c r="A1839" s="17"/>
      <c r="B1839" s="17"/>
      <c r="C1839" s="17"/>
      <c r="D1839" s="17"/>
      <c r="E1839" s="86"/>
      <c r="F1839" s="253"/>
      <c r="G1839" s="253"/>
      <c r="H1839" s="253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50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/>
      <c r="BF1839" s="17"/>
      <c r="BG1839" s="17"/>
      <c r="BH1839" s="17"/>
      <c r="BI1839" s="17"/>
      <c r="BJ1839" s="17"/>
      <c r="BK1839" s="17"/>
      <c r="BL1839" s="17"/>
      <c r="BM1839" s="17"/>
      <c r="BN1839" s="17"/>
    </row>
    <row r="1840">
      <c r="A1840" s="17"/>
      <c r="B1840" s="17"/>
      <c r="C1840" s="17"/>
      <c r="D1840" s="17"/>
      <c r="E1840" s="86"/>
      <c r="F1840" s="253"/>
      <c r="G1840" s="253"/>
      <c r="H1840" s="253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50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/>
      <c r="BF1840" s="17"/>
      <c r="BG1840" s="17"/>
      <c r="BH1840" s="17"/>
      <c r="BI1840" s="17"/>
      <c r="BJ1840" s="17"/>
      <c r="BK1840" s="17"/>
      <c r="BL1840" s="17"/>
      <c r="BM1840" s="17"/>
      <c r="BN1840" s="17"/>
    </row>
    <row r="1841">
      <c r="A1841" s="17"/>
      <c r="B1841" s="17"/>
      <c r="C1841" s="17"/>
      <c r="D1841" s="17"/>
      <c r="E1841" s="86"/>
      <c r="F1841" s="253"/>
      <c r="G1841" s="253"/>
      <c r="H1841" s="253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50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</row>
    <row r="1842">
      <c r="A1842" s="17"/>
      <c r="B1842" s="17"/>
      <c r="C1842" s="17"/>
      <c r="D1842" s="17"/>
      <c r="E1842" s="86"/>
      <c r="F1842" s="253"/>
      <c r="G1842" s="253"/>
      <c r="H1842" s="253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50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</row>
    <row r="1843">
      <c r="A1843" s="17"/>
      <c r="B1843" s="17"/>
      <c r="C1843" s="17"/>
      <c r="D1843" s="17"/>
      <c r="E1843" s="86"/>
      <c r="F1843" s="253"/>
      <c r="G1843" s="253"/>
      <c r="H1843" s="253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50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/>
      <c r="BF1843" s="17"/>
      <c r="BG1843" s="17"/>
      <c r="BH1843" s="17"/>
      <c r="BI1843" s="17"/>
      <c r="BJ1843" s="17"/>
      <c r="BK1843" s="17"/>
      <c r="BL1843" s="17"/>
      <c r="BM1843" s="17"/>
      <c r="BN1843" s="17"/>
    </row>
    <row r="1844">
      <c r="A1844" s="17"/>
      <c r="B1844" s="17"/>
      <c r="C1844" s="17"/>
      <c r="D1844" s="17"/>
      <c r="E1844" s="86"/>
      <c r="F1844" s="253"/>
      <c r="G1844" s="253"/>
      <c r="H1844" s="253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50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</row>
    <row r="1845">
      <c r="A1845" s="17"/>
      <c r="B1845" s="17"/>
      <c r="C1845" s="17"/>
      <c r="D1845" s="17"/>
      <c r="E1845" s="86"/>
      <c r="F1845" s="253"/>
      <c r="G1845" s="253"/>
      <c r="H1845" s="253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50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/>
      <c r="BF1845" s="17"/>
      <c r="BG1845" s="17"/>
      <c r="BH1845" s="17"/>
      <c r="BI1845" s="17"/>
      <c r="BJ1845" s="17"/>
      <c r="BK1845" s="17"/>
      <c r="BL1845" s="17"/>
      <c r="BM1845" s="17"/>
      <c r="BN1845" s="17"/>
    </row>
    <row r="1846">
      <c r="A1846" s="17"/>
      <c r="B1846" s="17"/>
      <c r="C1846" s="17"/>
      <c r="D1846" s="17"/>
      <c r="E1846" s="86"/>
      <c r="F1846" s="253"/>
      <c r="G1846" s="253"/>
      <c r="H1846" s="253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50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</row>
    <row r="1847">
      <c r="A1847" s="17"/>
      <c r="B1847" s="17"/>
      <c r="C1847" s="17"/>
      <c r="D1847" s="17"/>
      <c r="E1847" s="86"/>
      <c r="F1847" s="253"/>
      <c r="G1847" s="253"/>
      <c r="H1847" s="253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50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/>
      <c r="BF1847" s="17"/>
      <c r="BG1847" s="17"/>
      <c r="BH1847" s="17"/>
      <c r="BI1847" s="17"/>
      <c r="BJ1847" s="17"/>
      <c r="BK1847" s="17"/>
      <c r="BL1847" s="17"/>
      <c r="BM1847" s="17"/>
      <c r="BN1847" s="17"/>
    </row>
    <row r="1848">
      <c r="A1848" s="17"/>
      <c r="B1848" s="17"/>
      <c r="C1848" s="17"/>
      <c r="D1848" s="17"/>
      <c r="E1848" s="86"/>
      <c r="F1848" s="253"/>
      <c r="G1848" s="253"/>
      <c r="H1848" s="253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50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</row>
    <row r="1849">
      <c r="A1849" s="17"/>
      <c r="B1849" s="17"/>
      <c r="C1849" s="17"/>
      <c r="D1849" s="17"/>
      <c r="E1849" s="86"/>
      <c r="F1849" s="253"/>
      <c r="G1849" s="253"/>
      <c r="H1849" s="253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50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/>
      <c r="BF1849" s="17"/>
      <c r="BG1849" s="17"/>
      <c r="BH1849" s="17"/>
      <c r="BI1849" s="17"/>
      <c r="BJ1849" s="17"/>
      <c r="BK1849" s="17"/>
      <c r="BL1849" s="17"/>
      <c r="BM1849" s="17"/>
      <c r="BN1849" s="17"/>
    </row>
    <row r="1850">
      <c r="A1850" s="17"/>
      <c r="B1850" s="17"/>
      <c r="C1850" s="17"/>
      <c r="D1850" s="17"/>
      <c r="E1850" s="86"/>
      <c r="F1850" s="253"/>
      <c r="G1850" s="253"/>
      <c r="H1850" s="253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50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/>
      <c r="BF1850" s="17"/>
      <c r="BG1850" s="17"/>
      <c r="BH1850" s="17"/>
      <c r="BI1850" s="17"/>
      <c r="BJ1850" s="17"/>
      <c r="BK1850" s="17"/>
      <c r="BL1850" s="17"/>
      <c r="BM1850" s="17"/>
      <c r="BN1850" s="17"/>
    </row>
    <row r="1851">
      <c r="A1851" s="17"/>
      <c r="B1851" s="17"/>
      <c r="C1851" s="17"/>
      <c r="D1851" s="17"/>
      <c r="E1851" s="86"/>
      <c r="F1851" s="253"/>
      <c r="G1851" s="253"/>
      <c r="H1851" s="253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50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/>
      <c r="BF1851" s="17"/>
      <c r="BG1851" s="17"/>
      <c r="BH1851" s="17"/>
      <c r="BI1851" s="17"/>
      <c r="BJ1851" s="17"/>
      <c r="BK1851" s="17"/>
      <c r="BL1851" s="17"/>
      <c r="BM1851" s="17"/>
      <c r="BN1851" s="17"/>
    </row>
    <row r="1852">
      <c r="A1852" s="17"/>
      <c r="B1852" s="17"/>
      <c r="C1852" s="17"/>
      <c r="D1852" s="17"/>
      <c r="E1852" s="86"/>
      <c r="F1852" s="253"/>
      <c r="G1852" s="253"/>
      <c r="H1852" s="253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50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/>
      <c r="BF1852" s="17"/>
      <c r="BG1852" s="17"/>
      <c r="BH1852" s="17"/>
      <c r="BI1852" s="17"/>
      <c r="BJ1852" s="17"/>
      <c r="BK1852" s="17"/>
      <c r="BL1852" s="17"/>
      <c r="BM1852" s="17"/>
      <c r="BN1852" s="17"/>
    </row>
    <row r="1853">
      <c r="A1853" s="17"/>
      <c r="B1853" s="17"/>
      <c r="C1853" s="17"/>
      <c r="D1853" s="17"/>
      <c r="E1853" s="86"/>
      <c r="F1853" s="253"/>
      <c r="G1853" s="253"/>
      <c r="H1853" s="253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50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/>
      <c r="BF1853" s="17"/>
      <c r="BG1853" s="17"/>
      <c r="BH1853" s="17"/>
      <c r="BI1853" s="17"/>
      <c r="BJ1853" s="17"/>
      <c r="BK1853" s="17"/>
      <c r="BL1853" s="17"/>
      <c r="BM1853" s="17"/>
      <c r="BN1853" s="17"/>
    </row>
    <row r="1854">
      <c r="A1854" s="17"/>
      <c r="B1854" s="17"/>
      <c r="C1854" s="17"/>
      <c r="D1854" s="17"/>
      <c r="E1854" s="86"/>
      <c r="F1854" s="253"/>
      <c r="G1854" s="253"/>
      <c r="H1854" s="253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50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/>
      <c r="BF1854" s="17"/>
      <c r="BG1854" s="17"/>
      <c r="BH1854" s="17"/>
      <c r="BI1854" s="17"/>
      <c r="BJ1854" s="17"/>
      <c r="BK1854" s="17"/>
      <c r="BL1854" s="17"/>
      <c r="BM1854" s="17"/>
      <c r="BN1854" s="17"/>
    </row>
    <row r="1855">
      <c r="A1855" s="17"/>
      <c r="B1855" s="17"/>
      <c r="C1855" s="17"/>
      <c r="D1855" s="17"/>
      <c r="E1855" s="86"/>
      <c r="F1855" s="253"/>
      <c r="G1855" s="253"/>
      <c r="H1855" s="253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50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/>
      <c r="BF1855" s="17"/>
      <c r="BG1855" s="17"/>
      <c r="BH1855" s="17"/>
      <c r="BI1855" s="17"/>
      <c r="BJ1855" s="17"/>
      <c r="BK1855" s="17"/>
      <c r="BL1855" s="17"/>
      <c r="BM1855" s="17"/>
      <c r="BN1855" s="17"/>
    </row>
    <row r="1856">
      <c r="A1856" s="17"/>
      <c r="B1856" s="17"/>
      <c r="C1856" s="17"/>
      <c r="D1856" s="17"/>
      <c r="E1856" s="86"/>
      <c r="F1856" s="253"/>
      <c r="G1856" s="253"/>
      <c r="H1856" s="253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50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/>
      <c r="BF1856" s="17"/>
      <c r="BG1856" s="17"/>
      <c r="BH1856" s="17"/>
      <c r="BI1856" s="17"/>
      <c r="BJ1856" s="17"/>
      <c r="BK1856" s="17"/>
      <c r="BL1856" s="17"/>
      <c r="BM1856" s="17"/>
      <c r="BN1856" s="17"/>
    </row>
    <row r="1857">
      <c r="A1857" s="17"/>
      <c r="B1857" s="17"/>
      <c r="C1857" s="17"/>
      <c r="D1857" s="17"/>
      <c r="E1857" s="86"/>
      <c r="F1857" s="253"/>
      <c r="G1857" s="253"/>
      <c r="H1857" s="253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50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/>
      <c r="BF1857" s="17"/>
      <c r="BG1857" s="17"/>
      <c r="BH1857" s="17"/>
      <c r="BI1857" s="17"/>
      <c r="BJ1857" s="17"/>
      <c r="BK1857" s="17"/>
      <c r="BL1857" s="17"/>
      <c r="BM1857" s="17"/>
      <c r="BN1857" s="17"/>
    </row>
    <row r="1858">
      <c r="A1858" s="17"/>
      <c r="B1858" s="17"/>
      <c r="C1858" s="17"/>
      <c r="D1858" s="17"/>
      <c r="E1858" s="86"/>
      <c r="F1858" s="253"/>
      <c r="G1858" s="253"/>
      <c r="H1858" s="253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50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/>
      <c r="BF1858" s="17"/>
      <c r="BG1858" s="17"/>
      <c r="BH1858" s="17"/>
      <c r="BI1858" s="17"/>
      <c r="BJ1858" s="17"/>
      <c r="BK1858" s="17"/>
      <c r="BL1858" s="17"/>
      <c r="BM1858" s="17"/>
      <c r="BN1858" s="17"/>
    </row>
    <row r="1859">
      <c r="A1859" s="17"/>
      <c r="B1859" s="17"/>
      <c r="C1859" s="17"/>
      <c r="D1859" s="17"/>
      <c r="E1859" s="86"/>
      <c r="F1859" s="253"/>
      <c r="G1859" s="253"/>
      <c r="H1859" s="253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50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/>
      <c r="BF1859" s="17"/>
      <c r="BG1859" s="17"/>
      <c r="BH1859" s="17"/>
      <c r="BI1859" s="17"/>
      <c r="BJ1859" s="17"/>
      <c r="BK1859" s="17"/>
      <c r="BL1859" s="17"/>
      <c r="BM1859" s="17"/>
      <c r="BN1859" s="17"/>
    </row>
    <row r="1860">
      <c r="A1860" s="17"/>
      <c r="B1860" s="17"/>
      <c r="C1860" s="17"/>
      <c r="D1860" s="17"/>
      <c r="E1860" s="86"/>
      <c r="F1860" s="253"/>
      <c r="G1860" s="253"/>
      <c r="H1860" s="253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50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/>
      <c r="BF1860" s="17"/>
      <c r="BG1860" s="17"/>
      <c r="BH1860" s="17"/>
      <c r="BI1860" s="17"/>
      <c r="BJ1860" s="17"/>
      <c r="BK1860" s="17"/>
      <c r="BL1860" s="17"/>
      <c r="BM1860" s="17"/>
      <c r="BN1860" s="17"/>
    </row>
    <row r="1861">
      <c r="A1861" s="17"/>
      <c r="B1861" s="17"/>
      <c r="C1861" s="17"/>
      <c r="D1861" s="17"/>
      <c r="E1861" s="86"/>
      <c r="F1861" s="253"/>
      <c r="G1861" s="253"/>
      <c r="H1861" s="253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50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/>
      <c r="BF1861" s="17"/>
      <c r="BG1861" s="17"/>
      <c r="BH1861" s="17"/>
      <c r="BI1861" s="17"/>
      <c r="BJ1861" s="17"/>
      <c r="BK1861" s="17"/>
      <c r="BL1861" s="17"/>
      <c r="BM1861" s="17"/>
      <c r="BN1861" s="17"/>
    </row>
    <row r="1862">
      <c r="A1862" s="17"/>
      <c r="B1862" s="17"/>
      <c r="C1862" s="17"/>
      <c r="D1862" s="17"/>
      <c r="E1862" s="86"/>
      <c r="F1862" s="253"/>
      <c r="G1862" s="253"/>
      <c r="H1862" s="253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50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/>
      <c r="BF1862" s="17"/>
      <c r="BG1862" s="17"/>
      <c r="BH1862" s="17"/>
      <c r="BI1862" s="17"/>
      <c r="BJ1862" s="17"/>
      <c r="BK1862" s="17"/>
      <c r="BL1862" s="17"/>
      <c r="BM1862" s="17"/>
      <c r="BN1862" s="17"/>
    </row>
    <row r="1863">
      <c r="A1863" s="17"/>
      <c r="B1863" s="17"/>
      <c r="C1863" s="17"/>
      <c r="D1863" s="17"/>
      <c r="E1863" s="86"/>
      <c r="F1863" s="253"/>
      <c r="G1863" s="253"/>
      <c r="H1863" s="253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50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/>
      <c r="BF1863" s="17"/>
      <c r="BG1863" s="17"/>
      <c r="BH1863" s="17"/>
      <c r="BI1863" s="17"/>
      <c r="BJ1863" s="17"/>
      <c r="BK1863" s="17"/>
      <c r="BL1863" s="17"/>
      <c r="BM1863" s="17"/>
      <c r="BN1863" s="17"/>
    </row>
    <row r="1864">
      <c r="A1864" s="17"/>
      <c r="B1864" s="17"/>
      <c r="C1864" s="17"/>
      <c r="D1864" s="17"/>
      <c r="E1864" s="86"/>
      <c r="F1864" s="253"/>
      <c r="G1864" s="253"/>
      <c r="H1864" s="253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50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/>
      <c r="BF1864" s="17"/>
      <c r="BG1864" s="17"/>
      <c r="BH1864" s="17"/>
      <c r="BI1864" s="17"/>
      <c r="BJ1864" s="17"/>
      <c r="BK1864" s="17"/>
      <c r="BL1864" s="17"/>
      <c r="BM1864" s="17"/>
      <c r="BN1864" s="17"/>
    </row>
    <row r="1865">
      <c r="A1865" s="17"/>
      <c r="B1865" s="17"/>
      <c r="C1865" s="17"/>
      <c r="D1865" s="17"/>
      <c r="E1865" s="86"/>
      <c r="F1865" s="253"/>
      <c r="G1865" s="253"/>
      <c r="H1865" s="253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50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/>
      <c r="BF1865" s="17"/>
      <c r="BG1865" s="17"/>
      <c r="BH1865" s="17"/>
      <c r="BI1865" s="17"/>
      <c r="BJ1865" s="17"/>
      <c r="BK1865" s="17"/>
      <c r="BL1865" s="17"/>
      <c r="BM1865" s="17"/>
      <c r="BN1865" s="17"/>
    </row>
    <row r="1866">
      <c r="A1866" s="17"/>
      <c r="B1866" s="17"/>
      <c r="C1866" s="17"/>
      <c r="D1866" s="17"/>
      <c r="E1866" s="86"/>
      <c r="F1866" s="253"/>
      <c r="G1866" s="253"/>
      <c r="H1866" s="253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50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/>
      <c r="BF1866" s="17"/>
      <c r="BG1866" s="17"/>
      <c r="BH1866" s="17"/>
      <c r="BI1866" s="17"/>
      <c r="BJ1866" s="17"/>
      <c r="BK1866" s="17"/>
      <c r="BL1866" s="17"/>
      <c r="BM1866" s="17"/>
      <c r="BN1866" s="17"/>
    </row>
    <row r="1867">
      <c r="A1867" s="17"/>
      <c r="B1867" s="17"/>
      <c r="C1867" s="17"/>
      <c r="D1867" s="17"/>
      <c r="E1867" s="86"/>
      <c r="F1867" s="253"/>
      <c r="G1867" s="253"/>
      <c r="H1867" s="253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50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/>
      <c r="BF1867" s="17"/>
      <c r="BG1867" s="17"/>
      <c r="BH1867" s="17"/>
      <c r="BI1867" s="17"/>
      <c r="BJ1867" s="17"/>
      <c r="BK1867" s="17"/>
      <c r="BL1867" s="17"/>
      <c r="BM1867" s="17"/>
      <c r="BN1867" s="17"/>
    </row>
    <row r="1868">
      <c r="A1868" s="17"/>
      <c r="B1868" s="17"/>
      <c r="C1868" s="17"/>
      <c r="D1868" s="17"/>
      <c r="E1868" s="86"/>
      <c r="F1868" s="253"/>
      <c r="G1868" s="253"/>
      <c r="H1868" s="253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50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/>
      <c r="BF1868" s="17"/>
      <c r="BG1868" s="17"/>
      <c r="BH1868" s="17"/>
      <c r="BI1868" s="17"/>
      <c r="BJ1868" s="17"/>
      <c r="BK1868" s="17"/>
      <c r="BL1868" s="17"/>
      <c r="BM1868" s="17"/>
      <c r="BN1868" s="17"/>
    </row>
    <row r="1869">
      <c r="A1869" s="17"/>
      <c r="B1869" s="17"/>
      <c r="C1869" s="17"/>
      <c r="D1869" s="17"/>
      <c r="E1869" s="86"/>
      <c r="F1869" s="253"/>
      <c r="G1869" s="253"/>
      <c r="H1869" s="253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50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/>
      <c r="BF1869" s="17"/>
      <c r="BG1869" s="17"/>
      <c r="BH1869" s="17"/>
      <c r="BI1869" s="17"/>
      <c r="BJ1869" s="17"/>
      <c r="BK1869" s="17"/>
      <c r="BL1869" s="17"/>
      <c r="BM1869" s="17"/>
      <c r="BN1869" s="17"/>
    </row>
    <row r="1870">
      <c r="A1870" s="17"/>
      <c r="B1870" s="17"/>
      <c r="C1870" s="17"/>
      <c r="D1870" s="17"/>
      <c r="E1870" s="86"/>
      <c r="F1870" s="253"/>
      <c r="G1870" s="253"/>
      <c r="H1870" s="253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50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</row>
    <row r="1871">
      <c r="A1871" s="17"/>
      <c r="B1871" s="17"/>
      <c r="C1871" s="17"/>
      <c r="D1871" s="17"/>
      <c r="E1871" s="86"/>
      <c r="F1871" s="253"/>
      <c r="G1871" s="253"/>
      <c r="H1871" s="253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50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</row>
    <row r="1872">
      <c r="A1872" s="17"/>
      <c r="B1872" s="17"/>
      <c r="C1872" s="17"/>
      <c r="D1872" s="17"/>
      <c r="E1872" s="86"/>
      <c r="F1872" s="253"/>
      <c r="G1872" s="253"/>
      <c r="H1872" s="253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50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</row>
    <row r="1873">
      <c r="A1873" s="17"/>
      <c r="B1873" s="17"/>
      <c r="C1873" s="17"/>
      <c r="D1873" s="17"/>
      <c r="E1873" s="86"/>
      <c r="F1873" s="253"/>
      <c r="G1873" s="253"/>
      <c r="H1873" s="253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50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/>
      <c r="BF1873" s="17"/>
      <c r="BG1873" s="17"/>
      <c r="BH1873" s="17"/>
      <c r="BI1873" s="17"/>
      <c r="BJ1873" s="17"/>
      <c r="BK1873" s="17"/>
      <c r="BL1873" s="17"/>
      <c r="BM1873" s="17"/>
      <c r="BN1873" s="17"/>
    </row>
    <row r="1874">
      <c r="A1874" s="17"/>
      <c r="B1874" s="17"/>
      <c r="C1874" s="17"/>
      <c r="D1874" s="17"/>
      <c r="E1874" s="86"/>
      <c r="F1874" s="253"/>
      <c r="G1874" s="253"/>
      <c r="H1874" s="253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50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</row>
    <row r="1875">
      <c r="A1875" s="17"/>
      <c r="B1875" s="17"/>
      <c r="C1875" s="17"/>
      <c r="D1875" s="17"/>
      <c r="E1875" s="86"/>
      <c r="F1875" s="253"/>
      <c r="G1875" s="253"/>
      <c r="H1875" s="253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50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</row>
    <row r="1876">
      <c r="A1876" s="17"/>
      <c r="B1876" s="17"/>
      <c r="C1876" s="17"/>
      <c r="D1876" s="17"/>
      <c r="E1876" s="86"/>
      <c r="F1876" s="253"/>
      <c r="G1876" s="253"/>
      <c r="H1876" s="253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50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</row>
    <row r="1877">
      <c r="A1877" s="17"/>
      <c r="B1877" s="17"/>
      <c r="C1877" s="17"/>
      <c r="D1877" s="17"/>
      <c r="E1877" s="86"/>
      <c r="F1877" s="253"/>
      <c r="G1877" s="253"/>
      <c r="H1877" s="253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50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</row>
    <row r="1878">
      <c r="A1878" s="17"/>
      <c r="B1878" s="17"/>
      <c r="C1878" s="17"/>
      <c r="D1878" s="17"/>
      <c r="E1878" s="86"/>
      <c r="F1878" s="253"/>
      <c r="G1878" s="253"/>
      <c r="H1878" s="253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50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</row>
    <row r="1879">
      <c r="A1879" s="17"/>
      <c r="B1879" s="17"/>
      <c r="C1879" s="17"/>
      <c r="D1879" s="17"/>
      <c r="E1879" s="86"/>
      <c r="F1879" s="253"/>
      <c r="G1879" s="253"/>
      <c r="H1879" s="253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50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</row>
    <row r="1880">
      <c r="A1880" s="17"/>
      <c r="B1880" s="17"/>
      <c r="C1880" s="17"/>
      <c r="D1880" s="17"/>
      <c r="E1880" s="86"/>
      <c r="F1880" s="253"/>
      <c r="G1880" s="253"/>
      <c r="H1880" s="253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50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</row>
    <row r="1881">
      <c r="A1881" s="17"/>
      <c r="B1881" s="17"/>
      <c r="C1881" s="17"/>
      <c r="D1881" s="17"/>
      <c r="E1881" s="86"/>
      <c r="F1881" s="253"/>
      <c r="G1881" s="253"/>
      <c r="H1881" s="253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50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/>
      <c r="BF1881" s="17"/>
      <c r="BG1881" s="17"/>
      <c r="BH1881" s="17"/>
      <c r="BI1881" s="17"/>
      <c r="BJ1881" s="17"/>
      <c r="BK1881" s="17"/>
      <c r="BL1881" s="17"/>
      <c r="BM1881" s="17"/>
      <c r="BN1881" s="17"/>
    </row>
    <row r="1882">
      <c r="A1882" s="17"/>
      <c r="B1882" s="17"/>
      <c r="C1882" s="17"/>
      <c r="D1882" s="17"/>
      <c r="E1882" s="86"/>
      <c r="F1882" s="253"/>
      <c r="G1882" s="253"/>
      <c r="H1882" s="253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50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</row>
    <row r="1883">
      <c r="A1883" s="17"/>
      <c r="B1883" s="17"/>
      <c r="C1883" s="17"/>
      <c r="D1883" s="17"/>
      <c r="E1883" s="86"/>
      <c r="F1883" s="253"/>
      <c r="G1883" s="253"/>
      <c r="H1883" s="253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50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</row>
    <row r="1884">
      <c r="A1884" s="17"/>
      <c r="B1884" s="17"/>
      <c r="C1884" s="17"/>
      <c r="D1884" s="17"/>
      <c r="E1884" s="86"/>
      <c r="F1884" s="253"/>
      <c r="G1884" s="253"/>
      <c r="H1884" s="253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50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</row>
    <row r="1885">
      <c r="A1885" s="17"/>
      <c r="B1885" s="17"/>
      <c r="C1885" s="17"/>
      <c r="D1885" s="17"/>
      <c r="E1885" s="86"/>
      <c r="F1885" s="253"/>
      <c r="G1885" s="253"/>
      <c r="H1885" s="253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50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</row>
    <row r="1886">
      <c r="A1886" s="17"/>
      <c r="B1886" s="17"/>
      <c r="C1886" s="17"/>
      <c r="D1886" s="17"/>
      <c r="E1886" s="86"/>
      <c r="F1886" s="253"/>
      <c r="G1886" s="253"/>
      <c r="H1886" s="253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50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</row>
    <row r="1887">
      <c r="A1887" s="17"/>
      <c r="B1887" s="17"/>
      <c r="C1887" s="17"/>
      <c r="D1887" s="17"/>
      <c r="E1887" s="86"/>
      <c r="F1887" s="253"/>
      <c r="G1887" s="253"/>
      <c r="H1887" s="253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50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</row>
    <row r="1888">
      <c r="A1888" s="17"/>
      <c r="B1888" s="17"/>
      <c r="C1888" s="17"/>
      <c r="D1888" s="17"/>
      <c r="E1888" s="86"/>
      <c r="F1888" s="253"/>
      <c r="G1888" s="253"/>
      <c r="H1888" s="253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50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</row>
    <row r="1889">
      <c r="A1889" s="17"/>
      <c r="B1889" s="17"/>
      <c r="C1889" s="17"/>
      <c r="D1889" s="17"/>
      <c r="E1889" s="86"/>
      <c r="F1889" s="253"/>
      <c r="G1889" s="253"/>
      <c r="H1889" s="253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50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</row>
    <row r="1890">
      <c r="A1890" s="17"/>
      <c r="B1890" s="17"/>
      <c r="C1890" s="17"/>
      <c r="D1890" s="17"/>
      <c r="E1890" s="86"/>
      <c r="F1890" s="253"/>
      <c r="G1890" s="253"/>
      <c r="H1890" s="253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50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/>
      <c r="BF1890" s="17"/>
      <c r="BG1890" s="17"/>
      <c r="BH1890" s="17"/>
      <c r="BI1890" s="17"/>
      <c r="BJ1890" s="17"/>
      <c r="BK1890" s="17"/>
      <c r="BL1890" s="17"/>
      <c r="BM1890" s="17"/>
      <c r="BN1890" s="17"/>
    </row>
    <row r="1891">
      <c r="A1891" s="17"/>
      <c r="B1891" s="17"/>
      <c r="C1891" s="17"/>
      <c r="D1891" s="17"/>
      <c r="E1891" s="86"/>
      <c r="F1891" s="253"/>
      <c r="G1891" s="253"/>
      <c r="H1891" s="253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50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/>
      <c r="BF1891" s="17"/>
      <c r="BG1891" s="17"/>
      <c r="BH1891" s="17"/>
      <c r="BI1891" s="17"/>
      <c r="BJ1891" s="17"/>
      <c r="BK1891" s="17"/>
      <c r="BL1891" s="17"/>
      <c r="BM1891" s="17"/>
      <c r="BN1891" s="17"/>
    </row>
    <row r="1892">
      <c r="A1892" s="17"/>
      <c r="B1892" s="17"/>
      <c r="C1892" s="17"/>
      <c r="D1892" s="17"/>
      <c r="E1892" s="86"/>
      <c r="F1892" s="253"/>
      <c r="G1892" s="253"/>
      <c r="H1892" s="253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50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</row>
    <row r="1893">
      <c r="A1893" s="17"/>
      <c r="B1893" s="17"/>
      <c r="C1893" s="17"/>
      <c r="D1893" s="17"/>
      <c r="E1893" s="86"/>
      <c r="F1893" s="253"/>
      <c r="G1893" s="253"/>
      <c r="H1893" s="253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50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</row>
    <row r="1894">
      <c r="A1894" s="17"/>
      <c r="B1894" s="17"/>
      <c r="C1894" s="17"/>
      <c r="D1894" s="17"/>
      <c r="E1894" s="86"/>
      <c r="F1894" s="253"/>
      <c r="G1894" s="253"/>
      <c r="H1894" s="253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50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</row>
    <row r="1895">
      <c r="A1895" s="17"/>
      <c r="B1895" s="17"/>
      <c r="C1895" s="17"/>
      <c r="D1895" s="17"/>
      <c r="E1895" s="86"/>
      <c r="F1895" s="253"/>
      <c r="G1895" s="253"/>
      <c r="H1895" s="253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50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/>
      <c r="BF1895" s="17"/>
      <c r="BG1895" s="17"/>
      <c r="BH1895" s="17"/>
      <c r="BI1895" s="17"/>
      <c r="BJ1895" s="17"/>
      <c r="BK1895" s="17"/>
      <c r="BL1895" s="17"/>
      <c r="BM1895" s="17"/>
      <c r="BN1895" s="17"/>
    </row>
    <row r="1896">
      <c r="A1896" s="17"/>
      <c r="B1896" s="17"/>
      <c r="C1896" s="17"/>
      <c r="D1896" s="17"/>
      <c r="E1896" s="86"/>
      <c r="F1896" s="253"/>
      <c r="G1896" s="253"/>
      <c r="H1896" s="253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50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/>
      <c r="BF1896" s="17"/>
      <c r="BG1896" s="17"/>
      <c r="BH1896" s="17"/>
      <c r="BI1896" s="17"/>
      <c r="BJ1896" s="17"/>
      <c r="BK1896" s="17"/>
      <c r="BL1896" s="17"/>
      <c r="BM1896" s="17"/>
      <c r="BN1896" s="17"/>
    </row>
    <row r="1897">
      <c r="A1897" s="17"/>
      <c r="B1897" s="17"/>
      <c r="C1897" s="17"/>
      <c r="D1897" s="17"/>
      <c r="E1897" s="86"/>
      <c r="F1897" s="253"/>
      <c r="G1897" s="253"/>
      <c r="H1897" s="253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50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/>
      <c r="BF1897" s="17"/>
      <c r="BG1897" s="17"/>
      <c r="BH1897" s="17"/>
      <c r="BI1897" s="17"/>
      <c r="BJ1897" s="17"/>
      <c r="BK1897" s="17"/>
      <c r="BL1897" s="17"/>
      <c r="BM1897" s="17"/>
      <c r="BN1897" s="17"/>
    </row>
    <row r="1898">
      <c r="A1898" s="17"/>
      <c r="B1898" s="17"/>
      <c r="C1898" s="17"/>
      <c r="D1898" s="17"/>
      <c r="E1898" s="86"/>
      <c r="F1898" s="253"/>
      <c r="G1898" s="253"/>
      <c r="H1898" s="253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50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/>
      <c r="BF1898" s="17"/>
      <c r="BG1898" s="17"/>
      <c r="BH1898" s="17"/>
      <c r="BI1898" s="17"/>
      <c r="BJ1898" s="17"/>
      <c r="BK1898" s="17"/>
      <c r="BL1898" s="17"/>
      <c r="BM1898" s="17"/>
      <c r="BN1898" s="17"/>
    </row>
    <row r="1899">
      <c r="A1899" s="17"/>
      <c r="B1899" s="17"/>
      <c r="C1899" s="17"/>
      <c r="D1899" s="17"/>
      <c r="E1899" s="86"/>
      <c r="F1899" s="253"/>
      <c r="G1899" s="253"/>
      <c r="H1899" s="253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50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/>
      <c r="BF1899" s="17"/>
      <c r="BG1899" s="17"/>
      <c r="BH1899" s="17"/>
      <c r="BI1899" s="17"/>
      <c r="BJ1899" s="17"/>
      <c r="BK1899" s="17"/>
      <c r="BL1899" s="17"/>
      <c r="BM1899" s="17"/>
      <c r="BN1899" s="17"/>
    </row>
    <row r="1900">
      <c r="A1900" s="17"/>
      <c r="B1900" s="17"/>
      <c r="C1900" s="17"/>
      <c r="D1900" s="17"/>
      <c r="E1900" s="86"/>
      <c r="F1900" s="253"/>
      <c r="G1900" s="253"/>
      <c r="H1900" s="253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50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/>
      <c r="BF1900" s="17"/>
      <c r="BG1900" s="17"/>
      <c r="BH1900" s="17"/>
      <c r="BI1900" s="17"/>
      <c r="BJ1900" s="17"/>
      <c r="BK1900" s="17"/>
      <c r="BL1900" s="17"/>
      <c r="BM1900" s="17"/>
      <c r="BN1900" s="17"/>
    </row>
    <row r="1901">
      <c r="A1901" s="17"/>
      <c r="B1901" s="17"/>
      <c r="C1901" s="17"/>
      <c r="D1901" s="17"/>
      <c r="E1901" s="86"/>
      <c r="F1901" s="253"/>
      <c r="G1901" s="253"/>
      <c r="H1901" s="253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50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/>
      <c r="BF1901" s="17"/>
      <c r="BG1901" s="17"/>
      <c r="BH1901" s="17"/>
      <c r="BI1901" s="17"/>
      <c r="BJ1901" s="17"/>
      <c r="BK1901" s="17"/>
      <c r="BL1901" s="17"/>
      <c r="BM1901" s="17"/>
      <c r="BN1901" s="17"/>
    </row>
    <row r="1902">
      <c r="A1902" s="17"/>
      <c r="B1902" s="17"/>
      <c r="C1902" s="17"/>
      <c r="D1902" s="17"/>
      <c r="E1902" s="86"/>
      <c r="F1902" s="253"/>
      <c r="G1902" s="253"/>
      <c r="H1902" s="253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50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/>
      <c r="BF1902" s="17"/>
      <c r="BG1902" s="17"/>
      <c r="BH1902" s="17"/>
      <c r="BI1902" s="17"/>
      <c r="BJ1902" s="17"/>
      <c r="BK1902" s="17"/>
      <c r="BL1902" s="17"/>
      <c r="BM1902" s="17"/>
      <c r="BN1902" s="17"/>
    </row>
    <row r="1903">
      <c r="A1903" s="17"/>
      <c r="B1903" s="17"/>
      <c r="C1903" s="17"/>
      <c r="D1903" s="17"/>
      <c r="E1903" s="86"/>
      <c r="F1903" s="253"/>
      <c r="G1903" s="253"/>
      <c r="H1903" s="253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50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/>
      <c r="BF1903" s="17"/>
      <c r="BG1903" s="17"/>
      <c r="BH1903" s="17"/>
      <c r="BI1903" s="17"/>
      <c r="BJ1903" s="17"/>
      <c r="BK1903" s="17"/>
      <c r="BL1903" s="17"/>
      <c r="BM1903" s="17"/>
      <c r="BN1903" s="17"/>
    </row>
    <row r="1904">
      <c r="A1904" s="17"/>
      <c r="B1904" s="17"/>
      <c r="C1904" s="17"/>
      <c r="D1904" s="17"/>
      <c r="E1904" s="86"/>
      <c r="F1904" s="253"/>
      <c r="G1904" s="253"/>
      <c r="H1904" s="253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50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/>
      <c r="BF1904" s="17"/>
      <c r="BG1904" s="17"/>
      <c r="BH1904" s="17"/>
      <c r="BI1904" s="17"/>
      <c r="BJ1904" s="17"/>
      <c r="BK1904" s="17"/>
      <c r="BL1904" s="17"/>
      <c r="BM1904" s="17"/>
      <c r="BN1904" s="17"/>
    </row>
    <row r="1905">
      <c r="A1905" s="17"/>
      <c r="B1905" s="17"/>
      <c r="C1905" s="17"/>
      <c r="D1905" s="17"/>
      <c r="E1905" s="86"/>
      <c r="F1905" s="253"/>
      <c r="G1905" s="253"/>
      <c r="H1905" s="253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50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/>
      <c r="BF1905" s="17"/>
      <c r="BG1905" s="17"/>
      <c r="BH1905" s="17"/>
      <c r="BI1905" s="17"/>
      <c r="BJ1905" s="17"/>
      <c r="BK1905" s="17"/>
      <c r="BL1905" s="17"/>
      <c r="BM1905" s="17"/>
      <c r="BN1905" s="17"/>
    </row>
    <row r="1906">
      <c r="A1906" s="17"/>
      <c r="B1906" s="17"/>
      <c r="C1906" s="17"/>
      <c r="D1906" s="17"/>
      <c r="E1906" s="86"/>
      <c r="F1906" s="253"/>
      <c r="G1906" s="253"/>
      <c r="H1906" s="253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50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/>
      <c r="BF1906" s="17"/>
      <c r="BG1906" s="17"/>
      <c r="BH1906" s="17"/>
      <c r="BI1906" s="17"/>
      <c r="BJ1906" s="17"/>
      <c r="BK1906" s="17"/>
      <c r="BL1906" s="17"/>
      <c r="BM1906" s="17"/>
      <c r="BN1906" s="17"/>
    </row>
    <row r="1907">
      <c r="A1907" s="17"/>
      <c r="B1907" s="17"/>
      <c r="C1907" s="17"/>
      <c r="D1907" s="17"/>
      <c r="E1907" s="86"/>
      <c r="F1907" s="253"/>
      <c r="G1907" s="253"/>
      <c r="H1907" s="253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50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/>
      <c r="BF1907" s="17"/>
      <c r="BG1907" s="17"/>
      <c r="BH1907" s="17"/>
      <c r="BI1907" s="17"/>
      <c r="BJ1907" s="17"/>
      <c r="BK1907" s="17"/>
      <c r="BL1907" s="17"/>
      <c r="BM1907" s="17"/>
      <c r="BN1907" s="17"/>
    </row>
    <row r="1908">
      <c r="A1908" s="17"/>
      <c r="B1908" s="17"/>
      <c r="C1908" s="17"/>
      <c r="D1908" s="17"/>
      <c r="E1908" s="86"/>
      <c r="F1908" s="253"/>
      <c r="G1908" s="253"/>
      <c r="H1908" s="253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50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/>
      <c r="BF1908" s="17"/>
      <c r="BG1908" s="17"/>
      <c r="BH1908" s="17"/>
      <c r="BI1908" s="17"/>
      <c r="BJ1908" s="17"/>
      <c r="BK1908" s="17"/>
      <c r="BL1908" s="17"/>
      <c r="BM1908" s="17"/>
      <c r="BN1908" s="17"/>
    </row>
    <row r="1909">
      <c r="A1909" s="17"/>
      <c r="B1909" s="17"/>
      <c r="C1909" s="17"/>
      <c r="D1909" s="17"/>
      <c r="E1909" s="86"/>
      <c r="F1909" s="253"/>
      <c r="G1909" s="253"/>
      <c r="H1909" s="253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50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/>
      <c r="BF1909" s="17"/>
      <c r="BG1909" s="17"/>
      <c r="BH1909" s="17"/>
      <c r="BI1909" s="17"/>
      <c r="BJ1909" s="17"/>
      <c r="BK1909" s="17"/>
      <c r="BL1909" s="17"/>
      <c r="BM1909" s="17"/>
      <c r="BN1909" s="17"/>
    </row>
    <row r="1910">
      <c r="A1910" s="17"/>
      <c r="B1910" s="17"/>
      <c r="C1910" s="17"/>
      <c r="D1910" s="17"/>
      <c r="E1910" s="86"/>
      <c r="F1910" s="253"/>
      <c r="G1910" s="253"/>
      <c r="H1910" s="253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50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/>
      <c r="BF1910" s="17"/>
      <c r="BG1910" s="17"/>
      <c r="BH1910" s="17"/>
      <c r="BI1910" s="17"/>
      <c r="BJ1910" s="17"/>
      <c r="BK1910" s="17"/>
      <c r="BL1910" s="17"/>
      <c r="BM1910" s="17"/>
      <c r="BN1910" s="17"/>
    </row>
    <row r="1911">
      <c r="A1911" s="17"/>
      <c r="B1911" s="17"/>
      <c r="C1911" s="17"/>
      <c r="D1911" s="17"/>
      <c r="E1911" s="86"/>
      <c r="F1911" s="253"/>
      <c r="G1911" s="253"/>
      <c r="H1911" s="253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50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/>
      <c r="BF1911" s="17"/>
      <c r="BG1911" s="17"/>
      <c r="BH1911" s="17"/>
      <c r="BI1911" s="17"/>
      <c r="BJ1911" s="17"/>
      <c r="BK1911" s="17"/>
      <c r="BL1911" s="17"/>
      <c r="BM1911" s="17"/>
      <c r="BN1911" s="17"/>
    </row>
    <row r="1912">
      <c r="A1912" s="17"/>
      <c r="B1912" s="17"/>
      <c r="C1912" s="17"/>
      <c r="D1912" s="17"/>
      <c r="E1912" s="86"/>
      <c r="F1912" s="253"/>
      <c r="G1912" s="253"/>
      <c r="H1912" s="253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50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/>
      <c r="BF1912" s="17"/>
      <c r="BG1912" s="17"/>
      <c r="BH1912" s="17"/>
      <c r="BI1912" s="17"/>
      <c r="BJ1912" s="17"/>
      <c r="BK1912" s="17"/>
      <c r="BL1912" s="17"/>
      <c r="BM1912" s="17"/>
      <c r="BN1912" s="17"/>
    </row>
    <row r="1913">
      <c r="A1913" s="17"/>
      <c r="B1913" s="17"/>
      <c r="C1913" s="17"/>
      <c r="D1913" s="17"/>
      <c r="E1913" s="86"/>
      <c r="F1913" s="253"/>
      <c r="G1913" s="253"/>
      <c r="H1913" s="253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50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/>
      <c r="BF1913" s="17"/>
      <c r="BG1913" s="17"/>
      <c r="BH1913" s="17"/>
      <c r="BI1913" s="17"/>
      <c r="BJ1913" s="17"/>
      <c r="BK1913" s="17"/>
      <c r="BL1913" s="17"/>
      <c r="BM1913" s="17"/>
      <c r="BN1913" s="17"/>
    </row>
    <row r="1914">
      <c r="A1914" s="17"/>
      <c r="B1914" s="17"/>
      <c r="C1914" s="17"/>
      <c r="D1914" s="17"/>
      <c r="E1914" s="86"/>
      <c r="F1914" s="253"/>
      <c r="G1914" s="253"/>
      <c r="H1914" s="253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50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/>
      <c r="BF1914" s="17"/>
      <c r="BG1914" s="17"/>
      <c r="BH1914" s="17"/>
      <c r="BI1914" s="17"/>
      <c r="BJ1914" s="17"/>
      <c r="BK1914" s="17"/>
      <c r="BL1914" s="17"/>
      <c r="BM1914" s="17"/>
      <c r="BN1914" s="17"/>
    </row>
    <row r="1915">
      <c r="A1915" s="17"/>
      <c r="B1915" s="17"/>
      <c r="C1915" s="17"/>
      <c r="D1915" s="17"/>
      <c r="E1915" s="86"/>
      <c r="F1915" s="253"/>
      <c r="G1915" s="253"/>
      <c r="H1915" s="253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50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/>
      <c r="BF1915" s="17"/>
      <c r="BG1915" s="17"/>
      <c r="BH1915" s="17"/>
      <c r="BI1915" s="17"/>
      <c r="BJ1915" s="17"/>
      <c r="BK1915" s="17"/>
      <c r="BL1915" s="17"/>
      <c r="BM1915" s="17"/>
      <c r="BN1915" s="17"/>
    </row>
    <row r="1916">
      <c r="A1916" s="17"/>
      <c r="B1916" s="17"/>
      <c r="C1916" s="17"/>
      <c r="D1916" s="17"/>
      <c r="E1916" s="86"/>
      <c r="F1916" s="253"/>
      <c r="G1916" s="253"/>
      <c r="H1916" s="253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50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/>
      <c r="BF1916" s="17"/>
      <c r="BG1916" s="17"/>
      <c r="BH1916" s="17"/>
      <c r="BI1916" s="17"/>
      <c r="BJ1916" s="17"/>
      <c r="BK1916" s="17"/>
      <c r="BL1916" s="17"/>
      <c r="BM1916" s="17"/>
      <c r="BN1916" s="17"/>
    </row>
    <row r="1917">
      <c r="A1917" s="17"/>
      <c r="B1917" s="17"/>
      <c r="C1917" s="17"/>
      <c r="D1917" s="17"/>
      <c r="E1917" s="86"/>
      <c r="F1917" s="253"/>
      <c r="G1917" s="253"/>
      <c r="H1917" s="253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50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/>
      <c r="BF1917" s="17"/>
      <c r="BG1917" s="17"/>
      <c r="BH1917" s="17"/>
      <c r="BI1917" s="17"/>
      <c r="BJ1917" s="17"/>
      <c r="BK1917" s="17"/>
      <c r="BL1917" s="17"/>
      <c r="BM1917" s="17"/>
      <c r="BN1917" s="17"/>
    </row>
    <row r="1918">
      <c r="A1918" s="17"/>
      <c r="B1918" s="17"/>
      <c r="C1918" s="17"/>
      <c r="D1918" s="17"/>
      <c r="E1918" s="86"/>
      <c r="F1918" s="253"/>
      <c r="G1918" s="253"/>
      <c r="H1918" s="253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50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/>
      <c r="BF1918" s="17"/>
      <c r="BG1918" s="17"/>
      <c r="BH1918" s="17"/>
      <c r="BI1918" s="17"/>
      <c r="BJ1918" s="17"/>
      <c r="BK1918" s="17"/>
      <c r="BL1918" s="17"/>
      <c r="BM1918" s="17"/>
      <c r="BN1918" s="17"/>
    </row>
    <row r="1919">
      <c r="A1919" s="17"/>
      <c r="B1919" s="17"/>
      <c r="C1919" s="17"/>
      <c r="D1919" s="17"/>
      <c r="E1919" s="86"/>
      <c r="F1919" s="253"/>
      <c r="G1919" s="253"/>
      <c r="H1919" s="253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50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/>
      <c r="BF1919" s="17"/>
      <c r="BG1919" s="17"/>
      <c r="BH1919" s="17"/>
      <c r="BI1919" s="17"/>
      <c r="BJ1919" s="17"/>
      <c r="BK1919" s="17"/>
      <c r="BL1919" s="17"/>
      <c r="BM1919" s="17"/>
      <c r="BN1919" s="17"/>
    </row>
    <row r="1920">
      <c r="A1920" s="17"/>
      <c r="B1920" s="17"/>
      <c r="C1920" s="17"/>
      <c r="D1920" s="17"/>
      <c r="E1920" s="86"/>
      <c r="F1920" s="253"/>
      <c r="G1920" s="253"/>
      <c r="H1920" s="253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50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/>
      <c r="BF1920" s="17"/>
      <c r="BG1920" s="17"/>
      <c r="BH1920" s="17"/>
      <c r="BI1920" s="17"/>
      <c r="BJ1920" s="17"/>
      <c r="BK1920" s="17"/>
      <c r="BL1920" s="17"/>
      <c r="BM1920" s="17"/>
      <c r="BN1920" s="17"/>
    </row>
    <row r="1921">
      <c r="A1921" s="17"/>
      <c r="B1921" s="17"/>
      <c r="C1921" s="17"/>
      <c r="D1921" s="17"/>
      <c r="E1921" s="86"/>
      <c r="F1921" s="253"/>
      <c r="G1921" s="253"/>
      <c r="H1921" s="253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50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/>
      <c r="BF1921" s="17"/>
      <c r="BG1921" s="17"/>
      <c r="BH1921" s="17"/>
      <c r="BI1921" s="17"/>
      <c r="BJ1921" s="17"/>
      <c r="BK1921" s="17"/>
      <c r="BL1921" s="17"/>
      <c r="BM1921" s="17"/>
      <c r="BN1921" s="17"/>
    </row>
    <row r="1922">
      <c r="A1922" s="17"/>
      <c r="B1922" s="17"/>
      <c r="C1922" s="17"/>
      <c r="D1922" s="17"/>
      <c r="E1922" s="86"/>
      <c r="F1922" s="253"/>
      <c r="G1922" s="253"/>
      <c r="H1922" s="253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50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/>
      <c r="BF1922" s="17"/>
      <c r="BG1922" s="17"/>
      <c r="BH1922" s="17"/>
      <c r="BI1922" s="17"/>
      <c r="BJ1922" s="17"/>
      <c r="BK1922" s="17"/>
      <c r="BL1922" s="17"/>
      <c r="BM1922" s="17"/>
      <c r="BN1922" s="17"/>
    </row>
    <row r="1923">
      <c r="A1923" s="17"/>
      <c r="B1923" s="17"/>
      <c r="C1923" s="17"/>
      <c r="D1923" s="17"/>
      <c r="E1923" s="86"/>
      <c r="F1923" s="253"/>
      <c r="G1923" s="253"/>
      <c r="H1923" s="253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50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/>
      <c r="BF1923" s="17"/>
      <c r="BG1923" s="17"/>
      <c r="BH1923" s="17"/>
      <c r="BI1923" s="17"/>
      <c r="BJ1923" s="17"/>
      <c r="BK1923" s="17"/>
      <c r="BL1923" s="17"/>
      <c r="BM1923" s="17"/>
      <c r="BN1923" s="17"/>
    </row>
    <row r="1924">
      <c r="A1924" s="17"/>
      <c r="B1924" s="17"/>
      <c r="C1924" s="17"/>
      <c r="D1924" s="17"/>
      <c r="E1924" s="86"/>
      <c r="F1924" s="253"/>
      <c r="G1924" s="253"/>
      <c r="H1924" s="253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50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/>
      <c r="BF1924" s="17"/>
      <c r="BG1924" s="17"/>
      <c r="BH1924" s="17"/>
      <c r="BI1924" s="17"/>
      <c r="BJ1924" s="17"/>
      <c r="BK1924" s="17"/>
      <c r="BL1924" s="17"/>
      <c r="BM1924" s="17"/>
      <c r="BN1924" s="17"/>
    </row>
    <row r="1925">
      <c r="A1925" s="17"/>
      <c r="B1925" s="17"/>
      <c r="C1925" s="17"/>
      <c r="D1925" s="17"/>
      <c r="E1925" s="86"/>
      <c r="F1925" s="253"/>
      <c r="G1925" s="253"/>
      <c r="H1925" s="253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50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/>
      <c r="BF1925" s="17"/>
      <c r="BG1925" s="17"/>
      <c r="BH1925" s="17"/>
      <c r="BI1925" s="17"/>
      <c r="BJ1925" s="17"/>
      <c r="BK1925" s="17"/>
      <c r="BL1925" s="17"/>
      <c r="BM1925" s="17"/>
      <c r="BN1925" s="17"/>
    </row>
    <row r="1926">
      <c r="A1926" s="17"/>
      <c r="B1926" s="17"/>
      <c r="C1926" s="17"/>
      <c r="D1926" s="17"/>
      <c r="E1926" s="86"/>
      <c r="F1926" s="253"/>
      <c r="G1926" s="253"/>
      <c r="H1926" s="253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50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/>
      <c r="BF1926" s="17"/>
      <c r="BG1926" s="17"/>
      <c r="BH1926" s="17"/>
      <c r="BI1926" s="17"/>
      <c r="BJ1926" s="17"/>
      <c r="BK1926" s="17"/>
      <c r="BL1926" s="17"/>
      <c r="BM1926" s="17"/>
      <c r="BN1926" s="17"/>
    </row>
    <row r="1927">
      <c r="A1927" s="17"/>
      <c r="B1927" s="17"/>
      <c r="C1927" s="17"/>
      <c r="D1927" s="17"/>
      <c r="E1927" s="86"/>
      <c r="F1927" s="253"/>
      <c r="G1927" s="253"/>
      <c r="H1927" s="253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50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/>
      <c r="BF1927" s="17"/>
      <c r="BG1927" s="17"/>
      <c r="BH1927" s="17"/>
      <c r="BI1927" s="17"/>
      <c r="BJ1927" s="17"/>
      <c r="BK1927" s="17"/>
      <c r="BL1927" s="17"/>
      <c r="BM1927" s="17"/>
      <c r="BN1927" s="17"/>
    </row>
    <row r="1928">
      <c r="A1928" s="17"/>
      <c r="B1928" s="17"/>
      <c r="C1928" s="17"/>
      <c r="D1928" s="17"/>
      <c r="E1928" s="86"/>
      <c r="F1928" s="253"/>
      <c r="G1928" s="253"/>
      <c r="H1928" s="253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50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/>
      <c r="BF1928" s="17"/>
      <c r="BG1928" s="17"/>
      <c r="BH1928" s="17"/>
      <c r="BI1928" s="17"/>
      <c r="BJ1928" s="17"/>
      <c r="BK1928" s="17"/>
      <c r="BL1928" s="17"/>
      <c r="BM1928" s="17"/>
      <c r="BN1928" s="17"/>
    </row>
    <row r="1929">
      <c r="A1929" s="17"/>
      <c r="B1929" s="17"/>
      <c r="C1929" s="17"/>
      <c r="D1929" s="17"/>
      <c r="E1929" s="86"/>
      <c r="F1929" s="253"/>
      <c r="G1929" s="253"/>
      <c r="H1929" s="253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50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/>
      <c r="BF1929" s="17"/>
      <c r="BG1929" s="17"/>
      <c r="BH1929" s="17"/>
      <c r="BI1929" s="17"/>
      <c r="BJ1929" s="17"/>
      <c r="BK1929" s="17"/>
      <c r="BL1929" s="17"/>
      <c r="BM1929" s="17"/>
      <c r="BN1929" s="17"/>
    </row>
    <row r="1930">
      <c r="A1930" s="17"/>
      <c r="B1930" s="17"/>
      <c r="C1930" s="17"/>
      <c r="D1930" s="17"/>
      <c r="E1930" s="86"/>
      <c r="F1930" s="253"/>
      <c r="G1930" s="253"/>
      <c r="H1930" s="253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50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/>
      <c r="BF1930" s="17"/>
      <c r="BG1930" s="17"/>
      <c r="BH1930" s="17"/>
      <c r="BI1930" s="17"/>
      <c r="BJ1930" s="17"/>
      <c r="BK1930" s="17"/>
      <c r="BL1930" s="17"/>
      <c r="BM1930" s="17"/>
      <c r="BN1930" s="17"/>
    </row>
    <row r="1931">
      <c r="A1931" s="17"/>
      <c r="B1931" s="17"/>
      <c r="C1931" s="17"/>
      <c r="D1931" s="17"/>
      <c r="E1931" s="86"/>
      <c r="F1931" s="253"/>
      <c r="G1931" s="253"/>
      <c r="H1931" s="253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50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/>
      <c r="BF1931" s="17"/>
      <c r="BG1931" s="17"/>
      <c r="BH1931" s="17"/>
      <c r="BI1931" s="17"/>
      <c r="BJ1931" s="17"/>
      <c r="BK1931" s="17"/>
      <c r="BL1931" s="17"/>
      <c r="BM1931" s="17"/>
      <c r="BN1931" s="17"/>
    </row>
    <row r="1932">
      <c r="A1932" s="17"/>
      <c r="B1932" s="17"/>
      <c r="C1932" s="17"/>
      <c r="D1932" s="17"/>
      <c r="E1932" s="86"/>
      <c r="F1932" s="253"/>
      <c r="G1932" s="253"/>
      <c r="H1932" s="253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50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/>
      <c r="BF1932" s="17"/>
      <c r="BG1932" s="17"/>
      <c r="BH1932" s="17"/>
      <c r="BI1932" s="17"/>
      <c r="BJ1932" s="17"/>
      <c r="BK1932" s="17"/>
      <c r="BL1932" s="17"/>
      <c r="BM1932" s="17"/>
      <c r="BN1932" s="17"/>
    </row>
    <row r="1933">
      <c r="A1933" s="17"/>
      <c r="B1933" s="17"/>
      <c r="C1933" s="17"/>
      <c r="D1933" s="17"/>
      <c r="E1933" s="86"/>
      <c r="F1933" s="253"/>
      <c r="G1933" s="253"/>
      <c r="H1933" s="253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50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/>
      <c r="BF1933" s="17"/>
      <c r="BG1933" s="17"/>
      <c r="BH1933" s="17"/>
      <c r="BI1933" s="17"/>
      <c r="BJ1933" s="17"/>
      <c r="BK1933" s="17"/>
      <c r="BL1933" s="17"/>
      <c r="BM1933" s="17"/>
      <c r="BN1933" s="17"/>
    </row>
    <row r="1934">
      <c r="A1934" s="17"/>
      <c r="B1934" s="17"/>
      <c r="C1934" s="17"/>
      <c r="D1934" s="17"/>
      <c r="E1934" s="86"/>
      <c r="F1934" s="253"/>
      <c r="G1934" s="253"/>
      <c r="H1934" s="253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50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/>
      <c r="BF1934" s="17"/>
      <c r="BG1934" s="17"/>
      <c r="BH1934" s="17"/>
      <c r="BI1934" s="17"/>
      <c r="BJ1934" s="17"/>
      <c r="BK1934" s="17"/>
      <c r="BL1934" s="17"/>
      <c r="BM1934" s="17"/>
      <c r="BN1934" s="17"/>
    </row>
    <row r="1935">
      <c r="A1935" s="17"/>
      <c r="B1935" s="17"/>
      <c r="C1935" s="17"/>
      <c r="D1935" s="17"/>
      <c r="E1935" s="86"/>
      <c r="F1935" s="253"/>
      <c r="G1935" s="253"/>
      <c r="H1935" s="253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50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/>
      <c r="BF1935" s="17"/>
      <c r="BG1935" s="17"/>
      <c r="BH1935" s="17"/>
      <c r="BI1935" s="17"/>
      <c r="BJ1935" s="17"/>
      <c r="BK1935" s="17"/>
      <c r="BL1935" s="17"/>
      <c r="BM1935" s="17"/>
      <c r="BN1935" s="17"/>
    </row>
    <row r="1936">
      <c r="A1936" s="17"/>
      <c r="B1936" s="17"/>
      <c r="C1936" s="17"/>
      <c r="D1936" s="17"/>
      <c r="E1936" s="86"/>
      <c r="F1936" s="253"/>
      <c r="G1936" s="253"/>
      <c r="H1936" s="253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50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/>
      <c r="BF1936" s="17"/>
      <c r="BG1936" s="17"/>
      <c r="BH1936" s="17"/>
      <c r="BI1936" s="17"/>
      <c r="BJ1936" s="17"/>
      <c r="BK1936" s="17"/>
      <c r="BL1936" s="17"/>
      <c r="BM1936" s="17"/>
      <c r="BN1936" s="17"/>
    </row>
    <row r="1937">
      <c r="A1937" s="17"/>
      <c r="B1937" s="17"/>
      <c r="C1937" s="17"/>
      <c r="D1937" s="17"/>
      <c r="E1937" s="86"/>
      <c r="F1937" s="253"/>
      <c r="G1937" s="253"/>
      <c r="H1937" s="253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50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/>
      <c r="BF1937" s="17"/>
      <c r="BG1937" s="17"/>
      <c r="BH1937" s="17"/>
      <c r="BI1937" s="17"/>
      <c r="BJ1937" s="17"/>
      <c r="BK1937" s="17"/>
      <c r="BL1937" s="17"/>
      <c r="BM1937" s="17"/>
      <c r="BN1937" s="17"/>
    </row>
    <row r="1938">
      <c r="A1938" s="17"/>
      <c r="B1938" s="17"/>
      <c r="C1938" s="17"/>
      <c r="D1938" s="17"/>
      <c r="E1938" s="86"/>
      <c r="F1938" s="253"/>
      <c r="G1938" s="253"/>
      <c r="H1938" s="253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50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/>
      <c r="BF1938" s="17"/>
      <c r="BG1938" s="17"/>
      <c r="BH1938" s="17"/>
      <c r="BI1938" s="17"/>
      <c r="BJ1938" s="17"/>
      <c r="BK1938" s="17"/>
      <c r="BL1938" s="17"/>
      <c r="BM1938" s="17"/>
      <c r="BN1938" s="17"/>
    </row>
    <row r="1939">
      <c r="A1939" s="17"/>
      <c r="B1939" s="17"/>
      <c r="C1939" s="17"/>
      <c r="D1939" s="17"/>
      <c r="E1939" s="86"/>
      <c r="F1939" s="253"/>
      <c r="G1939" s="253"/>
      <c r="H1939" s="253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50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/>
      <c r="BF1939" s="17"/>
      <c r="BG1939" s="17"/>
      <c r="BH1939" s="17"/>
      <c r="BI1939" s="17"/>
      <c r="BJ1939" s="17"/>
      <c r="BK1939" s="17"/>
      <c r="BL1939" s="17"/>
      <c r="BM1939" s="17"/>
      <c r="BN1939" s="17"/>
    </row>
    <row r="1940">
      <c r="A1940" s="17"/>
      <c r="B1940" s="17"/>
      <c r="C1940" s="17"/>
      <c r="D1940" s="17"/>
      <c r="E1940" s="86"/>
      <c r="F1940" s="253"/>
      <c r="G1940" s="253"/>
      <c r="H1940" s="253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50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/>
      <c r="BF1940" s="17"/>
      <c r="BG1940" s="17"/>
      <c r="BH1940" s="17"/>
      <c r="BI1940" s="17"/>
      <c r="BJ1940" s="17"/>
      <c r="BK1940" s="17"/>
      <c r="BL1940" s="17"/>
      <c r="BM1940" s="17"/>
      <c r="BN1940" s="17"/>
    </row>
    <row r="1941">
      <c r="A1941" s="17"/>
      <c r="B1941" s="17"/>
      <c r="C1941" s="17"/>
      <c r="D1941" s="17"/>
      <c r="E1941" s="86"/>
      <c r="F1941" s="253"/>
      <c r="G1941" s="253"/>
      <c r="H1941" s="253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50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/>
      <c r="BF1941" s="17"/>
      <c r="BG1941" s="17"/>
      <c r="BH1941" s="17"/>
      <c r="BI1941" s="17"/>
      <c r="BJ1941" s="17"/>
      <c r="BK1941" s="17"/>
      <c r="BL1941" s="17"/>
      <c r="BM1941" s="17"/>
      <c r="BN1941" s="17"/>
    </row>
    <row r="1942">
      <c r="A1942" s="17"/>
      <c r="B1942" s="17"/>
      <c r="C1942" s="17"/>
      <c r="D1942" s="17"/>
      <c r="E1942" s="86"/>
      <c r="F1942" s="253"/>
      <c r="G1942" s="253"/>
      <c r="H1942" s="253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50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/>
      <c r="BF1942" s="17"/>
      <c r="BG1942" s="17"/>
      <c r="BH1942" s="17"/>
      <c r="BI1942" s="17"/>
      <c r="BJ1942" s="17"/>
      <c r="BK1942" s="17"/>
      <c r="BL1942" s="17"/>
      <c r="BM1942" s="17"/>
      <c r="BN1942" s="17"/>
    </row>
    <row r="1943">
      <c r="A1943" s="17"/>
      <c r="B1943" s="17"/>
      <c r="C1943" s="17"/>
      <c r="D1943" s="17"/>
      <c r="E1943" s="86"/>
      <c r="F1943" s="253"/>
      <c r="G1943" s="253"/>
      <c r="H1943" s="253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50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/>
      <c r="BF1943" s="17"/>
      <c r="BG1943" s="17"/>
      <c r="BH1943" s="17"/>
      <c r="BI1943" s="17"/>
      <c r="BJ1943" s="17"/>
      <c r="BK1943" s="17"/>
      <c r="BL1943" s="17"/>
      <c r="BM1943" s="17"/>
      <c r="BN1943" s="17"/>
    </row>
    <row r="1944">
      <c r="A1944" s="17"/>
      <c r="B1944" s="17"/>
      <c r="C1944" s="17"/>
      <c r="D1944" s="17"/>
      <c r="E1944" s="86"/>
      <c r="F1944" s="253"/>
      <c r="G1944" s="253"/>
      <c r="H1944" s="253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50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/>
      <c r="BF1944" s="17"/>
      <c r="BG1944" s="17"/>
      <c r="BH1944" s="17"/>
      <c r="BI1944" s="17"/>
      <c r="BJ1944" s="17"/>
      <c r="BK1944" s="17"/>
      <c r="BL1944" s="17"/>
      <c r="BM1944" s="17"/>
      <c r="BN1944" s="17"/>
    </row>
    <row r="1945">
      <c r="A1945" s="17"/>
      <c r="B1945" s="17"/>
      <c r="C1945" s="17"/>
      <c r="D1945" s="17"/>
      <c r="E1945" s="86"/>
      <c r="F1945" s="253"/>
      <c r="G1945" s="253"/>
      <c r="H1945" s="253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50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/>
      <c r="BF1945" s="17"/>
      <c r="BG1945" s="17"/>
      <c r="BH1945" s="17"/>
      <c r="BI1945" s="17"/>
      <c r="BJ1945" s="17"/>
      <c r="BK1945" s="17"/>
      <c r="BL1945" s="17"/>
      <c r="BM1945" s="17"/>
      <c r="BN1945" s="17"/>
    </row>
    <row r="1946">
      <c r="A1946" s="17"/>
      <c r="B1946" s="17"/>
      <c r="C1946" s="17"/>
      <c r="D1946" s="17"/>
      <c r="E1946" s="86"/>
      <c r="F1946" s="253"/>
      <c r="G1946" s="253"/>
      <c r="H1946" s="253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50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17"/>
      <c r="AY1946" s="17"/>
      <c r="AZ1946" s="17"/>
      <c r="BA1946" s="17"/>
      <c r="BB1946" s="17"/>
      <c r="BC1946" s="17"/>
      <c r="BD1946" s="17"/>
      <c r="BE1946" s="17"/>
      <c r="BF1946" s="17"/>
      <c r="BG1946" s="17"/>
      <c r="BH1946" s="17"/>
      <c r="BI1946" s="17"/>
      <c r="BJ1946" s="17"/>
      <c r="BK1946" s="17"/>
      <c r="BL1946" s="17"/>
      <c r="BM1946" s="17"/>
      <c r="BN1946" s="17"/>
    </row>
    <row r="1947">
      <c r="A1947" s="17"/>
      <c r="B1947" s="17"/>
      <c r="C1947" s="17"/>
      <c r="D1947" s="17"/>
      <c r="E1947" s="86"/>
      <c r="F1947" s="253"/>
      <c r="G1947" s="253"/>
      <c r="H1947" s="253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50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/>
      <c r="BF1947" s="17"/>
      <c r="BG1947" s="17"/>
      <c r="BH1947" s="17"/>
      <c r="BI1947" s="17"/>
      <c r="BJ1947" s="17"/>
      <c r="BK1947" s="17"/>
      <c r="BL1947" s="17"/>
      <c r="BM1947" s="17"/>
      <c r="BN1947" s="17"/>
    </row>
    <row r="1948">
      <c r="A1948" s="17"/>
      <c r="B1948" s="17"/>
      <c r="C1948" s="17"/>
      <c r="D1948" s="17"/>
      <c r="E1948" s="86"/>
      <c r="F1948" s="253"/>
      <c r="G1948" s="253"/>
      <c r="H1948" s="253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50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/>
      <c r="BF1948" s="17"/>
      <c r="BG1948" s="17"/>
      <c r="BH1948" s="17"/>
      <c r="BI1948" s="17"/>
      <c r="BJ1948" s="17"/>
      <c r="BK1948" s="17"/>
      <c r="BL1948" s="17"/>
      <c r="BM1948" s="17"/>
      <c r="BN1948" s="17"/>
    </row>
    <row r="1949">
      <c r="A1949" s="17"/>
      <c r="B1949" s="17"/>
      <c r="C1949" s="17"/>
      <c r="D1949" s="17"/>
      <c r="E1949" s="86"/>
      <c r="F1949" s="253"/>
      <c r="G1949" s="253"/>
      <c r="H1949" s="253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50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/>
      <c r="BF1949" s="17"/>
      <c r="BG1949" s="17"/>
      <c r="BH1949" s="17"/>
      <c r="BI1949" s="17"/>
      <c r="BJ1949" s="17"/>
      <c r="BK1949" s="17"/>
      <c r="BL1949" s="17"/>
      <c r="BM1949" s="17"/>
      <c r="BN1949" s="17"/>
    </row>
    <row r="1950">
      <c r="A1950" s="17"/>
      <c r="B1950" s="17"/>
      <c r="C1950" s="17"/>
      <c r="D1950" s="17"/>
      <c r="E1950" s="86"/>
      <c r="F1950" s="253"/>
      <c r="G1950" s="253"/>
      <c r="H1950" s="253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50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/>
      <c r="BF1950" s="17"/>
      <c r="BG1950" s="17"/>
      <c r="BH1950" s="17"/>
      <c r="BI1950" s="17"/>
      <c r="BJ1950" s="17"/>
      <c r="BK1950" s="17"/>
      <c r="BL1950" s="17"/>
      <c r="BM1950" s="17"/>
      <c r="BN1950" s="17"/>
    </row>
    <row r="1951">
      <c r="A1951" s="17"/>
      <c r="B1951" s="17"/>
      <c r="C1951" s="17"/>
      <c r="D1951" s="17"/>
      <c r="E1951" s="86"/>
      <c r="F1951" s="253"/>
      <c r="G1951" s="253"/>
      <c r="H1951" s="253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50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/>
      <c r="BF1951" s="17"/>
      <c r="BG1951" s="17"/>
      <c r="BH1951" s="17"/>
      <c r="BI1951" s="17"/>
      <c r="BJ1951" s="17"/>
      <c r="BK1951" s="17"/>
      <c r="BL1951" s="17"/>
      <c r="BM1951" s="17"/>
      <c r="BN1951" s="17"/>
    </row>
    <row r="1952">
      <c r="A1952" s="17"/>
      <c r="B1952" s="17"/>
      <c r="C1952" s="17"/>
      <c r="D1952" s="17"/>
      <c r="E1952" s="86"/>
      <c r="F1952" s="253"/>
      <c r="G1952" s="253"/>
      <c r="H1952" s="253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50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/>
      <c r="BF1952" s="17"/>
      <c r="BG1952" s="17"/>
      <c r="BH1952" s="17"/>
      <c r="BI1952" s="17"/>
      <c r="BJ1952" s="17"/>
      <c r="BK1952" s="17"/>
      <c r="BL1952" s="17"/>
      <c r="BM1952" s="17"/>
      <c r="BN1952" s="17"/>
    </row>
    <row r="1953">
      <c r="A1953" s="17"/>
      <c r="B1953" s="17"/>
      <c r="C1953" s="17"/>
      <c r="D1953" s="17"/>
      <c r="E1953" s="86"/>
      <c r="F1953" s="253"/>
      <c r="G1953" s="253"/>
      <c r="H1953" s="253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50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/>
      <c r="BF1953" s="17"/>
      <c r="BG1953" s="17"/>
      <c r="BH1953" s="17"/>
      <c r="BI1953" s="17"/>
      <c r="BJ1953" s="17"/>
      <c r="BK1953" s="17"/>
      <c r="BL1953" s="17"/>
      <c r="BM1953" s="17"/>
      <c r="BN1953" s="17"/>
    </row>
    <row r="1954">
      <c r="A1954" s="17"/>
      <c r="B1954" s="17"/>
      <c r="C1954" s="17"/>
      <c r="D1954" s="17"/>
      <c r="E1954" s="86"/>
      <c r="F1954" s="253"/>
      <c r="G1954" s="253"/>
      <c r="H1954" s="253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50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/>
      <c r="BF1954" s="17"/>
      <c r="BG1954" s="17"/>
      <c r="BH1954" s="17"/>
      <c r="BI1954" s="17"/>
      <c r="BJ1954" s="17"/>
      <c r="BK1954" s="17"/>
      <c r="BL1954" s="17"/>
      <c r="BM1954" s="17"/>
      <c r="BN1954" s="17"/>
    </row>
    <row r="1955">
      <c r="A1955" s="17"/>
      <c r="B1955" s="17"/>
      <c r="C1955" s="17"/>
      <c r="D1955" s="17"/>
      <c r="E1955" s="86"/>
      <c r="F1955" s="253"/>
      <c r="G1955" s="253"/>
      <c r="H1955" s="253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50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/>
      <c r="BF1955" s="17"/>
      <c r="BG1955" s="17"/>
      <c r="BH1955" s="17"/>
      <c r="BI1955" s="17"/>
      <c r="BJ1955" s="17"/>
      <c r="BK1955" s="17"/>
      <c r="BL1955" s="17"/>
      <c r="BM1955" s="17"/>
      <c r="BN1955" s="17"/>
    </row>
    <row r="1956">
      <c r="A1956" s="17"/>
      <c r="B1956" s="17"/>
      <c r="C1956" s="17"/>
      <c r="D1956" s="17"/>
      <c r="E1956" s="86"/>
      <c r="F1956" s="253"/>
      <c r="G1956" s="253"/>
      <c r="H1956" s="253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50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/>
      <c r="BF1956" s="17"/>
      <c r="BG1956" s="17"/>
      <c r="BH1956" s="17"/>
      <c r="BI1956" s="17"/>
      <c r="BJ1956" s="17"/>
      <c r="BK1956" s="17"/>
      <c r="BL1956" s="17"/>
      <c r="BM1956" s="17"/>
      <c r="BN1956" s="17"/>
    </row>
    <row r="1957">
      <c r="A1957" s="17"/>
      <c r="B1957" s="17"/>
      <c r="C1957" s="17"/>
      <c r="D1957" s="17"/>
      <c r="E1957" s="86"/>
      <c r="F1957" s="253"/>
      <c r="G1957" s="253"/>
      <c r="H1957" s="253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50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/>
      <c r="BF1957" s="17"/>
      <c r="BG1957" s="17"/>
      <c r="BH1957" s="17"/>
      <c r="BI1957" s="17"/>
      <c r="BJ1957" s="17"/>
      <c r="BK1957" s="17"/>
      <c r="BL1957" s="17"/>
      <c r="BM1957" s="17"/>
      <c r="BN1957" s="17"/>
    </row>
    <row r="1958">
      <c r="A1958" s="17"/>
      <c r="B1958" s="17"/>
      <c r="C1958" s="17"/>
      <c r="D1958" s="17"/>
      <c r="E1958" s="86"/>
      <c r="F1958" s="253"/>
      <c r="G1958" s="253"/>
      <c r="H1958" s="253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50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/>
      <c r="BF1958" s="17"/>
      <c r="BG1958" s="17"/>
      <c r="BH1958" s="17"/>
      <c r="BI1958" s="17"/>
      <c r="BJ1958" s="17"/>
      <c r="BK1958" s="17"/>
      <c r="BL1958" s="17"/>
      <c r="BM1958" s="17"/>
      <c r="BN1958" s="17"/>
    </row>
    <row r="1959">
      <c r="A1959" s="17"/>
      <c r="B1959" s="17"/>
      <c r="C1959" s="17"/>
      <c r="D1959" s="17"/>
      <c r="E1959" s="86"/>
      <c r="F1959" s="253"/>
      <c r="G1959" s="253"/>
      <c r="H1959" s="253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50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/>
      <c r="BF1959" s="17"/>
      <c r="BG1959" s="17"/>
      <c r="BH1959" s="17"/>
      <c r="BI1959" s="17"/>
      <c r="BJ1959" s="17"/>
      <c r="BK1959" s="17"/>
      <c r="BL1959" s="17"/>
      <c r="BM1959" s="17"/>
      <c r="BN1959" s="17"/>
    </row>
    <row r="1960">
      <c r="A1960" s="17"/>
      <c r="B1960" s="17"/>
      <c r="C1960" s="17"/>
      <c r="D1960" s="17"/>
      <c r="E1960" s="86"/>
      <c r="F1960" s="253"/>
      <c r="G1960" s="253"/>
      <c r="H1960" s="253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50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/>
      <c r="BF1960" s="17"/>
      <c r="BG1960" s="17"/>
      <c r="BH1960" s="17"/>
      <c r="BI1960" s="17"/>
      <c r="BJ1960" s="17"/>
      <c r="BK1960" s="17"/>
      <c r="BL1960" s="17"/>
      <c r="BM1960" s="17"/>
      <c r="BN1960" s="17"/>
    </row>
    <row r="1961">
      <c r="A1961" s="17"/>
      <c r="B1961" s="17"/>
      <c r="C1961" s="17"/>
      <c r="D1961" s="17"/>
      <c r="E1961" s="86"/>
      <c r="F1961" s="253"/>
      <c r="G1961" s="253"/>
      <c r="H1961" s="253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50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/>
      <c r="BF1961" s="17"/>
      <c r="BG1961" s="17"/>
      <c r="BH1961" s="17"/>
      <c r="BI1961" s="17"/>
      <c r="BJ1961" s="17"/>
      <c r="BK1961" s="17"/>
      <c r="BL1961" s="17"/>
      <c r="BM1961" s="17"/>
      <c r="BN1961" s="17"/>
    </row>
    <row r="1962">
      <c r="A1962" s="17"/>
      <c r="B1962" s="17"/>
      <c r="C1962" s="17"/>
      <c r="D1962" s="17"/>
      <c r="E1962" s="86"/>
      <c r="F1962" s="253"/>
      <c r="G1962" s="253"/>
      <c r="H1962" s="253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50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/>
      <c r="BF1962" s="17"/>
      <c r="BG1962" s="17"/>
      <c r="BH1962" s="17"/>
      <c r="BI1962" s="17"/>
      <c r="BJ1962" s="17"/>
      <c r="BK1962" s="17"/>
      <c r="BL1962" s="17"/>
      <c r="BM1962" s="17"/>
      <c r="BN1962" s="17"/>
    </row>
    <row r="1963">
      <c r="A1963" s="17"/>
      <c r="B1963" s="17"/>
      <c r="C1963" s="17"/>
      <c r="D1963" s="17"/>
      <c r="E1963" s="86"/>
      <c r="F1963" s="253"/>
      <c r="G1963" s="253"/>
      <c r="H1963" s="253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50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/>
      <c r="BF1963" s="17"/>
      <c r="BG1963" s="17"/>
      <c r="BH1963" s="17"/>
      <c r="BI1963" s="17"/>
      <c r="BJ1963" s="17"/>
      <c r="BK1963" s="17"/>
      <c r="BL1963" s="17"/>
      <c r="BM1963" s="17"/>
      <c r="BN1963" s="17"/>
    </row>
    <row r="1964">
      <c r="A1964" s="17"/>
      <c r="B1964" s="17"/>
      <c r="C1964" s="17"/>
      <c r="D1964" s="17"/>
      <c r="E1964" s="86"/>
      <c r="F1964" s="253"/>
      <c r="G1964" s="253"/>
      <c r="H1964" s="253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50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/>
      <c r="BF1964" s="17"/>
      <c r="BG1964" s="17"/>
      <c r="BH1964" s="17"/>
      <c r="BI1964" s="17"/>
      <c r="BJ1964" s="17"/>
      <c r="BK1964" s="17"/>
      <c r="BL1964" s="17"/>
      <c r="BM1964" s="17"/>
      <c r="BN1964" s="17"/>
    </row>
    <row r="1965">
      <c r="A1965" s="17"/>
      <c r="B1965" s="17"/>
      <c r="C1965" s="17"/>
      <c r="D1965" s="17"/>
      <c r="E1965" s="86"/>
      <c r="F1965" s="253"/>
      <c r="G1965" s="253"/>
      <c r="H1965" s="253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50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/>
      <c r="BF1965" s="17"/>
      <c r="BG1965" s="17"/>
      <c r="BH1965" s="17"/>
      <c r="BI1965" s="17"/>
      <c r="BJ1965" s="17"/>
      <c r="BK1965" s="17"/>
      <c r="BL1965" s="17"/>
      <c r="BM1965" s="17"/>
      <c r="BN1965" s="17"/>
    </row>
    <row r="1966">
      <c r="A1966" s="17"/>
      <c r="B1966" s="17"/>
      <c r="C1966" s="17"/>
      <c r="D1966" s="17"/>
      <c r="E1966" s="86"/>
      <c r="F1966" s="253"/>
      <c r="G1966" s="253"/>
      <c r="H1966" s="253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50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/>
      <c r="BF1966" s="17"/>
      <c r="BG1966" s="17"/>
      <c r="BH1966" s="17"/>
      <c r="BI1966" s="17"/>
      <c r="BJ1966" s="17"/>
      <c r="BK1966" s="17"/>
      <c r="BL1966" s="17"/>
      <c r="BM1966" s="17"/>
      <c r="BN1966" s="17"/>
    </row>
    <row r="1967">
      <c r="A1967" s="17"/>
      <c r="B1967" s="17"/>
      <c r="C1967" s="17"/>
      <c r="D1967" s="17"/>
      <c r="E1967" s="86"/>
      <c r="F1967" s="253"/>
      <c r="G1967" s="253"/>
      <c r="H1967" s="253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50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/>
      <c r="BF1967" s="17"/>
      <c r="BG1967" s="17"/>
      <c r="BH1967" s="17"/>
      <c r="BI1967" s="17"/>
      <c r="BJ1967" s="17"/>
      <c r="BK1967" s="17"/>
      <c r="BL1967" s="17"/>
      <c r="BM1967" s="17"/>
      <c r="BN1967" s="17"/>
    </row>
    <row r="1968">
      <c r="A1968" s="17"/>
      <c r="B1968" s="17"/>
      <c r="C1968" s="17"/>
      <c r="D1968" s="17"/>
      <c r="E1968" s="86"/>
      <c r="F1968" s="253"/>
      <c r="G1968" s="253"/>
      <c r="H1968" s="253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50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/>
      <c r="BF1968" s="17"/>
      <c r="BG1968" s="17"/>
      <c r="BH1968" s="17"/>
      <c r="BI1968" s="17"/>
      <c r="BJ1968" s="17"/>
      <c r="BK1968" s="17"/>
      <c r="BL1968" s="17"/>
      <c r="BM1968" s="17"/>
      <c r="BN1968" s="17"/>
    </row>
    <row r="1969">
      <c r="A1969" s="17"/>
      <c r="B1969" s="17"/>
      <c r="C1969" s="17"/>
      <c r="D1969" s="17"/>
      <c r="E1969" s="86"/>
      <c r="F1969" s="253"/>
      <c r="G1969" s="253"/>
      <c r="H1969" s="253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50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17"/>
      <c r="AY1969" s="17"/>
      <c r="AZ1969" s="17"/>
      <c r="BA1969" s="17"/>
      <c r="BB1969" s="17"/>
      <c r="BC1969" s="17"/>
      <c r="BD1969" s="17"/>
      <c r="BE1969" s="17"/>
      <c r="BF1969" s="17"/>
      <c r="BG1969" s="17"/>
      <c r="BH1969" s="17"/>
      <c r="BI1969" s="17"/>
      <c r="BJ1969" s="17"/>
      <c r="BK1969" s="17"/>
      <c r="BL1969" s="17"/>
      <c r="BM1969" s="17"/>
      <c r="BN1969" s="17"/>
    </row>
    <row r="1970">
      <c r="A1970" s="17"/>
      <c r="B1970" s="17"/>
      <c r="C1970" s="17"/>
      <c r="D1970" s="17"/>
      <c r="E1970" s="86"/>
      <c r="F1970" s="253"/>
      <c r="G1970" s="253"/>
      <c r="H1970" s="253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50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/>
      <c r="BF1970" s="17"/>
      <c r="BG1970" s="17"/>
      <c r="BH1970" s="17"/>
      <c r="BI1970" s="17"/>
      <c r="BJ1970" s="17"/>
      <c r="BK1970" s="17"/>
      <c r="BL1970" s="17"/>
      <c r="BM1970" s="17"/>
      <c r="BN1970" s="17"/>
    </row>
    <row r="1971">
      <c r="A1971" s="17"/>
      <c r="B1971" s="17"/>
      <c r="C1971" s="17"/>
      <c r="D1971" s="17"/>
      <c r="E1971" s="86"/>
      <c r="F1971" s="253"/>
      <c r="G1971" s="253"/>
      <c r="H1971" s="253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50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/>
      <c r="BF1971" s="17"/>
      <c r="BG1971" s="17"/>
      <c r="BH1971" s="17"/>
      <c r="BI1971" s="17"/>
      <c r="BJ1971" s="17"/>
      <c r="BK1971" s="17"/>
      <c r="BL1971" s="17"/>
      <c r="BM1971" s="17"/>
      <c r="BN1971" s="17"/>
    </row>
    <row r="1972">
      <c r="A1972" s="17"/>
      <c r="B1972" s="17"/>
      <c r="C1972" s="17"/>
      <c r="D1972" s="17"/>
      <c r="E1972" s="86"/>
      <c r="F1972" s="253"/>
      <c r="G1972" s="253"/>
      <c r="H1972" s="253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50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/>
      <c r="BF1972" s="17"/>
      <c r="BG1972" s="17"/>
      <c r="BH1972" s="17"/>
      <c r="BI1972" s="17"/>
      <c r="BJ1972" s="17"/>
      <c r="BK1972" s="17"/>
      <c r="BL1972" s="17"/>
      <c r="BM1972" s="17"/>
      <c r="BN1972" s="17"/>
    </row>
    <row r="1973">
      <c r="A1973" s="17"/>
      <c r="B1973" s="17"/>
      <c r="C1973" s="17"/>
      <c r="D1973" s="17"/>
      <c r="E1973" s="86"/>
      <c r="F1973" s="253"/>
      <c r="G1973" s="253"/>
      <c r="H1973" s="253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50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/>
      <c r="BF1973" s="17"/>
      <c r="BG1973" s="17"/>
      <c r="BH1973" s="17"/>
      <c r="BI1973" s="17"/>
      <c r="BJ1973" s="17"/>
      <c r="BK1973" s="17"/>
      <c r="BL1973" s="17"/>
      <c r="BM1973" s="17"/>
      <c r="BN1973" s="17"/>
    </row>
    <row r="1974">
      <c r="A1974" s="17"/>
      <c r="B1974" s="17"/>
      <c r="C1974" s="17"/>
      <c r="D1974" s="17"/>
      <c r="E1974" s="86"/>
      <c r="F1974" s="253"/>
      <c r="G1974" s="253"/>
      <c r="H1974" s="253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50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/>
      <c r="BF1974" s="17"/>
      <c r="BG1974" s="17"/>
      <c r="BH1974" s="17"/>
      <c r="BI1974" s="17"/>
      <c r="BJ1974" s="17"/>
      <c r="BK1974" s="17"/>
      <c r="BL1974" s="17"/>
      <c r="BM1974" s="17"/>
      <c r="BN1974" s="17"/>
    </row>
    <row r="1975">
      <c r="A1975" s="17"/>
      <c r="B1975" s="17"/>
      <c r="C1975" s="17"/>
      <c r="D1975" s="17"/>
      <c r="E1975" s="86"/>
      <c r="F1975" s="253"/>
      <c r="G1975" s="253"/>
      <c r="H1975" s="253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50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/>
      <c r="BF1975" s="17"/>
      <c r="BG1975" s="17"/>
      <c r="BH1975" s="17"/>
      <c r="BI1975" s="17"/>
      <c r="BJ1975" s="17"/>
      <c r="BK1975" s="17"/>
      <c r="BL1975" s="17"/>
      <c r="BM1975" s="17"/>
      <c r="BN1975" s="17"/>
    </row>
    <row r="1976">
      <c r="A1976" s="17"/>
      <c r="B1976" s="17"/>
      <c r="C1976" s="17"/>
      <c r="D1976" s="17"/>
      <c r="E1976" s="86"/>
      <c r="F1976" s="253"/>
      <c r="G1976" s="253"/>
      <c r="H1976" s="253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50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/>
      <c r="BF1976" s="17"/>
      <c r="BG1976" s="17"/>
      <c r="BH1976" s="17"/>
      <c r="BI1976" s="17"/>
      <c r="BJ1976" s="17"/>
      <c r="BK1976" s="17"/>
      <c r="BL1976" s="17"/>
      <c r="BM1976" s="17"/>
      <c r="BN1976" s="17"/>
    </row>
    <row r="1977">
      <c r="A1977" s="17"/>
      <c r="B1977" s="17"/>
      <c r="C1977" s="17"/>
      <c r="D1977" s="17"/>
      <c r="E1977" s="86"/>
      <c r="F1977" s="253"/>
      <c r="G1977" s="253"/>
      <c r="H1977" s="253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50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/>
      <c r="BF1977" s="17"/>
      <c r="BG1977" s="17"/>
      <c r="BH1977" s="17"/>
      <c r="BI1977" s="17"/>
      <c r="BJ1977" s="17"/>
      <c r="BK1977" s="17"/>
      <c r="BL1977" s="17"/>
      <c r="BM1977" s="17"/>
      <c r="BN1977" s="17"/>
    </row>
    <row r="1978">
      <c r="A1978" s="17"/>
      <c r="B1978" s="17"/>
      <c r="C1978" s="17"/>
      <c r="D1978" s="17"/>
      <c r="E1978" s="86"/>
      <c r="F1978" s="253"/>
      <c r="G1978" s="253"/>
      <c r="H1978" s="253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50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/>
      <c r="BF1978" s="17"/>
      <c r="BG1978" s="17"/>
      <c r="BH1978" s="17"/>
      <c r="BI1978" s="17"/>
      <c r="BJ1978" s="17"/>
      <c r="BK1978" s="17"/>
      <c r="BL1978" s="17"/>
      <c r="BM1978" s="17"/>
      <c r="BN1978" s="17"/>
    </row>
    <row r="1979">
      <c r="A1979" s="17"/>
      <c r="B1979" s="17"/>
      <c r="C1979" s="17"/>
      <c r="D1979" s="17"/>
      <c r="E1979" s="86"/>
      <c r="F1979" s="253"/>
      <c r="G1979" s="253"/>
      <c r="H1979" s="253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50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/>
      <c r="BF1979" s="17"/>
      <c r="BG1979" s="17"/>
      <c r="BH1979" s="17"/>
      <c r="BI1979" s="17"/>
      <c r="BJ1979" s="17"/>
      <c r="BK1979" s="17"/>
      <c r="BL1979" s="17"/>
      <c r="BM1979" s="17"/>
      <c r="BN1979" s="17"/>
    </row>
    <row r="1980">
      <c r="A1980" s="17"/>
      <c r="B1980" s="17"/>
      <c r="C1980" s="17"/>
      <c r="D1980" s="17"/>
      <c r="E1980" s="86"/>
      <c r="F1980" s="253"/>
      <c r="G1980" s="253"/>
      <c r="H1980" s="253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50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/>
      <c r="BF1980" s="17"/>
      <c r="BG1980" s="17"/>
      <c r="BH1980" s="17"/>
      <c r="BI1980" s="17"/>
      <c r="BJ1980" s="17"/>
      <c r="BK1980" s="17"/>
      <c r="BL1980" s="17"/>
      <c r="BM1980" s="17"/>
      <c r="BN1980" s="17"/>
    </row>
    <row r="1981">
      <c r="A1981" s="17"/>
      <c r="B1981" s="17"/>
      <c r="C1981" s="17"/>
      <c r="D1981" s="17"/>
      <c r="E1981" s="86"/>
      <c r="F1981" s="253"/>
      <c r="G1981" s="253"/>
      <c r="H1981" s="253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50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/>
      <c r="BF1981" s="17"/>
      <c r="BG1981" s="17"/>
      <c r="BH1981" s="17"/>
      <c r="BI1981" s="17"/>
      <c r="BJ1981" s="17"/>
      <c r="BK1981" s="17"/>
      <c r="BL1981" s="17"/>
      <c r="BM1981" s="17"/>
      <c r="BN1981" s="17"/>
    </row>
    <row r="1982">
      <c r="A1982" s="17"/>
      <c r="B1982" s="17"/>
      <c r="C1982" s="17"/>
      <c r="D1982" s="17"/>
      <c r="E1982" s="86"/>
      <c r="F1982" s="253"/>
      <c r="G1982" s="253"/>
      <c r="H1982" s="253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50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/>
      <c r="BF1982" s="17"/>
      <c r="BG1982" s="17"/>
      <c r="BH1982" s="17"/>
      <c r="BI1982" s="17"/>
      <c r="BJ1982" s="17"/>
      <c r="BK1982" s="17"/>
      <c r="BL1982" s="17"/>
      <c r="BM1982" s="17"/>
      <c r="BN1982" s="17"/>
    </row>
    <row r="1983">
      <c r="A1983" s="17"/>
      <c r="B1983" s="17"/>
      <c r="C1983" s="17"/>
      <c r="D1983" s="17"/>
      <c r="E1983" s="86"/>
      <c r="F1983" s="253"/>
      <c r="G1983" s="253"/>
      <c r="H1983" s="253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50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/>
      <c r="BF1983" s="17"/>
      <c r="BG1983" s="17"/>
      <c r="BH1983" s="17"/>
      <c r="BI1983" s="17"/>
      <c r="BJ1983" s="17"/>
      <c r="BK1983" s="17"/>
      <c r="BL1983" s="17"/>
      <c r="BM1983" s="17"/>
      <c r="BN1983" s="17"/>
    </row>
    <row r="1984">
      <c r="A1984" s="17"/>
      <c r="B1984" s="17"/>
      <c r="C1984" s="17"/>
      <c r="D1984" s="17"/>
      <c r="E1984" s="86"/>
      <c r="F1984" s="253"/>
      <c r="G1984" s="253"/>
      <c r="H1984" s="253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50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/>
      <c r="BF1984" s="17"/>
      <c r="BG1984" s="17"/>
      <c r="BH1984" s="17"/>
      <c r="BI1984" s="17"/>
      <c r="BJ1984" s="17"/>
      <c r="BK1984" s="17"/>
      <c r="BL1984" s="17"/>
      <c r="BM1984" s="17"/>
      <c r="BN1984" s="17"/>
    </row>
    <row r="1985">
      <c r="A1985" s="17"/>
      <c r="B1985" s="17"/>
      <c r="C1985" s="17"/>
      <c r="D1985" s="17"/>
      <c r="E1985" s="86"/>
      <c r="F1985" s="253"/>
      <c r="G1985" s="253"/>
      <c r="H1985" s="253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50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/>
      <c r="BF1985" s="17"/>
      <c r="BG1985" s="17"/>
      <c r="BH1985" s="17"/>
      <c r="BI1985" s="17"/>
      <c r="BJ1985" s="17"/>
      <c r="BK1985" s="17"/>
      <c r="BL1985" s="17"/>
      <c r="BM1985" s="17"/>
      <c r="BN1985" s="17"/>
    </row>
    <row r="1986">
      <c r="A1986" s="17"/>
      <c r="B1986" s="17"/>
      <c r="C1986" s="17"/>
      <c r="D1986" s="17"/>
      <c r="E1986" s="86"/>
      <c r="F1986" s="253"/>
      <c r="G1986" s="253"/>
      <c r="H1986" s="253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50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/>
      <c r="BF1986" s="17"/>
      <c r="BG1986" s="17"/>
      <c r="BH1986" s="17"/>
      <c r="BI1986" s="17"/>
      <c r="BJ1986" s="17"/>
      <c r="BK1986" s="17"/>
      <c r="BL1986" s="17"/>
      <c r="BM1986" s="17"/>
      <c r="BN1986" s="17"/>
    </row>
    <row r="1987">
      <c r="A1987" s="17"/>
      <c r="B1987" s="17"/>
      <c r="C1987" s="17"/>
      <c r="D1987" s="17"/>
      <c r="E1987" s="86"/>
      <c r="F1987" s="253"/>
      <c r="G1987" s="253"/>
      <c r="H1987" s="253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50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/>
      <c r="BF1987" s="17"/>
      <c r="BG1987" s="17"/>
      <c r="BH1987" s="17"/>
      <c r="BI1987" s="17"/>
      <c r="BJ1987" s="17"/>
      <c r="BK1987" s="17"/>
      <c r="BL1987" s="17"/>
      <c r="BM1987" s="17"/>
      <c r="BN1987" s="17"/>
    </row>
    <row r="1988">
      <c r="A1988" s="17"/>
      <c r="B1988" s="17"/>
      <c r="C1988" s="17"/>
      <c r="D1988" s="17"/>
      <c r="E1988" s="86"/>
      <c r="F1988" s="253"/>
      <c r="G1988" s="253"/>
      <c r="H1988" s="253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50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/>
      <c r="BF1988" s="17"/>
      <c r="BG1988" s="17"/>
      <c r="BH1988" s="17"/>
      <c r="BI1988" s="17"/>
      <c r="BJ1988" s="17"/>
      <c r="BK1988" s="17"/>
      <c r="BL1988" s="17"/>
      <c r="BM1988" s="17"/>
      <c r="BN1988" s="17"/>
    </row>
    <row r="1989">
      <c r="A1989" s="17"/>
      <c r="B1989" s="17"/>
      <c r="C1989" s="17"/>
      <c r="D1989" s="17"/>
      <c r="E1989" s="86"/>
      <c r="F1989" s="253"/>
      <c r="G1989" s="253"/>
      <c r="H1989" s="253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50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/>
      <c r="BF1989" s="17"/>
      <c r="BG1989" s="17"/>
      <c r="BH1989" s="17"/>
      <c r="BI1989" s="17"/>
      <c r="BJ1989" s="17"/>
      <c r="BK1989" s="17"/>
      <c r="BL1989" s="17"/>
      <c r="BM1989" s="17"/>
      <c r="BN1989" s="17"/>
    </row>
    <row r="1990">
      <c r="A1990" s="17"/>
      <c r="B1990" s="17"/>
      <c r="C1990" s="17"/>
      <c r="D1990" s="17"/>
      <c r="E1990" s="86"/>
      <c r="F1990" s="253"/>
      <c r="G1990" s="253"/>
      <c r="H1990" s="253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50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/>
      <c r="BF1990" s="17"/>
      <c r="BG1990" s="17"/>
      <c r="BH1990" s="17"/>
      <c r="BI1990" s="17"/>
      <c r="BJ1990" s="17"/>
      <c r="BK1990" s="17"/>
      <c r="BL1990" s="17"/>
      <c r="BM1990" s="17"/>
      <c r="BN1990" s="17"/>
    </row>
    <row r="1991">
      <c r="A1991" s="17"/>
      <c r="B1991" s="17"/>
      <c r="C1991" s="17"/>
      <c r="D1991" s="17"/>
      <c r="E1991" s="86"/>
      <c r="F1991" s="253"/>
      <c r="G1991" s="253"/>
      <c r="H1991" s="253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50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/>
      <c r="BF1991" s="17"/>
      <c r="BG1991" s="17"/>
      <c r="BH1991" s="17"/>
      <c r="BI1991" s="17"/>
      <c r="BJ1991" s="17"/>
      <c r="BK1991" s="17"/>
      <c r="BL1991" s="17"/>
      <c r="BM1991" s="17"/>
      <c r="BN1991" s="17"/>
    </row>
    <row r="1992">
      <c r="A1992" s="17"/>
      <c r="B1992" s="17"/>
      <c r="C1992" s="17"/>
      <c r="D1992" s="17"/>
      <c r="E1992" s="86"/>
      <c r="F1992" s="253"/>
      <c r="G1992" s="253"/>
      <c r="H1992" s="253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50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/>
      <c r="BF1992" s="17"/>
      <c r="BG1992" s="17"/>
      <c r="BH1992" s="17"/>
      <c r="BI1992" s="17"/>
      <c r="BJ1992" s="17"/>
      <c r="BK1992" s="17"/>
      <c r="BL1992" s="17"/>
      <c r="BM1992" s="17"/>
      <c r="BN1992" s="17"/>
    </row>
    <row r="1993">
      <c r="A1993" s="17"/>
      <c r="B1993" s="17"/>
      <c r="C1993" s="17"/>
      <c r="D1993" s="17"/>
      <c r="E1993" s="86"/>
      <c r="F1993" s="253"/>
      <c r="G1993" s="253"/>
      <c r="H1993" s="253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50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/>
      <c r="BF1993" s="17"/>
      <c r="BG1993" s="17"/>
      <c r="BH1993" s="17"/>
      <c r="BI1993" s="17"/>
      <c r="BJ1993" s="17"/>
      <c r="BK1993" s="17"/>
      <c r="BL1993" s="17"/>
      <c r="BM1993" s="17"/>
      <c r="BN1993" s="17"/>
    </row>
    <row r="1994">
      <c r="A1994" s="17"/>
      <c r="B1994" s="17"/>
      <c r="C1994" s="17"/>
      <c r="D1994" s="17"/>
      <c r="E1994" s="86"/>
      <c r="F1994" s="253"/>
      <c r="G1994" s="253"/>
      <c r="H1994" s="253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50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/>
      <c r="BF1994" s="17"/>
      <c r="BG1994" s="17"/>
      <c r="BH1994" s="17"/>
      <c r="BI1994" s="17"/>
      <c r="BJ1994" s="17"/>
      <c r="BK1994" s="17"/>
      <c r="BL1994" s="17"/>
      <c r="BM1994" s="17"/>
      <c r="BN1994" s="17"/>
    </row>
    <row r="1995">
      <c r="A1995" s="17"/>
      <c r="B1995" s="17"/>
      <c r="C1995" s="17"/>
      <c r="D1995" s="17"/>
      <c r="E1995" s="86"/>
      <c r="F1995" s="253"/>
      <c r="G1995" s="253"/>
      <c r="H1995" s="253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50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/>
      <c r="BF1995" s="17"/>
      <c r="BG1995" s="17"/>
      <c r="BH1995" s="17"/>
      <c r="BI1995" s="17"/>
      <c r="BJ1995" s="17"/>
      <c r="BK1995" s="17"/>
      <c r="BL1995" s="17"/>
      <c r="BM1995" s="17"/>
      <c r="BN1995" s="17"/>
    </row>
    <row r="1996">
      <c r="A1996" s="17"/>
      <c r="B1996" s="17"/>
      <c r="C1996" s="17"/>
      <c r="D1996" s="17"/>
      <c r="E1996" s="86"/>
      <c r="F1996" s="253"/>
      <c r="G1996" s="253"/>
      <c r="H1996" s="253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50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/>
      <c r="BF1996" s="17"/>
      <c r="BG1996" s="17"/>
      <c r="BH1996" s="17"/>
      <c r="BI1996" s="17"/>
      <c r="BJ1996" s="17"/>
      <c r="BK1996" s="17"/>
      <c r="BL1996" s="17"/>
      <c r="BM1996" s="17"/>
      <c r="BN1996" s="17"/>
    </row>
    <row r="1997">
      <c r="A1997" s="17"/>
      <c r="B1997" s="17"/>
      <c r="C1997" s="17"/>
      <c r="D1997" s="17"/>
      <c r="E1997" s="86"/>
      <c r="F1997" s="253"/>
      <c r="G1997" s="253"/>
      <c r="H1997" s="253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50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/>
      <c r="BF1997" s="17"/>
      <c r="BG1997" s="17"/>
      <c r="BH1997" s="17"/>
      <c r="BI1997" s="17"/>
      <c r="BJ1997" s="17"/>
      <c r="BK1997" s="17"/>
      <c r="BL1997" s="17"/>
      <c r="BM1997" s="17"/>
      <c r="BN1997" s="17"/>
    </row>
    <row r="1998">
      <c r="A1998" s="17"/>
      <c r="B1998" s="17"/>
      <c r="C1998" s="17"/>
      <c r="D1998" s="17"/>
      <c r="E1998" s="86"/>
      <c r="F1998" s="253"/>
      <c r="G1998" s="253"/>
      <c r="H1998" s="253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50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/>
      <c r="BF1998" s="17"/>
      <c r="BG1998" s="17"/>
      <c r="BH1998" s="17"/>
      <c r="BI1998" s="17"/>
      <c r="BJ1998" s="17"/>
      <c r="BK1998" s="17"/>
      <c r="BL1998" s="17"/>
      <c r="BM1998" s="17"/>
      <c r="BN1998" s="17"/>
    </row>
    <row r="1999">
      <c r="A1999" s="17"/>
      <c r="B1999" s="17"/>
      <c r="C1999" s="17"/>
      <c r="D1999" s="17"/>
      <c r="E1999" s="86"/>
      <c r="F1999" s="253"/>
      <c r="G1999" s="253"/>
      <c r="H1999" s="253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50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/>
      <c r="BF1999" s="17"/>
      <c r="BG1999" s="17"/>
      <c r="BH1999" s="17"/>
      <c r="BI1999" s="17"/>
      <c r="BJ1999" s="17"/>
      <c r="BK1999" s="17"/>
      <c r="BL1999" s="17"/>
      <c r="BM1999" s="17"/>
      <c r="BN1999" s="17"/>
    </row>
    <row r="2000">
      <c r="A2000" s="17"/>
      <c r="B2000" s="17"/>
      <c r="C2000" s="17"/>
      <c r="D2000" s="17"/>
      <c r="E2000" s="86"/>
      <c r="F2000" s="253"/>
      <c r="G2000" s="253"/>
      <c r="H2000" s="253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50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/>
      <c r="BF2000" s="17"/>
      <c r="BG2000" s="17"/>
      <c r="BH2000" s="17"/>
      <c r="BI2000" s="17"/>
      <c r="BJ2000" s="17"/>
      <c r="BK2000" s="17"/>
      <c r="BL2000" s="17"/>
      <c r="BM2000" s="17"/>
      <c r="BN2000" s="17"/>
    </row>
    <row r="2001">
      <c r="A2001" s="17"/>
      <c r="B2001" s="17"/>
      <c r="C2001" s="17"/>
      <c r="D2001" s="17"/>
      <c r="E2001" s="86"/>
      <c r="F2001" s="253"/>
      <c r="G2001" s="253"/>
      <c r="H2001" s="253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50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/>
      <c r="BF2001" s="17"/>
      <c r="BG2001" s="17"/>
      <c r="BH2001" s="17"/>
      <c r="BI2001" s="17"/>
      <c r="BJ2001" s="17"/>
      <c r="BK2001" s="17"/>
      <c r="BL2001" s="17"/>
      <c r="BM2001" s="17"/>
      <c r="BN2001" s="17"/>
    </row>
    <row r="2002">
      <c r="A2002" s="17"/>
      <c r="B2002" s="17"/>
      <c r="C2002" s="17"/>
      <c r="D2002" s="17"/>
      <c r="E2002" s="86"/>
      <c r="F2002" s="253"/>
      <c r="G2002" s="253"/>
      <c r="H2002" s="253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50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/>
      <c r="BF2002" s="17"/>
      <c r="BG2002" s="17"/>
      <c r="BH2002" s="17"/>
      <c r="BI2002" s="17"/>
      <c r="BJ2002" s="17"/>
      <c r="BK2002" s="17"/>
      <c r="BL2002" s="17"/>
      <c r="BM2002" s="17"/>
      <c r="BN2002" s="17"/>
    </row>
    <row r="2003">
      <c r="A2003" s="17"/>
      <c r="B2003" s="17"/>
      <c r="C2003" s="17"/>
      <c r="D2003" s="17"/>
      <c r="E2003" s="86"/>
      <c r="F2003" s="253"/>
      <c r="G2003" s="253"/>
      <c r="H2003" s="253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50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17"/>
      <c r="AY2003" s="17"/>
      <c r="AZ2003" s="17"/>
      <c r="BA2003" s="17"/>
      <c r="BB2003" s="17"/>
      <c r="BC2003" s="17"/>
      <c r="BD2003" s="17"/>
      <c r="BE2003" s="17"/>
      <c r="BF2003" s="17"/>
      <c r="BG2003" s="17"/>
      <c r="BH2003" s="17"/>
      <c r="BI2003" s="17"/>
      <c r="BJ2003" s="17"/>
      <c r="BK2003" s="17"/>
      <c r="BL2003" s="17"/>
      <c r="BM2003" s="17"/>
      <c r="BN2003" s="17"/>
    </row>
    <row r="2004">
      <c r="A2004" s="17"/>
      <c r="B2004" s="17"/>
      <c r="C2004" s="17"/>
      <c r="D2004" s="17"/>
      <c r="E2004" s="86"/>
      <c r="F2004" s="253"/>
      <c r="G2004" s="253"/>
      <c r="H2004" s="253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50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/>
      <c r="BF2004" s="17"/>
      <c r="BG2004" s="17"/>
      <c r="BH2004" s="17"/>
      <c r="BI2004" s="17"/>
      <c r="BJ2004" s="17"/>
      <c r="BK2004" s="17"/>
      <c r="BL2004" s="17"/>
      <c r="BM2004" s="17"/>
      <c r="BN2004" s="17"/>
    </row>
    <row r="2005">
      <c r="A2005" s="17"/>
      <c r="B2005" s="17"/>
      <c r="C2005" s="17"/>
      <c r="D2005" s="17"/>
      <c r="E2005" s="86"/>
      <c r="F2005" s="253"/>
      <c r="G2005" s="253"/>
      <c r="H2005" s="253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50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/>
      <c r="BF2005" s="17"/>
      <c r="BG2005" s="17"/>
      <c r="BH2005" s="17"/>
      <c r="BI2005" s="17"/>
      <c r="BJ2005" s="17"/>
      <c r="BK2005" s="17"/>
      <c r="BL2005" s="17"/>
      <c r="BM2005" s="17"/>
      <c r="BN2005" s="17"/>
    </row>
    <row r="2006">
      <c r="A2006" s="17"/>
      <c r="B2006" s="17"/>
      <c r="C2006" s="17"/>
      <c r="D2006" s="17"/>
      <c r="E2006" s="86"/>
      <c r="F2006" s="253"/>
      <c r="G2006" s="253"/>
      <c r="H2006" s="253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50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/>
      <c r="BF2006" s="17"/>
      <c r="BG2006" s="17"/>
      <c r="BH2006" s="17"/>
      <c r="BI2006" s="17"/>
      <c r="BJ2006" s="17"/>
      <c r="BK2006" s="17"/>
      <c r="BL2006" s="17"/>
      <c r="BM2006" s="17"/>
      <c r="BN2006" s="17"/>
    </row>
  </sheetData>
  <conditionalFormatting sqref="F16">
    <cfRule type="notContainsBlanks" dxfId="6" priority="1">
      <formula>LEN(TRIM(F16))&gt;0</formula>
    </cfRule>
  </conditionalFormatting>
  <conditionalFormatting sqref="D2:F32 H2:H32 J2:Y32 AE2:AE32 B32 G32">
    <cfRule type="expression" dxfId="4" priority="2">
      <formula> SUM($N2:$Y2) &gt;0</formula>
    </cfRule>
  </conditionalFormatting>
  <conditionalFormatting sqref="AD2:AD32">
    <cfRule type="colorScale" priority="3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88"/>
    <col customWidth="1" hidden="1" min="2" max="2" width="5.75"/>
    <col customWidth="1" min="3" max="3" width="6.63"/>
    <col customWidth="1" min="4" max="4" width="12.63"/>
    <col customWidth="1" min="5" max="5" width="8.88"/>
    <col customWidth="1" min="6" max="6" width="8.13"/>
    <col customWidth="1" min="7" max="7" width="10.0"/>
    <col customWidth="1" min="8" max="8" width="8.0"/>
    <col customWidth="1" min="9" max="9" width="7.25"/>
    <col customWidth="1" min="10" max="10" width="8.13"/>
    <col customWidth="1" min="11" max="11" width="7.5"/>
    <col customWidth="1" min="12" max="12" width="7.75"/>
    <col customWidth="1" min="13" max="13" width="18.5"/>
    <col customWidth="1" min="14" max="15" width="8.0"/>
    <col customWidth="1" min="16" max="16" width="9.5"/>
    <col customWidth="1" min="17" max="21" width="9.13"/>
    <col customWidth="1" min="22" max="22" width="8.63"/>
    <col customWidth="1" min="23" max="23" width="8.5"/>
    <col customWidth="1" min="24" max="26" width="9.75"/>
    <col customWidth="1" min="27" max="27" width="8.88"/>
    <col customWidth="1" min="28" max="28" width="14.13"/>
    <col customWidth="1" min="29" max="29" width="13.88"/>
    <col customWidth="1" hidden="1" min="30" max="30" width="7.25"/>
    <col customWidth="1" min="31" max="31" width="36.13"/>
  </cols>
  <sheetData>
    <row r="1">
      <c r="A1" s="2" t="s">
        <v>127</v>
      </c>
      <c r="B1" s="2" t="s">
        <v>0</v>
      </c>
      <c r="C1" s="2" t="s">
        <v>1</v>
      </c>
      <c r="D1" s="2" t="s">
        <v>2</v>
      </c>
      <c r="E1" s="4" t="s">
        <v>3</v>
      </c>
      <c r="F1" s="2" t="s">
        <v>4</v>
      </c>
      <c r="G1" s="2" t="s">
        <v>67</v>
      </c>
      <c r="H1" s="2" t="s">
        <v>128</v>
      </c>
      <c r="I1" s="2" t="s">
        <v>109</v>
      </c>
      <c r="J1" s="4" t="s">
        <v>8</v>
      </c>
      <c r="K1" s="4" t="s">
        <v>9</v>
      </c>
      <c r="L1" s="4" t="s">
        <v>10</v>
      </c>
      <c r="M1" s="2" t="s">
        <v>11</v>
      </c>
      <c r="N1" s="4" t="s">
        <v>12</v>
      </c>
      <c r="O1" s="4" t="s">
        <v>13</v>
      </c>
      <c r="P1" s="4" t="s">
        <v>110</v>
      </c>
      <c r="Q1" s="4" t="s">
        <v>111</v>
      </c>
      <c r="R1" s="4" t="s">
        <v>129</v>
      </c>
      <c r="S1" s="4" t="s">
        <v>130</v>
      </c>
      <c r="T1" s="4" t="s">
        <v>114</v>
      </c>
      <c r="U1" s="4" t="s">
        <v>115</v>
      </c>
      <c r="V1" s="4" t="s">
        <v>116</v>
      </c>
      <c r="W1" s="4" t="s">
        <v>131</v>
      </c>
      <c r="X1" s="4" t="s">
        <v>132</v>
      </c>
      <c r="Y1" s="4" t="s">
        <v>133</v>
      </c>
      <c r="Z1" s="4" t="s">
        <v>120</v>
      </c>
      <c r="AA1" s="4" t="s">
        <v>121</v>
      </c>
      <c r="AB1" s="4" t="s">
        <v>26</v>
      </c>
      <c r="AC1" s="4" t="s">
        <v>27</v>
      </c>
      <c r="AD1" s="4" t="s">
        <v>28</v>
      </c>
      <c r="AE1" s="2" t="s">
        <v>29</v>
      </c>
      <c r="AF1" s="254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5"/>
      <c r="AU1" s="255"/>
      <c r="AV1" s="255"/>
      <c r="AW1" s="255"/>
      <c r="AX1" s="255"/>
      <c r="AY1" s="255"/>
      <c r="AZ1" s="255"/>
      <c r="BA1" s="255"/>
      <c r="BB1" s="255"/>
      <c r="BC1" s="255"/>
      <c r="BD1" s="255"/>
      <c r="BE1" s="255"/>
      <c r="BF1" s="255"/>
      <c r="BG1" s="255"/>
      <c r="BH1" s="255"/>
      <c r="BI1" s="255"/>
      <c r="BJ1" s="255"/>
      <c r="BK1" s="255"/>
      <c r="BL1" s="255"/>
      <c r="BM1" s="255"/>
      <c r="BN1" s="255"/>
      <c r="BO1" s="255"/>
    </row>
    <row r="2">
      <c r="A2" s="6">
        <v>44166.0</v>
      </c>
      <c r="B2" s="18">
        <v>1629.0</v>
      </c>
      <c r="C2" s="18">
        <v>1702.0</v>
      </c>
      <c r="D2" s="8" t="str">
        <f t="shared" ref="D2:D32" si="1">choose(weekday(A2),"Phil/Fred", "Jane/Sarah", "Jim/John/Lena","Marsha/Anne","Shawn/Amber","Jeff", "Rob/Maggie")</f>
        <v>Jim/John/Lena</v>
      </c>
      <c r="E2" s="180"/>
      <c r="F2" s="22"/>
      <c r="G2" s="21">
        <v>44166.0</v>
      </c>
      <c r="H2" s="22"/>
      <c r="I2" s="23">
        <f t="shared" ref="I2:I7" si="2">iferror(24*( DATEDIF(A2,G2,"D")+TIMEVALUE(H2)-TIMEVALUE(F2)),0)</f>
        <v>0</v>
      </c>
      <c r="J2" s="256"/>
      <c r="K2" s="19"/>
      <c r="L2" s="19"/>
      <c r="M2" s="19" t="s">
        <v>102</v>
      </c>
      <c r="N2" s="88">
        <v>0.0</v>
      </c>
      <c r="O2" s="88">
        <v>0.0</v>
      </c>
      <c r="P2" s="88">
        <v>0.0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26">
        <f t="shared" ref="Z2:Z32" si="3">sum(N2:Q2)</f>
        <v>0</v>
      </c>
      <c r="AA2" s="26">
        <f t="shared" ref="AA2:AA32" si="4">sum(R2:V2)</f>
        <v>0</v>
      </c>
      <c r="AB2" s="27">
        <f t="shared" ref="AB2:AB32" si="5">sum(N2:O2)</f>
        <v>0</v>
      </c>
      <c r="AC2" s="27">
        <f t="shared" ref="AC2:AC32" si="6">sum(R2:S2,V2)</f>
        <v>0</v>
      </c>
      <c r="AD2" s="15">
        <v>0.36</v>
      </c>
      <c r="AE2" s="19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</row>
    <row r="3">
      <c r="A3" s="6">
        <v>44167.0</v>
      </c>
      <c r="B3" s="18">
        <v>1628.0</v>
      </c>
      <c r="C3" s="18">
        <v>1702.0</v>
      </c>
      <c r="D3" s="8" t="str">
        <f t="shared" si="1"/>
        <v>Marsha/Anne</v>
      </c>
      <c r="E3" s="180"/>
      <c r="F3" s="22"/>
      <c r="G3" s="21">
        <v>44167.0</v>
      </c>
      <c r="H3" s="22"/>
      <c r="I3" s="23">
        <f t="shared" si="2"/>
        <v>0</v>
      </c>
      <c r="J3" s="256"/>
      <c r="K3" s="19"/>
      <c r="L3" s="19"/>
      <c r="M3" s="19" t="s">
        <v>102</v>
      </c>
      <c r="N3" s="88">
        <v>0.0</v>
      </c>
      <c r="O3" s="88">
        <v>0.0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26">
        <f t="shared" si="3"/>
        <v>0</v>
      </c>
      <c r="AA3" s="26">
        <f t="shared" si="4"/>
        <v>0</v>
      </c>
      <c r="AB3" s="27">
        <f t="shared" si="5"/>
        <v>0</v>
      </c>
      <c r="AC3" s="27">
        <f t="shared" si="6"/>
        <v>0</v>
      </c>
      <c r="AD3" s="15">
        <v>0.25</v>
      </c>
      <c r="AE3" s="1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</row>
    <row r="4">
      <c r="A4" s="6">
        <v>44168.0</v>
      </c>
      <c r="B4" s="18">
        <v>1628.0</v>
      </c>
      <c r="C4" s="18">
        <v>1702.0</v>
      </c>
      <c r="D4" s="8" t="str">
        <f t="shared" si="1"/>
        <v>Shawn/Amber</v>
      </c>
      <c r="E4" s="180" t="s">
        <v>35</v>
      </c>
      <c r="F4" s="20">
        <v>0.20833333333333334</v>
      </c>
      <c r="G4" s="21">
        <v>44168.0</v>
      </c>
      <c r="H4" s="22"/>
      <c r="I4" s="23">
        <f t="shared" si="2"/>
        <v>0</v>
      </c>
      <c r="J4" s="256"/>
      <c r="K4" s="19">
        <v>46.0</v>
      </c>
      <c r="L4" s="19"/>
      <c r="M4" s="19" t="s">
        <v>134</v>
      </c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0.0</v>
      </c>
      <c r="Z4" s="26">
        <f t="shared" si="3"/>
        <v>0</v>
      </c>
      <c r="AA4" s="26">
        <f t="shared" si="4"/>
        <v>0</v>
      </c>
      <c r="AB4" s="27">
        <f t="shared" si="5"/>
        <v>0</v>
      </c>
      <c r="AC4" s="27">
        <f t="shared" si="6"/>
        <v>0</v>
      </c>
      <c r="AD4" s="15">
        <v>0.17</v>
      </c>
      <c r="AE4" s="19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</row>
    <row r="5">
      <c r="A5" s="6">
        <v>44169.0</v>
      </c>
      <c r="B5" s="18">
        <v>1628.0</v>
      </c>
      <c r="C5" s="18">
        <v>1701.0</v>
      </c>
      <c r="D5" s="8" t="str">
        <f t="shared" si="1"/>
        <v>Jeff</v>
      </c>
      <c r="E5" s="180"/>
      <c r="F5" s="22"/>
      <c r="G5" s="21">
        <v>44169.0</v>
      </c>
      <c r="H5" s="22"/>
      <c r="I5" s="23">
        <f t="shared" si="2"/>
        <v>0</v>
      </c>
      <c r="J5" s="256"/>
      <c r="K5" s="19"/>
      <c r="L5" s="19"/>
      <c r="M5" s="19"/>
      <c r="N5" s="88">
        <v>0.0</v>
      </c>
      <c r="O5" s="88">
        <v>0.0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26">
        <f t="shared" si="3"/>
        <v>0</v>
      </c>
      <c r="AA5" s="26">
        <f t="shared" si="4"/>
        <v>0</v>
      </c>
      <c r="AB5" s="27">
        <f t="shared" si="5"/>
        <v>0</v>
      </c>
      <c r="AC5" s="27">
        <f t="shared" si="6"/>
        <v>0</v>
      </c>
      <c r="AD5" s="15">
        <v>0.09</v>
      </c>
      <c r="AE5" s="19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</row>
    <row r="6">
      <c r="A6" s="6">
        <v>44170.0</v>
      </c>
      <c r="B6" s="18">
        <v>1627.0</v>
      </c>
      <c r="C6" s="18">
        <v>1701.0</v>
      </c>
      <c r="D6" s="8" t="str">
        <f t="shared" si="1"/>
        <v>Rob/Maggie</v>
      </c>
      <c r="E6" s="180"/>
      <c r="F6" s="22"/>
      <c r="G6" s="21">
        <v>44170.0</v>
      </c>
      <c r="H6" s="22"/>
      <c r="I6" s="23">
        <f t="shared" si="2"/>
        <v>0</v>
      </c>
      <c r="J6" s="256"/>
      <c r="K6" s="19"/>
      <c r="L6" s="19"/>
      <c r="M6" s="19"/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26">
        <f t="shared" si="3"/>
        <v>0</v>
      </c>
      <c r="AA6" s="26">
        <f t="shared" si="4"/>
        <v>0</v>
      </c>
      <c r="AB6" s="27">
        <f t="shared" si="5"/>
        <v>0</v>
      </c>
      <c r="AC6" s="27">
        <f t="shared" si="6"/>
        <v>0</v>
      </c>
      <c r="AD6" s="15">
        <v>0.04</v>
      </c>
      <c r="AE6" s="19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>
      <c r="A7" s="6">
        <v>44171.0</v>
      </c>
      <c r="B7" s="18">
        <v>1627.0</v>
      </c>
      <c r="C7" s="18">
        <v>1701.0</v>
      </c>
      <c r="D7" s="8" t="str">
        <f t="shared" si="1"/>
        <v>Phil/Fred</v>
      </c>
      <c r="E7" s="180"/>
      <c r="F7" s="22"/>
      <c r="G7" s="21">
        <v>44171.0</v>
      </c>
      <c r="H7" s="20"/>
      <c r="I7" s="23">
        <f t="shared" si="2"/>
        <v>0</v>
      </c>
      <c r="J7" s="256"/>
      <c r="K7" s="19"/>
      <c r="L7" s="19"/>
      <c r="M7" s="19"/>
      <c r="N7" s="88">
        <v>0.0</v>
      </c>
      <c r="O7" s="88">
        <v>0.0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26">
        <f t="shared" si="3"/>
        <v>0</v>
      </c>
      <c r="AA7" s="26">
        <f t="shared" si="4"/>
        <v>0</v>
      </c>
      <c r="AB7" s="27">
        <f t="shared" si="5"/>
        <v>0</v>
      </c>
      <c r="AC7" s="27">
        <f t="shared" si="6"/>
        <v>0</v>
      </c>
      <c r="AD7" s="15">
        <v>0.01</v>
      </c>
      <c r="AE7" s="1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</row>
    <row r="8">
      <c r="A8" s="6">
        <v>44172.0</v>
      </c>
      <c r="B8" s="18">
        <v>1627.0</v>
      </c>
      <c r="C8" s="18">
        <v>1701.0</v>
      </c>
      <c r="D8" s="8" t="str">
        <f t="shared" si="1"/>
        <v>Jane/Sarah</v>
      </c>
      <c r="E8" s="180" t="s">
        <v>35</v>
      </c>
      <c r="F8" s="20">
        <v>0.22916666666666666</v>
      </c>
      <c r="G8" s="21">
        <v>44172.0</v>
      </c>
      <c r="H8" s="22"/>
      <c r="I8" s="257">
        <v>1.5</v>
      </c>
      <c r="J8" s="256"/>
      <c r="K8" s="19">
        <v>45.0</v>
      </c>
      <c r="L8" s="19"/>
      <c r="M8" s="19" t="s">
        <v>102</v>
      </c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26">
        <f t="shared" si="3"/>
        <v>0</v>
      </c>
      <c r="AA8" s="26">
        <f t="shared" si="4"/>
        <v>0</v>
      </c>
      <c r="AB8" s="27">
        <f t="shared" si="5"/>
        <v>0</v>
      </c>
      <c r="AC8" s="27">
        <f t="shared" si="6"/>
        <v>0</v>
      </c>
      <c r="AD8" s="15">
        <v>0.0</v>
      </c>
      <c r="AE8" s="19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</row>
    <row r="9">
      <c r="A9" s="6">
        <v>44173.0</v>
      </c>
      <c r="B9" s="18">
        <v>1627.0</v>
      </c>
      <c r="C9" s="18">
        <v>1701.0</v>
      </c>
      <c r="D9" s="8" t="str">
        <f t="shared" si="1"/>
        <v>Jim/John/Lena</v>
      </c>
      <c r="E9" s="180"/>
      <c r="F9" s="22"/>
      <c r="G9" s="21">
        <v>44173.0</v>
      </c>
      <c r="H9" s="22"/>
      <c r="I9" s="23">
        <f t="shared" ref="I9:I32" si="7">iferror(24*( DATEDIF(A9,G9,"D")+TIMEVALUE(H9)-TIMEVALUE(F9)),0)</f>
        <v>0</v>
      </c>
      <c r="J9" s="256"/>
      <c r="K9" s="19"/>
      <c r="L9" s="19"/>
      <c r="M9" s="19"/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26">
        <f t="shared" si="3"/>
        <v>0</v>
      </c>
      <c r="AA9" s="26">
        <f t="shared" si="4"/>
        <v>0</v>
      </c>
      <c r="AB9" s="27">
        <f t="shared" si="5"/>
        <v>0</v>
      </c>
      <c r="AC9" s="27">
        <f t="shared" si="6"/>
        <v>0</v>
      </c>
      <c r="AD9" s="15">
        <v>0.01</v>
      </c>
      <c r="AE9" s="19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</row>
    <row r="10">
      <c r="A10" s="6">
        <v>44174.0</v>
      </c>
      <c r="B10" s="18">
        <v>1627.0</v>
      </c>
      <c r="C10" s="18">
        <v>1701.0</v>
      </c>
      <c r="D10" s="8" t="str">
        <f t="shared" si="1"/>
        <v>Marsha/Anne</v>
      </c>
      <c r="E10" s="180" t="s">
        <v>30</v>
      </c>
      <c r="F10" s="22">
        <v>0.19791666666666666</v>
      </c>
      <c r="G10" s="21">
        <v>44174.0</v>
      </c>
      <c r="H10" s="20"/>
      <c r="I10" s="23">
        <f t="shared" si="7"/>
        <v>0</v>
      </c>
      <c r="J10" s="256"/>
      <c r="K10" s="19">
        <v>43.5</v>
      </c>
      <c r="L10" s="19"/>
      <c r="M10" s="19" t="s">
        <v>135</v>
      </c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26">
        <f t="shared" si="3"/>
        <v>0</v>
      </c>
      <c r="AA10" s="26">
        <f t="shared" si="4"/>
        <v>0</v>
      </c>
      <c r="AB10" s="27">
        <f t="shared" si="5"/>
        <v>0</v>
      </c>
      <c r="AC10" s="27">
        <f t="shared" si="6"/>
        <v>0</v>
      </c>
      <c r="AD10" s="15">
        <v>0.04</v>
      </c>
      <c r="AE10" s="19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</row>
    <row r="11">
      <c r="A11" s="6">
        <v>44175.0</v>
      </c>
      <c r="B11" s="18">
        <v>1627.0</v>
      </c>
      <c r="C11" s="18">
        <v>1701.0</v>
      </c>
      <c r="D11" s="8" t="str">
        <f t="shared" si="1"/>
        <v>Shawn/Amber</v>
      </c>
      <c r="E11" s="180" t="s">
        <v>30</v>
      </c>
      <c r="F11" s="20">
        <v>0.20833333333333334</v>
      </c>
      <c r="G11" s="21">
        <v>44175.0</v>
      </c>
      <c r="H11" s="20">
        <v>0.2152777777777778</v>
      </c>
      <c r="I11" s="23">
        <f t="shared" si="7"/>
        <v>0.1666666667</v>
      </c>
      <c r="J11" s="256"/>
      <c r="K11" s="19">
        <v>43.0</v>
      </c>
      <c r="L11" s="19"/>
      <c r="M11" s="258" t="s">
        <v>136</v>
      </c>
      <c r="N11" s="88">
        <v>0.0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26">
        <f t="shared" si="3"/>
        <v>0</v>
      </c>
      <c r="AA11" s="26">
        <f t="shared" si="4"/>
        <v>0</v>
      </c>
      <c r="AB11" s="27">
        <f t="shared" si="5"/>
        <v>0</v>
      </c>
      <c r="AC11" s="27">
        <f t="shared" si="6"/>
        <v>0</v>
      </c>
      <c r="AD11" s="15">
        <v>0.09</v>
      </c>
      <c r="AE11" s="19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</row>
    <row r="12">
      <c r="A12" s="6">
        <v>44176.0</v>
      </c>
      <c r="B12" s="18">
        <v>1627.0</v>
      </c>
      <c r="C12" s="18">
        <v>1701.0</v>
      </c>
      <c r="D12" s="8" t="str">
        <f t="shared" si="1"/>
        <v>Jeff</v>
      </c>
      <c r="E12" s="180" t="s">
        <v>30</v>
      </c>
      <c r="F12" s="22">
        <v>0.7083333333333334</v>
      </c>
      <c r="G12" s="21">
        <v>44176.0</v>
      </c>
      <c r="H12" s="20">
        <v>0.7291666666666666</v>
      </c>
      <c r="I12" s="23">
        <f t="shared" si="7"/>
        <v>0.5</v>
      </c>
      <c r="J12" s="256"/>
      <c r="K12" s="19">
        <v>40.0</v>
      </c>
      <c r="L12" s="19">
        <v>40.0</v>
      </c>
      <c r="M12" s="19" t="s">
        <v>89</v>
      </c>
      <c r="N12" s="88">
        <v>0.0</v>
      </c>
      <c r="O12" s="88">
        <v>0.0</v>
      </c>
      <c r="P12" s="88">
        <v>0.0</v>
      </c>
      <c r="Q12" s="88">
        <v>0.0</v>
      </c>
      <c r="R12" s="88">
        <v>0.0</v>
      </c>
      <c r="S12" s="88">
        <v>0.0</v>
      </c>
      <c r="T12" s="88">
        <v>0.0</v>
      </c>
      <c r="U12" s="88">
        <v>0.0</v>
      </c>
      <c r="V12" s="88">
        <v>0.0</v>
      </c>
      <c r="W12" s="88">
        <v>0.0</v>
      </c>
      <c r="X12" s="88">
        <v>0.0</v>
      </c>
      <c r="Y12" s="88">
        <v>0.0</v>
      </c>
      <c r="Z12" s="26">
        <f t="shared" si="3"/>
        <v>0</v>
      </c>
      <c r="AA12" s="26">
        <f t="shared" si="4"/>
        <v>0</v>
      </c>
      <c r="AB12" s="27">
        <f t="shared" si="5"/>
        <v>0</v>
      </c>
      <c r="AC12" s="27">
        <f t="shared" si="6"/>
        <v>0</v>
      </c>
      <c r="AD12" s="15">
        <v>0.15</v>
      </c>
      <c r="AE12" s="19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</row>
    <row r="13">
      <c r="A13" s="6">
        <v>44177.0</v>
      </c>
      <c r="B13" s="18">
        <v>1627.0</v>
      </c>
      <c r="C13" s="18">
        <v>1701.0</v>
      </c>
      <c r="D13" s="8" t="str">
        <f t="shared" si="1"/>
        <v>Rob/Maggie</v>
      </c>
      <c r="E13" s="180"/>
      <c r="F13" s="22"/>
      <c r="G13" s="21">
        <v>44177.0</v>
      </c>
      <c r="H13" s="259"/>
      <c r="I13" s="23">
        <f t="shared" si="7"/>
        <v>0</v>
      </c>
      <c r="J13" s="256"/>
      <c r="K13" s="19"/>
      <c r="L13" s="19"/>
      <c r="M13" s="19"/>
      <c r="N13" s="88">
        <v>0.0</v>
      </c>
      <c r="O13" s="88">
        <v>0.0</v>
      </c>
      <c r="P13" s="88">
        <v>0.0</v>
      </c>
      <c r="Q13" s="88">
        <v>0.0</v>
      </c>
      <c r="R13" s="88">
        <v>0.0</v>
      </c>
      <c r="S13" s="88">
        <v>0.0</v>
      </c>
      <c r="T13" s="88">
        <v>0.0</v>
      </c>
      <c r="U13" s="88">
        <v>0.0</v>
      </c>
      <c r="V13" s="88">
        <v>0.0</v>
      </c>
      <c r="W13" s="88">
        <v>0.0</v>
      </c>
      <c r="X13" s="88">
        <v>0.0</v>
      </c>
      <c r="Y13" s="88">
        <v>0.0</v>
      </c>
      <c r="Z13" s="26">
        <f t="shared" si="3"/>
        <v>0</v>
      </c>
      <c r="AA13" s="26">
        <f t="shared" si="4"/>
        <v>0</v>
      </c>
      <c r="AB13" s="27">
        <f t="shared" si="5"/>
        <v>0</v>
      </c>
      <c r="AC13" s="27">
        <f t="shared" si="6"/>
        <v>0</v>
      </c>
      <c r="AD13" s="15">
        <v>0.22</v>
      </c>
      <c r="AE13" s="19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</row>
    <row r="14">
      <c r="A14" s="6">
        <v>44178.0</v>
      </c>
      <c r="B14" s="18">
        <v>1627.0</v>
      </c>
      <c r="C14" s="18">
        <v>1701.0</v>
      </c>
      <c r="D14" s="8" t="str">
        <f t="shared" si="1"/>
        <v>Phil/Fred</v>
      </c>
      <c r="E14" s="180" t="s">
        <v>30</v>
      </c>
      <c r="F14" s="22">
        <v>0.20833333333333334</v>
      </c>
      <c r="G14" s="21">
        <v>44178.0</v>
      </c>
      <c r="H14" s="20">
        <v>0.22916666666666666</v>
      </c>
      <c r="I14" s="23">
        <f t="shared" si="7"/>
        <v>0.5</v>
      </c>
      <c r="J14" s="256">
        <v>0.5</v>
      </c>
      <c r="K14" s="19">
        <v>40.0</v>
      </c>
      <c r="L14" s="19">
        <v>40.0</v>
      </c>
      <c r="M14" s="19" t="s">
        <v>137</v>
      </c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26">
        <f t="shared" si="3"/>
        <v>0</v>
      </c>
      <c r="AA14" s="26">
        <f t="shared" si="4"/>
        <v>0</v>
      </c>
      <c r="AB14" s="27">
        <f t="shared" si="5"/>
        <v>0</v>
      </c>
      <c r="AC14" s="27">
        <f t="shared" si="6"/>
        <v>0</v>
      </c>
      <c r="AD14" s="15">
        <v>0.3</v>
      </c>
      <c r="AE14" s="19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</row>
    <row r="15" ht="14.25" customHeight="1">
      <c r="A15" s="6">
        <v>44179.0</v>
      </c>
      <c r="B15" s="18">
        <v>1627.0</v>
      </c>
      <c r="C15" s="18">
        <v>1702.0</v>
      </c>
      <c r="D15" s="8" t="str">
        <f t="shared" si="1"/>
        <v>Jane/Sarah</v>
      </c>
      <c r="E15" s="180" t="s">
        <v>35</v>
      </c>
      <c r="F15" s="22">
        <v>0.21875</v>
      </c>
      <c r="G15" s="21">
        <v>44179.0</v>
      </c>
      <c r="H15" s="22"/>
      <c r="I15" s="23">
        <f t="shared" si="7"/>
        <v>0</v>
      </c>
      <c r="J15" s="256"/>
      <c r="K15" s="19">
        <v>44.0</v>
      </c>
      <c r="L15" s="19"/>
      <c r="M15" s="19" t="s">
        <v>102</v>
      </c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26">
        <f t="shared" si="3"/>
        <v>0</v>
      </c>
      <c r="AA15" s="26">
        <f t="shared" si="4"/>
        <v>0</v>
      </c>
      <c r="AB15" s="27">
        <f t="shared" si="5"/>
        <v>0</v>
      </c>
      <c r="AC15" s="27">
        <f t="shared" si="6"/>
        <v>0</v>
      </c>
      <c r="AD15" s="15">
        <v>0.39</v>
      </c>
      <c r="AE15" s="19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</row>
    <row r="16">
      <c r="A16" s="6">
        <v>44180.0</v>
      </c>
      <c r="B16" s="18">
        <v>1628.0</v>
      </c>
      <c r="C16" s="18">
        <v>1702.0</v>
      </c>
      <c r="D16" s="8" t="str">
        <f t="shared" si="1"/>
        <v>Jim/John/Lena</v>
      </c>
      <c r="E16" s="180" t="s">
        <v>30</v>
      </c>
      <c r="F16" s="22">
        <v>0.6875</v>
      </c>
      <c r="G16" s="21">
        <v>44180.0</v>
      </c>
      <c r="H16" s="22">
        <v>0.7708333333333334</v>
      </c>
      <c r="I16" s="23">
        <f t="shared" si="7"/>
        <v>2</v>
      </c>
      <c r="J16" s="256">
        <v>13.0</v>
      </c>
      <c r="K16" s="19">
        <v>46.2</v>
      </c>
      <c r="L16" s="19">
        <v>48.0</v>
      </c>
      <c r="M16" s="19" t="s">
        <v>138</v>
      </c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26">
        <f t="shared" si="3"/>
        <v>0</v>
      </c>
      <c r="AA16" s="26">
        <f t="shared" si="4"/>
        <v>0</v>
      </c>
      <c r="AB16" s="27">
        <f t="shared" si="5"/>
        <v>0</v>
      </c>
      <c r="AC16" s="27">
        <f t="shared" si="6"/>
        <v>0</v>
      </c>
      <c r="AD16" s="15">
        <v>0.49</v>
      </c>
      <c r="AE16" s="19" t="s">
        <v>139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</row>
    <row r="17">
      <c r="A17" s="6">
        <v>44181.0</v>
      </c>
      <c r="B17" s="18">
        <v>1628.0</v>
      </c>
      <c r="C17" s="18">
        <v>1702.0</v>
      </c>
      <c r="D17" s="8" t="str">
        <f t="shared" si="1"/>
        <v>Marsha/Anne</v>
      </c>
      <c r="E17" s="180" t="s">
        <v>30</v>
      </c>
      <c r="F17" s="22">
        <v>0.17708333333333334</v>
      </c>
      <c r="G17" s="21">
        <v>44181.0</v>
      </c>
      <c r="H17" s="22">
        <v>0.3020833333333333</v>
      </c>
      <c r="I17" s="23">
        <f t="shared" si="7"/>
        <v>3</v>
      </c>
      <c r="J17" s="256">
        <v>20.0</v>
      </c>
      <c r="K17" s="19">
        <v>48.0</v>
      </c>
      <c r="L17" s="19">
        <v>48.6</v>
      </c>
      <c r="M17" s="19" t="s">
        <v>140</v>
      </c>
      <c r="N17" s="88">
        <v>1.0</v>
      </c>
      <c r="O17" s="88">
        <v>1.0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26">
        <f t="shared" si="3"/>
        <v>2</v>
      </c>
      <c r="AA17" s="26">
        <f t="shared" si="4"/>
        <v>0</v>
      </c>
      <c r="AB17" s="27">
        <f t="shared" si="5"/>
        <v>2</v>
      </c>
      <c r="AC17" s="27">
        <f t="shared" si="6"/>
        <v>0</v>
      </c>
      <c r="AD17" s="15">
        <v>0.58</v>
      </c>
      <c r="AE17" s="19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</row>
    <row r="18">
      <c r="A18" s="6">
        <v>44182.0</v>
      </c>
      <c r="B18" s="18">
        <v>1628.0</v>
      </c>
      <c r="C18" s="18">
        <v>1702.0</v>
      </c>
      <c r="D18" s="8" t="str">
        <f t="shared" si="1"/>
        <v>Shawn/Amber</v>
      </c>
      <c r="E18" s="180" t="s">
        <v>30</v>
      </c>
      <c r="F18" s="20">
        <v>0.1875</v>
      </c>
      <c r="G18" s="21">
        <v>44182.0</v>
      </c>
      <c r="H18" s="22">
        <v>0.22916666666666666</v>
      </c>
      <c r="I18" s="23">
        <f t="shared" si="7"/>
        <v>1</v>
      </c>
      <c r="J18" s="256">
        <v>3.0</v>
      </c>
      <c r="K18" s="19">
        <v>48.0</v>
      </c>
      <c r="L18" s="19">
        <v>45.0</v>
      </c>
      <c r="M18" s="19" t="s">
        <v>141</v>
      </c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26">
        <f t="shared" si="3"/>
        <v>0</v>
      </c>
      <c r="AA18" s="26">
        <f t="shared" si="4"/>
        <v>0</v>
      </c>
      <c r="AB18" s="27">
        <f t="shared" si="5"/>
        <v>0</v>
      </c>
      <c r="AC18" s="27">
        <f t="shared" si="6"/>
        <v>0</v>
      </c>
      <c r="AD18" s="15">
        <v>0.68</v>
      </c>
      <c r="AE18" s="18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</row>
    <row r="19">
      <c r="A19" s="6">
        <v>44183.0</v>
      </c>
      <c r="B19" s="18">
        <v>1629.0</v>
      </c>
      <c r="C19" s="18">
        <v>1703.0</v>
      </c>
      <c r="D19" s="8" t="str">
        <f t="shared" si="1"/>
        <v>Jeff</v>
      </c>
      <c r="E19" s="180" t="s">
        <v>30</v>
      </c>
      <c r="F19" s="22">
        <v>0.7083333333333334</v>
      </c>
      <c r="G19" s="21">
        <v>44183.0</v>
      </c>
      <c r="H19" s="22">
        <v>0.7916666666666666</v>
      </c>
      <c r="I19" s="23">
        <f t="shared" si="7"/>
        <v>2</v>
      </c>
      <c r="J19" s="19">
        <v>6.5</v>
      </c>
      <c r="K19" s="19">
        <v>45.8</v>
      </c>
      <c r="L19" s="19">
        <v>45.8</v>
      </c>
      <c r="M19" s="19"/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26">
        <f t="shared" si="3"/>
        <v>0</v>
      </c>
      <c r="AA19" s="26">
        <f t="shared" si="4"/>
        <v>0</v>
      </c>
      <c r="AB19" s="27">
        <f t="shared" si="5"/>
        <v>0</v>
      </c>
      <c r="AC19" s="27">
        <f t="shared" si="6"/>
        <v>0</v>
      </c>
      <c r="AD19" s="15">
        <v>0.77</v>
      </c>
      <c r="AE19" s="19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</row>
    <row r="20">
      <c r="A20" s="6">
        <v>44184.0</v>
      </c>
      <c r="B20" s="18">
        <v>1629.0</v>
      </c>
      <c r="C20" s="18">
        <v>1703.0</v>
      </c>
      <c r="D20" s="8" t="str">
        <f t="shared" si="1"/>
        <v>Rob/Maggie</v>
      </c>
      <c r="E20" s="180" t="s">
        <v>39</v>
      </c>
      <c r="F20" s="20">
        <v>0.17708333333333334</v>
      </c>
      <c r="G20" s="21">
        <v>44184.0</v>
      </c>
      <c r="H20" s="19"/>
      <c r="I20" s="23">
        <f t="shared" si="7"/>
        <v>0</v>
      </c>
      <c r="J20" s="256">
        <v>30.25</v>
      </c>
      <c r="K20" s="19">
        <v>55.0</v>
      </c>
      <c r="L20" s="19">
        <v>50.0</v>
      </c>
      <c r="M20" s="19" t="s">
        <v>142</v>
      </c>
      <c r="N20" s="88">
        <v>4.0</v>
      </c>
      <c r="O20" s="88">
        <v>7.0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26">
        <f t="shared" si="3"/>
        <v>11</v>
      </c>
      <c r="AA20" s="26">
        <f t="shared" si="4"/>
        <v>0</v>
      </c>
      <c r="AB20" s="27">
        <f t="shared" si="5"/>
        <v>11</v>
      </c>
      <c r="AC20" s="27">
        <f t="shared" si="6"/>
        <v>0</v>
      </c>
      <c r="AD20" s="15">
        <v>0.85</v>
      </c>
      <c r="AE20" s="19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</row>
    <row r="21">
      <c r="A21" s="6">
        <v>44185.0</v>
      </c>
      <c r="B21" s="18">
        <v>1629.0</v>
      </c>
      <c r="C21" s="18">
        <v>1704.0</v>
      </c>
      <c r="D21" s="8" t="str">
        <f t="shared" si="1"/>
        <v>Phil/Fred</v>
      </c>
      <c r="E21" s="180" t="s">
        <v>30</v>
      </c>
      <c r="F21" s="22">
        <v>0.625</v>
      </c>
      <c r="G21" s="21">
        <v>44185.0</v>
      </c>
      <c r="H21" s="22">
        <v>0.8576388888888888</v>
      </c>
      <c r="I21" s="23">
        <f t="shared" si="7"/>
        <v>5.583333333</v>
      </c>
      <c r="J21" s="256">
        <v>25.25</v>
      </c>
      <c r="K21" s="19">
        <v>50.3</v>
      </c>
      <c r="L21" s="19">
        <v>48.0</v>
      </c>
      <c r="M21" s="19" t="s">
        <v>143</v>
      </c>
      <c r="N21" s="88">
        <v>1.0</v>
      </c>
      <c r="O21" s="88">
        <v>4.0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26">
        <f t="shared" si="3"/>
        <v>5</v>
      </c>
      <c r="AA21" s="26">
        <f t="shared" si="4"/>
        <v>0</v>
      </c>
      <c r="AB21" s="27">
        <f t="shared" si="5"/>
        <v>5</v>
      </c>
      <c r="AC21" s="27">
        <f t="shared" si="6"/>
        <v>0</v>
      </c>
      <c r="AD21" s="15">
        <v>0.92</v>
      </c>
      <c r="AE21" s="260"/>
      <c r="AF21" s="261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</row>
    <row r="22">
      <c r="A22" s="6">
        <v>44186.0</v>
      </c>
      <c r="B22" s="18">
        <v>1630.0</v>
      </c>
      <c r="C22" s="18">
        <v>1704.0</v>
      </c>
      <c r="D22" s="8" t="str">
        <f t="shared" si="1"/>
        <v>Jane/Sarah</v>
      </c>
      <c r="E22" s="180" t="s">
        <v>30</v>
      </c>
      <c r="F22" s="20">
        <v>0.6875</v>
      </c>
      <c r="G22" s="21">
        <v>44186.0</v>
      </c>
      <c r="H22" s="22">
        <v>0.8125</v>
      </c>
      <c r="I22" s="23">
        <f t="shared" si="7"/>
        <v>3</v>
      </c>
      <c r="J22" s="19">
        <v>15.75</v>
      </c>
      <c r="K22" s="19">
        <v>55.0</v>
      </c>
      <c r="L22" s="19">
        <v>43.5</v>
      </c>
      <c r="M22" s="19" t="s">
        <v>144</v>
      </c>
      <c r="N22" s="88">
        <v>21.0</v>
      </c>
      <c r="O22" s="88">
        <v>46.0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26">
        <f t="shared" si="3"/>
        <v>67</v>
      </c>
      <c r="AA22" s="26">
        <f t="shared" si="4"/>
        <v>0</v>
      </c>
      <c r="AB22" s="27">
        <f t="shared" si="5"/>
        <v>67</v>
      </c>
      <c r="AC22" s="27">
        <f t="shared" si="6"/>
        <v>0</v>
      </c>
      <c r="AD22" s="15">
        <v>0.97</v>
      </c>
      <c r="AE22" s="19" t="s">
        <v>145</v>
      </c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</row>
    <row r="23">
      <c r="A23" s="6">
        <v>44187.0</v>
      </c>
      <c r="B23" s="18">
        <v>1630.0</v>
      </c>
      <c r="C23" s="18">
        <v>1705.0</v>
      </c>
      <c r="D23" s="8" t="str">
        <f t="shared" si="1"/>
        <v>Jim/John/Lena</v>
      </c>
      <c r="E23" s="180" t="s">
        <v>30</v>
      </c>
      <c r="F23" s="20">
        <v>0.6979166666666666</v>
      </c>
      <c r="G23" s="21">
        <v>44187.0</v>
      </c>
      <c r="H23" s="22">
        <v>0.75</v>
      </c>
      <c r="I23" s="23">
        <f t="shared" si="7"/>
        <v>1.25</v>
      </c>
      <c r="J23" s="256">
        <v>2.5</v>
      </c>
      <c r="K23" s="19">
        <v>43.5</v>
      </c>
      <c r="L23" s="19">
        <v>41.7</v>
      </c>
      <c r="M23" s="19" t="s">
        <v>146</v>
      </c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26">
        <f t="shared" si="3"/>
        <v>0</v>
      </c>
      <c r="AA23" s="26">
        <f t="shared" si="4"/>
        <v>0</v>
      </c>
      <c r="AB23" s="27">
        <f t="shared" si="5"/>
        <v>0</v>
      </c>
      <c r="AC23" s="27">
        <f t="shared" si="6"/>
        <v>0</v>
      </c>
      <c r="AD23" s="15">
        <v>1.0</v>
      </c>
      <c r="AE23" s="19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</row>
    <row r="24">
      <c r="A24" s="6">
        <v>44188.0</v>
      </c>
      <c r="B24" s="18">
        <v>1631.0</v>
      </c>
      <c r="C24" s="18">
        <v>1705.0</v>
      </c>
      <c r="D24" s="8" t="str">
        <f t="shared" si="1"/>
        <v>Marsha/Anne</v>
      </c>
      <c r="E24" s="180" t="s">
        <v>30</v>
      </c>
      <c r="F24" s="20">
        <v>0.20833333333333334</v>
      </c>
      <c r="G24" s="21">
        <v>44188.0</v>
      </c>
      <c r="H24" s="20"/>
      <c r="I24" s="23">
        <f t="shared" si="7"/>
        <v>0</v>
      </c>
      <c r="J24" s="256">
        <v>0.5</v>
      </c>
      <c r="K24" s="19">
        <v>37.0</v>
      </c>
      <c r="L24" s="19">
        <v>36.0</v>
      </c>
      <c r="M24" s="19" t="s">
        <v>147</v>
      </c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26">
        <f t="shared" si="3"/>
        <v>0</v>
      </c>
      <c r="AA24" s="26">
        <f t="shared" si="4"/>
        <v>0</v>
      </c>
      <c r="AB24" s="27">
        <f t="shared" si="5"/>
        <v>0</v>
      </c>
      <c r="AC24" s="27">
        <f t="shared" si="6"/>
        <v>0</v>
      </c>
      <c r="AD24" s="15">
        <v>0.99</v>
      </c>
      <c r="AE24" s="19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</row>
    <row r="25">
      <c r="A25" s="6">
        <v>44189.0</v>
      </c>
      <c r="B25" s="18">
        <v>1632.0</v>
      </c>
      <c r="C25" s="18">
        <v>1706.0</v>
      </c>
      <c r="D25" s="8" t="str">
        <f t="shared" si="1"/>
        <v>Shawn/Amber</v>
      </c>
      <c r="E25" s="180" t="s">
        <v>35</v>
      </c>
      <c r="F25" s="20">
        <v>0.1875</v>
      </c>
      <c r="G25" s="21">
        <v>44189.0</v>
      </c>
      <c r="H25" s="20"/>
      <c r="I25" s="23">
        <f t="shared" si="7"/>
        <v>0</v>
      </c>
      <c r="J25" s="256"/>
      <c r="K25" s="19">
        <v>40.0</v>
      </c>
      <c r="L25" s="19"/>
      <c r="M25" s="19" t="s">
        <v>102</v>
      </c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26">
        <f t="shared" si="3"/>
        <v>0</v>
      </c>
      <c r="AA25" s="26">
        <f t="shared" si="4"/>
        <v>0</v>
      </c>
      <c r="AB25" s="27">
        <f t="shared" si="5"/>
        <v>0</v>
      </c>
      <c r="AC25" s="27">
        <f t="shared" si="6"/>
        <v>0</v>
      </c>
      <c r="AD25" s="15">
        <v>0.96</v>
      </c>
      <c r="AE25" s="1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</row>
    <row r="26">
      <c r="A26" s="6">
        <v>44190.0</v>
      </c>
      <c r="B26" s="18">
        <v>1632.0</v>
      </c>
      <c r="C26" s="18">
        <v>1706.0</v>
      </c>
      <c r="D26" s="8" t="str">
        <f t="shared" si="1"/>
        <v>Jeff</v>
      </c>
      <c r="E26" s="180" t="s">
        <v>35</v>
      </c>
      <c r="F26" s="20">
        <v>0.6041666666666666</v>
      </c>
      <c r="G26" s="21">
        <v>44190.0</v>
      </c>
      <c r="H26" s="22">
        <v>0.9166666666666666</v>
      </c>
      <c r="I26" s="23">
        <f t="shared" si="7"/>
        <v>7.5</v>
      </c>
      <c r="J26" s="256">
        <v>0.0</v>
      </c>
      <c r="K26" s="19">
        <v>39.0</v>
      </c>
      <c r="L26" s="19">
        <v>41.0</v>
      </c>
      <c r="M26" s="19" t="s">
        <v>148</v>
      </c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26">
        <f t="shared" si="3"/>
        <v>0</v>
      </c>
      <c r="AA26" s="26">
        <f t="shared" si="4"/>
        <v>0</v>
      </c>
      <c r="AB26" s="27">
        <f t="shared" si="5"/>
        <v>0</v>
      </c>
      <c r="AC26" s="27">
        <f t="shared" si="6"/>
        <v>0</v>
      </c>
      <c r="AD26" s="15">
        <v>0.91</v>
      </c>
      <c r="AE26" s="19"/>
      <c r="AF26" s="82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</row>
    <row r="27">
      <c r="A27" s="6">
        <v>44191.0</v>
      </c>
      <c r="B27" s="18">
        <v>1633.0</v>
      </c>
      <c r="C27" s="18">
        <v>1707.0</v>
      </c>
      <c r="D27" s="8" t="str">
        <f t="shared" si="1"/>
        <v>Rob/Maggie</v>
      </c>
      <c r="E27" s="180" t="s">
        <v>39</v>
      </c>
      <c r="F27" s="22">
        <v>0.17708333333333334</v>
      </c>
      <c r="G27" s="21">
        <v>44191.0</v>
      </c>
      <c r="H27" s="22">
        <v>0.23958333333333334</v>
      </c>
      <c r="I27" s="23">
        <f t="shared" si="7"/>
        <v>1.5</v>
      </c>
      <c r="J27" s="256">
        <v>2.75</v>
      </c>
      <c r="K27" s="19">
        <v>46.0</v>
      </c>
      <c r="L27" s="19">
        <v>43.0</v>
      </c>
      <c r="M27" s="19" t="s">
        <v>135</v>
      </c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26">
        <f t="shared" si="3"/>
        <v>0</v>
      </c>
      <c r="AA27" s="26">
        <f t="shared" si="4"/>
        <v>0</v>
      </c>
      <c r="AB27" s="27">
        <f t="shared" si="5"/>
        <v>0</v>
      </c>
      <c r="AC27" s="27">
        <f t="shared" si="6"/>
        <v>0</v>
      </c>
      <c r="AD27" s="15">
        <v>0.82</v>
      </c>
      <c r="AE27" s="1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</row>
    <row r="28">
      <c r="A28" s="6">
        <v>44192.0</v>
      </c>
      <c r="B28" s="18">
        <v>1634.0</v>
      </c>
      <c r="C28" s="18">
        <v>1708.0</v>
      </c>
      <c r="D28" s="8" t="str">
        <f t="shared" si="1"/>
        <v>Phil/Fred</v>
      </c>
      <c r="E28" s="180"/>
      <c r="F28" s="20"/>
      <c r="G28" s="21">
        <v>44192.0</v>
      </c>
      <c r="H28" s="22"/>
      <c r="I28" s="23">
        <f t="shared" si="7"/>
        <v>0</v>
      </c>
      <c r="J28" s="256"/>
      <c r="K28" s="19"/>
      <c r="L28" s="19"/>
      <c r="M28" s="19"/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26">
        <f t="shared" si="3"/>
        <v>0</v>
      </c>
      <c r="AA28" s="26">
        <f t="shared" si="4"/>
        <v>0</v>
      </c>
      <c r="AB28" s="27">
        <f t="shared" si="5"/>
        <v>0</v>
      </c>
      <c r="AC28" s="27">
        <f t="shared" si="6"/>
        <v>0</v>
      </c>
      <c r="AD28" s="15">
        <v>0.73</v>
      </c>
      <c r="AE28" s="18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</row>
    <row r="29">
      <c r="A29" s="6">
        <v>44193.0</v>
      </c>
      <c r="B29" s="18">
        <v>1634.0</v>
      </c>
      <c r="C29" s="18">
        <v>1708.0</v>
      </c>
      <c r="D29" s="8" t="str">
        <f t="shared" si="1"/>
        <v>Jane/Sarah</v>
      </c>
      <c r="E29" s="180" t="s">
        <v>35</v>
      </c>
      <c r="F29" s="22">
        <v>0.1875</v>
      </c>
      <c r="G29" s="21">
        <v>44193.0</v>
      </c>
      <c r="H29" s="22"/>
      <c r="I29" s="23">
        <f t="shared" si="7"/>
        <v>0</v>
      </c>
      <c r="J29" s="256"/>
      <c r="K29" s="19">
        <v>34.0</v>
      </c>
      <c r="L29" s="19"/>
      <c r="M29" s="19"/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26">
        <f t="shared" si="3"/>
        <v>0</v>
      </c>
      <c r="AA29" s="26">
        <f t="shared" si="4"/>
        <v>0</v>
      </c>
      <c r="AB29" s="27">
        <f t="shared" si="5"/>
        <v>0</v>
      </c>
      <c r="AC29" s="27">
        <f t="shared" si="6"/>
        <v>0</v>
      </c>
      <c r="AD29" s="15">
        <v>0.62</v>
      </c>
      <c r="AE29" s="1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</row>
    <row r="30">
      <c r="A30" s="6">
        <v>44194.0</v>
      </c>
      <c r="B30" s="18">
        <v>1635.0</v>
      </c>
      <c r="C30" s="18">
        <v>1709.0</v>
      </c>
      <c r="D30" s="8" t="str">
        <f t="shared" si="1"/>
        <v>Jim/John/Lena</v>
      </c>
      <c r="E30" s="180" t="s">
        <v>35</v>
      </c>
      <c r="F30" s="22"/>
      <c r="G30" s="21">
        <v>44194.0</v>
      </c>
      <c r="H30" s="22"/>
      <c r="I30" s="23">
        <f t="shared" si="7"/>
        <v>0</v>
      </c>
      <c r="J30" s="256"/>
      <c r="K30" s="19"/>
      <c r="L30" s="19"/>
      <c r="M30" s="19" t="s">
        <v>149</v>
      </c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26">
        <f t="shared" si="3"/>
        <v>0</v>
      </c>
      <c r="AA30" s="26">
        <f t="shared" si="4"/>
        <v>0</v>
      </c>
      <c r="AB30" s="27">
        <f t="shared" si="5"/>
        <v>0</v>
      </c>
      <c r="AC30" s="27">
        <f t="shared" si="6"/>
        <v>0</v>
      </c>
      <c r="AD30" s="15">
        <v>0.51</v>
      </c>
      <c r="AE30" s="18"/>
      <c r="AF30" s="82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</row>
    <row r="31">
      <c r="A31" s="6">
        <v>44195.0</v>
      </c>
      <c r="B31" s="18">
        <v>1636.0</v>
      </c>
      <c r="C31" s="18">
        <v>1710.0</v>
      </c>
      <c r="D31" s="8" t="str">
        <f t="shared" si="1"/>
        <v>Marsha/Anne</v>
      </c>
      <c r="E31" s="180" t="s">
        <v>30</v>
      </c>
      <c r="F31" s="22">
        <v>0.19791666666666666</v>
      </c>
      <c r="G31" s="21">
        <v>44195.0</v>
      </c>
      <c r="H31" s="22">
        <v>0.3020833333333333</v>
      </c>
      <c r="I31" s="23">
        <f t="shared" si="7"/>
        <v>2.5</v>
      </c>
      <c r="J31" s="256">
        <v>9.0</v>
      </c>
      <c r="K31" s="19">
        <v>46.5</v>
      </c>
      <c r="L31" s="19">
        <v>44.7</v>
      </c>
      <c r="M31" s="19" t="s">
        <v>149</v>
      </c>
      <c r="N31" s="88">
        <v>0.0</v>
      </c>
      <c r="O31" s="88">
        <v>0.0</v>
      </c>
      <c r="P31" s="88">
        <v>0.0</v>
      </c>
      <c r="Q31" s="88">
        <v>0.0</v>
      </c>
      <c r="R31" s="88">
        <v>0.0</v>
      </c>
      <c r="S31" s="88">
        <v>0.0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0.0</v>
      </c>
      <c r="Z31" s="26">
        <f t="shared" si="3"/>
        <v>0</v>
      </c>
      <c r="AA31" s="26">
        <f t="shared" si="4"/>
        <v>0</v>
      </c>
      <c r="AB31" s="27">
        <f t="shared" si="5"/>
        <v>0</v>
      </c>
      <c r="AC31" s="27">
        <f t="shared" si="6"/>
        <v>0</v>
      </c>
      <c r="AD31" s="15">
        <v>0.4</v>
      </c>
      <c r="AE31" s="19"/>
      <c r="AF31" s="167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</row>
    <row r="32">
      <c r="A32" s="6">
        <v>44196.0</v>
      </c>
      <c r="B32" s="18">
        <v>1637.0</v>
      </c>
      <c r="C32" s="18">
        <v>1711.0</v>
      </c>
      <c r="D32" s="8" t="str">
        <f t="shared" si="1"/>
        <v>Shawn/Amber</v>
      </c>
      <c r="E32" s="180" t="s">
        <v>30</v>
      </c>
      <c r="F32" s="20">
        <v>0.1875</v>
      </c>
      <c r="G32" s="21">
        <v>44196.0</v>
      </c>
      <c r="H32" s="22">
        <v>0.2916666666666667</v>
      </c>
      <c r="I32" s="23">
        <f t="shared" si="7"/>
        <v>2.5</v>
      </c>
      <c r="J32" s="256">
        <v>5.0</v>
      </c>
      <c r="K32" s="19">
        <v>50.0</v>
      </c>
      <c r="L32" s="19">
        <v>48.0</v>
      </c>
      <c r="M32" s="19" t="s">
        <v>135</v>
      </c>
      <c r="N32" s="88">
        <v>0.0</v>
      </c>
      <c r="O32" s="88">
        <v>0.0</v>
      </c>
      <c r="P32" s="88">
        <v>0.0</v>
      </c>
      <c r="Q32" s="88">
        <v>0.0</v>
      </c>
      <c r="R32" s="88">
        <v>0.0</v>
      </c>
      <c r="S32" s="88">
        <v>0.0</v>
      </c>
      <c r="T32" s="88">
        <v>0.0</v>
      </c>
      <c r="U32" s="88">
        <v>0.0</v>
      </c>
      <c r="V32" s="88">
        <v>0.0</v>
      </c>
      <c r="W32" s="88">
        <v>0.0</v>
      </c>
      <c r="X32" s="88">
        <v>0.0</v>
      </c>
      <c r="Y32" s="88">
        <v>0.0</v>
      </c>
      <c r="Z32" s="26">
        <f t="shared" si="3"/>
        <v>0</v>
      </c>
      <c r="AA32" s="26">
        <f t="shared" si="4"/>
        <v>0</v>
      </c>
      <c r="AB32" s="27">
        <f t="shared" si="5"/>
        <v>0</v>
      </c>
      <c r="AC32" s="27">
        <f t="shared" si="6"/>
        <v>0</v>
      </c>
      <c r="AD32" s="15">
        <v>0.3</v>
      </c>
      <c r="AE32" s="19" t="s">
        <v>150</v>
      </c>
      <c r="AF32" s="82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</row>
    <row r="33">
      <c r="B33" s="262"/>
      <c r="C33" s="262"/>
      <c r="D33" s="262"/>
      <c r="E33" s="48" t="s">
        <v>99</v>
      </c>
      <c r="F33" s="263"/>
      <c r="I33" s="49">
        <f>SUM(I3:I32)</f>
        <v>34.5</v>
      </c>
      <c r="J33" s="49">
        <f>SUM(J2:J32)</f>
        <v>134</v>
      </c>
      <c r="K33" s="262"/>
      <c r="L33" s="262"/>
      <c r="M33" s="262"/>
      <c r="N33" s="162">
        <f t="shared" ref="N33:Y33" si="8">sum(N2:N32)</f>
        <v>27</v>
      </c>
      <c r="O33" s="162">
        <f t="shared" si="8"/>
        <v>58</v>
      </c>
      <c r="P33" s="162">
        <f t="shared" si="8"/>
        <v>0</v>
      </c>
      <c r="Q33" s="162">
        <f t="shared" si="8"/>
        <v>0</v>
      </c>
      <c r="R33" s="162">
        <f t="shared" si="8"/>
        <v>0</v>
      </c>
      <c r="S33" s="162">
        <f t="shared" si="8"/>
        <v>0</v>
      </c>
      <c r="T33" s="162">
        <f t="shared" si="8"/>
        <v>0</v>
      </c>
      <c r="U33" s="162">
        <f t="shared" si="8"/>
        <v>0</v>
      </c>
      <c r="V33" s="162">
        <f t="shared" si="8"/>
        <v>0</v>
      </c>
      <c r="W33" s="162">
        <f t="shared" si="8"/>
        <v>0</v>
      </c>
      <c r="X33" s="162">
        <f t="shared" si="8"/>
        <v>0</v>
      </c>
      <c r="Y33" s="162">
        <f t="shared" si="8"/>
        <v>0</v>
      </c>
      <c r="Z33" s="162">
        <f t="shared" ref="Z33:AA33" si="9">SUM(Z2:Z32)</f>
        <v>85</v>
      </c>
      <c r="AA33" s="162">
        <f t="shared" si="9"/>
        <v>0</v>
      </c>
      <c r="AB33" s="162">
        <f t="shared" ref="AB33:AC33" si="10">sum(AB2:AB32)</f>
        <v>85</v>
      </c>
      <c r="AC33" s="162">
        <f t="shared" si="10"/>
        <v>0</v>
      </c>
    </row>
    <row r="34">
      <c r="B34" s="262"/>
      <c r="C34" s="262"/>
      <c r="D34" s="262"/>
      <c r="E34" s="53" t="s">
        <v>57</v>
      </c>
      <c r="F34" s="54"/>
      <c r="I34" s="55">
        <f>'November 2020'!I$33+'December 2020'!I$33</f>
        <v>34.66666667</v>
      </c>
      <c r="J34" s="55">
        <f>'November 2020'!J$33+'December 2020'!J$33</f>
        <v>134</v>
      </c>
      <c r="K34" s="56"/>
      <c r="L34" s="56"/>
      <c r="M34" s="56"/>
      <c r="N34" s="57">
        <f>'November 2020'!N$33+'December 2020'!N$33</f>
        <v>27</v>
      </c>
      <c r="O34" s="57">
        <f>'November 2020'!O$33+'December 2020'!O$33</f>
        <v>58</v>
      </c>
      <c r="P34" s="57">
        <f>'November 2020'!P$33+'December 2020'!P$33</f>
        <v>0</v>
      </c>
      <c r="Q34" s="57">
        <f>'November 2020'!Q$33+'December 2020'!Q$33</f>
        <v>0</v>
      </c>
      <c r="R34" s="57">
        <f>'November 2020'!R$33+'December 2020'!R$33</f>
        <v>0</v>
      </c>
      <c r="S34" s="57">
        <f>'November 2020'!S$33+'December 2020'!S$33</f>
        <v>0</v>
      </c>
      <c r="T34" s="57">
        <f>'November 2020'!T$33+'December 2020'!T$33</f>
        <v>0</v>
      </c>
      <c r="U34" s="57">
        <f>'November 2020'!U$33+'December 2020'!U$33</f>
        <v>0</v>
      </c>
      <c r="V34" s="57">
        <f>'November 2020'!V$33+'December 2020'!V$33</f>
        <v>0</v>
      </c>
      <c r="W34" s="57">
        <f>'November 2020'!W$33+'December 2020'!W$33</f>
        <v>0</v>
      </c>
      <c r="X34" s="57">
        <f>'November 2020'!X$33+'December 2020'!X$33</f>
        <v>0</v>
      </c>
      <c r="Y34" s="57">
        <f>'November 2020'!Y$33+'December 2020'!Y$33</f>
        <v>0</v>
      </c>
      <c r="Z34" s="57">
        <f>'November 2020'!Z$33+'December 2020'!Z$33</f>
        <v>85</v>
      </c>
      <c r="AA34" s="57">
        <f>'November 2020'!AA$33+'December 2020'!AA$33</f>
        <v>0</v>
      </c>
      <c r="AB34" s="58">
        <f>'November 2020'!AB33+'December 2020'!AB33</f>
        <v>85</v>
      </c>
      <c r="AC34" s="264">
        <f>'November 2020'!AC33+'December 2020'!AC33</f>
        <v>0</v>
      </c>
    </row>
    <row r="35">
      <c r="B35" s="262"/>
      <c r="C35" s="262"/>
      <c r="D35" s="262"/>
      <c r="E35" s="53" t="s">
        <v>58</v>
      </c>
      <c r="F35" s="54"/>
      <c r="I35" s="55">
        <f>'November 2020'!I$33+'December 2020'!I$33+'January 2021'!I$33+'February 2021'!I$33+'March 2021'!I$33+'April 2021'!I$33</f>
        <v>112.6333333</v>
      </c>
      <c r="J35" s="55">
        <f>'November 2020'!J33+'December 2020'!J33+'January 2021'!J33+'February 2021'!J33+'March 2021'!J33+'April 2021'!J33</f>
        <v>474.1</v>
      </c>
      <c r="K35" s="56"/>
      <c r="L35" s="56"/>
      <c r="M35" s="56"/>
      <c r="N35" s="57">
        <f>'November 2020'!N33+'December 2020'!N33+'January 2021'!N33+'February 2021'!N33+'March 2021'!N33+'April 2021'!N33</f>
        <v>271</v>
      </c>
      <c r="O35" s="57">
        <f>'November 2020'!O33+'December 2020'!O33+'January 2021'!O33+'February 2021'!O33+'March 2021'!O33+'April 2021'!O33</f>
        <v>139</v>
      </c>
      <c r="P35" s="57">
        <f>'November 2020'!P33+'December 2020'!P33+'January 2021'!P33+'February 2021'!P33+'March 2021'!P33+'April 2021'!P33</f>
        <v>11</v>
      </c>
      <c r="Q35" s="57">
        <f>'November 2020'!Q33+'December 2020'!Q33+'January 2021'!Q33+'February 2021'!Q33+'March 2021'!Q33+'April 2021'!Q33</f>
        <v>0</v>
      </c>
      <c r="R35" s="57">
        <f>'November 2020'!R33+'December 2020'!R33+'January 2021'!R33+'February 2021'!R33+'March 2021'!R33+'April 2021'!R33</f>
        <v>147</v>
      </c>
      <c r="S35" s="57">
        <f>'November 2020'!S33+'December 2020'!S33+'January 2021'!S33+'February 2021'!S33+'March 2021'!S33+'April 2021'!S33</f>
        <v>28</v>
      </c>
      <c r="T35" s="57">
        <f>'November 2020'!T33+'December 2020'!T33+'January 2021'!T33+'February 2021'!T33+'March 2021'!T33+'April 2021'!T33</f>
        <v>8</v>
      </c>
      <c r="U35" s="57">
        <f>'November 2020'!U33+'December 2020'!U33+'January 2021'!U33+'February 2021'!U33+'March 2021'!U33+'April 2021'!U33</f>
        <v>0</v>
      </c>
      <c r="V35" s="57">
        <f>'November 2020'!V33+'December 2020'!V33+'January 2021'!V33+'February 2021'!V33+'March 2021'!V33+'April 2021'!V33</f>
        <v>10</v>
      </c>
      <c r="W35" s="57">
        <f>'November 2020'!W33+'December 2020'!W33+'January 2021'!W33+'February 2021'!W33+'March 2021'!W33+'April 2021'!W33</f>
        <v>0</v>
      </c>
      <c r="X35" s="57">
        <f>'November 2020'!X33+'December 2020'!X33+'January 2021'!X33+'February 2021'!X33+'March 2021'!X33+'April 2021'!X33</f>
        <v>0</v>
      </c>
      <c r="Y35" s="57">
        <f>'November 2020'!Y33+'December 2020'!Y33+'January 2021'!Y33+'February 2021'!Y33+'March 2021'!Y33+'April 2021'!Y33</f>
        <v>16</v>
      </c>
      <c r="Z35" s="57">
        <f>'November 2020'!Z33+'December 2020'!Z33+'January 2021'!Z33+'February 2021'!Z33+'March 2021'!Z33+'April 2021'!Z33</f>
        <v>423</v>
      </c>
      <c r="AA35" s="57">
        <f>'November 2020'!AA33+'December 2020'!AA33+'January 2021'!AA33+'February 2021'!AA33+'March 2021'!AA33+'April 2021'!AA33</f>
        <v>193</v>
      </c>
      <c r="AB35" s="57">
        <f>'November 2020'!AB33+'December 2020'!AB33+'January 2021'!AB33+'February 2021'!AB33+'March 2021'!AB33+'April 2021'!AB33</f>
        <v>412</v>
      </c>
      <c r="AC35" s="57">
        <f>'November 2020'!AC33+'December 2020'!AC33+'January 2021'!AC33+'February 2021'!AC33+'March 2021'!AC33+'April 2021'!AC33</f>
        <v>191</v>
      </c>
    </row>
    <row r="36">
      <c r="A36" s="56"/>
      <c r="B36" s="56"/>
      <c r="C36" s="56"/>
      <c r="D36" s="56"/>
      <c r="E36" s="48" t="s">
        <v>59</v>
      </c>
      <c r="F36" s="56"/>
      <c r="G36" s="56"/>
      <c r="H36" s="56"/>
      <c r="I36" s="177"/>
      <c r="J36" s="177"/>
      <c r="K36" s="177"/>
      <c r="L36" s="177"/>
      <c r="M36" s="177"/>
      <c r="N36" s="265">
        <v>811.0</v>
      </c>
      <c r="O36" s="265">
        <v>1180.0</v>
      </c>
      <c r="P36" s="265">
        <v>13.0</v>
      </c>
      <c r="Q36" s="265">
        <v>2.0</v>
      </c>
      <c r="R36" s="265">
        <v>386.0</v>
      </c>
      <c r="S36" s="265">
        <v>89.0</v>
      </c>
      <c r="T36" s="265">
        <v>35.0</v>
      </c>
      <c r="U36" s="266">
        <v>2.0</v>
      </c>
      <c r="V36" s="266">
        <v>0.0</v>
      </c>
      <c r="W36" s="266">
        <v>9.0</v>
      </c>
      <c r="X36" s="266">
        <v>7.0</v>
      </c>
      <c r="Y36" s="267">
        <v>28.0</v>
      </c>
      <c r="Z36" s="265">
        <v>2006.0</v>
      </c>
      <c r="AA36" s="265">
        <v>512.0</v>
      </c>
      <c r="AB36" s="265">
        <v>1991.0</v>
      </c>
      <c r="AC36" s="267">
        <v>475.0</v>
      </c>
      <c r="AD36" s="66"/>
      <c r="AE36" s="66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17"/>
      <c r="BM36" s="17"/>
      <c r="BN36" s="17"/>
    </row>
    <row r="37">
      <c r="A37" s="56"/>
      <c r="B37" s="56"/>
      <c r="C37" s="56"/>
      <c r="D37" s="56"/>
      <c r="E37" s="48" t="s">
        <v>60</v>
      </c>
      <c r="F37" s="56"/>
      <c r="G37" s="56"/>
      <c r="H37" s="56"/>
      <c r="I37" s="179"/>
      <c r="J37" s="179"/>
      <c r="K37" s="177"/>
      <c r="L37" s="177"/>
      <c r="M37" s="177"/>
      <c r="N37" s="207">
        <v>90.0</v>
      </c>
      <c r="O37" s="207">
        <v>1134.0</v>
      </c>
      <c r="P37" s="207">
        <v>3.0</v>
      </c>
      <c r="Q37" s="207">
        <v>4.0</v>
      </c>
      <c r="R37" s="207">
        <v>124.0</v>
      </c>
      <c r="S37" s="207">
        <v>791.0</v>
      </c>
      <c r="T37" s="207">
        <v>6.0</v>
      </c>
      <c r="U37" s="268">
        <v>17.0</v>
      </c>
      <c r="V37" s="268">
        <v>6.0</v>
      </c>
      <c r="W37" s="268">
        <v>4.0</v>
      </c>
      <c r="X37" s="268">
        <v>24.0</v>
      </c>
      <c r="Y37" s="269">
        <v>7.0</v>
      </c>
      <c r="Z37" s="207">
        <v>1231.0</v>
      </c>
      <c r="AA37" s="207">
        <v>944.0</v>
      </c>
      <c r="AB37" s="207">
        <v>1224.0</v>
      </c>
      <c r="AC37" s="269">
        <v>921.0</v>
      </c>
      <c r="AD37" s="68"/>
      <c r="AE37" s="68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17"/>
      <c r="BM37" s="17"/>
      <c r="BN37" s="17"/>
    </row>
    <row r="38">
      <c r="A38" s="56"/>
      <c r="B38" s="56"/>
      <c r="C38" s="56"/>
      <c r="D38" s="56"/>
      <c r="E38" s="48" t="s">
        <v>61</v>
      </c>
      <c r="F38" s="56"/>
      <c r="G38" s="56"/>
      <c r="H38" s="56"/>
      <c r="I38" s="56"/>
      <c r="J38" s="56"/>
      <c r="K38" s="56"/>
      <c r="L38" s="56"/>
      <c r="M38" s="56"/>
      <c r="N38" s="70"/>
      <c r="O38" s="71"/>
      <c r="P38" s="71"/>
      <c r="Q38" s="69"/>
      <c r="R38" s="69"/>
      <c r="S38" s="69"/>
      <c r="T38" s="69"/>
      <c r="U38" s="72"/>
      <c r="V38" s="73"/>
      <c r="W38" s="72"/>
      <c r="X38" s="72"/>
      <c r="Y38" s="68"/>
      <c r="Z38" s="69">
        <v>433.0</v>
      </c>
      <c r="AA38" s="69">
        <v>297.0</v>
      </c>
      <c r="AB38" s="69"/>
      <c r="AC38" s="68"/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17"/>
      <c r="BM38" s="17"/>
      <c r="BN38" s="17"/>
    </row>
    <row r="39">
      <c r="A39" s="56"/>
      <c r="B39" s="56"/>
      <c r="C39" s="56"/>
      <c r="D39" s="56"/>
      <c r="E39" s="48" t="s">
        <v>62</v>
      </c>
      <c r="F39" s="56"/>
      <c r="G39" s="56"/>
      <c r="H39" s="56"/>
      <c r="I39" s="56"/>
      <c r="J39" s="56"/>
      <c r="K39" s="56"/>
      <c r="L39" s="56"/>
      <c r="M39" s="56"/>
      <c r="N39" s="70"/>
      <c r="O39" s="71"/>
      <c r="P39" s="71"/>
      <c r="Q39" s="69"/>
      <c r="R39" s="69"/>
      <c r="S39" s="69"/>
      <c r="T39" s="69"/>
      <c r="U39" s="72"/>
      <c r="V39" s="73"/>
      <c r="W39" s="72"/>
      <c r="X39" s="72"/>
      <c r="Y39" s="68"/>
      <c r="Z39" s="69">
        <v>834.0</v>
      </c>
      <c r="AA39" s="69">
        <v>751.0</v>
      </c>
      <c r="AB39" s="69"/>
      <c r="AC39" s="68"/>
      <c r="AD39" s="68"/>
      <c r="AE39" s="68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17"/>
      <c r="BM39" s="17"/>
      <c r="BN39" s="17"/>
    </row>
    <row r="40">
      <c r="A40" s="56"/>
      <c r="B40" s="56"/>
      <c r="C40" s="56"/>
      <c r="D40" s="56"/>
      <c r="E40" s="48" t="s">
        <v>63</v>
      </c>
      <c r="F40" s="56"/>
      <c r="G40" s="56"/>
      <c r="H40" s="56"/>
      <c r="I40" s="56"/>
      <c r="J40" s="56"/>
      <c r="K40" s="56"/>
      <c r="L40" s="56"/>
      <c r="M40" s="56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688.0</v>
      </c>
      <c r="AA40" s="69">
        <v>1040.0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17"/>
      <c r="BM40" s="17"/>
      <c r="BN40" s="17"/>
    </row>
    <row r="41">
      <c r="A41" s="56"/>
      <c r="B41" s="56"/>
      <c r="C41" s="56"/>
      <c r="D41" s="74"/>
      <c r="E41" s="48" t="s">
        <v>64</v>
      </c>
      <c r="F41" s="56"/>
      <c r="G41" s="56"/>
      <c r="H41" s="56"/>
      <c r="I41" s="56"/>
      <c r="J41" s="56"/>
      <c r="K41" s="56"/>
      <c r="L41" s="56"/>
      <c r="M41" s="74"/>
      <c r="N41" s="75"/>
      <c r="O41" s="60"/>
      <c r="P41" s="60"/>
      <c r="Q41" s="76"/>
      <c r="R41" s="76"/>
      <c r="S41" s="77"/>
      <c r="T41" s="77"/>
      <c r="U41" s="78"/>
      <c r="V41" s="79"/>
      <c r="W41" s="76"/>
      <c r="X41" s="76"/>
      <c r="Y41" s="80"/>
      <c r="Z41" s="76">
        <v>695.0</v>
      </c>
      <c r="AA41" s="76">
        <v>750.0</v>
      </c>
      <c r="AB41" s="76"/>
      <c r="AC41" s="80"/>
      <c r="AD41" s="80"/>
      <c r="AE41" s="80"/>
      <c r="AF41" s="48"/>
      <c r="AG41" s="48"/>
      <c r="AH41" s="48"/>
      <c r="AI41" s="48"/>
      <c r="AJ41" s="48"/>
      <c r="AK41" s="48"/>
      <c r="AL41" s="76"/>
      <c r="AM41" s="76"/>
      <c r="AN41" s="81"/>
      <c r="AO41" s="81"/>
      <c r="AP41" s="81"/>
      <c r="AQ41" s="80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17"/>
      <c r="BM41" s="17"/>
      <c r="BN41" s="17"/>
    </row>
    <row r="42">
      <c r="A42" s="56"/>
      <c r="B42" s="56"/>
      <c r="C42" s="56"/>
      <c r="D42" s="74"/>
      <c r="E42" s="48" t="s">
        <v>65</v>
      </c>
      <c r="F42" s="56"/>
      <c r="G42" s="56"/>
      <c r="H42" s="56"/>
      <c r="I42" s="56"/>
      <c r="J42" s="56"/>
      <c r="K42" s="56"/>
      <c r="L42" s="56"/>
      <c r="M42" s="74"/>
      <c r="N42" s="75"/>
      <c r="O42" s="60"/>
      <c r="P42" s="60"/>
      <c r="Q42" s="76"/>
      <c r="R42" s="76"/>
      <c r="S42" s="77"/>
      <c r="T42" s="77"/>
      <c r="U42" s="78"/>
      <c r="V42" s="79"/>
      <c r="W42" s="76"/>
      <c r="X42" s="76"/>
      <c r="Y42" s="80"/>
      <c r="Z42" s="76">
        <v>580.0</v>
      </c>
      <c r="AA42" s="76">
        <v>572.0</v>
      </c>
      <c r="AB42" s="76"/>
      <c r="AC42" s="80"/>
      <c r="AD42" s="80"/>
      <c r="AE42" s="80"/>
      <c r="AF42" s="48"/>
      <c r="AG42" s="48"/>
      <c r="AH42" s="48"/>
      <c r="AI42" s="48"/>
      <c r="AJ42" s="48"/>
      <c r="AK42" s="48"/>
      <c r="AL42" s="76"/>
      <c r="AM42" s="76"/>
      <c r="AN42" s="81"/>
      <c r="AO42" s="81"/>
      <c r="AP42" s="81"/>
      <c r="AQ42" s="80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17"/>
      <c r="BM42" s="17"/>
      <c r="BN42" s="17"/>
    </row>
    <row r="43">
      <c r="F43" s="270"/>
      <c r="G43" s="270"/>
      <c r="H43" s="270"/>
    </row>
    <row r="44">
      <c r="F44" s="270"/>
      <c r="G44" s="270"/>
      <c r="H44" s="270"/>
    </row>
    <row r="45">
      <c r="F45" s="270"/>
      <c r="G45" s="270"/>
      <c r="H45" s="270"/>
    </row>
    <row r="46">
      <c r="F46" s="270"/>
      <c r="G46" s="270"/>
      <c r="H46" s="270"/>
    </row>
    <row r="47">
      <c r="F47" s="270"/>
      <c r="G47" s="270"/>
      <c r="H47" s="270"/>
    </row>
    <row r="48">
      <c r="F48" s="270"/>
      <c r="G48" s="270"/>
      <c r="H48" s="270"/>
    </row>
    <row r="49">
      <c r="F49" s="270"/>
      <c r="G49" s="270"/>
      <c r="H49" s="270"/>
    </row>
    <row r="50">
      <c r="F50" s="270"/>
      <c r="G50" s="270"/>
      <c r="H50" s="270"/>
    </row>
    <row r="51">
      <c r="F51" s="270"/>
      <c r="G51" s="270"/>
      <c r="H51" s="270"/>
    </row>
    <row r="52">
      <c r="F52" s="270"/>
      <c r="G52" s="270"/>
      <c r="H52" s="270"/>
      <c r="U52" s="106" t="s">
        <v>151</v>
      </c>
    </row>
    <row r="53">
      <c r="F53" s="270"/>
      <c r="G53" s="270"/>
      <c r="H53" s="270"/>
    </row>
    <row r="54">
      <c r="F54" s="270"/>
      <c r="G54" s="270"/>
      <c r="H54" s="270"/>
    </row>
    <row r="55">
      <c r="F55" s="270"/>
      <c r="G55" s="270"/>
      <c r="H55" s="270"/>
    </row>
    <row r="56">
      <c r="F56" s="270"/>
      <c r="G56" s="270"/>
      <c r="H56" s="270"/>
    </row>
    <row r="57">
      <c r="F57" s="270"/>
      <c r="G57" s="270"/>
      <c r="H57" s="270"/>
    </row>
    <row r="58">
      <c r="F58" s="270"/>
      <c r="G58" s="270"/>
      <c r="H58" s="270"/>
    </row>
    <row r="59">
      <c r="F59" s="270"/>
      <c r="G59" s="270"/>
      <c r="H59" s="270"/>
    </row>
    <row r="60">
      <c r="F60" s="270"/>
      <c r="G60" s="270"/>
      <c r="H60" s="270"/>
    </row>
    <row r="61">
      <c r="F61" s="270"/>
      <c r="G61" s="270"/>
      <c r="H61" s="270"/>
    </row>
    <row r="62">
      <c r="F62" s="270"/>
      <c r="G62" s="270"/>
      <c r="H62" s="270"/>
    </row>
    <row r="63">
      <c r="F63" s="270"/>
      <c r="G63" s="270"/>
      <c r="H63" s="270"/>
    </row>
    <row r="64">
      <c r="F64" s="270"/>
      <c r="G64" s="270"/>
      <c r="H64" s="270"/>
    </row>
    <row r="65">
      <c r="F65" s="270"/>
      <c r="G65" s="270"/>
      <c r="H65" s="270"/>
    </row>
    <row r="66">
      <c r="F66" s="270"/>
      <c r="G66" s="270"/>
      <c r="H66" s="270"/>
    </row>
    <row r="67">
      <c r="F67" s="270"/>
      <c r="G67" s="270"/>
      <c r="H67" s="270"/>
    </row>
    <row r="68">
      <c r="F68" s="270"/>
      <c r="G68" s="270"/>
      <c r="H68" s="270"/>
    </row>
    <row r="69">
      <c r="F69" s="270"/>
      <c r="G69" s="270"/>
      <c r="H69" s="270"/>
    </row>
    <row r="70">
      <c r="F70" s="270"/>
      <c r="G70" s="270"/>
      <c r="H70" s="270"/>
    </row>
    <row r="71">
      <c r="F71" s="270"/>
      <c r="G71" s="270"/>
      <c r="H71" s="270"/>
    </row>
    <row r="72">
      <c r="F72" s="270"/>
      <c r="G72" s="270"/>
      <c r="H72" s="270"/>
    </row>
    <row r="73">
      <c r="F73" s="270"/>
      <c r="G73" s="270"/>
      <c r="H73" s="270"/>
    </row>
    <row r="74">
      <c r="F74" s="270"/>
      <c r="G74" s="270"/>
      <c r="H74" s="270"/>
    </row>
    <row r="75">
      <c r="F75" s="270"/>
      <c r="G75" s="270"/>
      <c r="H75" s="270"/>
    </row>
    <row r="76">
      <c r="F76" s="270"/>
      <c r="G76" s="270"/>
      <c r="H76" s="270"/>
    </row>
    <row r="77">
      <c r="F77" s="270"/>
      <c r="G77" s="270"/>
      <c r="H77" s="270"/>
    </row>
    <row r="78">
      <c r="F78" s="270"/>
      <c r="G78" s="270"/>
      <c r="H78" s="270"/>
    </row>
    <row r="79">
      <c r="F79" s="270"/>
      <c r="G79" s="270"/>
      <c r="H79" s="270"/>
    </row>
    <row r="80">
      <c r="F80" s="270"/>
      <c r="G80" s="270"/>
      <c r="H80" s="270"/>
    </row>
    <row r="81">
      <c r="F81" s="270"/>
      <c r="G81" s="270"/>
      <c r="H81" s="270"/>
    </row>
    <row r="82">
      <c r="F82" s="270"/>
      <c r="G82" s="270"/>
      <c r="H82" s="270"/>
    </row>
    <row r="83">
      <c r="F83" s="270"/>
      <c r="G83" s="270"/>
      <c r="H83" s="270"/>
    </row>
    <row r="84">
      <c r="F84" s="270"/>
      <c r="G84" s="270"/>
      <c r="H84" s="270"/>
    </row>
    <row r="85">
      <c r="F85" s="270"/>
      <c r="G85" s="270"/>
      <c r="H85" s="270"/>
    </row>
    <row r="86">
      <c r="F86" s="270"/>
      <c r="G86" s="270"/>
      <c r="H86" s="270"/>
    </row>
    <row r="87">
      <c r="F87" s="270"/>
      <c r="G87" s="270"/>
      <c r="H87" s="270"/>
    </row>
    <row r="88">
      <c r="F88" s="270"/>
      <c r="G88" s="270"/>
      <c r="H88" s="270"/>
    </row>
    <row r="89">
      <c r="F89" s="270"/>
      <c r="G89" s="270"/>
      <c r="H89" s="270"/>
    </row>
    <row r="90">
      <c r="F90" s="270"/>
      <c r="G90" s="270"/>
      <c r="H90" s="270"/>
    </row>
    <row r="91">
      <c r="F91" s="270"/>
      <c r="G91" s="270"/>
      <c r="H91" s="270"/>
    </row>
    <row r="92">
      <c r="F92" s="270"/>
      <c r="G92" s="270"/>
      <c r="H92" s="270"/>
    </row>
    <row r="93">
      <c r="F93" s="270"/>
      <c r="G93" s="270"/>
      <c r="H93" s="270"/>
    </row>
    <row r="94">
      <c r="F94" s="270"/>
      <c r="G94" s="270"/>
      <c r="H94" s="270"/>
    </row>
    <row r="95">
      <c r="F95" s="270"/>
      <c r="G95" s="270"/>
      <c r="H95" s="270"/>
    </row>
    <row r="96">
      <c r="F96" s="270"/>
      <c r="G96" s="270"/>
      <c r="H96" s="270"/>
    </row>
    <row r="97">
      <c r="F97" s="270"/>
      <c r="G97" s="270"/>
      <c r="H97" s="270"/>
    </row>
    <row r="98">
      <c r="F98" s="270"/>
      <c r="G98" s="270"/>
      <c r="H98" s="270"/>
    </row>
    <row r="99">
      <c r="F99" s="270"/>
      <c r="G99" s="270"/>
      <c r="H99" s="270"/>
    </row>
    <row r="100">
      <c r="F100" s="270"/>
      <c r="G100" s="270"/>
      <c r="H100" s="270"/>
    </row>
    <row r="101">
      <c r="F101" s="270"/>
      <c r="G101" s="270"/>
      <c r="H101" s="270"/>
    </row>
    <row r="102">
      <c r="F102" s="270"/>
      <c r="G102" s="270"/>
      <c r="H102" s="270"/>
    </row>
    <row r="103">
      <c r="F103" s="270"/>
      <c r="G103" s="270"/>
      <c r="H103" s="270"/>
    </row>
    <row r="104">
      <c r="F104" s="270"/>
      <c r="G104" s="270"/>
      <c r="H104" s="270"/>
    </row>
    <row r="105">
      <c r="F105" s="270"/>
      <c r="G105" s="270"/>
      <c r="H105" s="270"/>
    </row>
    <row r="106">
      <c r="F106" s="270"/>
      <c r="G106" s="270"/>
      <c r="H106" s="270"/>
    </row>
    <row r="107">
      <c r="F107" s="270"/>
      <c r="G107" s="270"/>
      <c r="H107" s="270"/>
    </row>
    <row r="108">
      <c r="F108" s="270"/>
      <c r="G108" s="270"/>
      <c r="H108" s="270"/>
    </row>
    <row r="109">
      <c r="F109" s="270"/>
      <c r="G109" s="270"/>
      <c r="H109" s="270"/>
    </row>
    <row r="110">
      <c r="F110" s="270"/>
      <c r="G110" s="270"/>
      <c r="H110" s="270"/>
    </row>
    <row r="111">
      <c r="F111" s="270"/>
      <c r="G111" s="270"/>
      <c r="H111" s="270"/>
    </row>
    <row r="112">
      <c r="F112" s="270"/>
      <c r="G112" s="270"/>
      <c r="H112" s="270"/>
    </row>
    <row r="113">
      <c r="F113" s="270"/>
      <c r="G113" s="270"/>
      <c r="H113" s="270"/>
    </row>
    <row r="114">
      <c r="F114" s="270"/>
      <c r="G114" s="270"/>
      <c r="H114" s="270"/>
    </row>
    <row r="115">
      <c r="F115" s="270"/>
      <c r="G115" s="270"/>
      <c r="H115" s="270"/>
    </row>
    <row r="116">
      <c r="F116" s="270"/>
      <c r="G116" s="270"/>
      <c r="H116" s="270"/>
    </row>
    <row r="117">
      <c r="F117" s="270"/>
      <c r="G117" s="270"/>
      <c r="H117" s="270"/>
    </row>
    <row r="118">
      <c r="F118" s="270"/>
      <c r="G118" s="270"/>
      <c r="H118" s="270"/>
    </row>
    <row r="119">
      <c r="F119" s="270"/>
      <c r="G119" s="270"/>
      <c r="H119" s="270"/>
    </row>
    <row r="120">
      <c r="F120" s="270"/>
      <c r="G120" s="270"/>
      <c r="H120" s="270"/>
    </row>
    <row r="121">
      <c r="F121" s="270"/>
      <c r="G121" s="270"/>
      <c r="H121" s="270"/>
    </row>
    <row r="122">
      <c r="F122" s="270"/>
      <c r="G122" s="270"/>
      <c r="H122" s="270"/>
    </row>
    <row r="123">
      <c r="F123" s="270"/>
      <c r="G123" s="270"/>
      <c r="H123" s="270"/>
    </row>
    <row r="124">
      <c r="F124" s="270"/>
      <c r="G124" s="270"/>
      <c r="H124" s="270"/>
    </row>
    <row r="125">
      <c r="F125" s="270"/>
      <c r="G125" s="270"/>
      <c r="H125" s="270"/>
    </row>
    <row r="126">
      <c r="F126" s="270"/>
      <c r="G126" s="270"/>
      <c r="H126" s="270"/>
    </row>
    <row r="127">
      <c r="F127" s="270"/>
      <c r="G127" s="270"/>
      <c r="H127" s="270"/>
    </row>
    <row r="128">
      <c r="F128" s="270"/>
      <c r="G128" s="270"/>
      <c r="H128" s="270"/>
    </row>
    <row r="129">
      <c r="F129" s="270"/>
      <c r="G129" s="270"/>
      <c r="H129" s="270"/>
    </row>
    <row r="130">
      <c r="F130" s="270"/>
      <c r="G130" s="270"/>
      <c r="H130" s="270"/>
    </row>
    <row r="131">
      <c r="F131" s="270"/>
      <c r="G131" s="270"/>
      <c r="H131" s="270"/>
    </row>
    <row r="132">
      <c r="F132" s="270"/>
      <c r="G132" s="270"/>
      <c r="H132" s="270"/>
    </row>
    <row r="133">
      <c r="F133" s="270"/>
      <c r="G133" s="270"/>
      <c r="H133" s="270"/>
    </row>
    <row r="134">
      <c r="F134" s="270"/>
      <c r="G134" s="270"/>
      <c r="H134" s="270"/>
    </row>
    <row r="135">
      <c r="F135" s="270"/>
      <c r="G135" s="270"/>
      <c r="H135" s="270"/>
    </row>
    <row r="136">
      <c r="F136" s="270"/>
      <c r="G136" s="270"/>
      <c r="H136" s="270"/>
    </row>
    <row r="137">
      <c r="F137" s="270"/>
      <c r="G137" s="270"/>
      <c r="H137" s="270"/>
    </row>
    <row r="138">
      <c r="F138" s="270"/>
      <c r="G138" s="270"/>
      <c r="H138" s="270"/>
    </row>
    <row r="139">
      <c r="F139" s="270"/>
      <c r="G139" s="270"/>
      <c r="H139" s="270"/>
    </row>
    <row r="140">
      <c r="F140" s="270"/>
      <c r="G140" s="270"/>
      <c r="H140" s="270"/>
    </row>
    <row r="141">
      <c r="F141" s="270"/>
      <c r="G141" s="270"/>
      <c r="H141" s="270"/>
    </row>
    <row r="142">
      <c r="F142" s="270"/>
      <c r="G142" s="270"/>
      <c r="H142" s="270"/>
    </row>
    <row r="143">
      <c r="F143" s="270"/>
      <c r="G143" s="270"/>
      <c r="H143" s="270"/>
    </row>
    <row r="144">
      <c r="F144" s="270"/>
      <c r="G144" s="270"/>
      <c r="H144" s="270"/>
    </row>
    <row r="145">
      <c r="F145" s="270"/>
      <c r="G145" s="270"/>
      <c r="H145" s="270"/>
    </row>
    <row r="146">
      <c r="F146" s="270"/>
      <c r="G146" s="270"/>
      <c r="H146" s="270"/>
    </row>
    <row r="147">
      <c r="F147" s="270"/>
      <c r="G147" s="270"/>
      <c r="H147" s="270"/>
    </row>
    <row r="148">
      <c r="F148" s="270"/>
      <c r="G148" s="270"/>
      <c r="H148" s="270"/>
    </row>
    <row r="149">
      <c r="F149" s="270"/>
      <c r="G149" s="270"/>
      <c r="H149" s="270"/>
    </row>
    <row r="150">
      <c r="F150" s="270"/>
      <c r="G150" s="270"/>
      <c r="H150" s="270"/>
    </row>
    <row r="151">
      <c r="F151" s="270"/>
      <c r="G151" s="270"/>
      <c r="H151" s="270"/>
    </row>
    <row r="152">
      <c r="F152" s="270"/>
      <c r="G152" s="270"/>
      <c r="H152" s="270"/>
    </row>
    <row r="153">
      <c r="F153" s="270"/>
      <c r="G153" s="270"/>
      <c r="H153" s="270"/>
    </row>
    <row r="154">
      <c r="F154" s="270"/>
      <c r="G154" s="270"/>
      <c r="H154" s="270"/>
    </row>
    <row r="155">
      <c r="F155" s="270"/>
      <c r="G155" s="270"/>
      <c r="H155" s="270"/>
    </row>
    <row r="156">
      <c r="F156" s="270"/>
      <c r="G156" s="270"/>
      <c r="H156" s="270"/>
    </row>
    <row r="157">
      <c r="F157" s="270"/>
      <c r="G157" s="270"/>
      <c r="H157" s="270"/>
    </row>
    <row r="158">
      <c r="F158" s="270"/>
      <c r="G158" s="270"/>
      <c r="H158" s="270"/>
    </row>
    <row r="159">
      <c r="F159" s="270"/>
      <c r="G159" s="270"/>
      <c r="H159" s="270"/>
    </row>
    <row r="160">
      <c r="F160" s="270"/>
      <c r="G160" s="270"/>
      <c r="H160" s="270"/>
    </row>
    <row r="161">
      <c r="F161" s="270"/>
      <c r="G161" s="270"/>
      <c r="H161" s="270"/>
    </row>
    <row r="162">
      <c r="F162" s="270"/>
      <c r="G162" s="270"/>
      <c r="H162" s="270"/>
    </row>
    <row r="163">
      <c r="F163" s="270"/>
      <c r="G163" s="270"/>
      <c r="H163" s="270"/>
    </row>
    <row r="164">
      <c r="F164" s="270"/>
      <c r="G164" s="270"/>
      <c r="H164" s="270"/>
    </row>
    <row r="165">
      <c r="F165" s="270"/>
      <c r="G165" s="270"/>
      <c r="H165" s="270"/>
    </row>
    <row r="166">
      <c r="F166" s="270"/>
      <c r="G166" s="270"/>
      <c r="H166" s="270"/>
    </row>
    <row r="167">
      <c r="F167" s="270"/>
      <c r="G167" s="270"/>
      <c r="H167" s="270"/>
    </row>
    <row r="168">
      <c r="F168" s="270"/>
      <c r="G168" s="270"/>
      <c r="H168" s="270"/>
    </row>
    <row r="169">
      <c r="F169" s="270"/>
      <c r="G169" s="270"/>
      <c r="H169" s="270"/>
    </row>
    <row r="170">
      <c r="F170" s="270"/>
      <c r="G170" s="270"/>
      <c r="H170" s="270"/>
    </row>
    <row r="171">
      <c r="F171" s="270"/>
      <c r="G171" s="270"/>
      <c r="H171" s="270"/>
    </row>
    <row r="172">
      <c r="F172" s="270"/>
      <c r="G172" s="270"/>
      <c r="H172" s="270"/>
    </row>
    <row r="173">
      <c r="F173" s="270"/>
      <c r="G173" s="270"/>
      <c r="H173" s="270"/>
    </row>
    <row r="174">
      <c r="F174" s="270"/>
      <c r="G174" s="270"/>
      <c r="H174" s="270"/>
    </row>
    <row r="175">
      <c r="F175" s="270"/>
      <c r="G175" s="270"/>
      <c r="H175" s="270"/>
    </row>
    <row r="176">
      <c r="F176" s="270"/>
      <c r="G176" s="270"/>
      <c r="H176" s="270"/>
    </row>
    <row r="177">
      <c r="F177" s="270"/>
      <c r="G177" s="270"/>
      <c r="H177" s="270"/>
    </row>
    <row r="178">
      <c r="F178" s="270"/>
      <c r="G178" s="270"/>
      <c r="H178" s="270"/>
    </row>
    <row r="179">
      <c r="F179" s="270"/>
      <c r="G179" s="270"/>
      <c r="H179" s="270"/>
    </row>
    <row r="180">
      <c r="F180" s="270"/>
      <c r="G180" s="270"/>
      <c r="H180" s="270"/>
    </row>
    <row r="181">
      <c r="F181" s="270"/>
      <c r="G181" s="270"/>
      <c r="H181" s="270"/>
    </row>
    <row r="182">
      <c r="F182" s="270"/>
      <c r="G182" s="270"/>
      <c r="H182" s="270"/>
    </row>
    <row r="183">
      <c r="F183" s="270"/>
      <c r="G183" s="270"/>
      <c r="H183" s="270"/>
    </row>
    <row r="184">
      <c r="F184" s="270"/>
      <c r="G184" s="270"/>
      <c r="H184" s="270"/>
    </row>
    <row r="185">
      <c r="F185" s="270"/>
      <c r="G185" s="270"/>
      <c r="H185" s="270"/>
    </row>
    <row r="186">
      <c r="F186" s="270"/>
      <c r="G186" s="270"/>
      <c r="H186" s="270"/>
    </row>
    <row r="187">
      <c r="F187" s="270"/>
      <c r="G187" s="270"/>
      <c r="H187" s="270"/>
    </row>
    <row r="188">
      <c r="F188" s="270"/>
      <c r="G188" s="270"/>
      <c r="H188" s="270"/>
    </row>
    <row r="189">
      <c r="F189" s="270"/>
      <c r="G189" s="270"/>
      <c r="H189" s="270"/>
    </row>
    <row r="190">
      <c r="F190" s="270"/>
      <c r="G190" s="270"/>
      <c r="H190" s="270"/>
    </row>
    <row r="191">
      <c r="F191" s="270"/>
      <c r="G191" s="270"/>
      <c r="H191" s="270"/>
    </row>
    <row r="192">
      <c r="F192" s="270"/>
      <c r="G192" s="270"/>
      <c r="H192" s="270"/>
    </row>
    <row r="193">
      <c r="F193" s="270"/>
      <c r="G193" s="270"/>
      <c r="H193" s="270"/>
    </row>
    <row r="194">
      <c r="F194" s="270"/>
      <c r="G194" s="270"/>
      <c r="H194" s="270"/>
    </row>
    <row r="195">
      <c r="F195" s="270"/>
      <c r="G195" s="270"/>
      <c r="H195" s="270"/>
    </row>
    <row r="196">
      <c r="F196" s="270"/>
      <c r="G196" s="270"/>
      <c r="H196" s="270"/>
    </row>
    <row r="197">
      <c r="F197" s="270"/>
      <c r="G197" s="270"/>
      <c r="H197" s="270"/>
    </row>
    <row r="198">
      <c r="F198" s="270"/>
      <c r="G198" s="270"/>
      <c r="H198" s="270"/>
    </row>
    <row r="199">
      <c r="F199" s="270"/>
      <c r="G199" s="270"/>
      <c r="H199" s="270"/>
    </row>
    <row r="200">
      <c r="F200" s="270"/>
      <c r="G200" s="270"/>
      <c r="H200" s="270"/>
    </row>
    <row r="201">
      <c r="F201" s="270"/>
      <c r="G201" s="270"/>
      <c r="H201" s="270"/>
    </row>
    <row r="202">
      <c r="F202" s="270"/>
      <c r="G202" s="270"/>
      <c r="H202" s="270"/>
    </row>
    <row r="203">
      <c r="F203" s="270"/>
      <c r="G203" s="270"/>
      <c r="H203" s="270"/>
    </row>
    <row r="204">
      <c r="F204" s="270"/>
      <c r="G204" s="270"/>
      <c r="H204" s="270"/>
    </row>
    <row r="205">
      <c r="F205" s="270"/>
      <c r="G205" s="270"/>
      <c r="H205" s="270"/>
    </row>
    <row r="206">
      <c r="F206" s="270"/>
      <c r="G206" s="270"/>
      <c r="H206" s="270"/>
    </row>
    <row r="207">
      <c r="F207" s="270"/>
      <c r="G207" s="270"/>
      <c r="H207" s="270"/>
    </row>
    <row r="208">
      <c r="F208" s="270"/>
      <c r="G208" s="270"/>
      <c r="H208" s="270"/>
    </row>
    <row r="209">
      <c r="F209" s="270"/>
      <c r="G209" s="270"/>
      <c r="H209" s="270"/>
    </row>
    <row r="210">
      <c r="F210" s="270"/>
      <c r="G210" s="270"/>
      <c r="H210" s="270"/>
    </row>
    <row r="211">
      <c r="F211" s="270"/>
      <c r="G211" s="270"/>
      <c r="H211" s="270"/>
    </row>
    <row r="212">
      <c r="F212" s="270"/>
      <c r="G212" s="270"/>
      <c r="H212" s="270"/>
    </row>
    <row r="213">
      <c r="F213" s="270"/>
      <c r="G213" s="270"/>
      <c r="H213" s="270"/>
    </row>
    <row r="214">
      <c r="F214" s="270"/>
      <c r="G214" s="270"/>
      <c r="H214" s="270"/>
    </row>
    <row r="215">
      <c r="F215" s="270"/>
      <c r="G215" s="270"/>
      <c r="H215" s="270"/>
    </row>
    <row r="216">
      <c r="F216" s="270"/>
      <c r="G216" s="270"/>
      <c r="H216" s="270"/>
    </row>
    <row r="217">
      <c r="F217" s="270"/>
      <c r="G217" s="270"/>
      <c r="H217" s="270"/>
    </row>
    <row r="218">
      <c r="F218" s="270"/>
      <c r="G218" s="270"/>
      <c r="H218" s="270"/>
    </row>
    <row r="219">
      <c r="F219" s="270"/>
      <c r="G219" s="270"/>
      <c r="H219" s="270"/>
    </row>
    <row r="220">
      <c r="F220" s="270"/>
      <c r="G220" s="270"/>
      <c r="H220" s="270"/>
    </row>
    <row r="221">
      <c r="F221" s="270"/>
      <c r="G221" s="270"/>
      <c r="H221" s="270"/>
    </row>
    <row r="222">
      <c r="F222" s="270"/>
      <c r="G222" s="270"/>
      <c r="H222" s="270"/>
    </row>
    <row r="223">
      <c r="F223" s="270"/>
      <c r="G223" s="270"/>
      <c r="H223" s="270"/>
    </row>
    <row r="224">
      <c r="F224" s="270"/>
      <c r="G224" s="270"/>
      <c r="H224" s="270"/>
    </row>
    <row r="225">
      <c r="F225" s="270"/>
      <c r="G225" s="270"/>
      <c r="H225" s="270"/>
    </row>
    <row r="226">
      <c r="F226" s="270"/>
      <c r="G226" s="270"/>
      <c r="H226" s="270"/>
    </row>
    <row r="227">
      <c r="F227" s="270"/>
      <c r="G227" s="270"/>
      <c r="H227" s="270"/>
    </row>
    <row r="228">
      <c r="F228" s="270"/>
      <c r="G228" s="270"/>
      <c r="H228" s="270"/>
    </row>
    <row r="229">
      <c r="F229" s="270"/>
      <c r="G229" s="270"/>
      <c r="H229" s="270"/>
    </row>
    <row r="230">
      <c r="F230" s="270"/>
      <c r="G230" s="270"/>
      <c r="H230" s="270"/>
    </row>
    <row r="231">
      <c r="F231" s="270"/>
      <c r="G231" s="270"/>
      <c r="H231" s="270"/>
    </row>
    <row r="232">
      <c r="F232" s="270"/>
      <c r="G232" s="270"/>
      <c r="H232" s="270"/>
    </row>
    <row r="233">
      <c r="F233" s="270"/>
      <c r="G233" s="270"/>
      <c r="H233" s="270"/>
    </row>
    <row r="234">
      <c r="F234" s="270"/>
      <c r="G234" s="270"/>
      <c r="H234" s="270"/>
    </row>
    <row r="235">
      <c r="F235" s="270"/>
      <c r="G235" s="270"/>
      <c r="H235" s="270"/>
    </row>
    <row r="236">
      <c r="F236" s="270"/>
      <c r="G236" s="270"/>
      <c r="H236" s="270"/>
    </row>
    <row r="237">
      <c r="F237" s="270"/>
      <c r="G237" s="270"/>
      <c r="H237" s="270"/>
    </row>
    <row r="238">
      <c r="F238" s="270"/>
      <c r="G238" s="270"/>
      <c r="H238" s="270"/>
    </row>
    <row r="239">
      <c r="F239" s="270"/>
      <c r="G239" s="270"/>
      <c r="H239" s="270"/>
    </row>
    <row r="240">
      <c r="F240" s="270"/>
      <c r="G240" s="270"/>
      <c r="H240" s="270"/>
    </row>
    <row r="241">
      <c r="F241" s="270"/>
      <c r="G241" s="270"/>
      <c r="H241" s="270"/>
    </row>
    <row r="242">
      <c r="F242" s="270"/>
      <c r="G242" s="270"/>
      <c r="H242" s="270"/>
    </row>
    <row r="243">
      <c r="F243" s="270"/>
      <c r="G243" s="270"/>
      <c r="H243" s="270"/>
    </row>
    <row r="244">
      <c r="F244" s="270"/>
      <c r="G244" s="270"/>
      <c r="H244" s="270"/>
    </row>
    <row r="245">
      <c r="F245" s="270"/>
      <c r="G245" s="270"/>
      <c r="H245" s="270"/>
    </row>
    <row r="246">
      <c r="F246" s="270"/>
      <c r="G246" s="270"/>
      <c r="H246" s="270"/>
    </row>
    <row r="247">
      <c r="F247" s="270"/>
      <c r="G247" s="270"/>
      <c r="H247" s="270"/>
    </row>
    <row r="248">
      <c r="F248" s="270"/>
      <c r="G248" s="270"/>
      <c r="H248" s="270"/>
    </row>
    <row r="249">
      <c r="F249" s="270"/>
      <c r="G249" s="270"/>
      <c r="H249" s="270"/>
    </row>
    <row r="250">
      <c r="F250" s="270"/>
      <c r="G250" s="270"/>
      <c r="H250" s="270"/>
    </row>
    <row r="251">
      <c r="F251" s="270"/>
      <c r="G251" s="270"/>
      <c r="H251" s="270"/>
    </row>
    <row r="252">
      <c r="F252" s="270"/>
      <c r="G252" s="270"/>
      <c r="H252" s="270"/>
    </row>
    <row r="253">
      <c r="F253" s="270"/>
      <c r="G253" s="270"/>
      <c r="H253" s="270"/>
    </row>
    <row r="254">
      <c r="F254" s="270"/>
      <c r="G254" s="270"/>
      <c r="H254" s="270"/>
    </row>
    <row r="255">
      <c r="F255" s="270"/>
      <c r="G255" s="270"/>
      <c r="H255" s="270"/>
    </row>
    <row r="256">
      <c r="F256" s="270"/>
      <c r="G256" s="270"/>
      <c r="H256" s="270"/>
    </row>
    <row r="257">
      <c r="F257" s="270"/>
      <c r="G257" s="270"/>
      <c r="H257" s="270"/>
    </row>
    <row r="258">
      <c r="F258" s="270"/>
      <c r="G258" s="270"/>
      <c r="H258" s="270"/>
    </row>
    <row r="259">
      <c r="F259" s="270"/>
      <c r="G259" s="270"/>
      <c r="H259" s="270"/>
    </row>
    <row r="260">
      <c r="F260" s="270"/>
      <c r="G260" s="270"/>
      <c r="H260" s="270"/>
    </row>
    <row r="261">
      <c r="F261" s="270"/>
      <c r="G261" s="270"/>
      <c r="H261" s="270"/>
    </row>
    <row r="262">
      <c r="F262" s="270"/>
      <c r="G262" s="270"/>
      <c r="H262" s="270"/>
    </row>
    <row r="263">
      <c r="F263" s="270"/>
      <c r="G263" s="270"/>
      <c r="H263" s="270"/>
    </row>
    <row r="264">
      <c r="F264" s="270"/>
      <c r="G264" s="270"/>
      <c r="H264" s="270"/>
    </row>
    <row r="265">
      <c r="F265" s="270"/>
      <c r="G265" s="270"/>
      <c r="H265" s="270"/>
    </row>
    <row r="266">
      <c r="F266" s="270"/>
      <c r="G266" s="270"/>
      <c r="H266" s="270"/>
    </row>
    <row r="267">
      <c r="F267" s="270"/>
      <c r="G267" s="270"/>
      <c r="H267" s="270"/>
    </row>
    <row r="268">
      <c r="F268" s="270"/>
      <c r="G268" s="270"/>
      <c r="H268" s="270"/>
    </row>
    <row r="269">
      <c r="F269" s="270"/>
      <c r="G269" s="270"/>
      <c r="H269" s="270"/>
    </row>
    <row r="270">
      <c r="F270" s="270"/>
      <c r="G270" s="270"/>
      <c r="H270" s="270"/>
    </row>
    <row r="271">
      <c r="F271" s="270"/>
      <c r="G271" s="270"/>
      <c r="H271" s="270"/>
    </row>
    <row r="272">
      <c r="F272" s="270"/>
      <c r="G272" s="270"/>
      <c r="H272" s="270"/>
    </row>
    <row r="273">
      <c r="F273" s="270"/>
      <c r="G273" s="270"/>
      <c r="H273" s="270"/>
    </row>
    <row r="274">
      <c r="F274" s="270"/>
      <c r="G274" s="270"/>
      <c r="H274" s="270"/>
    </row>
    <row r="275">
      <c r="F275" s="270"/>
      <c r="G275" s="270"/>
      <c r="H275" s="270"/>
    </row>
    <row r="276">
      <c r="F276" s="270"/>
      <c r="G276" s="270"/>
      <c r="H276" s="270"/>
    </row>
    <row r="277">
      <c r="F277" s="270"/>
      <c r="G277" s="270"/>
      <c r="H277" s="270"/>
    </row>
    <row r="278">
      <c r="F278" s="270"/>
      <c r="G278" s="270"/>
      <c r="H278" s="270"/>
    </row>
    <row r="279">
      <c r="F279" s="270"/>
      <c r="G279" s="270"/>
      <c r="H279" s="270"/>
    </row>
    <row r="280">
      <c r="F280" s="270"/>
      <c r="G280" s="270"/>
      <c r="H280" s="270"/>
    </row>
    <row r="281">
      <c r="F281" s="270"/>
      <c r="G281" s="270"/>
      <c r="H281" s="270"/>
    </row>
    <row r="282">
      <c r="F282" s="270"/>
      <c r="G282" s="270"/>
      <c r="H282" s="270"/>
    </row>
    <row r="283">
      <c r="F283" s="270"/>
      <c r="G283" s="270"/>
      <c r="H283" s="270"/>
    </row>
    <row r="284">
      <c r="F284" s="270"/>
      <c r="G284" s="270"/>
      <c r="H284" s="270"/>
    </row>
    <row r="285">
      <c r="F285" s="270"/>
      <c r="G285" s="270"/>
      <c r="H285" s="270"/>
    </row>
    <row r="286">
      <c r="F286" s="270"/>
      <c r="G286" s="270"/>
      <c r="H286" s="270"/>
    </row>
    <row r="287">
      <c r="F287" s="270"/>
      <c r="G287" s="270"/>
      <c r="H287" s="270"/>
    </row>
    <row r="288">
      <c r="F288" s="270"/>
      <c r="G288" s="270"/>
      <c r="H288" s="270"/>
    </row>
    <row r="289">
      <c r="F289" s="270"/>
      <c r="G289" s="270"/>
      <c r="H289" s="270"/>
    </row>
    <row r="290">
      <c r="F290" s="270"/>
      <c r="G290" s="270"/>
      <c r="H290" s="270"/>
    </row>
    <row r="291">
      <c r="F291" s="270"/>
      <c r="G291" s="270"/>
      <c r="H291" s="270"/>
    </row>
    <row r="292">
      <c r="F292" s="270"/>
      <c r="G292" s="270"/>
      <c r="H292" s="270"/>
    </row>
    <row r="293">
      <c r="F293" s="270"/>
      <c r="G293" s="270"/>
      <c r="H293" s="270"/>
    </row>
    <row r="294">
      <c r="F294" s="270"/>
      <c r="G294" s="270"/>
      <c r="H294" s="270"/>
    </row>
    <row r="295">
      <c r="F295" s="270"/>
      <c r="G295" s="270"/>
      <c r="H295" s="270"/>
    </row>
    <row r="296">
      <c r="F296" s="270"/>
      <c r="G296" s="270"/>
      <c r="H296" s="270"/>
    </row>
    <row r="297">
      <c r="F297" s="270"/>
      <c r="G297" s="270"/>
      <c r="H297" s="270"/>
    </row>
    <row r="298">
      <c r="F298" s="270"/>
      <c r="G298" s="270"/>
      <c r="H298" s="270"/>
    </row>
    <row r="299">
      <c r="F299" s="270"/>
      <c r="G299" s="270"/>
      <c r="H299" s="270"/>
    </row>
    <row r="300">
      <c r="F300" s="270"/>
      <c r="G300" s="270"/>
      <c r="H300" s="270"/>
    </row>
    <row r="301">
      <c r="F301" s="270"/>
      <c r="G301" s="270"/>
      <c r="H301" s="270"/>
    </row>
    <row r="302">
      <c r="F302" s="270"/>
      <c r="G302" s="270"/>
      <c r="H302" s="270"/>
    </row>
    <row r="303">
      <c r="F303" s="270"/>
      <c r="G303" s="270"/>
      <c r="H303" s="270"/>
    </row>
    <row r="304">
      <c r="F304" s="270"/>
      <c r="G304" s="270"/>
      <c r="H304" s="270"/>
    </row>
    <row r="305">
      <c r="F305" s="270"/>
      <c r="G305" s="270"/>
      <c r="H305" s="270"/>
    </row>
    <row r="306">
      <c r="F306" s="270"/>
      <c r="G306" s="270"/>
      <c r="H306" s="270"/>
    </row>
    <row r="307">
      <c r="F307" s="270"/>
      <c r="G307" s="270"/>
      <c r="H307" s="270"/>
    </row>
    <row r="308">
      <c r="F308" s="270"/>
      <c r="G308" s="270"/>
      <c r="H308" s="270"/>
    </row>
    <row r="309">
      <c r="F309" s="270"/>
      <c r="G309" s="270"/>
      <c r="H309" s="270"/>
    </row>
    <row r="310">
      <c r="F310" s="270"/>
      <c r="G310" s="270"/>
      <c r="H310" s="270"/>
    </row>
    <row r="311">
      <c r="F311" s="270"/>
      <c r="G311" s="270"/>
      <c r="H311" s="270"/>
    </row>
    <row r="312">
      <c r="F312" s="270"/>
      <c r="G312" s="270"/>
      <c r="H312" s="270"/>
    </row>
    <row r="313">
      <c r="F313" s="270"/>
      <c r="G313" s="270"/>
      <c r="H313" s="270"/>
    </row>
    <row r="314">
      <c r="F314" s="270"/>
      <c r="G314" s="270"/>
      <c r="H314" s="270"/>
    </row>
    <row r="315">
      <c r="F315" s="270"/>
      <c r="G315" s="270"/>
      <c r="H315" s="270"/>
    </row>
    <row r="316">
      <c r="F316" s="270"/>
      <c r="G316" s="270"/>
      <c r="H316" s="270"/>
    </row>
    <row r="317">
      <c r="F317" s="270"/>
      <c r="G317" s="270"/>
      <c r="H317" s="270"/>
    </row>
    <row r="318">
      <c r="F318" s="270"/>
      <c r="G318" s="270"/>
      <c r="H318" s="270"/>
    </row>
    <row r="319">
      <c r="F319" s="270"/>
      <c r="G319" s="270"/>
      <c r="H319" s="270"/>
    </row>
    <row r="320">
      <c r="F320" s="270"/>
      <c r="G320" s="270"/>
      <c r="H320" s="270"/>
    </row>
    <row r="321">
      <c r="F321" s="270"/>
      <c r="G321" s="270"/>
      <c r="H321" s="270"/>
    </row>
    <row r="322">
      <c r="F322" s="270"/>
      <c r="G322" s="270"/>
      <c r="H322" s="270"/>
    </row>
    <row r="323">
      <c r="F323" s="270"/>
      <c r="G323" s="270"/>
      <c r="H323" s="270"/>
    </row>
    <row r="324">
      <c r="F324" s="270"/>
      <c r="G324" s="270"/>
      <c r="H324" s="270"/>
    </row>
    <row r="325">
      <c r="F325" s="270"/>
      <c r="G325" s="270"/>
      <c r="H325" s="270"/>
    </row>
    <row r="326">
      <c r="F326" s="270"/>
      <c r="G326" s="270"/>
      <c r="H326" s="270"/>
    </row>
    <row r="327">
      <c r="F327" s="270"/>
      <c r="G327" s="270"/>
      <c r="H327" s="270"/>
    </row>
    <row r="328">
      <c r="F328" s="270"/>
      <c r="G328" s="270"/>
      <c r="H328" s="270"/>
    </row>
    <row r="329">
      <c r="F329" s="270"/>
      <c r="G329" s="270"/>
      <c r="H329" s="270"/>
    </row>
    <row r="330">
      <c r="F330" s="270"/>
      <c r="G330" s="270"/>
      <c r="H330" s="270"/>
    </row>
    <row r="331">
      <c r="F331" s="270"/>
      <c r="G331" s="270"/>
      <c r="H331" s="270"/>
    </row>
    <row r="332">
      <c r="F332" s="270"/>
      <c r="G332" s="270"/>
      <c r="H332" s="270"/>
    </row>
    <row r="333">
      <c r="F333" s="270"/>
      <c r="G333" s="270"/>
      <c r="H333" s="270"/>
    </row>
    <row r="334">
      <c r="F334" s="270"/>
      <c r="G334" s="270"/>
      <c r="H334" s="270"/>
    </row>
    <row r="335">
      <c r="F335" s="270"/>
      <c r="G335" s="270"/>
      <c r="H335" s="270"/>
    </row>
    <row r="336">
      <c r="F336" s="270"/>
      <c r="G336" s="270"/>
      <c r="H336" s="270"/>
    </row>
    <row r="337">
      <c r="F337" s="270"/>
      <c r="G337" s="270"/>
      <c r="H337" s="270"/>
    </row>
    <row r="338">
      <c r="F338" s="270"/>
      <c r="G338" s="270"/>
      <c r="H338" s="270"/>
    </row>
    <row r="339">
      <c r="F339" s="270"/>
      <c r="G339" s="270"/>
      <c r="H339" s="270"/>
    </row>
    <row r="340">
      <c r="F340" s="270"/>
      <c r="G340" s="270"/>
      <c r="H340" s="270"/>
    </row>
    <row r="341">
      <c r="F341" s="270"/>
      <c r="G341" s="270"/>
      <c r="H341" s="270"/>
    </row>
    <row r="342">
      <c r="F342" s="270"/>
      <c r="G342" s="270"/>
      <c r="H342" s="270"/>
    </row>
    <row r="343">
      <c r="F343" s="270"/>
      <c r="G343" s="270"/>
      <c r="H343" s="270"/>
    </row>
    <row r="344">
      <c r="F344" s="270"/>
      <c r="G344" s="270"/>
      <c r="H344" s="270"/>
    </row>
    <row r="345">
      <c r="F345" s="270"/>
      <c r="G345" s="270"/>
      <c r="H345" s="270"/>
    </row>
    <row r="346">
      <c r="F346" s="270"/>
      <c r="G346" s="270"/>
      <c r="H346" s="270"/>
    </row>
    <row r="347">
      <c r="F347" s="270"/>
      <c r="G347" s="270"/>
      <c r="H347" s="270"/>
    </row>
    <row r="348">
      <c r="F348" s="270"/>
      <c r="G348" s="270"/>
      <c r="H348" s="270"/>
    </row>
    <row r="349">
      <c r="F349" s="270"/>
      <c r="G349" s="270"/>
      <c r="H349" s="270"/>
    </row>
    <row r="350">
      <c r="F350" s="270"/>
      <c r="G350" s="270"/>
      <c r="H350" s="270"/>
    </row>
    <row r="351">
      <c r="F351" s="270"/>
      <c r="G351" s="270"/>
      <c r="H351" s="270"/>
    </row>
    <row r="352">
      <c r="F352" s="270"/>
      <c r="G352" s="270"/>
      <c r="H352" s="270"/>
    </row>
    <row r="353">
      <c r="F353" s="270"/>
      <c r="G353" s="270"/>
      <c r="H353" s="270"/>
    </row>
    <row r="354">
      <c r="F354" s="270"/>
      <c r="G354" s="270"/>
      <c r="H354" s="270"/>
    </row>
    <row r="355">
      <c r="F355" s="270"/>
      <c r="G355" s="270"/>
      <c r="H355" s="270"/>
    </row>
    <row r="356">
      <c r="F356" s="270"/>
      <c r="G356" s="270"/>
      <c r="H356" s="270"/>
    </row>
    <row r="357">
      <c r="F357" s="270"/>
      <c r="G357" s="270"/>
      <c r="H357" s="270"/>
    </row>
    <row r="358">
      <c r="F358" s="270"/>
      <c r="G358" s="270"/>
      <c r="H358" s="270"/>
    </row>
    <row r="359">
      <c r="F359" s="270"/>
      <c r="G359" s="270"/>
      <c r="H359" s="270"/>
    </row>
    <row r="360">
      <c r="F360" s="270"/>
      <c r="G360" s="270"/>
      <c r="H360" s="270"/>
    </row>
    <row r="361">
      <c r="F361" s="270"/>
      <c r="G361" s="270"/>
      <c r="H361" s="270"/>
    </row>
    <row r="362">
      <c r="F362" s="270"/>
      <c r="G362" s="270"/>
      <c r="H362" s="270"/>
    </row>
    <row r="363">
      <c r="F363" s="270"/>
      <c r="G363" s="270"/>
      <c r="H363" s="270"/>
    </row>
    <row r="364">
      <c r="F364" s="270"/>
      <c r="G364" s="270"/>
      <c r="H364" s="270"/>
    </row>
    <row r="365">
      <c r="F365" s="270"/>
      <c r="G365" s="270"/>
      <c r="H365" s="270"/>
    </row>
    <row r="366">
      <c r="F366" s="270"/>
      <c r="G366" s="270"/>
      <c r="H366" s="270"/>
    </row>
    <row r="367">
      <c r="F367" s="270"/>
      <c r="G367" s="270"/>
      <c r="H367" s="270"/>
    </row>
    <row r="368">
      <c r="F368" s="270"/>
      <c r="G368" s="270"/>
      <c r="H368" s="270"/>
    </row>
    <row r="369">
      <c r="F369" s="270"/>
      <c r="G369" s="270"/>
      <c r="H369" s="270"/>
    </row>
    <row r="370">
      <c r="F370" s="270"/>
      <c r="G370" s="270"/>
      <c r="H370" s="270"/>
    </row>
    <row r="371">
      <c r="F371" s="270"/>
      <c r="G371" s="270"/>
      <c r="H371" s="270"/>
    </row>
    <row r="372">
      <c r="F372" s="270"/>
      <c r="G372" s="270"/>
      <c r="H372" s="270"/>
    </row>
    <row r="373">
      <c r="F373" s="270"/>
      <c r="G373" s="270"/>
      <c r="H373" s="270"/>
    </row>
    <row r="374">
      <c r="F374" s="270"/>
      <c r="G374" s="270"/>
      <c r="H374" s="270"/>
    </row>
    <row r="375">
      <c r="F375" s="270"/>
      <c r="G375" s="270"/>
      <c r="H375" s="270"/>
    </row>
    <row r="376">
      <c r="F376" s="270"/>
      <c r="G376" s="270"/>
      <c r="H376" s="270"/>
    </row>
    <row r="377">
      <c r="F377" s="270"/>
      <c r="G377" s="270"/>
      <c r="H377" s="270"/>
    </row>
    <row r="378">
      <c r="F378" s="270"/>
      <c r="G378" s="270"/>
      <c r="H378" s="270"/>
    </row>
    <row r="379">
      <c r="F379" s="270"/>
      <c r="G379" s="270"/>
      <c r="H379" s="270"/>
    </row>
    <row r="380">
      <c r="F380" s="270"/>
      <c r="G380" s="270"/>
      <c r="H380" s="270"/>
    </row>
    <row r="381">
      <c r="F381" s="270"/>
      <c r="G381" s="270"/>
      <c r="H381" s="270"/>
    </row>
    <row r="382">
      <c r="F382" s="270"/>
      <c r="G382" s="270"/>
      <c r="H382" s="270"/>
    </row>
    <row r="383">
      <c r="F383" s="270"/>
      <c r="G383" s="270"/>
      <c r="H383" s="270"/>
    </row>
    <row r="384">
      <c r="F384" s="270"/>
      <c r="G384" s="270"/>
      <c r="H384" s="270"/>
    </row>
    <row r="385">
      <c r="F385" s="270"/>
      <c r="G385" s="270"/>
      <c r="H385" s="270"/>
    </row>
    <row r="386">
      <c r="F386" s="270"/>
      <c r="G386" s="270"/>
      <c r="H386" s="270"/>
    </row>
    <row r="387">
      <c r="F387" s="270"/>
      <c r="G387" s="270"/>
      <c r="H387" s="270"/>
    </row>
    <row r="388">
      <c r="F388" s="270"/>
      <c r="G388" s="270"/>
      <c r="H388" s="270"/>
    </row>
    <row r="389">
      <c r="F389" s="270"/>
      <c r="G389" s="270"/>
      <c r="H389" s="270"/>
    </row>
    <row r="390">
      <c r="F390" s="270"/>
      <c r="G390" s="270"/>
      <c r="H390" s="270"/>
    </row>
    <row r="391">
      <c r="F391" s="270"/>
      <c r="G391" s="270"/>
      <c r="H391" s="270"/>
    </row>
    <row r="392">
      <c r="F392" s="270"/>
      <c r="G392" s="270"/>
      <c r="H392" s="270"/>
    </row>
    <row r="393">
      <c r="F393" s="270"/>
      <c r="G393" s="270"/>
      <c r="H393" s="270"/>
    </row>
    <row r="394">
      <c r="F394" s="270"/>
      <c r="G394" s="270"/>
      <c r="H394" s="270"/>
    </row>
    <row r="395">
      <c r="F395" s="270"/>
      <c r="G395" s="270"/>
      <c r="H395" s="270"/>
    </row>
    <row r="396">
      <c r="F396" s="270"/>
      <c r="G396" s="270"/>
      <c r="H396" s="270"/>
    </row>
    <row r="397">
      <c r="F397" s="270"/>
      <c r="G397" s="270"/>
      <c r="H397" s="270"/>
    </row>
    <row r="398">
      <c r="F398" s="270"/>
      <c r="G398" s="270"/>
      <c r="H398" s="270"/>
    </row>
    <row r="399">
      <c r="F399" s="270"/>
      <c r="G399" s="270"/>
      <c r="H399" s="270"/>
    </row>
    <row r="400">
      <c r="F400" s="270"/>
      <c r="G400" s="270"/>
      <c r="H400" s="270"/>
    </row>
    <row r="401">
      <c r="F401" s="270"/>
      <c r="G401" s="270"/>
      <c r="H401" s="270"/>
    </row>
    <row r="402">
      <c r="F402" s="270"/>
      <c r="G402" s="270"/>
      <c r="H402" s="270"/>
    </row>
    <row r="403">
      <c r="F403" s="270"/>
      <c r="G403" s="270"/>
      <c r="H403" s="270"/>
    </row>
    <row r="404">
      <c r="F404" s="270"/>
      <c r="G404" s="270"/>
      <c r="H404" s="270"/>
    </row>
    <row r="405">
      <c r="F405" s="270"/>
      <c r="G405" s="270"/>
      <c r="H405" s="270"/>
    </row>
    <row r="406">
      <c r="F406" s="270"/>
      <c r="G406" s="270"/>
      <c r="H406" s="270"/>
    </row>
    <row r="407">
      <c r="F407" s="270"/>
      <c r="G407" s="270"/>
      <c r="H407" s="270"/>
    </row>
    <row r="408">
      <c r="F408" s="270"/>
      <c r="G408" s="270"/>
      <c r="H408" s="270"/>
    </row>
    <row r="409">
      <c r="F409" s="270"/>
      <c r="G409" s="270"/>
      <c r="H409" s="270"/>
    </row>
    <row r="410">
      <c r="F410" s="270"/>
      <c r="G410" s="270"/>
      <c r="H410" s="270"/>
    </row>
    <row r="411">
      <c r="F411" s="270"/>
      <c r="G411" s="270"/>
      <c r="H411" s="270"/>
    </row>
    <row r="412">
      <c r="F412" s="270"/>
      <c r="G412" s="270"/>
      <c r="H412" s="270"/>
    </row>
    <row r="413">
      <c r="F413" s="270"/>
      <c r="G413" s="270"/>
      <c r="H413" s="270"/>
    </row>
    <row r="414">
      <c r="F414" s="270"/>
      <c r="G414" s="270"/>
      <c r="H414" s="270"/>
    </row>
    <row r="415">
      <c r="F415" s="270"/>
      <c r="G415" s="270"/>
      <c r="H415" s="270"/>
    </row>
    <row r="416">
      <c r="F416" s="270"/>
      <c r="G416" s="270"/>
      <c r="H416" s="270"/>
    </row>
    <row r="417">
      <c r="F417" s="270"/>
      <c r="G417" s="270"/>
      <c r="H417" s="270"/>
    </row>
    <row r="418">
      <c r="F418" s="270"/>
      <c r="G418" s="270"/>
      <c r="H418" s="270"/>
    </row>
    <row r="419">
      <c r="F419" s="270"/>
      <c r="G419" s="270"/>
      <c r="H419" s="270"/>
    </row>
    <row r="420">
      <c r="F420" s="270"/>
      <c r="G420" s="270"/>
      <c r="H420" s="270"/>
    </row>
    <row r="421">
      <c r="F421" s="270"/>
      <c r="G421" s="270"/>
      <c r="H421" s="270"/>
    </row>
    <row r="422">
      <c r="F422" s="270"/>
      <c r="G422" s="270"/>
      <c r="H422" s="270"/>
    </row>
    <row r="423">
      <c r="F423" s="270"/>
      <c r="G423" s="270"/>
      <c r="H423" s="270"/>
    </row>
    <row r="424">
      <c r="F424" s="270"/>
      <c r="G424" s="270"/>
      <c r="H424" s="270"/>
    </row>
    <row r="425">
      <c r="F425" s="270"/>
      <c r="G425" s="270"/>
      <c r="H425" s="270"/>
    </row>
    <row r="426">
      <c r="F426" s="270"/>
      <c r="G426" s="270"/>
      <c r="H426" s="270"/>
    </row>
    <row r="427">
      <c r="F427" s="270"/>
      <c r="G427" s="270"/>
      <c r="H427" s="270"/>
    </row>
    <row r="428">
      <c r="F428" s="270"/>
      <c r="G428" s="270"/>
      <c r="H428" s="270"/>
    </row>
    <row r="429">
      <c r="F429" s="270"/>
      <c r="G429" s="270"/>
      <c r="H429" s="270"/>
    </row>
    <row r="430">
      <c r="F430" s="270"/>
      <c r="G430" s="270"/>
      <c r="H430" s="270"/>
    </row>
    <row r="431">
      <c r="F431" s="270"/>
      <c r="G431" s="270"/>
      <c r="H431" s="270"/>
    </row>
    <row r="432">
      <c r="F432" s="270"/>
      <c r="G432" s="270"/>
      <c r="H432" s="270"/>
    </row>
    <row r="433">
      <c r="F433" s="270"/>
      <c r="G433" s="270"/>
      <c r="H433" s="270"/>
    </row>
    <row r="434">
      <c r="F434" s="270"/>
      <c r="G434" s="270"/>
      <c r="H434" s="270"/>
    </row>
    <row r="435">
      <c r="F435" s="270"/>
      <c r="G435" s="270"/>
      <c r="H435" s="270"/>
    </row>
    <row r="436">
      <c r="F436" s="270"/>
      <c r="G436" s="270"/>
      <c r="H436" s="270"/>
    </row>
    <row r="437">
      <c r="F437" s="270"/>
      <c r="G437" s="270"/>
      <c r="H437" s="270"/>
    </row>
    <row r="438">
      <c r="F438" s="270"/>
      <c r="G438" s="270"/>
      <c r="H438" s="270"/>
    </row>
    <row r="439">
      <c r="F439" s="270"/>
      <c r="G439" s="270"/>
      <c r="H439" s="270"/>
    </row>
    <row r="440">
      <c r="F440" s="270"/>
      <c r="G440" s="270"/>
      <c r="H440" s="270"/>
    </row>
    <row r="441">
      <c r="F441" s="270"/>
      <c r="G441" s="270"/>
      <c r="H441" s="270"/>
    </row>
    <row r="442">
      <c r="F442" s="270"/>
      <c r="G442" s="270"/>
      <c r="H442" s="270"/>
    </row>
    <row r="443">
      <c r="F443" s="270"/>
      <c r="G443" s="270"/>
      <c r="H443" s="270"/>
    </row>
    <row r="444">
      <c r="F444" s="270"/>
      <c r="G444" s="270"/>
      <c r="H444" s="270"/>
    </row>
    <row r="445">
      <c r="F445" s="270"/>
      <c r="G445" s="270"/>
      <c r="H445" s="270"/>
    </row>
    <row r="446">
      <c r="F446" s="270"/>
      <c r="G446" s="270"/>
      <c r="H446" s="270"/>
    </row>
    <row r="447">
      <c r="F447" s="270"/>
      <c r="G447" s="270"/>
      <c r="H447" s="270"/>
    </row>
    <row r="448">
      <c r="F448" s="270"/>
      <c r="G448" s="270"/>
      <c r="H448" s="270"/>
    </row>
    <row r="449">
      <c r="F449" s="270"/>
      <c r="G449" s="270"/>
      <c r="H449" s="270"/>
    </row>
    <row r="450">
      <c r="F450" s="270"/>
      <c r="G450" s="270"/>
      <c r="H450" s="270"/>
    </row>
    <row r="451">
      <c r="F451" s="270"/>
      <c r="G451" s="270"/>
      <c r="H451" s="270"/>
    </row>
    <row r="452">
      <c r="F452" s="270"/>
      <c r="G452" s="270"/>
      <c r="H452" s="270"/>
    </row>
    <row r="453">
      <c r="F453" s="270"/>
      <c r="G453" s="270"/>
      <c r="H453" s="270"/>
    </row>
    <row r="454">
      <c r="F454" s="270"/>
      <c r="G454" s="270"/>
      <c r="H454" s="270"/>
    </row>
    <row r="455">
      <c r="F455" s="270"/>
      <c r="G455" s="270"/>
      <c r="H455" s="270"/>
    </row>
    <row r="456">
      <c r="F456" s="270"/>
      <c r="G456" s="270"/>
      <c r="H456" s="270"/>
    </row>
    <row r="457">
      <c r="F457" s="270"/>
      <c r="G457" s="270"/>
      <c r="H457" s="270"/>
    </row>
    <row r="458">
      <c r="F458" s="270"/>
      <c r="G458" s="270"/>
      <c r="H458" s="270"/>
    </row>
    <row r="459">
      <c r="F459" s="270"/>
      <c r="G459" s="270"/>
      <c r="H459" s="270"/>
    </row>
    <row r="460">
      <c r="F460" s="270"/>
      <c r="G460" s="270"/>
      <c r="H460" s="270"/>
    </row>
    <row r="461">
      <c r="F461" s="270"/>
      <c r="G461" s="270"/>
      <c r="H461" s="270"/>
    </row>
    <row r="462">
      <c r="F462" s="270"/>
      <c r="G462" s="270"/>
      <c r="H462" s="270"/>
    </row>
    <row r="463">
      <c r="F463" s="270"/>
      <c r="G463" s="270"/>
      <c r="H463" s="270"/>
    </row>
    <row r="464">
      <c r="F464" s="270"/>
      <c r="G464" s="270"/>
      <c r="H464" s="270"/>
    </row>
    <row r="465">
      <c r="F465" s="270"/>
      <c r="G465" s="270"/>
      <c r="H465" s="270"/>
    </row>
    <row r="466">
      <c r="F466" s="270"/>
      <c r="G466" s="270"/>
      <c r="H466" s="270"/>
    </row>
    <row r="467">
      <c r="F467" s="270"/>
      <c r="G467" s="270"/>
      <c r="H467" s="270"/>
    </row>
    <row r="468">
      <c r="F468" s="270"/>
      <c r="G468" s="270"/>
      <c r="H468" s="270"/>
    </row>
    <row r="469">
      <c r="F469" s="270"/>
      <c r="G469" s="270"/>
      <c r="H469" s="270"/>
    </row>
    <row r="470">
      <c r="F470" s="270"/>
      <c r="G470" s="270"/>
      <c r="H470" s="270"/>
    </row>
    <row r="471">
      <c r="F471" s="270"/>
      <c r="G471" s="270"/>
      <c r="H471" s="270"/>
    </row>
    <row r="472">
      <c r="F472" s="270"/>
      <c r="G472" s="270"/>
      <c r="H472" s="270"/>
    </row>
    <row r="473">
      <c r="F473" s="270"/>
      <c r="G473" s="270"/>
      <c r="H473" s="270"/>
    </row>
    <row r="474">
      <c r="F474" s="270"/>
      <c r="G474" s="270"/>
      <c r="H474" s="270"/>
    </row>
    <row r="475">
      <c r="F475" s="270"/>
      <c r="G475" s="270"/>
      <c r="H475" s="270"/>
    </row>
    <row r="476">
      <c r="F476" s="270"/>
      <c r="G476" s="270"/>
      <c r="H476" s="270"/>
    </row>
    <row r="477">
      <c r="F477" s="270"/>
      <c r="G477" s="270"/>
      <c r="H477" s="270"/>
    </row>
    <row r="478">
      <c r="F478" s="270"/>
      <c r="G478" s="270"/>
      <c r="H478" s="270"/>
    </row>
    <row r="479">
      <c r="F479" s="270"/>
      <c r="G479" s="270"/>
      <c r="H479" s="270"/>
    </row>
    <row r="480">
      <c r="F480" s="270"/>
      <c r="G480" s="270"/>
      <c r="H480" s="270"/>
    </row>
    <row r="481">
      <c r="F481" s="270"/>
      <c r="G481" s="270"/>
      <c r="H481" s="270"/>
    </row>
    <row r="482">
      <c r="F482" s="270"/>
      <c r="G482" s="270"/>
      <c r="H482" s="270"/>
    </row>
    <row r="483">
      <c r="F483" s="270"/>
      <c r="G483" s="270"/>
      <c r="H483" s="270"/>
    </row>
    <row r="484">
      <c r="F484" s="270"/>
      <c r="G484" s="270"/>
      <c r="H484" s="270"/>
    </row>
    <row r="485">
      <c r="F485" s="270"/>
      <c r="G485" s="270"/>
      <c r="H485" s="270"/>
    </row>
    <row r="486">
      <c r="F486" s="270"/>
      <c r="G486" s="270"/>
      <c r="H486" s="270"/>
    </row>
    <row r="487">
      <c r="F487" s="270"/>
      <c r="G487" s="270"/>
      <c r="H487" s="270"/>
    </row>
    <row r="488">
      <c r="F488" s="270"/>
      <c r="G488" s="270"/>
      <c r="H488" s="270"/>
    </row>
    <row r="489">
      <c r="F489" s="270"/>
      <c r="G489" s="270"/>
      <c r="H489" s="270"/>
    </row>
    <row r="490">
      <c r="F490" s="270"/>
      <c r="G490" s="270"/>
      <c r="H490" s="270"/>
    </row>
    <row r="491">
      <c r="F491" s="270"/>
      <c r="G491" s="270"/>
      <c r="H491" s="270"/>
    </row>
    <row r="492">
      <c r="F492" s="270"/>
      <c r="G492" s="270"/>
      <c r="H492" s="270"/>
    </row>
    <row r="493">
      <c r="F493" s="270"/>
      <c r="G493" s="270"/>
      <c r="H493" s="270"/>
    </row>
    <row r="494">
      <c r="F494" s="270"/>
      <c r="G494" s="270"/>
      <c r="H494" s="270"/>
    </row>
    <row r="495">
      <c r="F495" s="270"/>
      <c r="G495" s="270"/>
      <c r="H495" s="270"/>
    </row>
    <row r="496">
      <c r="F496" s="270"/>
      <c r="G496" s="270"/>
      <c r="H496" s="270"/>
    </row>
    <row r="497">
      <c r="F497" s="270"/>
      <c r="G497" s="270"/>
      <c r="H497" s="270"/>
    </row>
    <row r="498">
      <c r="F498" s="270"/>
      <c r="G498" s="270"/>
      <c r="H498" s="270"/>
    </row>
    <row r="499">
      <c r="F499" s="270"/>
      <c r="G499" s="270"/>
      <c r="H499" s="270"/>
    </row>
    <row r="500">
      <c r="F500" s="270"/>
      <c r="G500" s="270"/>
      <c r="H500" s="270"/>
    </row>
    <row r="501">
      <c r="F501" s="270"/>
      <c r="G501" s="270"/>
      <c r="H501" s="270"/>
    </row>
    <row r="502">
      <c r="F502" s="270"/>
      <c r="G502" s="270"/>
      <c r="H502" s="270"/>
    </row>
    <row r="503">
      <c r="F503" s="270"/>
      <c r="G503" s="270"/>
      <c r="H503" s="270"/>
    </row>
    <row r="504">
      <c r="F504" s="270"/>
      <c r="G504" s="270"/>
      <c r="H504" s="270"/>
    </row>
    <row r="505">
      <c r="F505" s="270"/>
      <c r="G505" s="270"/>
      <c r="H505" s="270"/>
    </row>
    <row r="506">
      <c r="F506" s="270"/>
      <c r="G506" s="270"/>
      <c r="H506" s="270"/>
    </row>
    <row r="507">
      <c r="F507" s="270"/>
      <c r="G507" s="270"/>
      <c r="H507" s="270"/>
    </row>
    <row r="508">
      <c r="F508" s="270"/>
      <c r="G508" s="270"/>
      <c r="H508" s="270"/>
    </row>
    <row r="509">
      <c r="F509" s="270"/>
      <c r="G509" s="270"/>
      <c r="H509" s="270"/>
    </row>
    <row r="510">
      <c r="F510" s="270"/>
      <c r="G510" s="270"/>
      <c r="H510" s="270"/>
    </row>
    <row r="511">
      <c r="F511" s="270"/>
      <c r="G511" s="270"/>
      <c r="H511" s="270"/>
    </row>
    <row r="512">
      <c r="F512" s="270"/>
      <c r="G512" s="270"/>
      <c r="H512" s="270"/>
    </row>
    <row r="513">
      <c r="F513" s="270"/>
      <c r="G513" s="270"/>
      <c r="H513" s="270"/>
    </row>
    <row r="514">
      <c r="F514" s="270"/>
      <c r="G514" s="270"/>
      <c r="H514" s="270"/>
    </row>
    <row r="515">
      <c r="F515" s="270"/>
      <c r="G515" s="270"/>
      <c r="H515" s="270"/>
    </row>
    <row r="516">
      <c r="F516" s="270"/>
      <c r="G516" s="270"/>
      <c r="H516" s="270"/>
    </row>
    <row r="517">
      <c r="F517" s="270"/>
      <c r="G517" s="270"/>
      <c r="H517" s="270"/>
    </row>
    <row r="518">
      <c r="F518" s="270"/>
      <c r="G518" s="270"/>
      <c r="H518" s="270"/>
    </row>
    <row r="519">
      <c r="F519" s="270"/>
      <c r="G519" s="270"/>
      <c r="H519" s="270"/>
    </row>
    <row r="520">
      <c r="F520" s="270"/>
      <c r="G520" s="270"/>
      <c r="H520" s="270"/>
    </row>
    <row r="521">
      <c r="F521" s="270"/>
      <c r="G521" s="270"/>
      <c r="H521" s="270"/>
    </row>
    <row r="522">
      <c r="F522" s="270"/>
      <c r="G522" s="270"/>
      <c r="H522" s="270"/>
    </row>
    <row r="523">
      <c r="F523" s="270"/>
      <c r="G523" s="270"/>
      <c r="H523" s="270"/>
    </row>
    <row r="524">
      <c r="F524" s="270"/>
      <c r="G524" s="270"/>
      <c r="H524" s="270"/>
    </row>
    <row r="525">
      <c r="F525" s="270"/>
      <c r="G525" s="270"/>
      <c r="H525" s="270"/>
    </row>
    <row r="526">
      <c r="F526" s="270"/>
      <c r="G526" s="270"/>
      <c r="H526" s="270"/>
    </row>
    <row r="527">
      <c r="F527" s="270"/>
      <c r="G527" s="270"/>
      <c r="H527" s="270"/>
    </row>
    <row r="528">
      <c r="F528" s="270"/>
      <c r="G528" s="270"/>
      <c r="H528" s="270"/>
    </row>
    <row r="529">
      <c r="F529" s="270"/>
      <c r="G529" s="270"/>
      <c r="H529" s="270"/>
    </row>
    <row r="530">
      <c r="F530" s="270"/>
      <c r="G530" s="270"/>
      <c r="H530" s="270"/>
    </row>
    <row r="531">
      <c r="F531" s="270"/>
      <c r="G531" s="270"/>
      <c r="H531" s="270"/>
    </row>
    <row r="532">
      <c r="F532" s="270"/>
      <c r="G532" s="270"/>
      <c r="H532" s="270"/>
    </row>
    <row r="533">
      <c r="F533" s="270"/>
      <c r="G533" s="270"/>
      <c r="H533" s="270"/>
    </row>
    <row r="534">
      <c r="F534" s="270"/>
      <c r="G534" s="270"/>
      <c r="H534" s="270"/>
    </row>
    <row r="535">
      <c r="F535" s="270"/>
      <c r="G535" s="270"/>
      <c r="H535" s="270"/>
    </row>
    <row r="536">
      <c r="F536" s="270"/>
      <c r="G536" s="270"/>
      <c r="H536" s="270"/>
    </row>
    <row r="537">
      <c r="F537" s="270"/>
      <c r="G537" s="270"/>
      <c r="H537" s="270"/>
    </row>
    <row r="538">
      <c r="F538" s="270"/>
      <c r="G538" s="270"/>
      <c r="H538" s="270"/>
    </row>
    <row r="539">
      <c r="F539" s="270"/>
      <c r="G539" s="270"/>
      <c r="H539" s="270"/>
    </row>
    <row r="540">
      <c r="F540" s="270"/>
      <c r="G540" s="270"/>
      <c r="H540" s="270"/>
    </row>
    <row r="541">
      <c r="F541" s="270"/>
      <c r="G541" s="270"/>
      <c r="H541" s="270"/>
    </row>
    <row r="542">
      <c r="F542" s="270"/>
      <c r="G542" s="270"/>
      <c r="H542" s="270"/>
    </row>
    <row r="543">
      <c r="F543" s="270"/>
      <c r="G543" s="270"/>
      <c r="H543" s="270"/>
    </row>
    <row r="544">
      <c r="F544" s="270"/>
      <c r="G544" s="270"/>
      <c r="H544" s="270"/>
    </row>
    <row r="545">
      <c r="F545" s="270"/>
      <c r="G545" s="270"/>
      <c r="H545" s="270"/>
    </row>
    <row r="546">
      <c r="F546" s="270"/>
      <c r="G546" s="270"/>
      <c r="H546" s="270"/>
    </row>
    <row r="547">
      <c r="F547" s="270"/>
      <c r="G547" s="270"/>
      <c r="H547" s="270"/>
    </row>
    <row r="548">
      <c r="F548" s="270"/>
      <c r="G548" s="270"/>
      <c r="H548" s="270"/>
    </row>
    <row r="549">
      <c r="F549" s="270"/>
      <c r="G549" s="270"/>
      <c r="H549" s="270"/>
    </row>
    <row r="550">
      <c r="F550" s="270"/>
      <c r="G550" s="270"/>
      <c r="H550" s="270"/>
    </row>
    <row r="551">
      <c r="F551" s="270"/>
      <c r="G551" s="270"/>
      <c r="H551" s="270"/>
    </row>
    <row r="552">
      <c r="F552" s="270"/>
      <c r="G552" s="270"/>
      <c r="H552" s="270"/>
    </row>
    <row r="553">
      <c r="F553" s="270"/>
      <c r="G553" s="270"/>
      <c r="H553" s="270"/>
    </row>
    <row r="554">
      <c r="F554" s="270"/>
      <c r="G554" s="270"/>
      <c r="H554" s="270"/>
    </row>
    <row r="555">
      <c r="F555" s="270"/>
      <c r="G555" s="270"/>
      <c r="H555" s="270"/>
    </row>
    <row r="556">
      <c r="F556" s="270"/>
      <c r="G556" s="270"/>
      <c r="H556" s="270"/>
    </row>
    <row r="557">
      <c r="F557" s="270"/>
      <c r="G557" s="270"/>
      <c r="H557" s="270"/>
    </row>
    <row r="558">
      <c r="F558" s="270"/>
      <c r="G558" s="270"/>
      <c r="H558" s="270"/>
    </row>
    <row r="559">
      <c r="F559" s="270"/>
      <c r="G559" s="270"/>
      <c r="H559" s="270"/>
    </row>
    <row r="560">
      <c r="F560" s="270"/>
      <c r="G560" s="270"/>
      <c r="H560" s="270"/>
    </row>
    <row r="561">
      <c r="F561" s="270"/>
      <c r="G561" s="270"/>
      <c r="H561" s="270"/>
    </row>
    <row r="562">
      <c r="F562" s="270"/>
      <c r="G562" s="270"/>
      <c r="H562" s="270"/>
    </row>
    <row r="563">
      <c r="F563" s="270"/>
      <c r="G563" s="270"/>
      <c r="H563" s="270"/>
    </row>
    <row r="564">
      <c r="F564" s="270"/>
      <c r="G564" s="270"/>
      <c r="H564" s="270"/>
    </row>
    <row r="565">
      <c r="F565" s="270"/>
      <c r="G565" s="270"/>
      <c r="H565" s="270"/>
    </row>
    <row r="566">
      <c r="F566" s="270"/>
      <c r="G566" s="270"/>
      <c r="H566" s="270"/>
    </row>
    <row r="567">
      <c r="F567" s="270"/>
      <c r="G567" s="270"/>
      <c r="H567" s="270"/>
    </row>
    <row r="568">
      <c r="F568" s="270"/>
      <c r="G568" s="270"/>
      <c r="H568" s="270"/>
    </row>
    <row r="569">
      <c r="F569" s="270"/>
      <c r="G569" s="270"/>
      <c r="H569" s="270"/>
    </row>
    <row r="570">
      <c r="F570" s="270"/>
      <c r="G570" s="270"/>
      <c r="H570" s="270"/>
    </row>
    <row r="571">
      <c r="F571" s="270"/>
      <c r="G571" s="270"/>
      <c r="H571" s="270"/>
    </row>
    <row r="572">
      <c r="F572" s="270"/>
      <c r="G572" s="270"/>
      <c r="H572" s="270"/>
    </row>
    <row r="573">
      <c r="F573" s="270"/>
      <c r="G573" s="270"/>
      <c r="H573" s="270"/>
    </row>
    <row r="574">
      <c r="F574" s="270"/>
      <c r="G574" s="270"/>
      <c r="H574" s="270"/>
    </row>
    <row r="575">
      <c r="F575" s="270"/>
      <c r="G575" s="270"/>
      <c r="H575" s="270"/>
    </row>
    <row r="576">
      <c r="F576" s="270"/>
      <c r="G576" s="270"/>
      <c r="H576" s="270"/>
    </row>
    <row r="577">
      <c r="F577" s="270"/>
      <c r="G577" s="270"/>
      <c r="H577" s="270"/>
    </row>
    <row r="578">
      <c r="F578" s="270"/>
      <c r="G578" s="270"/>
      <c r="H578" s="270"/>
    </row>
    <row r="579">
      <c r="F579" s="270"/>
      <c r="G579" s="270"/>
      <c r="H579" s="270"/>
    </row>
    <row r="580">
      <c r="F580" s="270"/>
      <c r="G580" s="270"/>
      <c r="H580" s="270"/>
    </row>
    <row r="581">
      <c r="F581" s="270"/>
      <c r="G581" s="270"/>
      <c r="H581" s="270"/>
    </row>
    <row r="582">
      <c r="F582" s="270"/>
      <c r="G582" s="270"/>
      <c r="H582" s="270"/>
    </row>
    <row r="583">
      <c r="F583" s="270"/>
      <c r="G583" s="270"/>
      <c r="H583" s="270"/>
    </row>
    <row r="584">
      <c r="F584" s="270"/>
      <c r="G584" s="270"/>
      <c r="H584" s="270"/>
    </row>
    <row r="585">
      <c r="F585" s="270"/>
      <c r="G585" s="270"/>
      <c r="H585" s="270"/>
    </row>
    <row r="586">
      <c r="F586" s="270"/>
      <c r="G586" s="270"/>
      <c r="H586" s="270"/>
    </row>
    <row r="587">
      <c r="F587" s="270"/>
      <c r="G587" s="270"/>
      <c r="H587" s="270"/>
    </row>
    <row r="588">
      <c r="F588" s="270"/>
      <c r="G588" s="270"/>
      <c r="H588" s="270"/>
    </row>
    <row r="589">
      <c r="F589" s="270"/>
      <c r="G589" s="270"/>
      <c r="H589" s="270"/>
    </row>
    <row r="590">
      <c r="F590" s="270"/>
      <c r="G590" s="270"/>
      <c r="H590" s="270"/>
    </row>
    <row r="591">
      <c r="F591" s="270"/>
      <c r="G591" s="270"/>
      <c r="H591" s="270"/>
    </row>
    <row r="592">
      <c r="F592" s="270"/>
      <c r="G592" s="270"/>
      <c r="H592" s="270"/>
    </row>
    <row r="593">
      <c r="F593" s="270"/>
      <c r="G593" s="270"/>
      <c r="H593" s="270"/>
    </row>
    <row r="594">
      <c r="F594" s="270"/>
      <c r="G594" s="270"/>
      <c r="H594" s="270"/>
    </row>
    <row r="595">
      <c r="F595" s="270"/>
      <c r="G595" s="270"/>
      <c r="H595" s="270"/>
    </row>
    <row r="596">
      <c r="F596" s="270"/>
      <c r="G596" s="270"/>
      <c r="H596" s="270"/>
    </row>
    <row r="597">
      <c r="F597" s="270"/>
      <c r="G597" s="270"/>
      <c r="H597" s="270"/>
    </row>
    <row r="598">
      <c r="F598" s="270"/>
      <c r="G598" s="270"/>
      <c r="H598" s="270"/>
    </row>
    <row r="599">
      <c r="F599" s="270"/>
      <c r="G599" s="270"/>
      <c r="H599" s="270"/>
    </row>
    <row r="600">
      <c r="F600" s="270"/>
      <c r="G600" s="270"/>
      <c r="H600" s="270"/>
    </row>
    <row r="601">
      <c r="F601" s="270"/>
      <c r="G601" s="270"/>
      <c r="H601" s="270"/>
    </row>
    <row r="602">
      <c r="F602" s="270"/>
      <c r="G602" s="270"/>
      <c r="H602" s="270"/>
    </row>
    <row r="603">
      <c r="F603" s="270"/>
      <c r="G603" s="270"/>
      <c r="H603" s="270"/>
    </row>
    <row r="604">
      <c r="F604" s="270"/>
      <c r="G604" s="270"/>
      <c r="H604" s="270"/>
    </row>
    <row r="605">
      <c r="F605" s="270"/>
      <c r="G605" s="270"/>
      <c r="H605" s="270"/>
    </row>
    <row r="606">
      <c r="F606" s="270"/>
      <c r="G606" s="270"/>
      <c r="H606" s="270"/>
    </row>
    <row r="607">
      <c r="F607" s="270"/>
      <c r="G607" s="270"/>
      <c r="H607" s="270"/>
    </row>
    <row r="608">
      <c r="F608" s="270"/>
      <c r="G608" s="270"/>
      <c r="H608" s="270"/>
    </row>
    <row r="609">
      <c r="F609" s="270"/>
      <c r="G609" s="270"/>
      <c r="H609" s="270"/>
    </row>
    <row r="610">
      <c r="F610" s="270"/>
      <c r="G610" s="270"/>
      <c r="H610" s="270"/>
    </row>
    <row r="611">
      <c r="F611" s="270"/>
      <c r="G611" s="270"/>
      <c r="H611" s="270"/>
    </row>
    <row r="612">
      <c r="F612" s="270"/>
      <c r="G612" s="270"/>
      <c r="H612" s="270"/>
    </row>
    <row r="613">
      <c r="F613" s="270"/>
      <c r="G613" s="270"/>
      <c r="H613" s="270"/>
    </row>
    <row r="614">
      <c r="F614" s="270"/>
      <c r="G614" s="270"/>
      <c r="H614" s="270"/>
    </row>
    <row r="615">
      <c r="F615" s="270"/>
      <c r="G615" s="270"/>
      <c r="H615" s="270"/>
    </row>
    <row r="616">
      <c r="F616" s="270"/>
      <c r="G616" s="270"/>
      <c r="H616" s="270"/>
    </row>
    <row r="617">
      <c r="F617" s="270"/>
      <c r="G617" s="270"/>
      <c r="H617" s="270"/>
    </row>
    <row r="618">
      <c r="F618" s="270"/>
      <c r="G618" s="270"/>
      <c r="H618" s="270"/>
    </row>
    <row r="619">
      <c r="F619" s="270"/>
      <c r="G619" s="270"/>
      <c r="H619" s="270"/>
    </row>
    <row r="620">
      <c r="F620" s="270"/>
      <c r="G620" s="270"/>
      <c r="H620" s="270"/>
    </row>
    <row r="621">
      <c r="F621" s="270"/>
      <c r="G621" s="270"/>
      <c r="H621" s="270"/>
    </row>
    <row r="622">
      <c r="F622" s="270"/>
      <c r="G622" s="270"/>
      <c r="H622" s="270"/>
    </row>
    <row r="623">
      <c r="F623" s="270"/>
      <c r="G623" s="270"/>
      <c r="H623" s="270"/>
    </row>
    <row r="624">
      <c r="F624" s="270"/>
      <c r="G624" s="270"/>
      <c r="H624" s="270"/>
    </row>
    <row r="625">
      <c r="F625" s="270"/>
      <c r="G625" s="270"/>
      <c r="H625" s="270"/>
    </row>
    <row r="626">
      <c r="F626" s="270"/>
      <c r="G626" s="270"/>
      <c r="H626" s="270"/>
    </row>
    <row r="627">
      <c r="F627" s="270"/>
      <c r="G627" s="270"/>
      <c r="H627" s="270"/>
    </row>
    <row r="628">
      <c r="F628" s="270"/>
      <c r="G628" s="270"/>
      <c r="H628" s="270"/>
    </row>
    <row r="629">
      <c r="F629" s="270"/>
      <c r="G629" s="270"/>
      <c r="H629" s="270"/>
    </row>
    <row r="630">
      <c r="F630" s="270"/>
      <c r="G630" s="270"/>
      <c r="H630" s="270"/>
    </row>
    <row r="631">
      <c r="F631" s="270"/>
      <c r="G631" s="270"/>
      <c r="H631" s="270"/>
    </row>
    <row r="632">
      <c r="F632" s="270"/>
      <c r="G632" s="270"/>
      <c r="H632" s="270"/>
    </row>
    <row r="633">
      <c r="F633" s="270"/>
      <c r="G633" s="270"/>
      <c r="H633" s="270"/>
    </row>
    <row r="634">
      <c r="F634" s="270"/>
      <c r="G634" s="270"/>
      <c r="H634" s="270"/>
    </row>
    <row r="635">
      <c r="F635" s="270"/>
      <c r="G635" s="270"/>
      <c r="H635" s="270"/>
    </row>
    <row r="636">
      <c r="F636" s="270"/>
      <c r="G636" s="270"/>
      <c r="H636" s="270"/>
    </row>
    <row r="637">
      <c r="F637" s="270"/>
      <c r="G637" s="270"/>
      <c r="H637" s="270"/>
    </row>
    <row r="638">
      <c r="F638" s="270"/>
      <c r="G638" s="270"/>
      <c r="H638" s="270"/>
    </row>
    <row r="639">
      <c r="F639" s="270"/>
      <c r="G639" s="270"/>
      <c r="H639" s="270"/>
    </row>
    <row r="640">
      <c r="F640" s="270"/>
      <c r="G640" s="270"/>
      <c r="H640" s="270"/>
    </row>
    <row r="641">
      <c r="F641" s="270"/>
      <c r="G641" s="270"/>
      <c r="H641" s="270"/>
    </row>
    <row r="642">
      <c r="F642" s="270"/>
      <c r="G642" s="270"/>
      <c r="H642" s="270"/>
    </row>
    <row r="643">
      <c r="F643" s="270"/>
      <c r="G643" s="270"/>
      <c r="H643" s="270"/>
    </row>
    <row r="644">
      <c r="F644" s="270"/>
      <c r="G644" s="270"/>
      <c r="H644" s="270"/>
    </row>
    <row r="645">
      <c r="F645" s="270"/>
      <c r="G645" s="270"/>
      <c r="H645" s="270"/>
    </row>
    <row r="646">
      <c r="F646" s="270"/>
      <c r="G646" s="270"/>
      <c r="H646" s="270"/>
    </row>
    <row r="647">
      <c r="F647" s="270"/>
      <c r="G647" s="270"/>
      <c r="H647" s="270"/>
    </row>
    <row r="648">
      <c r="F648" s="270"/>
      <c r="G648" s="270"/>
      <c r="H648" s="270"/>
    </row>
    <row r="649">
      <c r="F649" s="270"/>
      <c r="G649" s="270"/>
      <c r="H649" s="270"/>
    </row>
    <row r="650">
      <c r="F650" s="270"/>
      <c r="G650" s="270"/>
      <c r="H650" s="270"/>
    </row>
    <row r="651">
      <c r="F651" s="270"/>
      <c r="G651" s="270"/>
      <c r="H651" s="270"/>
    </row>
    <row r="652">
      <c r="F652" s="270"/>
      <c r="G652" s="270"/>
      <c r="H652" s="270"/>
    </row>
    <row r="653">
      <c r="F653" s="270"/>
      <c r="G653" s="270"/>
      <c r="H653" s="270"/>
    </row>
    <row r="654">
      <c r="F654" s="270"/>
      <c r="G654" s="270"/>
      <c r="H654" s="270"/>
    </row>
    <row r="655">
      <c r="F655" s="270"/>
      <c r="G655" s="270"/>
      <c r="H655" s="270"/>
    </row>
    <row r="656">
      <c r="F656" s="270"/>
      <c r="G656" s="270"/>
      <c r="H656" s="270"/>
    </row>
    <row r="657">
      <c r="F657" s="270"/>
      <c r="G657" s="270"/>
      <c r="H657" s="270"/>
    </row>
    <row r="658">
      <c r="F658" s="270"/>
      <c r="G658" s="270"/>
      <c r="H658" s="270"/>
    </row>
    <row r="659">
      <c r="F659" s="270"/>
      <c r="G659" s="270"/>
      <c r="H659" s="270"/>
    </row>
    <row r="660">
      <c r="F660" s="270"/>
      <c r="G660" s="270"/>
      <c r="H660" s="270"/>
    </row>
    <row r="661">
      <c r="F661" s="270"/>
      <c r="G661" s="270"/>
      <c r="H661" s="270"/>
    </row>
    <row r="662">
      <c r="F662" s="270"/>
      <c r="G662" s="270"/>
      <c r="H662" s="270"/>
    </row>
    <row r="663">
      <c r="F663" s="270"/>
      <c r="G663" s="270"/>
      <c r="H663" s="270"/>
    </row>
    <row r="664">
      <c r="F664" s="270"/>
      <c r="G664" s="270"/>
      <c r="H664" s="270"/>
    </row>
    <row r="665">
      <c r="F665" s="270"/>
      <c r="G665" s="270"/>
      <c r="H665" s="270"/>
    </row>
    <row r="666">
      <c r="F666" s="270"/>
      <c r="G666" s="270"/>
      <c r="H666" s="270"/>
    </row>
    <row r="667">
      <c r="F667" s="270"/>
      <c r="G667" s="270"/>
      <c r="H667" s="270"/>
    </row>
    <row r="668">
      <c r="F668" s="270"/>
      <c r="G668" s="270"/>
      <c r="H668" s="270"/>
    </row>
    <row r="669">
      <c r="F669" s="270"/>
      <c r="G669" s="270"/>
      <c r="H669" s="270"/>
    </row>
    <row r="670">
      <c r="F670" s="270"/>
      <c r="G670" s="270"/>
      <c r="H670" s="270"/>
    </row>
    <row r="671">
      <c r="F671" s="270"/>
      <c r="G671" s="270"/>
      <c r="H671" s="270"/>
    </row>
    <row r="672">
      <c r="F672" s="270"/>
      <c r="G672" s="270"/>
      <c r="H672" s="270"/>
    </row>
    <row r="673">
      <c r="F673" s="270"/>
      <c r="G673" s="270"/>
      <c r="H673" s="270"/>
    </row>
    <row r="674">
      <c r="F674" s="270"/>
      <c r="G674" s="270"/>
      <c r="H674" s="270"/>
    </row>
    <row r="675">
      <c r="F675" s="270"/>
      <c r="G675" s="270"/>
      <c r="H675" s="270"/>
    </row>
    <row r="676">
      <c r="F676" s="270"/>
      <c r="G676" s="270"/>
      <c r="H676" s="270"/>
    </row>
    <row r="677">
      <c r="F677" s="270"/>
      <c r="G677" s="270"/>
      <c r="H677" s="270"/>
    </row>
    <row r="678">
      <c r="F678" s="270"/>
      <c r="G678" s="270"/>
      <c r="H678" s="270"/>
    </row>
    <row r="679">
      <c r="F679" s="270"/>
      <c r="G679" s="270"/>
      <c r="H679" s="270"/>
    </row>
    <row r="680">
      <c r="F680" s="270"/>
      <c r="G680" s="270"/>
      <c r="H680" s="270"/>
    </row>
    <row r="681">
      <c r="F681" s="270"/>
      <c r="G681" s="270"/>
      <c r="H681" s="270"/>
    </row>
    <row r="682">
      <c r="F682" s="270"/>
      <c r="G682" s="270"/>
      <c r="H682" s="270"/>
    </row>
    <row r="683">
      <c r="F683" s="270"/>
      <c r="G683" s="270"/>
      <c r="H683" s="270"/>
    </row>
    <row r="684">
      <c r="F684" s="270"/>
      <c r="G684" s="270"/>
      <c r="H684" s="270"/>
    </row>
    <row r="685">
      <c r="F685" s="270"/>
      <c r="G685" s="270"/>
      <c r="H685" s="270"/>
    </row>
    <row r="686">
      <c r="F686" s="270"/>
      <c r="G686" s="270"/>
      <c r="H686" s="270"/>
    </row>
    <row r="687">
      <c r="F687" s="270"/>
      <c r="G687" s="270"/>
      <c r="H687" s="270"/>
    </row>
    <row r="688">
      <c r="F688" s="270"/>
      <c r="G688" s="270"/>
      <c r="H688" s="270"/>
    </row>
    <row r="689">
      <c r="F689" s="270"/>
      <c r="G689" s="270"/>
      <c r="H689" s="270"/>
    </row>
    <row r="690">
      <c r="F690" s="270"/>
      <c r="G690" s="270"/>
      <c r="H690" s="270"/>
    </row>
    <row r="691">
      <c r="F691" s="270"/>
      <c r="G691" s="270"/>
      <c r="H691" s="270"/>
    </row>
    <row r="692">
      <c r="F692" s="270"/>
      <c r="G692" s="270"/>
      <c r="H692" s="270"/>
    </row>
    <row r="693">
      <c r="F693" s="270"/>
      <c r="G693" s="270"/>
      <c r="H693" s="270"/>
    </row>
    <row r="694">
      <c r="F694" s="270"/>
      <c r="G694" s="270"/>
      <c r="H694" s="270"/>
    </row>
    <row r="695">
      <c r="F695" s="270"/>
      <c r="G695" s="270"/>
      <c r="H695" s="270"/>
    </row>
    <row r="696">
      <c r="F696" s="270"/>
      <c r="G696" s="270"/>
      <c r="H696" s="270"/>
    </row>
    <row r="697">
      <c r="F697" s="270"/>
      <c r="G697" s="270"/>
      <c r="H697" s="270"/>
    </row>
    <row r="698">
      <c r="F698" s="270"/>
      <c r="G698" s="270"/>
      <c r="H698" s="270"/>
    </row>
    <row r="699">
      <c r="F699" s="270"/>
      <c r="G699" s="270"/>
      <c r="H699" s="270"/>
    </row>
    <row r="700">
      <c r="F700" s="270"/>
      <c r="G700" s="270"/>
      <c r="H700" s="270"/>
    </row>
    <row r="701">
      <c r="F701" s="270"/>
      <c r="G701" s="270"/>
      <c r="H701" s="270"/>
    </row>
    <row r="702">
      <c r="F702" s="270"/>
      <c r="G702" s="270"/>
      <c r="H702" s="270"/>
    </row>
    <row r="703">
      <c r="F703" s="270"/>
      <c r="G703" s="270"/>
      <c r="H703" s="270"/>
    </row>
    <row r="704">
      <c r="F704" s="270"/>
      <c r="G704" s="270"/>
      <c r="H704" s="270"/>
    </row>
    <row r="705">
      <c r="F705" s="270"/>
      <c r="G705" s="270"/>
      <c r="H705" s="270"/>
    </row>
    <row r="706">
      <c r="F706" s="270"/>
      <c r="G706" s="270"/>
      <c r="H706" s="270"/>
    </row>
    <row r="707">
      <c r="F707" s="270"/>
      <c r="G707" s="270"/>
      <c r="H707" s="270"/>
    </row>
    <row r="708">
      <c r="F708" s="270"/>
      <c r="G708" s="270"/>
      <c r="H708" s="270"/>
    </row>
    <row r="709">
      <c r="F709" s="270"/>
      <c r="G709" s="270"/>
      <c r="H709" s="270"/>
    </row>
    <row r="710">
      <c r="F710" s="270"/>
      <c r="G710" s="270"/>
      <c r="H710" s="270"/>
    </row>
    <row r="711">
      <c r="F711" s="270"/>
      <c r="G711" s="270"/>
      <c r="H711" s="270"/>
    </row>
    <row r="712">
      <c r="F712" s="270"/>
      <c r="G712" s="270"/>
      <c r="H712" s="270"/>
    </row>
    <row r="713">
      <c r="F713" s="270"/>
      <c r="G713" s="270"/>
      <c r="H713" s="270"/>
    </row>
    <row r="714">
      <c r="F714" s="270"/>
      <c r="G714" s="270"/>
      <c r="H714" s="270"/>
    </row>
    <row r="715">
      <c r="F715" s="270"/>
      <c r="G715" s="270"/>
      <c r="H715" s="270"/>
    </row>
    <row r="716">
      <c r="F716" s="270"/>
      <c r="G716" s="270"/>
      <c r="H716" s="270"/>
    </row>
    <row r="717">
      <c r="F717" s="270"/>
      <c r="G717" s="270"/>
      <c r="H717" s="270"/>
    </row>
    <row r="718">
      <c r="F718" s="270"/>
      <c r="G718" s="270"/>
      <c r="H718" s="270"/>
    </row>
    <row r="719">
      <c r="F719" s="270"/>
      <c r="G719" s="270"/>
      <c r="H719" s="270"/>
    </row>
    <row r="720">
      <c r="F720" s="270"/>
      <c r="G720" s="270"/>
      <c r="H720" s="270"/>
    </row>
    <row r="721">
      <c r="F721" s="270"/>
      <c r="G721" s="270"/>
      <c r="H721" s="270"/>
    </row>
    <row r="722">
      <c r="F722" s="270"/>
      <c r="G722" s="270"/>
      <c r="H722" s="270"/>
    </row>
    <row r="723">
      <c r="F723" s="270"/>
      <c r="G723" s="270"/>
      <c r="H723" s="270"/>
    </row>
    <row r="724">
      <c r="F724" s="270"/>
      <c r="G724" s="270"/>
      <c r="H724" s="270"/>
    </row>
    <row r="725">
      <c r="F725" s="270"/>
      <c r="G725" s="270"/>
      <c r="H725" s="270"/>
    </row>
    <row r="726">
      <c r="F726" s="270"/>
      <c r="G726" s="270"/>
      <c r="H726" s="270"/>
    </row>
    <row r="727">
      <c r="F727" s="270"/>
      <c r="G727" s="270"/>
      <c r="H727" s="270"/>
    </row>
    <row r="728">
      <c r="F728" s="270"/>
      <c r="G728" s="270"/>
      <c r="H728" s="270"/>
    </row>
    <row r="729">
      <c r="F729" s="270"/>
      <c r="G729" s="270"/>
      <c r="H729" s="270"/>
    </row>
    <row r="730">
      <c r="F730" s="270"/>
      <c r="G730" s="270"/>
      <c r="H730" s="270"/>
    </row>
    <row r="731">
      <c r="F731" s="270"/>
      <c r="G731" s="270"/>
      <c r="H731" s="270"/>
    </row>
    <row r="732">
      <c r="F732" s="270"/>
      <c r="G732" s="270"/>
      <c r="H732" s="270"/>
    </row>
    <row r="733">
      <c r="F733" s="270"/>
      <c r="G733" s="270"/>
      <c r="H733" s="270"/>
    </row>
    <row r="734">
      <c r="F734" s="270"/>
      <c r="G734" s="270"/>
      <c r="H734" s="270"/>
    </row>
    <row r="735">
      <c r="F735" s="270"/>
      <c r="G735" s="270"/>
      <c r="H735" s="270"/>
    </row>
    <row r="736">
      <c r="F736" s="270"/>
      <c r="G736" s="270"/>
      <c r="H736" s="270"/>
    </row>
    <row r="737">
      <c r="F737" s="270"/>
      <c r="G737" s="270"/>
      <c r="H737" s="270"/>
    </row>
    <row r="738">
      <c r="F738" s="270"/>
      <c r="G738" s="270"/>
      <c r="H738" s="270"/>
    </row>
    <row r="739">
      <c r="F739" s="270"/>
      <c r="G739" s="270"/>
      <c r="H739" s="270"/>
    </row>
    <row r="740">
      <c r="F740" s="270"/>
      <c r="G740" s="270"/>
      <c r="H740" s="270"/>
    </row>
    <row r="741">
      <c r="F741" s="270"/>
      <c r="G741" s="270"/>
      <c r="H741" s="270"/>
    </row>
    <row r="742">
      <c r="F742" s="270"/>
      <c r="G742" s="270"/>
      <c r="H742" s="270"/>
    </row>
    <row r="743">
      <c r="F743" s="270"/>
      <c r="G743" s="270"/>
      <c r="H743" s="270"/>
    </row>
    <row r="744">
      <c r="F744" s="270"/>
      <c r="G744" s="270"/>
      <c r="H744" s="270"/>
    </row>
    <row r="745">
      <c r="F745" s="270"/>
      <c r="G745" s="270"/>
      <c r="H745" s="270"/>
    </row>
    <row r="746">
      <c r="F746" s="270"/>
      <c r="G746" s="270"/>
      <c r="H746" s="270"/>
    </row>
    <row r="747">
      <c r="F747" s="270"/>
      <c r="G747" s="270"/>
      <c r="H747" s="270"/>
    </row>
    <row r="748">
      <c r="F748" s="270"/>
      <c r="G748" s="270"/>
      <c r="H748" s="270"/>
    </row>
    <row r="749">
      <c r="F749" s="270"/>
      <c r="G749" s="270"/>
      <c r="H749" s="270"/>
    </row>
    <row r="750">
      <c r="F750" s="270"/>
      <c r="G750" s="270"/>
      <c r="H750" s="270"/>
    </row>
    <row r="751">
      <c r="F751" s="270"/>
      <c r="G751" s="270"/>
      <c r="H751" s="270"/>
    </row>
    <row r="752">
      <c r="F752" s="270"/>
      <c r="G752" s="270"/>
      <c r="H752" s="270"/>
    </row>
    <row r="753">
      <c r="F753" s="270"/>
      <c r="G753" s="270"/>
      <c r="H753" s="270"/>
    </row>
    <row r="754">
      <c r="F754" s="270"/>
      <c r="G754" s="270"/>
      <c r="H754" s="270"/>
    </row>
    <row r="755">
      <c r="F755" s="270"/>
      <c r="G755" s="270"/>
      <c r="H755" s="270"/>
    </row>
    <row r="756">
      <c r="F756" s="270"/>
      <c r="G756" s="270"/>
      <c r="H756" s="270"/>
    </row>
    <row r="757">
      <c r="F757" s="270"/>
      <c r="G757" s="270"/>
      <c r="H757" s="270"/>
    </row>
    <row r="758">
      <c r="F758" s="270"/>
      <c r="G758" s="270"/>
      <c r="H758" s="270"/>
    </row>
    <row r="759">
      <c r="F759" s="270"/>
      <c r="G759" s="270"/>
      <c r="H759" s="270"/>
    </row>
    <row r="760">
      <c r="F760" s="270"/>
      <c r="G760" s="270"/>
      <c r="H760" s="270"/>
    </row>
    <row r="761">
      <c r="F761" s="270"/>
      <c r="G761" s="270"/>
      <c r="H761" s="270"/>
    </row>
    <row r="762">
      <c r="F762" s="270"/>
      <c r="G762" s="270"/>
      <c r="H762" s="270"/>
    </row>
    <row r="763">
      <c r="F763" s="270"/>
      <c r="G763" s="270"/>
      <c r="H763" s="270"/>
    </row>
    <row r="764">
      <c r="F764" s="270"/>
      <c r="G764" s="270"/>
      <c r="H764" s="270"/>
    </row>
    <row r="765">
      <c r="F765" s="270"/>
      <c r="G765" s="270"/>
      <c r="H765" s="270"/>
    </row>
    <row r="766">
      <c r="F766" s="270"/>
      <c r="G766" s="270"/>
      <c r="H766" s="270"/>
    </row>
    <row r="767">
      <c r="F767" s="270"/>
      <c r="G767" s="270"/>
      <c r="H767" s="270"/>
    </row>
    <row r="768">
      <c r="F768" s="270"/>
      <c r="G768" s="270"/>
      <c r="H768" s="270"/>
    </row>
    <row r="769">
      <c r="F769" s="270"/>
      <c r="G769" s="270"/>
      <c r="H769" s="270"/>
    </row>
    <row r="770">
      <c r="F770" s="270"/>
      <c r="G770" s="270"/>
      <c r="H770" s="270"/>
    </row>
    <row r="771">
      <c r="F771" s="270"/>
      <c r="G771" s="270"/>
      <c r="H771" s="270"/>
    </row>
    <row r="772">
      <c r="F772" s="270"/>
      <c r="G772" s="270"/>
      <c r="H772" s="270"/>
    </row>
    <row r="773">
      <c r="F773" s="270"/>
      <c r="G773" s="270"/>
      <c r="H773" s="270"/>
    </row>
    <row r="774">
      <c r="F774" s="270"/>
      <c r="G774" s="270"/>
      <c r="H774" s="270"/>
    </row>
    <row r="775">
      <c r="F775" s="270"/>
      <c r="G775" s="270"/>
      <c r="H775" s="270"/>
    </row>
    <row r="776">
      <c r="F776" s="270"/>
      <c r="G776" s="270"/>
      <c r="H776" s="270"/>
    </row>
    <row r="777">
      <c r="F777" s="270"/>
      <c r="G777" s="270"/>
      <c r="H777" s="270"/>
    </row>
    <row r="778">
      <c r="F778" s="270"/>
      <c r="G778" s="270"/>
      <c r="H778" s="270"/>
    </row>
    <row r="779">
      <c r="F779" s="270"/>
      <c r="G779" s="270"/>
      <c r="H779" s="270"/>
    </row>
    <row r="780">
      <c r="F780" s="270"/>
      <c r="G780" s="270"/>
      <c r="H780" s="270"/>
    </row>
    <row r="781">
      <c r="F781" s="270"/>
      <c r="G781" s="270"/>
      <c r="H781" s="270"/>
    </row>
    <row r="782">
      <c r="F782" s="270"/>
      <c r="G782" s="270"/>
      <c r="H782" s="270"/>
    </row>
    <row r="783">
      <c r="F783" s="270"/>
      <c r="G783" s="270"/>
      <c r="H783" s="270"/>
    </row>
    <row r="784">
      <c r="F784" s="270"/>
      <c r="G784" s="270"/>
      <c r="H784" s="270"/>
    </row>
    <row r="785">
      <c r="F785" s="270"/>
      <c r="G785" s="270"/>
      <c r="H785" s="270"/>
    </row>
    <row r="786">
      <c r="F786" s="270"/>
      <c r="G786" s="270"/>
      <c r="H786" s="270"/>
    </row>
    <row r="787">
      <c r="F787" s="270"/>
      <c r="G787" s="270"/>
      <c r="H787" s="270"/>
    </row>
    <row r="788">
      <c r="F788" s="270"/>
      <c r="G788" s="270"/>
      <c r="H788" s="270"/>
    </row>
    <row r="789">
      <c r="F789" s="270"/>
      <c r="G789" s="270"/>
      <c r="H789" s="270"/>
    </row>
    <row r="790">
      <c r="F790" s="270"/>
      <c r="G790" s="270"/>
      <c r="H790" s="270"/>
    </row>
    <row r="791">
      <c r="F791" s="270"/>
      <c r="G791" s="270"/>
      <c r="H791" s="270"/>
    </row>
    <row r="792">
      <c r="F792" s="270"/>
      <c r="G792" s="270"/>
      <c r="H792" s="270"/>
    </row>
    <row r="793">
      <c r="F793" s="270"/>
      <c r="G793" s="270"/>
      <c r="H793" s="270"/>
    </row>
    <row r="794">
      <c r="F794" s="270"/>
      <c r="G794" s="270"/>
      <c r="H794" s="270"/>
    </row>
    <row r="795">
      <c r="F795" s="270"/>
      <c r="G795" s="270"/>
      <c r="H795" s="270"/>
    </row>
    <row r="796">
      <c r="F796" s="270"/>
      <c r="G796" s="270"/>
      <c r="H796" s="270"/>
    </row>
    <row r="797">
      <c r="F797" s="270"/>
      <c r="G797" s="270"/>
      <c r="H797" s="270"/>
    </row>
    <row r="798">
      <c r="F798" s="270"/>
      <c r="G798" s="270"/>
      <c r="H798" s="270"/>
    </row>
    <row r="799">
      <c r="F799" s="270"/>
      <c r="G799" s="270"/>
      <c r="H799" s="270"/>
    </row>
    <row r="800">
      <c r="F800" s="270"/>
      <c r="G800" s="270"/>
      <c r="H800" s="270"/>
    </row>
    <row r="801">
      <c r="F801" s="270"/>
      <c r="G801" s="270"/>
      <c r="H801" s="270"/>
    </row>
    <row r="802">
      <c r="F802" s="270"/>
      <c r="G802" s="270"/>
      <c r="H802" s="270"/>
    </row>
    <row r="803">
      <c r="F803" s="270"/>
      <c r="G803" s="270"/>
      <c r="H803" s="270"/>
    </row>
    <row r="804">
      <c r="F804" s="270"/>
      <c r="G804" s="270"/>
      <c r="H804" s="270"/>
    </row>
    <row r="805">
      <c r="F805" s="270"/>
      <c r="G805" s="270"/>
      <c r="H805" s="270"/>
    </row>
    <row r="806">
      <c r="F806" s="270"/>
      <c r="G806" s="270"/>
      <c r="H806" s="270"/>
    </row>
    <row r="807">
      <c r="F807" s="270"/>
      <c r="G807" s="270"/>
      <c r="H807" s="270"/>
    </row>
    <row r="808">
      <c r="F808" s="270"/>
      <c r="G808" s="270"/>
      <c r="H808" s="270"/>
    </row>
    <row r="809">
      <c r="F809" s="270"/>
      <c r="G809" s="270"/>
      <c r="H809" s="270"/>
    </row>
    <row r="810">
      <c r="F810" s="270"/>
      <c r="G810" s="270"/>
      <c r="H810" s="270"/>
    </row>
    <row r="811">
      <c r="F811" s="270"/>
      <c r="G811" s="270"/>
      <c r="H811" s="270"/>
    </row>
    <row r="812">
      <c r="F812" s="270"/>
      <c r="G812" s="270"/>
      <c r="H812" s="270"/>
    </row>
    <row r="813">
      <c r="F813" s="270"/>
      <c r="G813" s="270"/>
      <c r="H813" s="270"/>
    </row>
    <row r="814">
      <c r="F814" s="270"/>
      <c r="G814" s="270"/>
      <c r="H814" s="270"/>
    </row>
    <row r="815">
      <c r="F815" s="270"/>
      <c r="G815" s="270"/>
      <c r="H815" s="270"/>
    </row>
    <row r="816">
      <c r="F816" s="270"/>
      <c r="G816" s="270"/>
      <c r="H816" s="270"/>
    </row>
    <row r="817">
      <c r="F817" s="270"/>
      <c r="G817" s="270"/>
      <c r="H817" s="270"/>
    </row>
    <row r="818">
      <c r="F818" s="270"/>
      <c r="G818" s="270"/>
      <c r="H818" s="270"/>
    </row>
    <row r="819">
      <c r="F819" s="270"/>
      <c r="G819" s="270"/>
      <c r="H819" s="270"/>
    </row>
    <row r="820">
      <c r="F820" s="270"/>
      <c r="G820" s="270"/>
      <c r="H820" s="270"/>
    </row>
    <row r="821">
      <c r="F821" s="270"/>
      <c r="G821" s="270"/>
      <c r="H821" s="270"/>
    </row>
    <row r="822">
      <c r="F822" s="270"/>
      <c r="G822" s="270"/>
      <c r="H822" s="270"/>
    </row>
    <row r="823">
      <c r="F823" s="270"/>
      <c r="G823" s="270"/>
      <c r="H823" s="270"/>
    </row>
    <row r="824">
      <c r="F824" s="270"/>
      <c r="G824" s="270"/>
      <c r="H824" s="270"/>
    </row>
    <row r="825">
      <c r="F825" s="270"/>
      <c r="G825" s="270"/>
      <c r="H825" s="270"/>
    </row>
    <row r="826">
      <c r="F826" s="270"/>
      <c r="G826" s="270"/>
      <c r="H826" s="270"/>
    </row>
    <row r="827">
      <c r="F827" s="270"/>
      <c r="G827" s="270"/>
      <c r="H827" s="270"/>
    </row>
    <row r="828">
      <c r="F828" s="270"/>
      <c r="G828" s="270"/>
      <c r="H828" s="270"/>
    </row>
    <row r="829">
      <c r="F829" s="270"/>
      <c r="G829" s="270"/>
      <c r="H829" s="270"/>
    </row>
    <row r="830">
      <c r="F830" s="270"/>
      <c r="G830" s="270"/>
      <c r="H830" s="270"/>
    </row>
    <row r="831">
      <c r="F831" s="270"/>
      <c r="G831" s="270"/>
      <c r="H831" s="270"/>
    </row>
    <row r="832">
      <c r="F832" s="270"/>
      <c r="G832" s="270"/>
      <c r="H832" s="270"/>
    </row>
    <row r="833">
      <c r="F833" s="270"/>
      <c r="G833" s="270"/>
      <c r="H833" s="270"/>
    </row>
    <row r="834">
      <c r="F834" s="270"/>
      <c r="G834" s="270"/>
      <c r="H834" s="270"/>
    </row>
    <row r="835">
      <c r="F835" s="270"/>
      <c r="G835" s="270"/>
      <c r="H835" s="270"/>
    </row>
    <row r="836">
      <c r="F836" s="270"/>
      <c r="G836" s="270"/>
      <c r="H836" s="270"/>
    </row>
    <row r="837">
      <c r="F837" s="270"/>
      <c r="G837" s="270"/>
      <c r="H837" s="270"/>
    </row>
    <row r="838">
      <c r="F838" s="270"/>
      <c r="G838" s="270"/>
      <c r="H838" s="270"/>
    </row>
    <row r="839">
      <c r="F839" s="270"/>
      <c r="G839" s="270"/>
      <c r="H839" s="270"/>
    </row>
    <row r="840">
      <c r="F840" s="270"/>
      <c r="G840" s="270"/>
      <c r="H840" s="270"/>
    </row>
    <row r="841">
      <c r="F841" s="270"/>
      <c r="G841" s="270"/>
      <c r="H841" s="270"/>
    </row>
    <row r="842">
      <c r="F842" s="270"/>
      <c r="G842" s="270"/>
      <c r="H842" s="270"/>
    </row>
    <row r="843">
      <c r="F843" s="270"/>
      <c r="G843" s="270"/>
      <c r="H843" s="270"/>
    </row>
    <row r="844">
      <c r="F844" s="270"/>
      <c r="G844" s="270"/>
      <c r="H844" s="270"/>
    </row>
    <row r="845">
      <c r="F845" s="270"/>
      <c r="G845" s="270"/>
      <c r="H845" s="270"/>
    </row>
    <row r="846">
      <c r="F846" s="270"/>
      <c r="G846" s="270"/>
      <c r="H846" s="270"/>
    </row>
    <row r="847">
      <c r="F847" s="270"/>
      <c r="G847" s="270"/>
      <c r="H847" s="270"/>
    </row>
    <row r="848">
      <c r="F848" s="270"/>
      <c r="G848" s="270"/>
      <c r="H848" s="270"/>
    </row>
    <row r="849">
      <c r="F849" s="270"/>
      <c r="G849" s="270"/>
      <c r="H849" s="270"/>
    </row>
    <row r="850">
      <c r="F850" s="270"/>
      <c r="G850" s="270"/>
      <c r="H850" s="270"/>
    </row>
    <row r="851">
      <c r="F851" s="270"/>
      <c r="G851" s="270"/>
      <c r="H851" s="270"/>
    </row>
    <row r="852">
      <c r="F852" s="270"/>
      <c r="G852" s="270"/>
      <c r="H852" s="270"/>
    </row>
    <row r="853">
      <c r="F853" s="270"/>
      <c r="G853" s="270"/>
      <c r="H853" s="270"/>
    </row>
    <row r="854">
      <c r="F854" s="270"/>
      <c r="G854" s="270"/>
      <c r="H854" s="270"/>
    </row>
    <row r="855">
      <c r="F855" s="270"/>
      <c r="G855" s="270"/>
      <c r="H855" s="270"/>
    </row>
    <row r="856">
      <c r="F856" s="270"/>
      <c r="G856" s="270"/>
      <c r="H856" s="270"/>
    </row>
    <row r="857">
      <c r="F857" s="270"/>
      <c r="G857" s="270"/>
      <c r="H857" s="270"/>
    </row>
    <row r="858">
      <c r="F858" s="270"/>
      <c r="G858" s="270"/>
      <c r="H858" s="270"/>
    </row>
    <row r="859">
      <c r="F859" s="270"/>
      <c r="G859" s="270"/>
      <c r="H859" s="270"/>
    </row>
    <row r="860">
      <c r="F860" s="270"/>
      <c r="G860" s="270"/>
      <c r="H860" s="270"/>
    </row>
    <row r="861">
      <c r="F861" s="270"/>
      <c r="G861" s="270"/>
      <c r="H861" s="270"/>
    </row>
    <row r="862">
      <c r="F862" s="270"/>
      <c r="G862" s="270"/>
      <c r="H862" s="270"/>
    </row>
    <row r="863">
      <c r="F863" s="270"/>
      <c r="G863" s="270"/>
      <c r="H863" s="270"/>
    </row>
    <row r="864">
      <c r="F864" s="270"/>
      <c r="G864" s="270"/>
      <c r="H864" s="270"/>
    </row>
    <row r="865">
      <c r="F865" s="270"/>
      <c r="G865" s="270"/>
      <c r="H865" s="270"/>
    </row>
    <row r="866">
      <c r="F866" s="270"/>
      <c r="G866" s="270"/>
      <c r="H866" s="270"/>
    </row>
    <row r="867">
      <c r="F867" s="270"/>
      <c r="G867" s="270"/>
      <c r="H867" s="270"/>
    </row>
    <row r="868">
      <c r="F868" s="270"/>
      <c r="G868" s="270"/>
      <c r="H868" s="270"/>
    </row>
    <row r="869">
      <c r="F869" s="270"/>
      <c r="G869" s="270"/>
      <c r="H869" s="270"/>
    </row>
    <row r="870">
      <c r="F870" s="270"/>
      <c r="G870" s="270"/>
      <c r="H870" s="270"/>
    </row>
    <row r="871">
      <c r="F871" s="270"/>
      <c r="G871" s="270"/>
      <c r="H871" s="270"/>
    </row>
    <row r="872">
      <c r="F872" s="270"/>
      <c r="G872" s="270"/>
      <c r="H872" s="270"/>
    </row>
    <row r="873">
      <c r="F873" s="270"/>
      <c r="G873" s="270"/>
      <c r="H873" s="270"/>
    </row>
    <row r="874">
      <c r="F874" s="270"/>
      <c r="G874" s="270"/>
      <c r="H874" s="270"/>
    </row>
    <row r="875">
      <c r="F875" s="270"/>
      <c r="G875" s="270"/>
      <c r="H875" s="270"/>
    </row>
    <row r="876">
      <c r="F876" s="270"/>
      <c r="G876" s="270"/>
      <c r="H876" s="270"/>
    </row>
    <row r="877">
      <c r="F877" s="270"/>
      <c r="G877" s="270"/>
      <c r="H877" s="270"/>
    </row>
    <row r="878">
      <c r="F878" s="270"/>
      <c r="G878" s="270"/>
      <c r="H878" s="270"/>
    </row>
    <row r="879">
      <c r="F879" s="270"/>
      <c r="G879" s="270"/>
      <c r="H879" s="270"/>
    </row>
    <row r="880">
      <c r="F880" s="270"/>
      <c r="G880" s="270"/>
      <c r="H880" s="270"/>
    </row>
    <row r="881">
      <c r="F881" s="270"/>
      <c r="G881" s="270"/>
      <c r="H881" s="270"/>
    </row>
    <row r="882">
      <c r="F882" s="270"/>
      <c r="G882" s="270"/>
      <c r="H882" s="270"/>
    </row>
    <row r="883">
      <c r="F883" s="270"/>
      <c r="G883" s="270"/>
      <c r="H883" s="270"/>
    </row>
    <row r="884">
      <c r="F884" s="270"/>
      <c r="G884" s="270"/>
      <c r="H884" s="270"/>
    </row>
    <row r="885">
      <c r="F885" s="270"/>
      <c r="G885" s="270"/>
      <c r="H885" s="270"/>
    </row>
    <row r="886">
      <c r="F886" s="270"/>
      <c r="G886" s="270"/>
      <c r="H886" s="270"/>
    </row>
    <row r="887">
      <c r="F887" s="270"/>
      <c r="G887" s="270"/>
      <c r="H887" s="270"/>
    </row>
    <row r="888">
      <c r="F888" s="270"/>
      <c r="G888" s="270"/>
      <c r="H888" s="270"/>
    </row>
    <row r="889">
      <c r="F889" s="270"/>
      <c r="G889" s="270"/>
      <c r="H889" s="270"/>
    </row>
    <row r="890">
      <c r="F890" s="270"/>
      <c r="G890" s="270"/>
      <c r="H890" s="270"/>
    </row>
    <row r="891">
      <c r="F891" s="270"/>
      <c r="G891" s="270"/>
      <c r="H891" s="270"/>
    </row>
    <row r="892">
      <c r="F892" s="270"/>
      <c r="G892" s="270"/>
      <c r="H892" s="270"/>
    </row>
    <row r="893">
      <c r="F893" s="270"/>
      <c r="G893" s="270"/>
      <c r="H893" s="270"/>
    </row>
    <row r="894">
      <c r="F894" s="270"/>
      <c r="G894" s="270"/>
      <c r="H894" s="270"/>
    </row>
    <row r="895">
      <c r="F895" s="270"/>
      <c r="G895" s="270"/>
      <c r="H895" s="270"/>
    </row>
    <row r="896">
      <c r="F896" s="270"/>
      <c r="G896" s="270"/>
      <c r="H896" s="270"/>
    </row>
    <row r="897">
      <c r="F897" s="270"/>
      <c r="G897" s="270"/>
      <c r="H897" s="270"/>
    </row>
    <row r="898">
      <c r="F898" s="270"/>
      <c r="G898" s="270"/>
      <c r="H898" s="270"/>
    </row>
    <row r="899">
      <c r="F899" s="270"/>
      <c r="G899" s="270"/>
      <c r="H899" s="270"/>
    </row>
    <row r="900">
      <c r="F900" s="270"/>
      <c r="G900" s="270"/>
      <c r="H900" s="270"/>
    </row>
    <row r="901">
      <c r="F901" s="270"/>
      <c r="G901" s="270"/>
      <c r="H901" s="270"/>
    </row>
    <row r="902">
      <c r="F902" s="270"/>
      <c r="G902" s="270"/>
      <c r="H902" s="270"/>
    </row>
    <row r="903">
      <c r="F903" s="270"/>
      <c r="G903" s="270"/>
      <c r="H903" s="270"/>
    </row>
    <row r="904">
      <c r="F904" s="270"/>
      <c r="G904" s="270"/>
      <c r="H904" s="270"/>
    </row>
    <row r="905">
      <c r="F905" s="270"/>
      <c r="G905" s="270"/>
      <c r="H905" s="270"/>
    </row>
    <row r="906">
      <c r="F906" s="270"/>
      <c r="G906" s="270"/>
      <c r="H906" s="270"/>
    </row>
    <row r="907">
      <c r="F907" s="270"/>
      <c r="G907" s="270"/>
      <c r="H907" s="270"/>
    </row>
    <row r="908">
      <c r="F908" s="270"/>
      <c r="G908" s="270"/>
      <c r="H908" s="270"/>
    </row>
    <row r="909">
      <c r="F909" s="270"/>
      <c r="G909" s="270"/>
      <c r="H909" s="270"/>
    </row>
    <row r="910">
      <c r="F910" s="270"/>
      <c r="G910" s="270"/>
      <c r="H910" s="270"/>
    </row>
    <row r="911">
      <c r="F911" s="270"/>
      <c r="G911" s="270"/>
      <c r="H911" s="270"/>
    </row>
    <row r="912">
      <c r="F912" s="270"/>
      <c r="G912" s="270"/>
      <c r="H912" s="270"/>
    </row>
    <row r="913">
      <c r="F913" s="270"/>
      <c r="G913" s="270"/>
      <c r="H913" s="270"/>
    </row>
    <row r="914">
      <c r="F914" s="270"/>
      <c r="G914" s="270"/>
      <c r="H914" s="270"/>
    </row>
    <row r="915">
      <c r="F915" s="270"/>
      <c r="G915" s="270"/>
      <c r="H915" s="270"/>
    </row>
    <row r="916">
      <c r="F916" s="270"/>
      <c r="G916" s="270"/>
      <c r="H916" s="270"/>
    </row>
    <row r="917">
      <c r="F917" s="270"/>
      <c r="G917" s="270"/>
      <c r="H917" s="270"/>
    </row>
    <row r="918">
      <c r="F918" s="270"/>
      <c r="G918" s="270"/>
      <c r="H918" s="270"/>
    </row>
    <row r="919">
      <c r="F919" s="270"/>
      <c r="G919" s="270"/>
      <c r="H919" s="270"/>
    </row>
    <row r="920">
      <c r="F920" s="270"/>
      <c r="G920" s="270"/>
      <c r="H920" s="270"/>
    </row>
    <row r="921">
      <c r="F921" s="270"/>
      <c r="G921" s="270"/>
      <c r="H921" s="270"/>
    </row>
    <row r="922">
      <c r="F922" s="270"/>
      <c r="G922" s="270"/>
      <c r="H922" s="270"/>
    </row>
    <row r="923">
      <c r="F923" s="270"/>
      <c r="G923" s="270"/>
      <c r="H923" s="270"/>
    </row>
    <row r="924">
      <c r="F924" s="270"/>
      <c r="G924" s="270"/>
      <c r="H924" s="270"/>
    </row>
    <row r="925">
      <c r="F925" s="270"/>
      <c r="G925" s="270"/>
      <c r="H925" s="270"/>
    </row>
    <row r="926">
      <c r="F926" s="270"/>
      <c r="G926" s="270"/>
      <c r="H926" s="270"/>
    </row>
    <row r="927">
      <c r="F927" s="270"/>
      <c r="G927" s="270"/>
      <c r="H927" s="270"/>
    </row>
    <row r="928">
      <c r="F928" s="270"/>
      <c r="G928" s="270"/>
      <c r="H928" s="270"/>
    </row>
    <row r="929">
      <c r="F929" s="270"/>
      <c r="G929" s="270"/>
      <c r="H929" s="270"/>
    </row>
    <row r="930">
      <c r="F930" s="270"/>
      <c r="G930" s="270"/>
      <c r="H930" s="270"/>
    </row>
    <row r="931">
      <c r="F931" s="270"/>
      <c r="G931" s="270"/>
      <c r="H931" s="270"/>
    </row>
    <row r="932">
      <c r="F932" s="270"/>
      <c r="G932" s="270"/>
      <c r="H932" s="270"/>
    </row>
    <row r="933">
      <c r="F933" s="270"/>
      <c r="G933" s="270"/>
      <c r="H933" s="270"/>
    </row>
    <row r="934">
      <c r="F934" s="270"/>
      <c r="G934" s="270"/>
      <c r="H934" s="270"/>
    </row>
    <row r="935">
      <c r="F935" s="270"/>
      <c r="G935" s="270"/>
      <c r="H935" s="270"/>
    </row>
    <row r="936">
      <c r="F936" s="270"/>
      <c r="G936" s="270"/>
      <c r="H936" s="270"/>
    </row>
    <row r="937">
      <c r="F937" s="270"/>
      <c r="G937" s="270"/>
      <c r="H937" s="270"/>
    </row>
    <row r="938">
      <c r="F938" s="270"/>
      <c r="G938" s="270"/>
      <c r="H938" s="270"/>
    </row>
    <row r="939">
      <c r="F939" s="270"/>
      <c r="G939" s="270"/>
      <c r="H939" s="270"/>
    </row>
    <row r="940">
      <c r="F940" s="270"/>
      <c r="G940" s="270"/>
      <c r="H940" s="270"/>
    </row>
    <row r="941">
      <c r="F941" s="270"/>
      <c r="G941" s="270"/>
      <c r="H941" s="270"/>
    </row>
    <row r="942">
      <c r="F942" s="270"/>
      <c r="G942" s="270"/>
      <c r="H942" s="270"/>
    </row>
    <row r="943">
      <c r="F943" s="270"/>
      <c r="G943" s="270"/>
      <c r="H943" s="270"/>
    </row>
    <row r="944">
      <c r="F944" s="270"/>
      <c r="G944" s="270"/>
      <c r="H944" s="270"/>
    </row>
    <row r="945">
      <c r="F945" s="270"/>
      <c r="G945" s="270"/>
      <c r="H945" s="270"/>
    </row>
    <row r="946">
      <c r="F946" s="270"/>
      <c r="G946" s="270"/>
      <c r="H946" s="270"/>
    </row>
    <row r="947">
      <c r="F947" s="270"/>
      <c r="G947" s="270"/>
      <c r="H947" s="270"/>
    </row>
    <row r="948">
      <c r="F948" s="270"/>
      <c r="G948" s="270"/>
      <c r="H948" s="270"/>
    </row>
    <row r="949">
      <c r="F949" s="270"/>
      <c r="G949" s="270"/>
      <c r="H949" s="270"/>
    </row>
    <row r="950">
      <c r="F950" s="270"/>
      <c r="G950" s="270"/>
      <c r="H950" s="270"/>
    </row>
    <row r="951">
      <c r="F951" s="270"/>
      <c r="G951" s="270"/>
      <c r="H951" s="270"/>
    </row>
    <row r="952">
      <c r="F952" s="270"/>
      <c r="G952" s="270"/>
      <c r="H952" s="270"/>
    </row>
    <row r="953">
      <c r="F953" s="270"/>
      <c r="G953" s="270"/>
      <c r="H953" s="270"/>
    </row>
    <row r="954">
      <c r="F954" s="270"/>
      <c r="G954" s="270"/>
      <c r="H954" s="270"/>
    </row>
    <row r="955">
      <c r="F955" s="270"/>
      <c r="G955" s="270"/>
      <c r="H955" s="270"/>
    </row>
    <row r="956">
      <c r="F956" s="270"/>
      <c r="G956" s="270"/>
      <c r="H956" s="270"/>
    </row>
    <row r="957">
      <c r="F957" s="270"/>
      <c r="G957" s="270"/>
      <c r="H957" s="270"/>
    </row>
    <row r="958">
      <c r="F958" s="270"/>
      <c r="G958" s="270"/>
      <c r="H958" s="270"/>
    </row>
    <row r="959">
      <c r="F959" s="270"/>
      <c r="G959" s="270"/>
      <c r="H959" s="270"/>
    </row>
    <row r="960">
      <c r="F960" s="270"/>
      <c r="G960" s="270"/>
      <c r="H960" s="270"/>
    </row>
    <row r="961">
      <c r="F961" s="270"/>
      <c r="G961" s="270"/>
      <c r="H961" s="270"/>
    </row>
    <row r="962">
      <c r="F962" s="270"/>
      <c r="G962" s="270"/>
      <c r="H962" s="270"/>
    </row>
    <row r="963">
      <c r="F963" s="270"/>
      <c r="G963" s="270"/>
      <c r="H963" s="270"/>
    </row>
    <row r="964">
      <c r="F964" s="270"/>
      <c r="G964" s="270"/>
      <c r="H964" s="270"/>
    </row>
    <row r="965">
      <c r="F965" s="270"/>
      <c r="G965" s="270"/>
      <c r="H965" s="270"/>
    </row>
    <row r="966">
      <c r="F966" s="270"/>
      <c r="G966" s="270"/>
      <c r="H966" s="270"/>
    </row>
    <row r="967">
      <c r="F967" s="270"/>
      <c r="G967" s="270"/>
      <c r="H967" s="270"/>
    </row>
    <row r="968">
      <c r="F968" s="270"/>
      <c r="G968" s="270"/>
      <c r="H968" s="270"/>
    </row>
    <row r="969">
      <c r="F969" s="270"/>
      <c r="G969" s="270"/>
      <c r="H969" s="270"/>
    </row>
    <row r="970">
      <c r="F970" s="270"/>
      <c r="G970" s="270"/>
      <c r="H970" s="270"/>
    </row>
    <row r="971">
      <c r="F971" s="270"/>
      <c r="G971" s="270"/>
      <c r="H971" s="270"/>
    </row>
    <row r="972">
      <c r="F972" s="270"/>
      <c r="G972" s="270"/>
      <c r="H972" s="270"/>
    </row>
    <row r="973">
      <c r="F973" s="270"/>
      <c r="G973" s="270"/>
      <c r="H973" s="270"/>
    </row>
    <row r="974">
      <c r="F974" s="270"/>
      <c r="G974" s="270"/>
      <c r="H974" s="270"/>
    </row>
    <row r="975">
      <c r="F975" s="270"/>
      <c r="G975" s="270"/>
      <c r="H975" s="270"/>
    </row>
    <row r="976">
      <c r="F976" s="270"/>
      <c r="G976" s="270"/>
      <c r="H976" s="270"/>
    </row>
    <row r="977">
      <c r="F977" s="270"/>
      <c r="G977" s="270"/>
      <c r="H977" s="270"/>
    </row>
    <row r="978">
      <c r="F978" s="270"/>
      <c r="G978" s="270"/>
      <c r="H978" s="270"/>
    </row>
    <row r="979">
      <c r="F979" s="270"/>
      <c r="G979" s="270"/>
      <c r="H979" s="270"/>
    </row>
    <row r="980">
      <c r="F980" s="270"/>
      <c r="G980" s="270"/>
      <c r="H980" s="270"/>
    </row>
    <row r="981">
      <c r="F981" s="270"/>
      <c r="G981" s="270"/>
      <c r="H981" s="270"/>
    </row>
    <row r="982">
      <c r="F982" s="270"/>
      <c r="G982" s="270"/>
      <c r="H982" s="270"/>
    </row>
    <row r="983">
      <c r="F983" s="270"/>
      <c r="G983" s="270"/>
      <c r="H983" s="270"/>
    </row>
    <row r="984">
      <c r="F984" s="270"/>
      <c r="G984" s="270"/>
      <c r="H984" s="270"/>
    </row>
    <row r="985">
      <c r="F985" s="270"/>
      <c r="G985" s="270"/>
      <c r="H985" s="270"/>
    </row>
    <row r="986">
      <c r="F986" s="270"/>
      <c r="G986" s="270"/>
      <c r="H986" s="270"/>
    </row>
    <row r="987">
      <c r="F987" s="270"/>
      <c r="G987" s="270"/>
      <c r="H987" s="270"/>
    </row>
    <row r="988">
      <c r="F988" s="270"/>
      <c r="G988" s="270"/>
      <c r="H988" s="270"/>
    </row>
    <row r="989">
      <c r="F989" s="270"/>
      <c r="G989" s="270"/>
      <c r="H989" s="270"/>
    </row>
    <row r="990">
      <c r="F990" s="270"/>
      <c r="G990" s="270"/>
      <c r="H990" s="270"/>
    </row>
    <row r="991">
      <c r="F991" s="270"/>
      <c r="G991" s="270"/>
      <c r="H991" s="270"/>
    </row>
    <row r="992">
      <c r="F992" s="270"/>
      <c r="G992" s="270"/>
      <c r="H992" s="270"/>
    </row>
    <row r="993">
      <c r="F993" s="270"/>
      <c r="G993" s="270"/>
      <c r="H993" s="270"/>
    </row>
    <row r="994">
      <c r="F994" s="270"/>
      <c r="G994" s="270"/>
      <c r="H994" s="270"/>
    </row>
    <row r="995">
      <c r="F995" s="270"/>
      <c r="G995" s="270"/>
      <c r="H995" s="270"/>
    </row>
    <row r="996">
      <c r="F996" s="270"/>
      <c r="G996" s="270"/>
      <c r="H996" s="270"/>
    </row>
    <row r="997">
      <c r="F997" s="270"/>
      <c r="G997" s="270"/>
      <c r="H997" s="270"/>
    </row>
    <row r="998">
      <c r="F998" s="270"/>
      <c r="G998" s="270"/>
      <c r="H998" s="270"/>
    </row>
    <row r="999">
      <c r="F999" s="270"/>
      <c r="G999" s="270"/>
      <c r="H999" s="270"/>
    </row>
    <row r="1000">
      <c r="F1000" s="270"/>
      <c r="G1000" s="270"/>
      <c r="H1000" s="270"/>
    </row>
    <row r="1001">
      <c r="F1001" s="270"/>
      <c r="G1001" s="270"/>
      <c r="H1001" s="270"/>
    </row>
    <row r="1002">
      <c r="F1002" s="270"/>
      <c r="G1002" s="270"/>
      <c r="H1002" s="270"/>
    </row>
    <row r="1003">
      <c r="F1003" s="270"/>
      <c r="G1003" s="270"/>
      <c r="H1003" s="270"/>
    </row>
    <row r="1004">
      <c r="F1004" s="270"/>
      <c r="G1004" s="270"/>
      <c r="H1004" s="270"/>
    </row>
    <row r="1005">
      <c r="F1005" s="270"/>
      <c r="G1005" s="270"/>
      <c r="H1005" s="270"/>
    </row>
    <row r="1006">
      <c r="F1006" s="270"/>
      <c r="G1006" s="270"/>
      <c r="H1006" s="270"/>
    </row>
  </sheetData>
  <conditionalFormatting sqref="D2:D32">
    <cfRule type="expression" dxfId="4" priority="1">
      <formula> SUM($N2:$Y2) &gt;0</formula>
    </cfRule>
  </conditionalFormatting>
  <conditionalFormatting sqref="H24">
    <cfRule type="expression" dxfId="7" priority="2">
      <formula>SUM( $N25:$Y25)&gt;0</formula>
    </cfRule>
  </conditionalFormatting>
  <conditionalFormatting sqref="F17">
    <cfRule type="notContainsBlanks" dxfId="6" priority="3">
      <formula>LEN(TRIM(F17))&gt;0</formula>
    </cfRule>
  </conditionalFormatting>
  <conditionalFormatting sqref="D2:F32 H2:H23 J2:Y32 AE2:AE32 H26:H32">
    <cfRule type="expression" dxfId="7" priority="4">
      <formula>SUM( $N2:$Y2)&gt;0</formula>
    </cfRule>
  </conditionalFormatting>
  <conditionalFormatting sqref="AE11">
    <cfRule type="notContainsBlanks" dxfId="5" priority="5">
      <formula>LEN(TRIM(AE11))&gt;0</formula>
    </cfRule>
  </conditionalFormatting>
  <conditionalFormatting sqref="AD2:AD32">
    <cfRule type="colorScale" priority="6">
      <colorScale>
        <cfvo type="min"/>
        <cfvo type="max"/>
        <color rgb="FF999999"/>
        <color rgb="FFFFFFFF"/>
      </colorScale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88"/>
    <col customWidth="1" min="2" max="2" width="6.25"/>
    <col customWidth="1" min="3" max="3" width="6.88"/>
    <col customWidth="1" min="4" max="4" width="12.13"/>
    <col customWidth="1" min="5" max="5" width="8.5"/>
    <col customWidth="1" min="6" max="6" width="7.63"/>
    <col customWidth="1" min="7" max="7" width="8.25"/>
    <col customWidth="1" min="8" max="8" width="7.88"/>
    <col customWidth="1" min="9" max="9" width="10.0"/>
    <col customWidth="1" min="10" max="10" width="5.38"/>
    <col customWidth="1" min="11" max="11" width="5.63"/>
    <col customWidth="1" min="12" max="12" width="5.38"/>
    <col customWidth="1" min="13" max="13" width="18.88"/>
    <col customWidth="1" min="14" max="24" width="8.88"/>
    <col customWidth="1" min="25" max="25" width="7.75"/>
    <col customWidth="1" min="26" max="26" width="6.0"/>
    <col customWidth="1" min="27" max="27" width="6.38"/>
    <col customWidth="1" min="28" max="28" width="8.13"/>
    <col customWidth="1" min="29" max="29" width="7.63"/>
    <col customWidth="1" hidden="1" min="30" max="30" width="6.25"/>
    <col customWidth="1" min="31" max="31" width="54.0"/>
  </cols>
  <sheetData>
    <row r="1">
      <c r="A1" s="271" t="s">
        <v>66</v>
      </c>
      <c r="B1" s="4" t="s">
        <v>0</v>
      </c>
      <c r="C1" s="2" t="s">
        <v>1</v>
      </c>
      <c r="D1" s="4" t="s">
        <v>2</v>
      </c>
      <c r="E1" s="4" t="s">
        <v>3</v>
      </c>
      <c r="F1" s="2" t="s">
        <v>4</v>
      </c>
      <c r="G1" s="180" t="s">
        <v>67</v>
      </c>
      <c r="H1" s="180" t="s">
        <v>152</v>
      </c>
      <c r="I1" s="180" t="s">
        <v>153</v>
      </c>
      <c r="J1" s="4" t="s">
        <v>8</v>
      </c>
      <c r="K1" s="4" t="s">
        <v>154</v>
      </c>
      <c r="L1" s="4" t="s">
        <v>10</v>
      </c>
      <c r="M1" s="4" t="s">
        <v>11</v>
      </c>
      <c r="N1" s="3" t="s">
        <v>12</v>
      </c>
      <c r="O1" s="3" t="s">
        <v>13</v>
      </c>
      <c r="P1" s="3" t="s">
        <v>14</v>
      </c>
      <c r="Q1" s="3" t="s">
        <v>70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155</v>
      </c>
      <c r="W1" s="3" t="s">
        <v>21</v>
      </c>
      <c r="X1" s="3" t="s">
        <v>22</v>
      </c>
      <c r="Y1" s="4" t="s">
        <v>23</v>
      </c>
      <c r="Z1" s="4" t="s">
        <v>156</v>
      </c>
      <c r="AA1" s="4" t="s">
        <v>74</v>
      </c>
      <c r="AB1" s="4" t="s">
        <v>26</v>
      </c>
      <c r="AC1" s="4" t="s">
        <v>27</v>
      </c>
      <c r="AD1" s="4" t="s">
        <v>28</v>
      </c>
      <c r="AE1" s="4" t="s">
        <v>29</v>
      </c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</row>
    <row r="2">
      <c r="A2" s="6">
        <v>44197.0</v>
      </c>
      <c r="B2" s="18">
        <v>1638.0</v>
      </c>
      <c r="C2" s="18">
        <v>1712.0</v>
      </c>
      <c r="D2" s="8" t="str">
        <f t="shared" ref="D2:D32" si="1">choose(weekday(A2),"Phil/Fred", "Jane/Sarah", "Jim/John/Lena","Marsha/Anne","Shawn/Jenny","Jeff", "Rob/Maggie")</f>
        <v>Jeff</v>
      </c>
      <c r="E2" s="180" t="s">
        <v>30</v>
      </c>
      <c r="F2" s="20">
        <v>0.6770833333333334</v>
      </c>
      <c r="G2" s="21">
        <v>44197.0</v>
      </c>
      <c r="H2" s="20">
        <v>0.9166666666666666</v>
      </c>
      <c r="I2" s="23">
        <f t="shared" ref="I2:I11" si="2">iferror(24*( DATEDIF(A2,G2,"D")+TIMEVALUE(H2)-TIMEVALUE(F2)),0)</f>
        <v>5.75</v>
      </c>
      <c r="J2" s="256">
        <v>21.0</v>
      </c>
      <c r="K2" s="19">
        <v>48.5</v>
      </c>
      <c r="L2" s="19">
        <v>46.2</v>
      </c>
      <c r="M2" s="19" t="s">
        <v>157</v>
      </c>
      <c r="N2" s="88">
        <v>11.0</v>
      </c>
      <c r="O2" s="88">
        <v>21.0</v>
      </c>
      <c r="P2" s="88">
        <v>1.0</v>
      </c>
      <c r="Q2" s="88">
        <v>0.0</v>
      </c>
      <c r="R2" s="88">
        <v>0.0</v>
      </c>
      <c r="S2" s="88">
        <v>0.0</v>
      </c>
      <c r="T2" s="88">
        <v>0.0</v>
      </c>
      <c r="U2" s="88">
        <v>0.0</v>
      </c>
      <c r="V2" s="88">
        <v>0.0</v>
      </c>
      <c r="W2" s="88">
        <v>0.0</v>
      </c>
      <c r="X2" s="88">
        <v>0.0</v>
      </c>
      <c r="Y2" s="88">
        <v>0.0</v>
      </c>
      <c r="Z2" s="26">
        <f t="shared" ref="Z2:Z32" si="3">sum(N2:Q2)</f>
        <v>33</v>
      </c>
      <c r="AA2" s="26">
        <f t="shared" ref="AA2:AA32" si="4">sum(R2:V2)</f>
        <v>0</v>
      </c>
      <c r="AB2" s="27">
        <f t="shared" ref="AB2:AB32" si="5">sum(N2:O2)</f>
        <v>32</v>
      </c>
      <c r="AC2" s="27">
        <f t="shared" ref="AC2:AC32" si="6">sum(R2:S2,V2)</f>
        <v>0</v>
      </c>
      <c r="AD2" s="15">
        <v>0.21</v>
      </c>
      <c r="AE2" s="19" t="s">
        <v>158</v>
      </c>
    </row>
    <row r="3">
      <c r="A3" s="6">
        <v>44198.0</v>
      </c>
      <c r="B3" s="18">
        <v>1639.0</v>
      </c>
      <c r="C3" s="18">
        <v>1712.0</v>
      </c>
      <c r="D3" s="8" t="str">
        <f t="shared" si="1"/>
        <v>Rob/Maggie</v>
      </c>
      <c r="E3" s="180" t="s">
        <v>39</v>
      </c>
      <c r="F3" s="22">
        <v>0.17708333333333334</v>
      </c>
      <c r="G3" s="21">
        <v>44198.0</v>
      </c>
      <c r="H3" s="22">
        <v>0.3229166666666667</v>
      </c>
      <c r="I3" s="23">
        <f t="shared" si="2"/>
        <v>3.5</v>
      </c>
      <c r="J3" s="256">
        <v>21.5</v>
      </c>
      <c r="K3" s="19">
        <v>49.0</v>
      </c>
      <c r="L3" s="19">
        <v>49.0</v>
      </c>
      <c r="M3" s="19" t="s">
        <v>142</v>
      </c>
      <c r="N3" s="88">
        <v>31.0</v>
      </c>
      <c r="O3" s="88">
        <v>38.0</v>
      </c>
      <c r="P3" s="88">
        <v>0.0</v>
      </c>
      <c r="Q3" s="88">
        <v>0.0</v>
      </c>
      <c r="R3" s="88">
        <v>0.0</v>
      </c>
      <c r="S3" s="88">
        <v>0.0</v>
      </c>
      <c r="T3" s="88">
        <v>0.0</v>
      </c>
      <c r="U3" s="88">
        <v>0.0</v>
      </c>
      <c r="V3" s="88">
        <v>0.0</v>
      </c>
      <c r="W3" s="88">
        <v>0.0</v>
      </c>
      <c r="X3" s="88">
        <v>0.0</v>
      </c>
      <c r="Y3" s="88">
        <v>0.0</v>
      </c>
      <c r="Z3" s="26">
        <f t="shared" si="3"/>
        <v>69</v>
      </c>
      <c r="AA3" s="26">
        <f t="shared" si="4"/>
        <v>0</v>
      </c>
      <c r="AB3" s="27">
        <f t="shared" si="5"/>
        <v>69</v>
      </c>
      <c r="AC3" s="27">
        <f t="shared" si="6"/>
        <v>0</v>
      </c>
      <c r="AD3" s="15">
        <v>0.13</v>
      </c>
      <c r="AE3" s="193" t="s">
        <v>159</v>
      </c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>
      <c r="A4" s="6">
        <v>44199.0</v>
      </c>
      <c r="B4" s="18">
        <v>1639.0</v>
      </c>
      <c r="C4" s="18">
        <v>1713.0</v>
      </c>
      <c r="D4" s="8" t="str">
        <f t="shared" si="1"/>
        <v>Phil/Fred</v>
      </c>
      <c r="E4" s="180" t="s">
        <v>30</v>
      </c>
      <c r="F4" s="22">
        <v>0.6875</v>
      </c>
      <c r="G4" s="21">
        <v>44199.0</v>
      </c>
      <c r="H4" s="20">
        <v>0.875</v>
      </c>
      <c r="I4" s="23">
        <f t="shared" si="2"/>
        <v>4.5</v>
      </c>
      <c r="J4" s="256">
        <v>9.75</v>
      </c>
      <c r="K4" s="19">
        <v>47.0</v>
      </c>
      <c r="L4" s="19">
        <v>47.0</v>
      </c>
      <c r="M4" s="19" t="s">
        <v>160</v>
      </c>
      <c r="N4" s="88">
        <v>0.0</v>
      </c>
      <c r="O4" s="88">
        <v>0.0</v>
      </c>
      <c r="P4" s="88">
        <v>0.0</v>
      </c>
      <c r="Q4" s="88">
        <v>0.0</v>
      </c>
      <c r="R4" s="88">
        <v>0.0</v>
      </c>
      <c r="S4" s="88">
        <v>0.0</v>
      </c>
      <c r="T4" s="88">
        <v>0.0</v>
      </c>
      <c r="U4" s="88">
        <v>0.0</v>
      </c>
      <c r="V4" s="88">
        <v>0.0</v>
      </c>
      <c r="W4" s="88">
        <v>0.0</v>
      </c>
      <c r="X4" s="88">
        <v>0.0</v>
      </c>
      <c r="Y4" s="88">
        <v>1.0</v>
      </c>
      <c r="Z4" s="26">
        <f t="shared" si="3"/>
        <v>0</v>
      </c>
      <c r="AA4" s="26">
        <f t="shared" si="4"/>
        <v>0</v>
      </c>
      <c r="AB4" s="27">
        <f t="shared" si="5"/>
        <v>0</v>
      </c>
      <c r="AC4" s="27">
        <f t="shared" si="6"/>
        <v>0</v>
      </c>
      <c r="AD4" s="15">
        <v>0.07</v>
      </c>
      <c r="AE4" s="230"/>
    </row>
    <row r="5">
      <c r="A5" s="6">
        <v>44200.0</v>
      </c>
      <c r="B5" s="18">
        <v>1640.0</v>
      </c>
      <c r="C5" s="18">
        <v>1714.0</v>
      </c>
      <c r="D5" s="8" t="str">
        <f t="shared" si="1"/>
        <v>Jane/Sarah</v>
      </c>
      <c r="E5" s="180" t="s">
        <v>30</v>
      </c>
      <c r="F5" s="20">
        <v>0.6979166666666666</v>
      </c>
      <c r="G5" s="21">
        <v>44200.0</v>
      </c>
      <c r="H5" s="22">
        <v>0.7708333333333334</v>
      </c>
      <c r="I5" s="23">
        <f t="shared" si="2"/>
        <v>1.75</v>
      </c>
      <c r="J5" s="273">
        <v>10.4</v>
      </c>
      <c r="K5" s="19">
        <v>50.9</v>
      </c>
      <c r="L5" s="19">
        <v>43.8</v>
      </c>
      <c r="M5" s="19" t="s">
        <v>161</v>
      </c>
      <c r="N5" s="88">
        <v>5.0</v>
      </c>
      <c r="O5" s="88">
        <v>1.0</v>
      </c>
      <c r="P5" s="88">
        <v>0.0</v>
      </c>
      <c r="Q5" s="88">
        <v>0.0</v>
      </c>
      <c r="R5" s="88">
        <v>0.0</v>
      </c>
      <c r="S5" s="88">
        <v>0.0</v>
      </c>
      <c r="T5" s="88">
        <v>0.0</v>
      </c>
      <c r="U5" s="88">
        <v>0.0</v>
      </c>
      <c r="V5" s="88">
        <v>0.0</v>
      </c>
      <c r="W5" s="88">
        <v>0.0</v>
      </c>
      <c r="X5" s="88">
        <v>0.0</v>
      </c>
      <c r="Y5" s="88">
        <v>0.0</v>
      </c>
      <c r="Z5" s="26">
        <f t="shared" si="3"/>
        <v>6</v>
      </c>
      <c r="AA5" s="26">
        <f t="shared" si="4"/>
        <v>0</v>
      </c>
      <c r="AB5" s="27">
        <f t="shared" si="5"/>
        <v>6</v>
      </c>
      <c r="AC5" s="27">
        <f t="shared" si="6"/>
        <v>0</v>
      </c>
      <c r="AD5" s="15">
        <v>0.03</v>
      </c>
      <c r="AE5" s="193" t="s">
        <v>162</v>
      </c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</row>
    <row r="6">
      <c r="A6" s="6">
        <v>44201.0</v>
      </c>
      <c r="B6" s="18">
        <v>1642.0</v>
      </c>
      <c r="C6" s="18">
        <v>1715.0</v>
      </c>
      <c r="D6" s="8" t="str">
        <f t="shared" si="1"/>
        <v>Jim/John/Lena</v>
      </c>
      <c r="E6" s="180" t="s">
        <v>30</v>
      </c>
      <c r="F6" s="20">
        <v>0.7083333333333334</v>
      </c>
      <c r="G6" s="21">
        <v>44201.0</v>
      </c>
      <c r="H6" s="22">
        <v>0.75</v>
      </c>
      <c r="I6" s="23">
        <f t="shared" si="2"/>
        <v>1</v>
      </c>
      <c r="J6" s="256">
        <v>5.0</v>
      </c>
      <c r="K6" s="19">
        <v>46.0</v>
      </c>
      <c r="L6" s="19">
        <v>44.7</v>
      </c>
      <c r="M6" s="19" t="s">
        <v>135</v>
      </c>
      <c r="N6" s="88">
        <v>0.0</v>
      </c>
      <c r="O6" s="88">
        <v>0.0</v>
      </c>
      <c r="P6" s="88">
        <v>0.0</v>
      </c>
      <c r="Q6" s="88">
        <v>0.0</v>
      </c>
      <c r="R6" s="88">
        <v>0.0</v>
      </c>
      <c r="S6" s="88">
        <v>0.0</v>
      </c>
      <c r="T6" s="88">
        <v>0.0</v>
      </c>
      <c r="U6" s="88">
        <v>0.0</v>
      </c>
      <c r="V6" s="88">
        <v>0.0</v>
      </c>
      <c r="W6" s="88">
        <v>0.0</v>
      </c>
      <c r="X6" s="88">
        <v>0.0</v>
      </c>
      <c r="Y6" s="88">
        <v>0.0</v>
      </c>
      <c r="Z6" s="26">
        <f t="shared" si="3"/>
        <v>0</v>
      </c>
      <c r="AA6" s="26">
        <f t="shared" si="4"/>
        <v>0</v>
      </c>
      <c r="AB6" s="27">
        <f t="shared" si="5"/>
        <v>0</v>
      </c>
      <c r="AC6" s="27">
        <f t="shared" si="6"/>
        <v>0</v>
      </c>
      <c r="AD6" s="15">
        <v>0.01</v>
      </c>
      <c r="AE6" s="193"/>
    </row>
    <row r="7">
      <c r="A7" s="6">
        <v>44202.0</v>
      </c>
      <c r="B7" s="18">
        <v>1643.0</v>
      </c>
      <c r="C7" s="18">
        <v>1716.0</v>
      </c>
      <c r="D7" s="8" t="str">
        <f t="shared" si="1"/>
        <v>Marsha/Anne</v>
      </c>
      <c r="E7" s="180" t="s">
        <v>30</v>
      </c>
      <c r="F7" s="20">
        <v>0.6979166666666666</v>
      </c>
      <c r="G7" s="21">
        <v>44202.0</v>
      </c>
      <c r="H7" s="22">
        <v>0.7777777777777778</v>
      </c>
      <c r="I7" s="23">
        <f t="shared" si="2"/>
        <v>1.916666667</v>
      </c>
      <c r="J7" s="19">
        <v>8.0</v>
      </c>
      <c r="K7" s="19">
        <v>47.3</v>
      </c>
      <c r="L7" s="19">
        <v>46.0</v>
      </c>
      <c r="M7" s="19" t="s">
        <v>163</v>
      </c>
      <c r="N7" s="88">
        <v>9.0</v>
      </c>
      <c r="O7" s="88">
        <v>3.0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8">
        <v>0.0</v>
      </c>
      <c r="W7" s="88">
        <v>0.0</v>
      </c>
      <c r="X7" s="88">
        <v>0.0</v>
      </c>
      <c r="Y7" s="88">
        <v>0.0</v>
      </c>
      <c r="Z7" s="26">
        <f t="shared" si="3"/>
        <v>12</v>
      </c>
      <c r="AA7" s="26">
        <f t="shared" si="4"/>
        <v>0</v>
      </c>
      <c r="AB7" s="27">
        <f t="shared" si="5"/>
        <v>12</v>
      </c>
      <c r="AC7" s="27">
        <f t="shared" si="6"/>
        <v>0</v>
      </c>
      <c r="AD7" s="15">
        <v>0.0</v>
      </c>
      <c r="AE7" s="193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</row>
    <row r="8">
      <c r="A8" s="6">
        <v>44203.0</v>
      </c>
      <c r="B8" s="18">
        <v>1644.0</v>
      </c>
      <c r="C8" s="18">
        <v>1717.0</v>
      </c>
      <c r="D8" s="8" t="str">
        <f t="shared" si="1"/>
        <v>Shawn/Jenny</v>
      </c>
      <c r="E8" s="180" t="s">
        <v>30</v>
      </c>
      <c r="F8" s="20">
        <v>0.22916666666666666</v>
      </c>
      <c r="G8" s="21">
        <v>44203.0</v>
      </c>
      <c r="H8" s="20">
        <v>0.2361111111111111</v>
      </c>
      <c r="I8" s="23">
        <f t="shared" si="2"/>
        <v>0.1666666667</v>
      </c>
      <c r="J8" s="19">
        <v>0.17</v>
      </c>
      <c r="K8" s="19">
        <v>47.0</v>
      </c>
      <c r="L8" s="19">
        <v>47.0</v>
      </c>
      <c r="M8" s="19" t="s">
        <v>164</v>
      </c>
      <c r="N8" s="88">
        <v>0.0</v>
      </c>
      <c r="O8" s="88">
        <v>0.0</v>
      </c>
      <c r="P8" s="88">
        <v>0.0</v>
      </c>
      <c r="Q8" s="88">
        <v>0.0</v>
      </c>
      <c r="R8" s="88">
        <v>0.0</v>
      </c>
      <c r="S8" s="88">
        <v>0.0</v>
      </c>
      <c r="T8" s="88">
        <v>0.0</v>
      </c>
      <c r="U8" s="88">
        <v>0.0</v>
      </c>
      <c r="V8" s="88">
        <v>0.0</v>
      </c>
      <c r="W8" s="88">
        <v>0.0</v>
      </c>
      <c r="X8" s="88">
        <v>0.0</v>
      </c>
      <c r="Y8" s="88">
        <v>0.0</v>
      </c>
      <c r="Z8" s="26">
        <f t="shared" si="3"/>
        <v>0</v>
      </c>
      <c r="AA8" s="26">
        <f t="shared" si="4"/>
        <v>0</v>
      </c>
      <c r="AB8" s="27">
        <f t="shared" si="5"/>
        <v>0</v>
      </c>
      <c r="AC8" s="27">
        <f t="shared" si="6"/>
        <v>0</v>
      </c>
      <c r="AD8" s="15">
        <v>0.01</v>
      </c>
      <c r="AE8" s="193" t="s">
        <v>165</v>
      </c>
    </row>
    <row r="9">
      <c r="A9" s="6">
        <v>44204.0</v>
      </c>
      <c r="B9" s="18">
        <v>1645.0</v>
      </c>
      <c r="C9" s="18">
        <v>1718.0</v>
      </c>
      <c r="D9" s="8" t="str">
        <f t="shared" si="1"/>
        <v>Jeff</v>
      </c>
      <c r="E9" s="180" t="s">
        <v>35</v>
      </c>
      <c r="F9" s="22">
        <v>0.75</v>
      </c>
      <c r="G9" s="21">
        <v>44204.0</v>
      </c>
      <c r="H9" s="22">
        <v>0.8111111111111111</v>
      </c>
      <c r="I9" s="23">
        <f t="shared" si="2"/>
        <v>1.466666667</v>
      </c>
      <c r="J9" s="256">
        <v>0.0</v>
      </c>
      <c r="K9" s="19">
        <v>42.0</v>
      </c>
      <c r="L9" s="19">
        <v>42.0</v>
      </c>
      <c r="M9" s="19" t="s">
        <v>166</v>
      </c>
      <c r="N9" s="88">
        <v>0.0</v>
      </c>
      <c r="O9" s="88">
        <v>0.0</v>
      </c>
      <c r="P9" s="88">
        <v>0.0</v>
      </c>
      <c r="Q9" s="88">
        <v>0.0</v>
      </c>
      <c r="R9" s="88">
        <v>0.0</v>
      </c>
      <c r="S9" s="88">
        <v>0.0</v>
      </c>
      <c r="T9" s="88">
        <v>0.0</v>
      </c>
      <c r="U9" s="88">
        <v>0.0</v>
      </c>
      <c r="V9" s="88">
        <v>0.0</v>
      </c>
      <c r="W9" s="88">
        <v>0.0</v>
      </c>
      <c r="X9" s="88">
        <v>0.0</v>
      </c>
      <c r="Y9" s="88">
        <v>0.0</v>
      </c>
      <c r="Z9" s="26">
        <f t="shared" si="3"/>
        <v>0</v>
      </c>
      <c r="AA9" s="26">
        <f t="shared" si="4"/>
        <v>0</v>
      </c>
      <c r="AB9" s="27">
        <f t="shared" si="5"/>
        <v>0</v>
      </c>
      <c r="AC9" s="27">
        <f t="shared" si="6"/>
        <v>0</v>
      </c>
      <c r="AD9" s="15">
        <v>0.05</v>
      </c>
      <c r="AE9" s="230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</row>
    <row r="10" ht="15.75" customHeight="1">
      <c r="A10" s="6">
        <v>44205.0</v>
      </c>
      <c r="B10" s="18">
        <v>1646.0</v>
      </c>
      <c r="C10" s="18">
        <v>1719.0</v>
      </c>
      <c r="D10" s="8" t="str">
        <f t="shared" si="1"/>
        <v>Rob/Maggie</v>
      </c>
      <c r="E10" s="180" t="s">
        <v>35</v>
      </c>
      <c r="F10" s="22"/>
      <c r="G10" s="21">
        <v>44205.0</v>
      </c>
      <c r="H10" s="22"/>
      <c r="I10" s="23">
        <f t="shared" si="2"/>
        <v>0</v>
      </c>
      <c r="J10" s="256"/>
      <c r="K10" s="19">
        <v>44.0</v>
      </c>
      <c r="L10" s="19">
        <v>44.0</v>
      </c>
      <c r="M10" s="19" t="s">
        <v>167</v>
      </c>
      <c r="N10" s="88">
        <v>0.0</v>
      </c>
      <c r="O10" s="88">
        <v>0.0</v>
      </c>
      <c r="P10" s="88">
        <v>0.0</v>
      </c>
      <c r="Q10" s="88">
        <v>0.0</v>
      </c>
      <c r="R10" s="88">
        <v>0.0</v>
      </c>
      <c r="S10" s="88">
        <v>0.0</v>
      </c>
      <c r="T10" s="88">
        <v>0.0</v>
      </c>
      <c r="U10" s="88">
        <v>0.0</v>
      </c>
      <c r="V10" s="88">
        <v>0.0</v>
      </c>
      <c r="W10" s="88">
        <v>0.0</v>
      </c>
      <c r="X10" s="88">
        <v>0.0</v>
      </c>
      <c r="Y10" s="88">
        <v>0.0</v>
      </c>
      <c r="Z10" s="26">
        <f t="shared" si="3"/>
        <v>0</v>
      </c>
      <c r="AA10" s="26">
        <f t="shared" si="4"/>
        <v>0</v>
      </c>
      <c r="AB10" s="27">
        <f t="shared" si="5"/>
        <v>0</v>
      </c>
      <c r="AC10" s="27">
        <f t="shared" si="6"/>
        <v>0</v>
      </c>
      <c r="AD10" s="15">
        <v>0.09</v>
      </c>
      <c r="AE10" s="193"/>
    </row>
    <row r="11">
      <c r="A11" s="6">
        <v>44206.0</v>
      </c>
      <c r="B11" s="18">
        <v>1647.0</v>
      </c>
      <c r="C11" s="18">
        <v>1721.0</v>
      </c>
      <c r="D11" s="8" t="str">
        <f t="shared" si="1"/>
        <v>Phil/Fred</v>
      </c>
      <c r="E11" s="180" t="s">
        <v>30</v>
      </c>
      <c r="F11" s="22">
        <v>0.7604166666666666</v>
      </c>
      <c r="G11" s="21">
        <v>44206.0</v>
      </c>
      <c r="H11" s="22">
        <v>0.8125</v>
      </c>
      <c r="I11" s="23">
        <f t="shared" si="2"/>
        <v>1.25</v>
      </c>
      <c r="J11" s="256">
        <v>1.25</v>
      </c>
      <c r="K11" s="19">
        <v>48.0</v>
      </c>
      <c r="L11" s="19">
        <v>46.4</v>
      </c>
      <c r="M11" s="19" t="s">
        <v>137</v>
      </c>
      <c r="N11" s="88">
        <v>6.0</v>
      </c>
      <c r="O11" s="88">
        <v>0.0</v>
      </c>
      <c r="P11" s="88">
        <v>0.0</v>
      </c>
      <c r="Q11" s="88">
        <v>0.0</v>
      </c>
      <c r="R11" s="88">
        <v>0.0</v>
      </c>
      <c r="S11" s="88">
        <v>0.0</v>
      </c>
      <c r="T11" s="88">
        <v>0.0</v>
      </c>
      <c r="U11" s="88">
        <v>0.0</v>
      </c>
      <c r="V11" s="88">
        <v>0.0</v>
      </c>
      <c r="W11" s="88">
        <v>0.0</v>
      </c>
      <c r="X11" s="88">
        <v>0.0</v>
      </c>
      <c r="Y11" s="88">
        <v>0.0</v>
      </c>
      <c r="Z11" s="26">
        <f t="shared" si="3"/>
        <v>6</v>
      </c>
      <c r="AA11" s="26">
        <f t="shared" si="4"/>
        <v>0</v>
      </c>
      <c r="AB11" s="27">
        <f t="shared" si="5"/>
        <v>6</v>
      </c>
      <c r="AC11" s="27">
        <f t="shared" si="6"/>
        <v>0</v>
      </c>
      <c r="AD11" s="15">
        <v>0.16</v>
      </c>
      <c r="AE11" s="193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</row>
    <row r="12">
      <c r="A12" s="6">
        <v>44207.0</v>
      </c>
      <c r="B12" s="18">
        <v>1648.0</v>
      </c>
      <c r="C12" s="18">
        <v>1722.0</v>
      </c>
      <c r="D12" s="8" t="str">
        <f t="shared" si="1"/>
        <v>Jane/Sarah</v>
      </c>
      <c r="E12" s="180" t="s">
        <v>30</v>
      </c>
      <c r="F12" s="20">
        <v>0.7083333333333334</v>
      </c>
      <c r="G12" s="21">
        <v>44207.0</v>
      </c>
      <c r="H12" s="20">
        <v>0.2916666666666667</v>
      </c>
      <c r="I12" s="257">
        <v>9.0</v>
      </c>
      <c r="J12" s="256">
        <v>29.5</v>
      </c>
      <c r="K12" s="19">
        <v>47.1</v>
      </c>
      <c r="L12" s="19">
        <v>53.0</v>
      </c>
      <c r="M12" s="19" t="s">
        <v>168</v>
      </c>
      <c r="N12" s="88">
        <v>43.0</v>
      </c>
      <c r="O12" s="88">
        <v>7.0</v>
      </c>
      <c r="P12" s="88">
        <v>4.0</v>
      </c>
      <c r="Q12" s="88">
        <v>0.0</v>
      </c>
      <c r="R12" s="88">
        <v>4.0</v>
      </c>
      <c r="S12" s="88">
        <v>0.0</v>
      </c>
      <c r="T12" s="88">
        <v>3.0</v>
      </c>
      <c r="U12" s="88">
        <v>0.0</v>
      </c>
      <c r="V12" s="88">
        <v>0.0</v>
      </c>
      <c r="W12" s="88">
        <v>0.0</v>
      </c>
      <c r="X12" s="88">
        <v>0.0</v>
      </c>
      <c r="Y12" s="88">
        <v>3.0</v>
      </c>
      <c r="Z12" s="26">
        <f t="shared" si="3"/>
        <v>54</v>
      </c>
      <c r="AA12" s="26">
        <f t="shared" si="4"/>
        <v>7</v>
      </c>
      <c r="AB12" s="27">
        <f t="shared" si="5"/>
        <v>50</v>
      </c>
      <c r="AC12" s="27">
        <f t="shared" si="6"/>
        <v>4</v>
      </c>
      <c r="AD12" s="15">
        <v>0.23</v>
      </c>
      <c r="AE12" s="193" t="s">
        <v>169</v>
      </c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</row>
    <row r="13" ht="16.5" customHeight="1">
      <c r="A13" s="6">
        <v>44208.0</v>
      </c>
      <c r="B13" s="18">
        <v>1649.0</v>
      </c>
      <c r="C13" s="18">
        <v>1723.0</v>
      </c>
      <c r="D13" s="8" t="str">
        <f t="shared" si="1"/>
        <v>Jim/John/Lena</v>
      </c>
      <c r="E13" s="180" t="s">
        <v>30</v>
      </c>
      <c r="F13" s="22">
        <v>0.7083333333333334</v>
      </c>
      <c r="G13" s="21">
        <v>44208.0</v>
      </c>
      <c r="H13" s="22">
        <v>0.9583333333333334</v>
      </c>
      <c r="I13" s="23">
        <f t="shared" ref="I13:I32" si="7">iferror(24*( DATEDIF(A13,G13,"D")+TIMEVALUE(H13)-TIMEVALUE(F13)),0)</f>
        <v>6</v>
      </c>
      <c r="J13" s="256">
        <v>34.25</v>
      </c>
      <c r="K13" s="19">
        <v>57.0</v>
      </c>
      <c r="L13" s="19">
        <v>56.3</v>
      </c>
      <c r="M13" s="274" t="s">
        <v>170</v>
      </c>
      <c r="N13" s="88">
        <v>122.0</v>
      </c>
      <c r="O13" s="88">
        <v>11.0</v>
      </c>
      <c r="P13" s="88">
        <v>2.0</v>
      </c>
      <c r="Q13" s="88">
        <v>0.0</v>
      </c>
      <c r="R13" s="88">
        <v>9.0</v>
      </c>
      <c r="S13" s="88">
        <v>0.0</v>
      </c>
      <c r="T13" s="88">
        <v>2.0</v>
      </c>
      <c r="U13" s="88">
        <v>0.0</v>
      </c>
      <c r="V13" s="88">
        <v>0.0</v>
      </c>
      <c r="W13" s="88">
        <v>0.0</v>
      </c>
      <c r="X13" s="88">
        <v>0.0</v>
      </c>
      <c r="Y13" s="88">
        <v>8.0</v>
      </c>
      <c r="Z13" s="26">
        <f t="shared" si="3"/>
        <v>135</v>
      </c>
      <c r="AA13" s="26">
        <f t="shared" si="4"/>
        <v>11</v>
      </c>
      <c r="AB13" s="27">
        <f t="shared" si="5"/>
        <v>133</v>
      </c>
      <c r="AC13" s="27">
        <f t="shared" si="6"/>
        <v>9</v>
      </c>
      <c r="AD13" s="15">
        <v>0.31</v>
      </c>
      <c r="AE13" s="193" t="s">
        <v>171</v>
      </c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</row>
    <row r="14">
      <c r="A14" s="6">
        <v>44209.0</v>
      </c>
      <c r="B14" s="18">
        <v>1651.0</v>
      </c>
      <c r="C14" s="18">
        <v>1724.0</v>
      </c>
      <c r="D14" s="8" t="str">
        <f t="shared" si="1"/>
        <v>Marsha/Anne</v>
      </c>
      <c r="E14" s="180" t="s">
        <v>30</v>
      </c>
      <c r="F14" s="22">
        <v>0.7083333333333334</v>
      </c>
      <c r="G14" s="21">
        <v>44209.0</v>
      </c>
      <c r="H14" s="22">
        <v>0.75</v>
      </c>
      <c r="I14" s="23">
        <f t="shared" si="7"/>
        <v>1</v>
      </c>
      <c r="J14" s="256">
        <v>2.0</v>
      </c>
      <c r="K14" s="19">
        <v>45.0</v>
      </c>
      <c r="L14" s="19">
        <v>42.8</v>
      </c>
      <c r="M14" s="19" t="s">
        <v>172</v>
      </c>
      <c r="N14" s="88">
        <v>0.0</v>
      </c>
      <c r="O14" s="88">
        <v>0.0</v>
      </c>
      <c r="P14" s="88">
        <v>0.0</v>
      </c>
      <c r="Q14" s="88">
        <v>0.0</v>
      </c>
      <c r="R14" s="88">
        <v>0.0</v>
      </c>
      <c r="S14" s="88">
        <v>0.0</v>
      </c>
      <c r="T14" s="88">
        <v>0.0</v>
      </c>
      <c r="U14" s="88">
        <v>0.0</v>
      </c>
      <c r="V14" s="88">
        <v>0.0</v>
      </c>
      <c r="W14" s="88">
        <v>0.0</v>
      </c>
      <c r="X14" s="88">
        <v>0.0</v>
      </c>
      <c r="Y14" s="88">
        <v>0.0</v>
      </c>
      <c r="Z14" s="26">
        <f t="shared" si="3"/>
        <v>0</v>
      </c>
      <c r="AA14" s="26">
        <f t="shared" si="4"/>
        <v>0</v>
      </c>
      <c r="AB14" s="27">
        <f t="shared" si="5"/>
        <v>0</v>
      </c>
      <c r="AC14" s="27">
        <f t="shared" si="6"/>
        <v>0</v>
      </c>
      <c r="AD14" s="15">
        <v>0.41</v>
      </c>
      <c r="AE14" s="193"/>
    </row>
    <row r="15">
      <c r="A15" s="6">
        <v>44210.0</v>
      </c>
      <c r="B15" s="18">
        <v>1652.0</v>
      </c>
      <c r="C15" s="18">
        <v>1725.0</v>
      </c>
      <c r="D15" s="8" t="str">
        <f t="shared" si="1"/>
        <v>Shawn/Jenny</v>
      </c>
      <c r="E15" s="180" t="s">
        <v>30</v>
      </c>
      <c r="F15" s="20">
        <v>0.7083333333333334</v>
      </c>
      <c r="G15" s="21">
        <v>44210.0</v>
      </c>
      <c r="H15" s="20">
        <v>0.7291666666666666</v>
      </c>
      <c r="I15" s="23">
        <f t="shared" si="7"/>
        <v>0.5</v>
      </c>
      <c r="J15" s="19">
        <v>2.0</v>
      </c>
      <c r="K15" s="19">
        <v>48.0</v>
      </c>
      <c r="L15" s="19">
        <v>48.0</v>
      </c>
      <c r="M15" s="19" t="s">
        <v>164</v>
      </c>
      <c r="N15" s="88">
        <v>0.0</v>
      </c>
      <c r="O15" s="88">
        <v>0.0</v>
      </c>
      <c r="P15" s="88">
        <v>0.0</v>
      </c>
      <c r="Q15" s="88">
        <v>0.0</v>
      </c>
      <c r="R15" s="88">
        <v>0.0</v>
      </c>
      <c r="S15" s="88">
        <v>0.0</v>
      </c>
      <c r="T15" s="88">
        <v>0.0</v>
      </c>
      <c r="U15" s="88">
        <v>0.0</v>
      </c>
      <c r="V15" s="88">
        <v>0.0</v>
      </c>
      <c r="W15" s="88">
        <v>0.0</v>
      </c>
      <c r="X15" s="88">
        <v>0.0</v>
      </c>
      <c r="Y15" s="88">
        <v>0.0</v>
      </c>
      <c r="Z15" s="26">
        <f t="shared" si="3"/>
        <v>0</v>
      </c>
      <c r="AA15" s="26">
        <f t="shared" si="4"/>
        <v>0</v>
      </c>
      <c r="AB15" s="27">
        <f t="shared" si="5"/>
        <v>0</v>
      </c>
      <c r="AC15" s="27">
        <f t="shared" si="6"/>
        <v>0</v>
      </c>
      <c r="AD15" s="15">
        <v>0.51</v>
      </c>
      <c r="AE15" s="193" t="s">
        <v>173</v>
      </c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</row>
    <row r="16">
      <c r="A16" s="6">
        <v>44211.0</v>
      </c>
      <c r="B16" s="18">
        <v>1653.0</v>
      </c>
      <c r="C16" s="18">
        <v>1726.0</v>
      </c>
      <c r="D16" s="8" t="str">
        <f t="shared" si="1"/>
        <v>Jeff</v>
      </c>
      <c r="E16" s="275" t="s">
        <v>30</v>
      </c>
      <c r="F16" s="276">
        <v>0.8125</v>
      </c>
      <c r="G16" s="21">
        <v>44211.0</v>
      </c>
      <c r="H16" s="276">
        <v>0.8125</v>
      </c>
      <c r="I16" s="23">
        <f t="shared" si="7"/>
        <v>0</v>
      </c>
      <c r="J16" s="277">
        <v>0.0</v>
      </c>
      <c r="K16" s="278">
        <v>46.0</v>
      </c>
      <c r="L16" s="278">
        <v>46.0</v>
      </c>
      <c r="M16" s="279" t="s">
        <v>102</v>
      </c>
      <c r="N16" s="88">
        <v>0.0</v>
      </c>
      <c r="O16" s="88">
        <v>0.0</v>
      </c>
      <c r="P16" s="88">
        <v>0.0</v>
      </c>
      <c r="Q16" s="88">
        <v>0.0</v>
      </c>
      <c r="R16" s="88">
        <v>0.0</v>
      </c>
      <c r="S16" s="88">
        <v>0.0</v>
      </c>
      <c r="T16" s="88">
        <v>0.0</v>
      </c>
      <c r="U16" s="88">
        <v>0.0</v>
      </c>
      <c r="V16" s="88">
        <v>0.0</v>
      </c>
      <c r="W16" s="88">
        <v>0.0</v>
      </c>
      <c r="X16" s="88">
        <v>0.0</v>
      </c>
      <c r="Y16" s="88">
        <v>0.0</v>
      </c>
      <c r="Z16" s="34">
        <f t="shared" si="3"/>
        <v>0</v>
      </c>
      <c r="AA16" s="34">
        <f t="shared" si="4"/>
        <v>0</v>
      </c>
      <c r="AB16" s="35">
        <f t="shared" si="5"/>
        <v>0</v>
      </c>
      <c r="AC16" s="35">
        <f t="shared" si="6"/>
        <v>0</v>
      </c>
      <c r="AD16" s="15">
        <v>0.61</v>
      </c>
      <c r="AE16" s="280" t="s">
        <v>174</v>
      </c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</row>
    <row r="17">
      <c r="A17" s="6">
        <v>44212.0</v>
      </c>
      <c r="B17" s="18">
        <v>1654.0</v>
      </c>
      <c r="C17" s="18">
        <v>1727.0</v>
      </c>
      <c r="D17" s="8" t="str">
        <f t="shared" si="1"/>
        <v>Rob/Maggie</v>
      </c>
      <c r="E17" s="180" t="s">
        <v>35</v>
      </c>
      <c r="F17" s="22"/>
      <c r="G17" s="21">
        <v>44212.0</v>
      </c>
      <c r="H17" s="22"/>
      <c r="I17" s="23">
        <f t="shared" si="7"/>
        <v>0</v>
      </c>
      <c r="J17" s="256"/>
      <c r="K17" s="44">
        <v>45.0</v>
      </c>
      <c r="L17" s="44">
        <v>45.0</v>
      </c>
      <c r="M17" s="32" t="s">
        <v>41</v>
      </c>
      <c r="N17" s="88">
        <v>0.0</v>
      </c>
      <c r="O17" s="88">
        <v>0.0</v>
      </c>
      <c r="P17" s="88">
        <v>0.0</v>
      </c>
      <c r="Q17" s="88">
        <v>0.0</v>
      </c>
      <c r="R17" s="88">
        <v>0.0</v>
      </c>
      <c r="S17" s="88">
        <v>0.0</v>
      </c>
      <c r="T17" s="88">
        <v>0.0</v>
      </c>
      <c r="U17" s="88">
        <v>0.0</v>
      </c>
      <c r="V17" s="88">
        <v>0.0</v>
      </c>
      <c r="W17" s="88">
        <v>0.0</v>
      </c>
      <c r="X17" s="88">
        <v>0.0</v>
      </c>
      <c r="Y17" s="88">
        <v>0.0</v>
      </c>
      <c r="Z17" s="26">
        <f t="shared" si="3"/>
        <v>0</v>
      </c>
      <c r="AA17" s="26">
        <f t="shared" si="4"/>
        <v>0</v>
      </c>
      <c r="AB17" s="27">
        <f t="shared" si="5"/>
        <v>0</v>
      </c>
      <c r="AC17" s="27">
        <f t="shared" si="6"/>
        <v>0</v>
      </c>
      <c r="AD17" s="15">
        <v>0.71</v>
      </c>
      <c r="AE17" s="193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</row>
    <row r="18">
      <c r="A18" s="6">
        <v>44213.0</v>
      </c>
      <c r="B18" s="18">
        <v>1656.0</v>
      </c>
      <c r="C18" s="18">
        <v>1729.0</v>
      </c>
      <c r="D18" s="8" t="str">
        <f t="shared" si="1"/>
        <v>Phil/Fred</v>
      </c>
      <c r="E18" s="180" t="s">
        <v>30</v>
      </c>
      <c r="F18" s="22">
        <v>0.7708333333333334</v>
      </c>
      <c r="G18" s="21">
        <v>44213.0</v>
      </c>
      <c r="H18" s="22">
        <v>0.7708333333333334</v>
      </c>
      <c r="I18" s="23">
        <f t="shared" si="7"/>
        <v>0</v>
      </c>
      <c r="J18" s="256">
        <v>0.0</v>
      </c>
      <c r="K18" s="44">
        <v>45.0</v>
      </c>
      <c r="L18" s="44">
        <v>45.0</v>
      </c>
      <c r="M18" s="32" t="s">
        <v>41</v>
      </c>
      <c r="N18" s="88">
        <v>0.0</v>
      </c>
      <c r="O18" s="88">
        <v>0.0</v>
      </c>
      <c r="P18" s="88">
        <v>0.0</v>
      </c>
      <c r="Q18" s="88">
        <v>0.0</v>
      </c>
      <c r="R18" s="88">
        <v>0.0</v>
      </c>
      <c r="S18" s="88">
        <v>0.0</v>
      </c>
      <c r="T18" s="88">
        <v>0.0</v>
      </c>
      <c r="U18" s="88">
        <v>0.0</v>
      </c>
      <c r="V18" s="88">
        <v>0.0</v>
      </c>
      <c r="W18" s="88">
        <v>0.0</v>
      </c>
      <c r="X18" s="88">
        <v>0.0</v>
      </c>
      <c r="Y18" s="88">
        <v>0.0</v>
      </c>
      <c r="Z18" s="26">
        <f t="shared" si="3"/>
        <v>0</v>
      </c>
      <c r="AA18" s="26">
        <f t="shared" si="4"/>
        <v>0</v>
      </c>
      <c r="AB18" s="27">
        <f t="shared" si="5"/>
        <v>0</v>
      </c>
      <c r="AC18" s="27">
        <f t="shared" si="6"/>
        <v>0</v>
      </c>
      <c r="AD18" s="15">
        <v>0.8</v>
      </c>
      <c r="AE18" s="193"/>
    </row>
    <row r="19">
      <c r="A19" s="6">
        <v>44214.0</v>
      </c>
      <c r="B19" s="18">
        <v>1657.0</v>
      </c>
      <c r="C19" s="18">
        <v>1730.0</v>
      </c>
      <c r="D19" s="8" t="str">
        <f t="shared" si="1"/>
        <v>Jane/Sarah</v>
      </c>
      <c r="E19" s="180" t="s">
        <v>30</v>
      </c>
      <c r="F19" s="22"/>
      <c r="G19" s="21">
        <v>44214.0</v>
      </c>
      <c r="H19" s="22"/>
      <c r="I19" s="23">
        <f t="shared" si="7"/>
        <v>0</v>
      </c>
      <c r="J19" s="256"/>
      <c r="K19" s="44"/>
      <c r="L19" s="44"/>
      <c r="M19" s="32"/>
      <c r="N19" s="88">
        <v>0.0</v>
      </c>
      <c r="O19" s="88">
        <v>0.0</v>
      </c>
      <c r="P19" s="88">
        <v>0.0</v>
      </c>
      <c r="Q19" s="88">
        <v>0.0</v>
      </c>
      <c r="R19" s="88">
        <v>0.0</v>
      </c>
      <c r="S19" s="88">
        <v>0.0</v>
      </c>
      <c r="T19" s="88">
        <v>0.0</v>
      </c>
      <c r="U19" s="88">
        <v>0.0</v>
      </c>
      <c r="V19" s="88">
        <v>0.0</v>
      </c>
      <c r="W19" s="88">
        <v>0.0</v>
      </c>
      <c r="X19" s="88">
        <v>0.0</v>
      </c>
      <c r="Y19" s="88">
        <v>0.0</v>
      </c>
      <c r="Z19" s="26">
        <f t="shared" si="3"/>
        <v>0</v>
      </c>
      <c r="AA19" s="26">
        <f t="shared" si="4"/>
        <v>0</v>
      </c>
      <c r="AB19" s="27">
        <f t="shared" si="5"/>
        <v>0</v>
      </c>
      <c r="AC19" s="27">
        <f t="shared" si="6"/>
        <v>0</v>
      </c>
      <c r="AD19" s="15">
        <v>0.88</v>
      </c>
      <c r="AE19" s="193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</row>
    <row r="20">
      <c r="A20" s="6">
        <v>44215.0</v>
      </c>
      <c r="B20" s="18">
        <v>1658.0</v>
      </c>
      <c r="C20" s="18">
        <v>1731.0</v>
      </c>
      <c r="D20" s="8" t="str">
        <f t="shared" si="1"/>
        <v>Jim/John/Lena</v>
      </c>
      <c r="E20" s="180" t="s">
        <v>30</v>
      </c>
      <c r="F20" s="20">
        <v>0.7083333333333334</v>
      </c>
      <c r="G20" s="21">
        <v>44215.0</v>
      </c>
      <c r="H20" s="22">
        <v>0.75</v>
      </c>
      <c r="I20" s="23">
        <f t="shared" si="7"/>
        <v>1</v>
      </c>
      <c r="J20" s="256"/>
      <c r="K20" s="44">
        <v>45.0</v>
      </c>
      <c r="L20" s="44">
        <v>45.0</v>
      </c>
      <c r="M20" s="32" t="s">
        <v>41</v>
      </c>
      <c r="N20" s="88">
        <v>0.0</v>
      </c>
      <c r="O20" s="88">
        <v>0.0</v>
      </c>
      <c r="P20" s="88">
        <v>0.0</v>
      </c>
      <c r="Q20" s="88">
        <v>0.0</v>
      </c>
      <c r="R20" s="88">
        <v>0.0</v>
      </c>
      <c r="S20" s="88">
        <v>0.0</v>
      </c>
      <c r="T20" s="88">
        <v>0.0</v>
      </c>
      <c r="U20" s="88">
        <v>0.0</v>
      </c>
      <c r="V20" s="88">
        <v>0.0</v>
      </c>
      <c r="W20" s="88">
        <v>0.0</v>
      </c>
      <c r="X20" s="88">
        <v>0.0</v>
      </c>
      <c r="Y20" s="88">
        <v>0.0</v>
      </c>
      <c r="Z20" s="26">
        <f t="shared" si="3"/>
        <v>0</v>
      </c>
      <c r="AA20" s="26">
        <f t="shared" si="4"/>
        <v>0</v>
      </c>
      <c r="AB20" s="27">
        <f t="shared" si="5"/>
        <v>0</v>
      </c>
      <c r="AC20" s="27">
        <f t="shared" si="6"/>
        <v>0</v>
      </c>
      <c r="AD20" s="15">
        <v>0.95</v>
      </c>
      <c r="AE20" s="193"/>
    </row>
    <row r="21">
      <c r="A21" s="6">
        <v>44216.0</v>
      </c>
      <c r="B21" s="18">
        <v>1700.0</v>
      </c>
      <c r="C21" s="18">
        <v>1732.0</v>
      </c>
      <c r="D21" s="8" t="str">
        <f t="shared" si="1"/>
        <v>Marsha/Anne</v>
      </c>
      <c r="E21" s="180" t="s">
        <v>35</v>
      </c>
      <c r="F21" s="22"/>
      <c r="G21" s="21">
        <v>44216.0</v>
      </c>
      <c r="H21" s="20"/>
      <c r="I21" s="23">
        <f t="shared" si="7"/>
        <v>0</v>
      </c>
      <c r="J21" s="20"/>
      <c r="K21" s="44"/>
      <c r="L21" s="44"/>
      <c r="M21" s="32"/>
      <c r="N21" s="88">
        <v>0.0</v>
      </c>
      <c r="O21" s="88">
        <v>0.0</v>
      </c>
      <c r="P21" s="88">
        <v>0.0</v>
      </c>
      <c r="Q21" s="88">
        <v>0.0</v>
      </c>
      <c r="R21" s="88">
        <v>0.0</v>
      </c>
      <c r="S21" s="88">
        <v>0.0</v>
      </c>
      <c r="T21" s="88">
        <v>0.0</v>
      </c>
      <c r="U21" s="88">
        <v>0.0</v>
      </c>
      <c r="V21" s="88">
        <v>0.0</v>
      </c>
      <c r="W21" s="88">
        <v>0.0</v>
      </c>
      <c r="X21" s="88">
        <v>0.0</v>
      </c>
      <c r="Y21" s="88">
        <v>0.0</v>
      </c>
      <c r="Z21" s="26">
        <f t="shared" si="3"/>
        <v>0</v>
      </c>
      <c r="AA21" s="26">
        <f t="shared" si="4"/>
        <v>0</v>
      </c>
      <c r="AB21" s="27">
        <f t="shared" si="5"/>
        <v>0</v>
      </c>
      <c r="AC21" s="27">
        <f t="shared" si="6"/>
        <v>0</v>
      </c>
      <c r="AD21" s="15">
        <v>0.99</v>
      </c>
      <c r="AE21" s="193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</row>
    <row r="22">
      <c r="A22" s="6">
        <v>44217.0</v>
      </c>
      <c r="B22" s="18">
        <v>1701.0</v>
      </c>
      <c r="C22" s="18">
        <v>1734.0</v>
      </c>
      <c r="D22" s="8" t="str">
        <f t="shared" si="1"/>
        <v>Shawn/Jenny</v>
      </c>
      <c r="E22" s="180" t="s">
        <v>35</v>
      </c>
      <c r="F22" s="20">
        <v>0.7222222222222222</v>
      </c>
      <c r="G22" s="21">
        <v>44217.0</v>
      </c>
      <c r="H22" s="20">
        <v>0.7326388888888888</v>
      </c>
      <c r="I22" s="23">
        <f t="shared" si="7"/>
        <v>0.25</v>
      </c>
      <c r="J22" s="19">
        <v>0.25</v>
      </c>
      <c r="K22" s="44">
        <v>45.0</v>
      </c>
      <c r="L22" s="44">
        <v>45.0</v>
      </c>
      <c r="M22" s="32" t="s">
        <v>175</v>
      </c>
      <c r="N22" s="88">
        <v>0.0</v>
      </c>
      <c r="O22" s="88">
        <v>0.0</v>
      </c>
      <c r="P22" s="88">
        <v>0.0</v>
      </c>
      <c r="Q22" s="88">
        <v>0.0</v>
      </c>
      <c r="R22" s="88">
        <v>0.0</v>
      </c>
      <c r="S22" s="88">
        <v>0.0</v>
      </c>
      <c r="T22" s="88">
        <v>0.0</v>
      </c>
      <c r="U22" s="88">
        <v>0.0</v>
      </c>
      <c r="V22" s="88">
        <v>0.0</v>
      </c>
      <c r="W22" s="88">
        <v>0.0</v>
      </c>
      <c r="X22" s="88">
        <v>0.0</v>
      </c>
      <c r="Y22" s="88">
        <v>0.0</v>
      </c>
      <c r="Z22" s="26">
        <f t="shared" si="3"/>
        <v>0</v>
      </c>
      <c r="AA22" s="26">
        <f t="shared" si="4"/>
        <v>0</v>
      </c>
      <c r="AB22" s="27">
        <f t="shared" si="5"/>
        <v>0</v>
      </c>
      <c r="AC22" s="27">
        <f t="shared" si="6"/>
        <v>0</v>
      </c>
      <c r="AD22" s="15">
        <v>1.0</v>
      </c>
      <c r="AE22" s="193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</row>
    <row r="23">
      <c r="A23" s="6">
        <v>44218.0</v>
      </c>
      <c r="B23" s="18">
        <v>1703.0</v>
      </c>
      <c r="C23" s="18">
        <v>1735.0</v>
      </c>
      <c r="D23" s="8" t="str">
        <f t="shared" si="1"/>
        <v>Jeff</v>
      </c>
      <c r="E23" s="180" t="s">
        <v>35</v>
      </c>
      <c r="F23" s="22"/>
      <c r="G23" s="21">
        <v>44218.0</v>
      </c>
      <c r="H23" s="20"/>
      <c r="I23" s="23">
        <f t="shared" si="7"/>
        <v>0</v>
      </c>
      <c r="J23" s="256"/>
      <c r="K23" s="44"/>
      <c r="L23" s="44"/>
      <c r="M23" s="32"/>
      <c r="N23" s="88">
        <v>0.0</v>
      </c>
      <c r="O23" s="88">
        <v>0.0</v>
      </c>
      <c r="P23" s="88">
        <v>0.0</v>
      </c>
      <c r="Q23" s="88">
        <v>0.0</v>
      </c>
      <c r="R23" s="88">
        <v>0.0</v>
      </c>
      <c r="S23" s="88">
        <v>0.0</v>
      </c>
      <c r="T23" s="88">
        <v>0.0</v>
      </c>
      <c r="U23" s="88">
        <v>0.0</v>
      </c>
      <c r="V23" s="88">
        <v>0.0</v>
      </c>
      <c r="W23" s="88">
        <v>0.0</v>
      </c>
      <c r="X23" s="88">
        <v>0.0</v>
      </c>
      <c r="Y23" s="88">
        <v>0.0</v>
      </c>
      <c r="Z23" s="26">
        <f t="shared" si="3"/>
        <v>0</v>
      </c>
      <c r="AA23" s="26">
        <f t="shared" si="4"/>
        <v>0</v>
      </c>
      <c r="AB23" s="27">
        <f t="shared" si="5"/>
        <v>0</v>
      </c>
      <c r="AC23" s="27">
        <f t="shared" si="6"/>
        <v>0</v>
      </c>
      <c r="AD23" s="15">
        <v>0.98</v>
      </c>
      <c r="AE23" s="193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</row>
    <row r="24">
      <c r="A24" s="6">
        <v>44219.0</v>
      </c>
      <c r="B24" s="18">
        <v>1704.0</v>
      </c>
      <c r="C24" s="18">
        <v>1736.0</v>
      </c>
      <c r="D24" s="8" t="str">
        <f t="shared" si="1"/>
        <v>Rob/Maggie</v>
      </c>
      <c r="E24" s="180" t="s">
        <v>35</v>
      </c>
      <c r="F24" s="22"/>
      <c r="G24" s="21">
        <v>44219.0</v>
      </c>
      <c r="H24" s="281"/>
      <c r="I24" s="23">
        <f t="shared" si="7"/>
        <v>0</v>
      </c>
      <c r="J24" s="256"/>
      <c r="K24" s="44">
        <v>43.0</v>
      </c>
      <c r="L24" s="44"/>
      <c r="M24" s="32"/>
      <c r="N24" s="88">
        <v>0.0</v>
      </c>
      <c r="O24" s="88">
        <v>0.0</v>
      </c>
      <c r="P24" s="88">
        <v>0.0</v>
      </c>
      <c r="Q24" s="88">
        <v>0.0</v>
      </c>
      <c r="R24" s="88">
        <v>0.0</v>
      </c>
      <c r="S24" s="88">
        <v>0.0</v>
      </c>
      <c r="T24" s="88">
        <v>0.0</v>
      </c>
      <c r="U24" s="88">
        <v>0.0</v>
      </c>
      <c r="V24" s="88">
        <v>0.0</v>
      </c>
      <c r="W24" s="88">
        <v>0.0</v>
      </c>
      <c r="X24" s="88">
        <v>0.0</v>
      </c>
      <c r="Y24" s="88">
        <v>0.0</v>
      </c>
      <c r="Z24" s="26">
        <f t="shared" si="3"/>
        <v>0</v>
      </c>
      <c r="AA24" s="26">
        <f t="shared" si="4"/>
        <v>0</v>
      </c>
      <c r="AB24" s="27">
        <f t="shared" si="5"/>
        <v>0</v>
      </c>
      <c r="AC24" s="27">
        <f t="shared" si="6"/>
        <v>0</v>
      </c>
      <c r="AD24" s="15">
        <v>0.86</v>
      </c>
      <c r="AE24" s="230"/>
    </row>
    <row r="25">
      <c r="A25" s="6">
        <v>44220.0</v>
      </c>
      <c r="B25" s="18">
        <v>1705.0</v>
      </c>
      <c r="C25" s="18">
        <v>1738.0</v>
      </c>
      <c r="D25" s="8" t="str">
        <f t="shared" si="1"/>
        <v>Phil/Fred</v>
      </c>
      <c r="E25" s="180" t="s">
        <v>35</v>
      </c>
      <c r="F25" s="20"/>
      <c r="G25" s="21">
        <v>44220.0</v>
      </c>
      <c r="H25" s="20"/>
      <c r="I25" s="23">
        <f t="shared" si="7"/>
        <v>0</v>
      </c>
      <c r="J25" s="256"/>
      <c r="K25" s="44">
        <v>38.0</v>
      </c>
      <c r="L25" s="44">
        <v>38.0</v>
      </c>
      <c r="M25" s="282" t="s">
        <v>83</v>
      </c>
      <c r="N25" s="88">
        <v>0.0</v>
      </c>
      <c r="O25" s="88">
        <v>0.0</v>
      </c>
      <c r="P25" s="88">
        <v>0.0</v>
      </c>
      <c r="Q25" s="88">
        <v>0.0</v>
      </c>
      <c r="R25" s="88">
        <v>0.0</v>
      </c>
      <c r="S25" s="88">
        <v>0.0</v>
      </c>
      <c r="T25" s="88">
        <v>0.0</v>
      </c>
      <c r="U25" s="88">
        <v>0.0</v>
      </c>
      <c r="V25" s="88">
        <v>0.0</v>
      </c>
      <c r="W25" s="88">
        <v>0.0</v>
      </c>
      <c r="X25" s="88">
        <v>0.0</v>
      </c>
      <c r="Y25" s="88">
        <v>0.0</v>
      </c>
      <c r="Z25" s="26">
        <f t="shared" si="3"/>
        <v>0</v>
      </c>
      <c r="AA25" s="26">
        <f t="shared" si="4"/>
        <v>0</v>
      </c>
      <c r="AB25" s="27">
        <f t="shared" si="5"/>
        <v>0</v>
      </c>
      <c r="AC25" s="27">
        <f t="shared" si="6"/>
        <v>0</v>
      </c>
      <c r="AD25" s="15">
        <v>0.93</v>
      </c>
      <c r="AE25" s="193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</row>
    <row r="26">
      <c r="A26" s="6">
        <v>44221.0</v>
      </c>
      <c r="B26" s="18">
        <v>1707.0</v>
      </c>
      <c r="C26" s="18">
        <v>1739.0</v>
      </c>
      <c r="D26" s="8" t="str">
        <f t="shared" si="1"/>
        <v>Jane/Sarah</v>
      </c>
      <c r="E26" s="180" t="s">
        <v>35</v>
      </c>
      <c r="F26" s="22"/>
      <c r="G26" s="21">
        <v>44221.0</v>
      </c>
      <c r="H26" s="20">
        <v>0.7291666666666666</v>
      </c>
      <c r="I26" s="23">
        <f t="shared" si="7"/>
        <v>0</v>
      </c>
      <c r="J26" s="256"/>
      <c r="K26" s="44">
        <v>40.0</v>
      </c>
      <c r="L26" s="44"/>
      <c r="M26" s="32" t="s">
        <v>176</v>
      </c>
      <c r="N26" s="88">
        <v>0.0</v>
      </c>
      <c r="O26" s="88">
        <v>0.0</v>
      </c>
      <c r="P26" s="88">
        <v>0.0</v>
      </c>
      <c r="Q26" s="88">
        <v>0.0</v>
      </c>
      <c r="R26" s="88">
        <v>0.0</v>
      </c>
      <c r="S26" s="88">
        <v>0.0</v>
      </c>
      <c r="T26" s="88">
        <v>0.0</v>
      </c>
      <c r="U26" s="88">
        <v>0.0</v>
      </c>
      <c r="V26" s="88">
        <v>0.0</v>
      </c>
      <c r="W26" s="88">
        <v>0.0</v>
      </c>
      <c r="X26" s="88">
        <v>0.0</v>
      </c>
      <c r="Y26" s="88">
        <v>0.0</v>
      </c>
      <c r="Z26" s="26">
        <f t="shared" si="3"/>
        <v>0</v>
      </c>
      <c r="AA26" s="26">
        <f t="shared" si="4"/>
        <v>0</v>
      </c>
      <c r="AB26" s="27">
        <f t="shared" si="5"/>
        <v>0</v>
      </c>
      <c r="AC26" s="27">
        <f t="shared" si="6"/>
        <v>0</v>
      </c>
      <c r="AD26" s="15">
        <v>0.77</v>
      </c>
      <c r="AE26" s="193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</row>
    <row r="27">
      <c r="A27" s="6">
        <v>44222.0</v>
      </c>
      <c r="B27" s="18">
        <v>1708.0</v>
      </c>
      <c r="C27" s="18">
        <v>1740.0</v>
      </c>
      <c r="D27" s="8" t="str">
        <f t="shared" si="1"/>
        <v>Jim/John/Lena</v>
      </c>
      <c r="E27" s="180" t="s">
        <v>35</v>
      </c>
      <c r="F27" s="20"/>
      <c r="G27" s="21">
        <v>44222.0</v>
      </c>
      <c r="H27" s="22"/>
      <c r="I27" s="23">
        <f t="shared" si="7"/>
        <v>0</v>
      </c>
      <c r="J27" s="256"/>
      <c r="K27" s="44">
        <v>41.0</v>
      </c>
      <c r="L27" s="44"/>
      <c r="M27" s="32" t="s">
        <v>177</v>
      </c>
      <c r="N27" s="88">
        <v>0.0</v>
      </c>
      <c r="O27" s="88">
        <v>0.0</v>
      </c>
      <c r="P27" s="88">
        <v>0.0</v>
      </c>
      <c r="Q27" s="88">
        <v>0.0</v>
      </c>
      <c r="R27" s="88">
        <v>0.0</v>
      </c>
      <c r="S27" s="88">
        <v>0.0</v>
      </c>
      <c r="T27" s="88">
        <v>0.0</v>
      </c>
      <c r="U27" s="88">
        <v>0.0</v>
      </c>
      <c r="V27" s="88">
        <v>0.0</v>
      </c>
      <c r="W27" s="88">
        <v>0.0</v>
      </c>
      <c r="X27" s="88">
        <v>0.0</v>
      </c>
      <c r="Y27" s="88">
        <v>0.0</v>
      </c>
      <c r="Z27" s="26">
        <f t="shared" si="3"/>
        <v>0</v>
      </c>
      <c r="AA27" s="26">
        <f t="shared" si="4"/>
        <v>0</v>
      </c>
      <c r="AB27" s="27">
        <f t="shared" si="5"/>
        <v>0</v>
      </c>
      <c r="AC27" s="27">
        <f t="shared" si="6"/>
        <v>0</v>
      </c>
      <c r="AD27" s="15">
        <v>0.67</v>
      </c>
      <c r="AE27" s="193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</row>
    <row r="28">
      <c r="A28" s="6">
        <v>44223.0</v>
      </c>
      <c r="B28" s="18">
        <v>1710.0</v>
      </c>
      <c r="C28" s="18">
        <v>1742.0</v>
      </c>
      <c r="D28" s="8" t="str">
        <f t="shared" si="1"/>
        <v>Marsha/Anne</v>
      </c>
      <c r="E28" s="180" t="s">
        <v>35</v>
      </c>
      <c r="F28" s="22"/>
      <c r="G28" s="21">
        <v>44223.0</v>
      </c>
      <c r="H28" s="20"/>
      <c r="I28" s="23">
        <f t="shared" si="7"/>
        <v>0</v>
      </c>
      <c r="J28" s="19"/>
      <c r="K28" s="44"/>
      <c r="L28" s="44"/>
      <c r="M28" s="32"/>
      <c r="N28" s="88">
        <v>0.0</v>
      </c>
      <c r="O28" s="88">
        <v>0.0</v>
      </c>
      <c r="P28" s="88">
        <v>0.0</v>
      </c>
      <c r="Q28" s="88">
        <v>0.0</v>
      </c>
      <c r="R28" s="88">
        <v>0.0</v>
      </c>
      <c r="S28" s="88">
        <v>0.0</v>
      </c>
      <c r="T28" s="88">
        <v>0.0</v>
      </c>
      <c r="U28" s="88">
        <v>0.0</v>
      </c>
      <c r="V28" s="88">
        <v>0.0</v>
      </c>
      <c r="W28" s="88">
        <v>0.0</v>
      </c>
      <c r="X28" s="88">
        <v>0.0</v>
      </c>
      <c r="Y28" s="88">
        <v>0.0</v>
      </c>
      <c r="Z28" s="26">
        <f t="shared" si="3"/>
        <v>0</v>
      </c>
      <c r="AA28" s="26">
        <f t="shared" si="4"/>
        <v>0</v>
      </c>
      <c r="AB28" s="27">
        <f t="shared" si="5"/>
        <v>0</v>
      </c>
      <c r="AC28" s="27">
        <f t="shared" si="6"/>
        <v>0</v>
      </c>
      <c r="AD28" s="15">
        <v>0.56</v>
      </c>
      <c r="AE28" s="193"/>
    </row>
    <row r="29">
      <c r="A29" s="6">
        <v>44224.0</v>
      </c>
      <c r="B29" s="18">
        <v>1711.0</v>
      </c>
      <c r="C29" s="18">
        <v>1743.0</v>
      </c>
      <c r="D29" s="8" t="str">
        <f t="shared" si="1"/>
        <v>Shawn/Jenny</v>
      </c>
      <c r="E29" s="180" t="s">
        <v>30</v>
      </c>
      <c r="F29" s="22">
        <v>0.7291666666666666</v>
      </c>
      <c r="G29" s="21">
        <v>44224.0</v>
      </c>
      <c r="H29" s="22">
        <v>0.7430555555555556</v>
      </c>
      <c r="I29" s="23">
        <f t="shared" si="7"/>
        <v>0.3333333333</v>
      </c>
      <c r="J29" s="256">
        <v>0.33</v>
      </c>
      <c r="K29" s="44">
        <v>45.0</v>
      </c>
      <c r="L29" s="44">
        <v>43.0</v>
      </c>
      <c r="M29" s="32" t="s">
        <v>178</v>
      </c>
      <c r="N29" s="88">
        <v>0.0</v>
      </c>
      <c r="O29" s="88">
        <v>0.0</v>
      </c>
      <c r="P29" s="88">
        <v>0.0</v>
      </c>
      <c r="Q29" s="88">
        <v>0.0</v>
      </c>
      <c r="R29" s="88">
        <v>0.0</v>
      </c>
      <c r="S29" s="88">
        <v>0.0</v>
      </c>
      <c r="T29" s="88">
        <v>0.0</v>
      </c>
      <c r="U29" s="88">
        <v>0.0</v>
      </c>
      <c r="V29" s="88">
        <v>0.0</v>
      </c>
      <c r="W29" s="88">
        <v>0.0</v>
      </c>
      <c r="X29" s="88">
        <v>0.0</v>
      </c>
      <c r="Y29" s="88">
        <v>0.0</v>
      </c>
      <c r="Z29" s="26">
        <f t="shared" si="3"/>
        <v>0</v>
      </c>
      <c r="AA29" s="26">
        <f t="shared" si="4"/>
        <v>0</v>
      </c>
      <c r="AB29" s="27">
        <f t="shared" si="5"/>
        <v>0</v>
      </c>
      <c r="AC29" s="27">
        <f t="shared" si="6"/>
        <v>0</v>
      </c>
      <c r="AD29" s="15">
        <v>0.45</v>
      </c>
      <c r="AE29" s="193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</row>
    <row r="30">
      <c r="A30" s="6">
        <v>44225.0</v>
      </c>
      <c r="B30" s="18">
        <v>1712.0</v>
      </c>
      <c r="C30" s="18">
        <v>1744.0</v>
      </c>
      <c r="D30" s="8" t="str">
        <f t="shared" si="1"/>
        <v>Jeff</v>
      </c>
      <c r="E30" s="180" t="s">
        <v>30</v>
      </c>
      <c r="F30" s="22">
        <v>0.8229166666666666</v>
      </c>
      <c r="G30" s="21">
        <v>44225.0</v>
      </c>
      <c r="H30" s="283" t="s">
        <v>179</v>
      </c>
      <c r="I30" s="23">
        <f t="shared" si="7"/>
        <v>0</v>
      </c>
      <c r="J30" s="256">
        <v>0.5</v>
      </c>
      <c r="K30" s="44">
        <v>41.9</v>
      </c>
      <c r="L30" s="44">
        <v>41.9</v>
      </c>
      <c r="M30" s="32" t="s">
        <v>180</v>
      </c>
      <c r="N30" s="88">
        <v>0.0</v>
      </c>
      <c r="O30" s="88">
        <v>0.0</v>
      </c>
      <c r="P30" s="88">
        <v>0.0</v>
      </c>
      <c r="Q30" s="88">
        <v>0.0</v>
      </c>
      <c r="R30" s="88">
        <v>0.0</v>
      </c>
      <c r="S30" s="88">
        <v>0.0</v>
      </c>
      <c r="T30" s="88">
        <v>0.0</v>
      </c>
      <c r="U30" s="88">
        <v>0.0</v>
      </c>
      <c r="V30" s="88">
        <v>0.0</v>
      </c>
      <c r="W30" s="88">
        <v>0.0</v>
      </c>
      <c r="X30" s="88">
        <v>0.0</v>
      </c>
      <c r="Y30" s="88">
        <v>0.0</v>
      </c>
      <c r="Z30" s="26">
        <f t="shared" si="3"/>
        <v>0</v>
      </c>
      <c r="AA30" s="26">
        <f t="shared" si="4"/>
        <v>0</v>
      </c>
      <c r="AB30" s="27">
        <f t="shared" si="5"/>
        <v>0</v>
      </c>
      <c r="AC30" s="27">
        <f t="shared" si="6"/>
        <v>0</v>
      </c>
      <c r="AD30" s="15">
        <v>0.35</v>
      </c>
      <c r="AE30" s="193"/>
    </row>
    <row r="31">
      <c r="A31" s="6">
        <v>44226.0</v>
      </c>
      <c r="B31" s="18">
        <v>1714.0</v>
      </c>
      <c r="C31" s="18">
        <v>1746.0</v>
      </c>
      <c r="D31" s="8" t="str">
        <f t="shared" si="1"/>
        <v>Rob/Maggie</v>
      </c>
      <c r="E31" s="180" t="s">
        <v>39</v>
      </c>
      <c r="F31" s="19">
        <v>16.45</v>
      </c>
      <c r="G31" s="21">
        <v>44226.0</v>
      </c>
      <c r="H31" s="19">
        <v>19.45</v>
      </c>
      <c r="I31" s="23">
        <f t="shared" si="7"/>
        <v>0</v>
      </c>
      <c r="J31" s="256">
        <v>17.5</v>
      </c>
      <c r="K31" s="44">
        <v>46.0</v>
      </c>
      <c r="L31" s="44">
        <v>46.0</v>
      </c>
      <c r="M31" s="32" t="s">
        <v>181</v>
      </c>
      <c r="N31" s="88">
        <v>2.0</v>
      </c>
      <c r="O31" s="88">
        <v>0.0</v>
      </c>
      <c r="P31" s="88">
        <v>0.0</v>
      </c>
      <c r="Q31" s="88">
        <v>0.0</v>
      </c>
      <c r="R31" s="88">
        <v>0.0</v>
      </c>
      <c r="S31" s="88">
        <v>1.0</v>
      </c>
      <c r="T31" s="88">
        <v>0.0</v>
      </c>
      <c r="U31" s="88">
        <v>0.0</v>
      </c>
      <c r="V31" s="88">
        <v>0.0</v>
      </c>
      <c r="W31" s="88">
        <v>0.0</v>
      </c>
      <c r="X31" s="88">
        <v>0.0</v>
      </c>
      <c r="Y31" s="88">
        <v>3.0</v>
      </c>
      <c r="Z31" s="26">
        <f t="shared" si="3"/>
        <v>2</v>
      </c>
      <c r="AA31" s="26">
        <f t="shared" si="4"/>
        <v>1</v>
      </c>
      <c r="AB31" s="26">
        <f t="shared" si="5"/>
        <v>2</v>
      </c>
      <c r="AC31" s="27">
        <f t="shared" si="6"/>
        <v>1</v>
      </c>
      <c r="AD31" s="15">
        <v>0.26</v>
      </c>
      <c r="AE31" s="193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</row>
    <row r="32">
      <c r="A32" s="6">
        <v>44227.0</v>
      </c>
      <c r="B32" s="18">
        <v>1715.0</v>
      </c>
      <c r="C32" s="18">
        <v>1747.0</v>
      </c>
      <c r="D32" s="8" t="str">
        <f t="shared" si="1"/>
        <v>Phil/Fred</v>
      </c>
      <c r="E32" s="180" t="s">
        <v>30</v>
      </c>
      <c r="F32" s="22">
        <v>0.71875</v>
      </c>
      <c r="G32" s="21">
        <v>44227.0</v>
      </c>
      <c r="H32" s="22">
        <v>0.96875</v>
      </c>
      <c r="I32" s="23">
        <f t="shared" si="7"/>
        <v>6</v>
      </c>
      <c r="J32" s="256">
        <v>17.5</v>
      </c>
      <c r="K32" s="44">
        <v>50.1</v>
      </c>
      <c r="L32" s="44">
        <v>47.8</v>
      </c>
      <c r="M32" s="32" t="s">
        <v>181</v>
      </c>
      <c r="N32" s="88">
        <v>8.0</v>
      </c>
      <c r="O32" s="88">
        <v>0.0</v>
      </c>
      <c r="P32" s="88">
        <v>1.0</v>
      </c>
      <c r="Q32" s="88">
        <v>0.0</v>
      </c>
      <c r="R32" s="88">
        <v>20.0</v>
      </c>
      <c r="S32" s="88">
        <v>2.0</v>
      </c>
      <c r="T32" s="88">
        <v>2.0</v>
      </c>
      <c r="U32" s="88">
        <v>0.0</v>
      </c>
      <c r="V32" s="88">
        <v>0.0</v>
      </c>
      <c r="W32" s="88">
        <v>0.0</v>
      </c>
      <c r="X32" s="88">
        <v>0.0</v>
      </c>
      <c r="Y32" s="88">
        <v>1.0</v>
      </c>
      <c r="Z32" s="26">
        <f t="shared" si="3"/>
        <v>9</v>
      </c>
      <c r="AA32" s="26">
        <f t="shared" si="4"/>
        <v>24</v>
      </c>
      <c r="AB32" s="27">
        <f t="shared" si="5"/>
        <v>8</v>
      </c>
      <c r="AC32" s="27">
        <f t="shared" si="6"/>
        <v>22</v>
      </c>
      <c r="AD32" s="15">
        <v>0.18</v>
      </c>
      <c r="AE32" s="193"/>
    </row>
    <row r="33">
      <c r="B33" s="284"/>
      <c r="C33" s="262"/>
      <c r="D33" s="285"/>
      <c r="E33" s="48" t="s">
        <v>56</v>
      </c>
      <c r="F33" s="262"/>
      <c r="I33" s="49">
        <f>SUM(I3:I32)</f>
        <v>39.63333333</v>
      </c>
      <c r="J33" s="159">
        <f>SUM(J2:J32)</f>
        <v>180.9</v>
      </c>
      <c r="K33" s="262"/>
      <c r="L33" s="262"/>
      <c r="M33" s="262"/>
      <c r="N33" s="162">
        <f t="shared" ref="N33:Y33" si="8">sum(N2:N32)</f>
        <v>237</v>
      </c>
      <c r="O33" s="162">
        <f t="shared" si="8"/>
        <v>81</v>
      </c>
      <c r="P33" s="162">
        <f t="shared" si="8"/>
        <v>8</v>
      </c>
      <c r="Q33" s="162">
        <f t="shared" si="8"/>
        <v>0</v>
      </c>
      <c r="R33" s="162">
        <f t="shared" si="8"/>
        <v>33</v>
      </c>
      <c r="S33" s="162">
        <f t="shared" si="8"/>
        <v>3</v>
      </c>
      <c r="T33" s="162">
        <f t="shared" si="8"/>
        <v>7</v>
      </c>
      <c r="U33" s="162">
        <f t="shared" si="8"/>
        <v>0</v>
      </c>
      <c r="V33" s="162">
        <f t="shared" si="8"/>
        <v>0</v>
      </c>
      <c r="W33" s="162">
        <f t="shared" si="8"/>
        <v>0</v>
      </c>
      <c r="X33" s="162">
        <f t="shared" si="8"/>
        <v>0</v>
      </c>
      <c r="Y33" s="162">
        <f t="shared" si="8"/>
        <v>16</v>
      </c>
      <c r="Z33" s="286">
        <f t="shared" ref="Z33:AA33" si="9">SUM(Z2:Z32)</f>
        <v>326</v>
      </c>
      <c r="AA33" s="286">
        <f t="shared" si="9"/>
        <v>43</v>
      </c>
      <c r="AB33" s="162">
        <f t="shared" ref="AB33:AC33" si="10">sum(AB2:AB32)</f>
        <v>318</v>
      </c>
      <c r="AC33" s="162">
        <f t="shared" si="10"/>
        <v>36</v>
      </c>
    </row>
    <row r="34">
      <c r="B34" s="287"/>
      <c r="C34" s="262"/>
      <c r="D34" s="262"/>
      <c r="E34" s="53" t="s">
        <v>57</v>
      </c>
      <c r="F34" s="54"/>
      <c r="I34" s="55">
        <f>'November 2020'!I$33+'December 2020'!I$33+'January 2021'!I$33</f>
        <v>74.3</v>
      </c>
      <c r="J34" s="55">
        <f>'November 2020'!J$33+'December 2020'!J$33+'January 2021'!J$33</f>
        <v>314.9</v>
      </c>
      <c r="K34" s="56"/>
      <c r="L34" s="56"/>
      <c r="M34" s="56"/>
      <c r="N34" s="57">
        <f>'November 2020'!N$33+'December 2020'!N$33+'January 2021'!N$33</f>
        <v>264</v>
      </c>
      <c r="O34" s="57">
        <f>'November 2020'!O$33+'December 2020'!O$33+'January 2021'!O$33</f>
        <v>139</v>
      </c>
      <c r="P34" s="57">
        <f>'November 2020'!P$33+'December 2020'!P$33+'January 2021'!P$33</f>
        <v>8</v>
      </c>
      <c r="Q34" s="57">
        <f>'November 2020'!Q$33+'December 2020'!Q$33+'January 2021'!Q$33</f>
        <v>0</v>
      </c>
      <c r="R34" s="57">
        <f>'November 2020'!R$33+'December 2020'!R$33+'January 2021'!R$33</f>
        <v>33</v>
      </c>
      <c r="S34" s="57">
        <f>'November 2020'!S$33+'December 2020'!S$33+'January 2021'!S$33</f>
        <v>3</v>
      </c>
      <c r="T34" s="57">
        <f>'November 2020'!T$33+'December 2020'!T$33+'January 2021'!T$33</f>
        <v>7</v>
      </c>
      <c r="U34" s="57">
        <f>'November 2020'!U$33+'December 2020'!U$33+'January 2021'!U$33</f>
        <v>0</v>
      </c>
      <c r="V34" s="57">
        <f>'November 2020'!V$33+'December 2020'!V$33+'January 2021'!V$33</f>
        <v>0</v>
      </c>
      <c r="W34" s="57">
        <f>'November 2020'!W$33+'December 2020'!W$33+'January 2021'!W$33</f>
        <v>0</v>
      </c>
      <c r="X34" s="57">
        <f>'November 2020'!X$33+'December 2020'!X$33+'January 2021'!X$33</f>
        <v>0</v>
      </c>
      <c r="Y34" s="57">
        <f>'November 2020'!Y$33+'December 2020'!Y$33+'January 2021'!Y$33</f>
        <v>16</v>
      </c>
      <c r="Z34" s="57">
        <f>'November 2020'!Z$33+'December 2020'!Z$33+'January 2021'!Z$33</f>
        <v>411</v>
      </c>
      <c r="AA34" s="57">
        <f>'November 2020'!AA$33+'December 2020'!AA$33+'January 2021'!AA$33</f>
        <v>43</v>
      </c>
      <c r="AB34" s="58">
        <f>'November 2020'!AB33+'December 2020'!AB33+'January 2021'!AB33</f>
        <v>403</v>
      </c>
      <c r="AC34" s="58">
        <f>'November 2020'!AC33+'December 2020'!AC33+'January 2021'!AC33</f>
        <v>36</v>
      </c>
    </row>
    <row r="35">
      <c r="B35" s="255"/>
      <c r="C35" s="255"/>
      <c r="E35" s="53" t="s">
        <v>58</v>
      </c>
      <c r="F35" s="54"/>
      <c r="I35" s="55">
        <f>'November 2020'!I$33+'December 2020'!I$33+'January 2021'!I$33+'February 2021'!I$33+'March 2021'!I$33+'April 2021'!I$33</f>
        <v>112.6333333</v>
      </c>
      <c r="J35" s="55">
        <f>'November 2020'!J33+'December 2020'!J33+'January 2021'!J33+'February 2021'!J33+'March 2021'!J33+'April 2021'!J33</f>
        <v>474.1</v>
      </c>
      <c r="K35" s="56"/>
      <c r="L35" s="56"/>
      <c r="M35" s="56"/>
      <c r="N35" s="57">
        <f>'November 2020'!N33+'December 2020'!N33+'January 2021'!N33+'February 2021'!N33+'March 2021'!N33+'April 2021'!N33</f>
        <v>271</v>
      </c>
      <c r="O35" s="57">
        <f>'November 2020'!O33+'December 2020'!O33+'January 2021'!O33+'February 2021'!O33+'March 2021'!O33+'April 2021'!O33</f>
        <v>139</v>
      </c>
      <c r="P35" s="57">
        <f>'November 2020'!P33+'December 2020'!P33+'January 2021'!P33+'February 2021'!P33+'March 2021'!P33+'April 2021'!P33</f>
        <v>11</v>
      </c>
      <c r="Q35" s="57">
        <f>'November 2020'!Q33+'December 2020'!Q33+'January 2021'!Q33+'February 2021'!Q33+'March 2021'!Q33+'April 2021'!Q33</f>
        <v>0</v>
      </c>
      <c r="R35" s="57">
        <f>'November 2020'!R33+'December 2020'!R33+'January 2021'!R33+'February 2021'!R33+'March 2021'!R33+'April 2021'!R33</f>
        <v>147</v>
      </c>
      <c r="S35" s="57">
        <f>'November 2020'!S33+'December 2020'!S33+'January 2021'!S33+'February 2021'!S33+'March 2021'!S33+'April 2021'!S33</f>
        <v>28</v>
      </c>
      <c r="T35" s="57">
        <f>'November 2020'!T33+'December 2020'!T33+'January 2021'!T33+'February 2021'!T33+'March 2021'!T33+'April 2021'!T33</f>
        <v>8</v>
      </c>
      <c r="U35" s="57">
        <f>'November 2020'!U33+'December 2020'!U33+'January 2021'!U33+'February 2021'!U33+'March 2021'!U33+'April 2021'!U33</f>
        <v>0</v>
      </c>
      <c r="V35" s="57">
        <f>'November 2020'!V33+'December 2020'!V33+'January 2021'!V33+'February 2021'!V33+'March 2021'!V33+'April 2021'!V33</f>
        <v>10</v>
      </c>
      <c r="W35" s="57">
        <f>'November 2020'!W33+'December 2020'!W33+'January 2021'!W33+'February 2021'!W33+'March 2021'!W33+'April 2021'!W33</f>
        <v>0</v>
      </c>
      <c r="X35" s="57">
        <f>'November 2020'!X33+'December 2020'!X33+'January 2021'!X33+'February 2021'!X33+'March 2021'!X33+'April 2021'!X33</f>
        <v>0</v>
      </c>
      <c r="Y35" s="57">
        <f>'November 2020'!Y33+'December 2020'!Y33+'January 2021'!Y33+'February 2021'!Y33+'March 2021'!Y33+'April 2021'!Y33</f>
        <v>16</v>
      </c>
      <c r="Z35" s="57">
        <f>'November 2020'!Z33+'December 2020'!Z33+'January 2021'!Z33+'February 2021'!Z33+'March 2021'!Z33+'April 2021'!Z33</f>
        <v>423</v>
      </c>
      <c r="AA35" s="57">
        <f>'November 2020'!AA33+'December 2020'!AA33+'January 2021'!AA33+'February 2021'!AA33+'March 2021'!AA33+'April 2021'!AA33</f>
        <v>193</v>
      </c>
      <c r="AB35" s="57">
        <f>'November 2020'!AB33+'December 2020'!AB33+'January 2021'!AB33+'February 2021'!AB33+'March 2021'!AB33+'April 2021'!AB33</f>
        <v>412</v>
      </c>
      <c r="AC35" s="57">
        <f>'November 2020'!AC33+'December 2020'!AC33+'January 2021'!AC33+'February 2021'!AC33+'March 2021'!AC33+'April 2021'!AC33</f>
        <v>191</v>
      </c>
    </row>
    <row r="36">
      <c r="A36" s="56"/>
      <c r="B36" s="56"/>
      <c r="C36" s="56"/>
      <c r="D36" s="56"/>
      <c r="E36" s="48" t="s">
        <v>59</v>
      </c>
      <c r="F36" s="56"/>
      <c r="G36" s="56"/>
      <c r="H36" s="56"/>
      <c r="I36" s="61"/>
      <c r="J36" s="61"/>
      <c r="K36" s="62"/>
      <c r="L36" s="62"/>
      <c r="M36" s="62"/>
      <c r="N36" s="288">
        <v>811.0</v>
      </c>
      <c r="O36" s="289">
        <v>1180.0</v>
      </c>
      <c r="P36" s="289">
        <v>13.0</v>
      </c>
      <c r="Q36" s="288">
        <v>2.0</v>
      </c>
      <c r="R36" s="288">
        <v>386.0</v>
      </c>
      <c r="S36" s="288">
        <v>89.0</v>
      </c>
      <c r="T36" s="288">
        <v>35.0</v>
      </c>
      <c r="U36" s="288">
        <v>2.0</v>
      </c>
      <c r="V36" s="64">
        <v>0.0</v>
      </c>
      <c r="W36" s="64">
        <v>9.0</v>
      </c>
      <c r="X36" s="64">
        <v>7.0</v>
      </c>
      <c r="Y36" s="65">
        <v>28.0</v>
      </c>
      <c r="Z36" s="63">
        <v>2006.0</v>
      </c>
      <c r="AA36" s="63">
        <v>512.0</v>
      </c>
      <c r="AB36" s="63">
        <v>1991.0</v>
      </c>
      <c r="AC36" s="65">
        <v>475.0</v>
      </c>
      <c r="AD36" s="66"/>
      <c r="AE36" s="66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17"/>
      <c r="BM36" s="17"/>
      <c r="BN36" s="17"/>
    </row>
    <row r="37">
      <c r="A37" s="56"/>
      <c r="B37" s="56"/>
      <c r="C37" s="56"/>
      <c r="D37" s="56"/>
      <c r="E37" s="48" t="s">
        <v>60</v>
      </c>
      <c r="F37" s="56"/>
      <c r="G37" s="56"/>
      <c r="H37" s="56"/>
      <c r="I37" s="61"/>
      <c r="J37" s="61"/>
      <c r="K37" s="62"/>
      <c r="L37" s="62"/>
      <c r="M37" s="62"/>
      <c r="N37" s="288">
        <v>90.0</v>
      </c>
      <c r="O37" s="289">
        <v>1134.0</v>
      </c>
      <c r="P37" s="289">
        <v>3.0</v>
      </c>
      <c r="Q37" s="288">
        <v>4.0</v>
      </c>
      <c r="R37" s="288">
        <v>124.0</v>
      </c>
      <c r="S37" s="288">
        <v>791.0</v>
      </c>
      <c r="T37" s="288">
        <v>6.0</v>
      </c>
      <c r="U37" s="288">
        <v>17.0</v>
      </c>
      <c r="V37" s="64">
        <v>6.0</v>
      </c>
      <c r="W37" s="64">
        <v>4.0</v>
      </c>
      <c r="X37" s="64">
        <v>24.0</v>
      </c>
      <c r="Y37" s="65">
        <v>7.0</v>
      </c>
      <c r="Z37" s="63">
        <v>1231.0</v>
      </c>
      <c r="AA37" s="63">
        <v>944.0</v>
      </c>
      <c r="AB37" s="63">
        <v>1224.0</v>
      </c>
      <c r="AC37" s="65">
        <v>921.0</v>
      </c>
      <c r="AD37" s="68"/>
      <c r="AE37" s="68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8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17"/>
      <c r="BM37" s="17"/>
      <c r="BN37" s="17"/>
    </row>
    <row r="38">
      <c r="A38" s="56"/>
      <c r="B38" s="56"/>
      <c r="C38" s="56"/>
      <c r="D38" s="56"/>
      <c r="E38" s="48" t="s">
        <v>61</v>
      </c>
      <c r="F38" s="56"/>
      <c r="G38" s="56"/>
      <c r="H38" s="56"/>
      <c r="I38" s="56"/>
      <c r="J38" s="56"/>
      <c r="K38" s="56"/>
      <c r="L38" s="56"/>
      <c r="M38" s="56"/>
      <c r="N38" s="204">
        <v>135.0</v>
      </c>
      <c r="O38" s="205">
        <v>281.0</v>
      </c>
      <c r="P38" s="205">
        <v>7.0</v>
      </c>
      <c r="Q38" s="204">
        <v>10.0</v>
      </c>
      <c r="R38" s="204">
        <v>104.0</v>
      </c>
      <c r="S38" s="204">
        <v>165.0</v>
      </c>
      <c r="T38" s="204">
        <v>9.0</v>
      </c>
      <c r="U38" s="206">
        <v>7.0</v>
      </c>
      <c r="V38" s="73"/>
      <c r="W38" s="72"/>
      <c r="X38" s="72"/>
      <c r="Y38" s="68"/>
      <c r="Z38" s="69">
        <v>433.0</v>
      </c>
      <c r="AA38" s="69">
        <v>297.0</v>
      </c>
      <c r="AB38" s="69"/>
      <c r="AC38" s="68"/>
      <c r="AD38" s="68"/>
      <c r="AE38" s="68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8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17"/>
      <c r="BM38" s="17"/>
      <c r="BN38" s="17"/>
    </row>
    <row r="39">
      <c r="A39" s="56"/>
      <c r="B39" s="56"/>
      <c r="C39" s="56"/>
      <c r="D39" s="56"/>
      <c r="E39" s="48" t="s">
        <v>62</v>
      </c>
      <c r="F39" s="56"/>
      <c r="G39" s="56"/>
      <c r="H39" s="56"/>
      <c r="I39" s="56"/>
      <c r="J39" s="56"/>
      <c r="K39" s="56"/>
      <c r="L39" s="56"/>
      <c r="M39" s="56"/>
      <c r="N39" s="70"/>
      <c r="O39" s="71"/>
      <c r="P39" s="71"/>
      <c r="Q39" s="69"/>
      <c r="R39" s="69"/>
      <c r="S39" s="69"/>
      <c r="T39" s="69"/>
      <c r="U39" s="72"/>
      <c r="V39" s="73"/>
      <c r="W39" s="72"/>
      <c r="X39" s="72"/>
      <c r="Y39" s="68"/>
      <c r="Z39" s="69">
        <v>834.0</v>
      </c>
      <c r="AA39" s="69">
        <v>751.0</v>
      </c>
      <c r="AB39" s="69"/>
      <c r="AC39" s="68"/>
      <c r="AD39" s="68"/>
      <c r="AE39" s="68" t="s">
        <v>182</v>
      </c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8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17"/>
      <c r="BM39" s="17"/>
      <c r="BN39" s="17"/>
    </row>
    <row r="40">
      <c r="A40" s="56"/>
      <c r="B40" s="56"/>
      <c r="C40" s="56"/>
      <c r="D40" s="56"/>
      <c r="E40" s="48" t="s">
        <v>63</v>
      </c>
      <c r="F40" s="56"/>
      <c r="G40" s="56"/>
      <c r="H40" s="56"/>
      <c r="I40" s="56"/>
      <c r="J40" s="56"/>
      <c r="K40" s="56"/>
      <c r="L40" s="56"/>
      <c r="M40" s="56"/>
      <c r="N40" s="70"/>
      <c r="O40" s="71"/>
      <c r="P40" s="71"/>
      <c r="Q40" s="69"/>
      <c r="R40" s="69"/>
      <c r="S40" s="69"/>
      <c r="T40" s="69"/>
      <c r="U40" s="72"/>
      <c r="V40" s="73"/>
      <c r="W40" s="72"/>
      <c r="X40" s="72"/>
      <c r="Y40" s="68"/>
      <c r="Z40" s="69">
        <v>688.0</v>
      </c>
      <c r="AA40" s="69">
        <v>1040.0</v>
      </c>
      <c r="AB40" s="69"/>
      <c r="AC40" s="68"/>
      <c r="AD40" s="68"/>
      <c r="AE40" s="68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8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17"/>
      <c r="BM40" s="17"/>
      <c r="BN40" s="17"/>
    </row>
    <row r="41">
      <c r="A41" s="56"/>
      <c r="B41" s="56"/>
      <c r="C41" s="56"/>
      <c r="D41" s="74"/>
      <c r="E41" s="48" t="s">
        <v>64</v>
      </c>
      <c r="F41" s="56"/>
      <c r="G41" s="56"/>
      <c r="H41" s="56"/>
      <c r="I41" s="56"/>
      <c r="J41" s="56"/>
      <c r="K41" s="56"/>
      <c r="L41" s="56"/>
      <c r="M41" s="74"/>
      <c r="N41" s="75"/>
      <c r="O41" s="60"/>
      <c r="P41" s="60"/>
      <c r="Q41" s="76"/>
      <c r="R41" s="76"/>
      <c r="S41" s="77"/>
      <c r="T41" s="77"/>
      <c r="U41" s="78"/>
      <c r="V41" s="79"/>
      <c r="W41" s="76"/>
      <c r="X41" s="76"/>
      <c r="Y41" s="80"/>
      <c r="Z41" s="76">
        <v>695.0</v>
      </c>
      <c r="AA41" s="76">
        <v>750.0</v>
      </c>
      <c r="AB41" s="76"/>
      <c r="AC41" s="80"/>
      <c r="AD41" s="80"/>
      <c r="AE41" s="80"/>
      <c r="AF41" s="48"/>
      <c r="AG41" s="48"/>
      <c r="AH41" s="48"/>
      <c r="AI41" s="48"/>
      <c r="AJ41" s="48"/>
      <c r="AK41" s="48"/>
      <c r="AL41" s="76"/>
      <c r="AM41" s="76"/>
      <c r="AN41" s="81"/>
      <c r="AO41" s="81"/>
      <c r="AP41" s="81"/>
      <c r="AQ41" s="80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17"/>
      <c r="BM41" s="17"/>
      <c r="BN41" s="17"/>
    </row>
    <row r="42">
      <c r="A42" s="56"/>
      <c r="B42" s="56"/>
      <c r="C42" s="56"/>
      <c r="D42" s="74"/>
      <c r="E42" s="48" t="s">
        <v>65</v>
      </c>
      <c r="F42" s="56"/>
      <c r="G42" s="56"/>
      <c r="H42" s="56"/>
      <c r="I42" s="56"/>
      <c r="J42" s="56"/>
      <c r="K42" s="56"/>
      <c r="L42" s="56"/>
      <c r="M42" s="74"/>
      <c r="N42" s="75"/>
      <c r="O42" s="60"/>
      <c r="P42" s="60"/>
      <c r="Q42" s="76"/>
      <c r="R42" s="76"/>
      <c r="S42" s="77"/>
      <c r="T42" s="77"/>
      <c r="U42" s="78"/>
      <c r="V42" s="79"/>
      <c r="W42" s="76"/>
      <c r="X42" s="76"/>
      <c r="Y42" s="80"/>
      <c r="Z42" s="76">
        <v>580.0</v>
      </c>
      <c r="AA42" s="76">
        <v>572.0</v>
      </c>
      <c r="AB42" s="76"/>
      <c r="AC42" s="80"/>
      <c r="AD42" s="80"/>
      <c r="AE42" s="80"/>
      <c r="AF42" s="48"/>
      <c r="AG42" s="48"/>
      <c r="AH42" s="48"/>
      <c r="AI42" s="48"/>
      <c r="AJ42" s="48"/>
      <c r="AK42" s="48"/>
      <c r="AL42" s="76"/>
      <c r="AM42" s="76"/>
      <c r="AN42" s="81"/>
      <c r="AO42" s="81"/>
      <c r="AP42" s="81"/>
      <c r="AQ42" s="80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17"/>
      <c r="BM42" s="17"/>
      <c r="BN42" s="17"/>
    </row>
    <row r="43">
      <c r="B43" s="255"/>
      <c r="C43" s="255"/>
      <c r="E43" s="255"/>
    </row>
    <row r="44">
      <c r="B44" s="255"/>
      <c r="C44" s="255"/>
      <c r="E44" s="255"/>
    </row>
    <row r="45">
      <c r="B45" s="255"/>
      <c r="C45" s="255"/>
      <c r="E45" s="255"/>
    </row>
    <row r="46">
      <c r="B46" s="255"/>
      <c r="C46" s="255"/>
      <c r="E46" s="255"/>
    </row>
    <row r="47">
      <c r="B47" s="255"/>
      <c r="C47" s="255"/>
      <c r="E47" s="255"/>
    </row>
    <row r="48">
      <c r="B48" s="255"/>
      <c r="C48" s="255"/>
      <c r="E48" s="255"/>
    </row>
    <row r="49">
      <c r="B49" s="255"/>
      <c r="C49" s="255"/>
      <c r="E49" s="255"/>
    </row>
    <row r="50">
      <c r="B50" s="255"/>
      <c r="C50" s="255"/>
      <c r="E50" s="255"/>
    </row>
    <row r="51">
      <c r="B51" s="255"/>
      <c r="C51" s="255"/>
      <c r="E51" s="255"/>
    </row>
    <row r="52">
      <c r="B52" s="255"/>
      <c r="C52" s="255"/>
      <c r="E52" s="255"/>
    </row>
    <row r="53">
      <c r="B53" s="255"/>
      <c r="C53" s="255"/>
      <c r="E53" s="255"/>
    </row>
    <row r="54">
      <c r="B54" s="255"/>
      <c r="C54" s="255"/>
      <c r="E54" s="255"/>
    </row>
    <row r="55">
      <c r="B55" s="255"/>
      <c r="C55" s="255"/>
      <c r="E55" s="255"/>
    </row>
    <row r="56">
      <c r="B56" s="255"/>
      <c r="C56" s="255"/>
      <c r="E56" s="255"/>
    </row>
    <row r="57">
      <c r="B57" s="255"/>
      <c r="C57" s="255"/>
      <c r="E57" s="255"/>
    </row>
    <row r="58">
      <c r="B58" s="255"/>
      <c r="C58" s="255"/>
      <c r="E58" s="255"/>
    </row>
    <row r="59">
      <c r="B59" s="255"/>
      <c r="C59" s="255"/>
      <c r="E59" s="255"/>
    </row>
    <row r="60">
      <c r="B60" s="255"/>
      <c r="C60" s="255"/>
      <c r="E60" s="255"/>
    </row>
    <row r="61">
      <c r="B61" s="255"/>
      <c r="C61" s="255"/>
      <c r="E61" s="255"/>
    </row>
    <row r="62">
      <c r="B62" s="255"/>
      <c r="C62" s="255"/>
      <c r="E62" s="255"/>
    </row>
    <row r="63">
      <c r="B63" s="255"/>
      <c r="C63" s="255"/>
      <c r="E63" s="255"/>
    </row>
    <row r="64">
      <c r="B64" s="255"/>
      <c r="C64" s="255"/>
      <c r="E64" s="255"/>
    </row>
    <row r="65">
      <c r="B65" s="255"/>
      <c r="C65" s="255"/>
      <c r="E65" s="255"/>
    </row>
    <row r="66">
      <c r="B66" s="255"/>
      <c r="C66" s="255"/>
      <c r="E66" s="255"/>
    </row>
    <row r="67">
      <c r="B67" s="255"/>
      <c r="C67" s="255"/>
      <c r="E67" s="255"/>
    </row>
    <row r="68">
      <c r="B68" s="255"/>
      <c r="C68" s="255"/>
      <c r="E68" s="255"/>
    </row>
    <row r="69">
      <c r="B69" s="255"/>
      <c r="C69" s="255"/>
      <c r="E69" s="255"/>
    </row>
    <row r="70">
      <c r="B70" s="255"/>
      <c r="C70" s="255"/>
      <c r="E70" s="255"/>
    </row>
    <row r="71">
      <c r="B71" s="255"/>
      <c r="C71" s="255"/>
      <c r="E71" s="255"/>
    </row>
    <row r="72">
      <c r="B72" s="255"/>
      <c r="C72" s="255"/>
      <c r="E72" s="255"/>
    </row>
    <row r="73">
      <c r="B73" s="255"/>
      <c r="C73" s="255"/>
      <c r="E73" s="255"/>
    </row>
    <row r="74">
      <c r="B74" s="255"/>
      <c r="C74" s="255"/>
      <c r="E74" s="255"/>
    </row>
    <row r="75">
      <c r="B75" s="255"/>
      <c r="C75" s="255"/>
      <c r="E75" s="255"/>
    </row>
    <row r="76">
      <c r="B76" s="255"/>
      <c r="C76" s="255"/>
      <c r="E76" s="255"/>
    </row>
    <row r="77">
      <c r="B77" s="255"/>
      <c r="C77" s="255"/>
      <c r="E77" s="255"/>
    </row>
    <row r="78">
      <c r="B78" s="255"/>
      <c r="C78" s="255"/>
      <c r="E78" s="255"/>
    </row>
    <row r="79">
      <c r="B79" s="255"/>
      <c r="C79" s="255"/>
      <c r="E79" s="255"/>
    </row>
    <row r="80">
      <c r="B80" s="255"/>
      <c r="C80" s="255"/>
      <c r="E80" s="255"/>
    </row>
    <row r="81">
      <c r="B81" s="255"/>
      <c r="C81" s="255"/>
      <c r="E81" s="255"/>
    </row>
    <row r="82">
      <c r="B82" s="255"/>
      <c r="C82" s="255"/>
      <c r="E82" s="255"/>
    </row>
    <row r="83">
      <c r="B83" s="255"/>
      <c r="C83" s="255"/>
      <c r="E83" s="255"/>
    </row>
    <row r="84">
      <c r="B84" s="255"/>
      <c r="C84" s="255"/>
      <c r="E84" s="255"/>
    </row>
    <row r="85">
      <c r="B85" s="255"/>
      <c r="C85" s="255"/>
      <c r="E85" s="255"/>
    </row>
    <row r="86">
      <c r="B86" s="255"/>
      <c r="C86" s="255"/>
      <c r="E86" s="255"/>
    </row>
    <row r="87">
      <c r="B87" s="255"/>
      <c r="C87" s="255"/>
      <c r="E87" s="255"/>
    </row>
    <row r="88">
      <c r="B88" s="255"/>
      <c r="C88" s="255"/>
      <c r="E88" s="255"/>
    </row>
    <row r="89">
      <c r="B89" s="255"/>
      <c r="C89" s="255"/>
      <c r="E89" s="255"/>
    </row>
    <row r="90">
      <c r="B90" s="255"/>
      <c r="C90" s="255"/>
      <c r="E90" s="255"/>
    </row>
    <row r="91">
      <c r="B91" s="255"/>
      <c r="C91" s="255"/>
      <c r="E91" s="255"/>
    </row>
    <row r="92">
      <c r="B92" s="255"/>
      <c r="C92" s="255"/>
      <c r="E92" s="255"/>
    </row>
    <row r="93">
      <c r="B93" s="255"/>
      <c r="C93" s="255"/>
      <c r="E93" s="255"/>
    </row>
    <row r="94">
      <c r="B94" s="255"/>
      <c r="C94" s="255"/>
      <c r="E94" s="255"/>
    </row>
    <row r="95">
      <c r="B95" s="255"/>
      <c r="C95" s="255"/>
      <c r="E95" s="255"/>
    </row>
    <row r="96">
      <c r="B96" s="255"/>
      <c r="C96" s="255"/>
      <c r="E96" s="255"/>
    </row>
    <row r="97">
      <c r="B97" s="255"/>
      <c r="C97" s="255"/>
      <c r="E97" s="255"/>
    </row>
    <row r="98">
      <c r="B98" s="255"/>
      <c r="C98" s="255"/>
      <c r="E98" s="255"/>
    </row>
    <row r="99">
      <c r="B99" s="255"/>
      <c r="C99" s="255"/>
      <c r="E99" s="255"/>
    </row>
    <row r="100">
      <c r="B100" s="255"/>
      <c r="C100" s="255"/>
      <c r="E100" s="255"/>
    </row>
    <row r="101">
      <c r="B101" s="255"/>
      <c r="C101" s="255"/>
      <c r="E101" s="255"/>
    </row>
    <row r="102">
      <c r="B102" s="255"/>
      <c r="C102" s="255"/>
      <c r="E102" s="255"/>
    </row>
    <row r="103">
      <c r="B103" s="255"/>
      <c r="C103" s="255"/>
      <c r="E103" s="255"/>
    </row>
    <row r="104">
      <c r="B104" s="255"/>
      <c r="C104" s="255"/>
      <c r="E104" s="255"/>
    </row>
    <row r="105">
      <c r="B105" s="255"/>
      <c r="C105" s="255"/>
      <c r="E105" s="255"/>
    </row>
    <row r="106">
      <c r="B106" s="255"/>
      <c r="C106" s="255"/>
      <c r="E106" s="255"/>
    </row>
    <row r="107">
      <c r="B107" s="255"/>
      <c r="C107" s="255"/>
      <c r="E107" s="255"/>
    </row>
    <row r="108">
      <c r="B108" s="255"/>
      <c r="C108" s="255"/>
      <c r="E108" s="255"/>
    </row>
    <row r="109">
      <c r="B109" s="255"/>
      <c r="C109" s="255"/>
      <c r="E109" s="255"/>
    </row>
    <row r="110">
      <c r="B110" s="255"/>
      <c r="C110" s="255"/>
      <c r="E110" s="255"/>
    </row>
    <row r="111">
      <c r="B111" s="255"/>
      <c r="C111" s="255"/>
      <c r="E111" s="255"/>
    </row>
    <row r="112">
      <c r="B112" s="255"/>
      <c r="C112" s="255"/>
      <c r="E112" s="255"/>
    </row>
    <row r="113">
      <c r="B113" s="255"/>
      <c r="C113" s="255"/>
      <c r="E113" s="255"/>
    </row>
    <row r="114">
      <c r="B114" s="255"/>
      <c r="C114" s="255"/>
      <c r="E114" s="255"/>
    </row>
    <row r="115">
      <c r="B115" s="255"/>
      <c r="C115" s="255"/>
      <c r="E115" s="255"/>
    </row>
    <row r="116">
      <c r="B116" s="255"/>
      <c r="C116" s="255"/>
      <c r="E116" s="255"/>
    </row>
    <row r="117">
      <c r="B117" s="255"/>
      <c r="C117" s="255"/>
      <c r="E117" s="255"/>
    </row>
    <row r="118">
      <c r="B118" s="255"/>
      <c r="C118" s="255"/>
      <c r="E118" s="255"/>
    </row>
    <row r="119">
      <c r="B119" s="255"/>
      <c r="C119" s="255"/>
      <c r="E119" s="255"/>
    </row>
    <row r="120">
      <c r="B120" s="255"/>
      <c r="C120" s="255"/>
      <c r="E120" s="255"/>
    </row>
    <row r="121">
      <c r="B121" s="255"/>
      <c r="C121" s="255"/>
      <c r="E121" s="255"/>
    </row>
    <row r="122">
      <c r="B122" s="255"/>
      <c r="C122" s="255"/>
      <c r="E122" s="255"/>
    </row>
    <row r="123">
      <c r="B123" s="255"/>
      <c r="C123" s="255"/>
      <c r="E123" s="255"/>
    </row>
    <row r="124">
      <c r="B124" s="255"/>
      <c r="C124" s="255"/>
      <c r="E124" s="255"/>
    </row>
    <row r="125">
      <c r="B125" s="255"/>
      <c r="C125" s="255"/>
      <c r="E125" s="255"/>
    </row>
    <row r="126">
      <c r="B126" s="255"/>
      <c r="C126" s="255"/>
      <c r="E126" s="255"/>
    </row>
    <row r="127">
      <c r="B127" s="255"/>
      <c r="C127" s="255"/>
      <c r="E127" s="255"/>
    </row>
    <row r="128">
      <c r="B128" s="255"/>
      <c r="C128" s="255"/>
      <c r="E128" s="255"/>
    </row>
    <row r="129">
      <c r="B129" s="255"/>
      <c r="C129" s="255"/>
      <c r="E129" s="255"/>
    </row>
    <row r="130">
      <c r="B130" s="255"/>
      <c r="C130" s="255"/>
      <c r="E130" s="255"/>
    </row>
    <row r="131">
      <c r="B131" s="255"/>
      <c r="C131" s="255"/>
      <c r="E131" s="255"/>
    </row>
    <row r="132">
      <c r="B132" s="255"/>
      <c r="C132" s="255"/>
      <c r="E132" s="255"/>
    </row>
    <row r="133">
      <c r="B133" s="255"/>
      <c r="C133" s="255"/>
      <c r="E133" s="255"/>
    </row>
    <row r="134">
      <c r="B134" s="255"/>
      <c r="C134" s="255"/>
      <c r="E134" s="255"/>
    </row>
    <row r="135">
      <c r="B135" s="255"/>
      <c r="C135" s="255"/>
      <c r="E135" s="255"/>
    </row>
    <row r="136">
      <c r="B136" s="255"/>
      <c r="C136" s="255"/>
      <c r="E136" s="255"/>
    </row>
    <row r="137">
      <c r="B137" s="255"/>
      <c r="C137" s="255"/>
      <c r="E137" s="255"/>
    </row>
    <row r="138">
      <c r="B138" s="255"/>
      <c r="C138" s="255"/>
      <c r="E138" s="255"/>
    </row>
    <row r="139">
      <c r="B139" s="255"/>
      <c r="C139" s="255"/>
      <c r="E139" s="255"/>
    </row>
    <row r="140">
      <c r="B140" s="255"/>
      <c r="C140" s="255"/>
      <c r="E140" s="255"/>
    </row>
    <row r="141">
      <c r="B141" s="255"/>
      <c r="C141" s="255"/>
      <c r="E141" s="255"/>
    </row>
    <row r="142">
      <c r="B142" s="255"/>
      <c r="C142" s="255"/>
      <c r="E142" s="255"/>
    </row>
    <row r="143">
      <c r="B143" s="255"/>
      <c r="C143" s="255"/>
      <c r="E143" s="255"/>
    </row>
    <row r="144">
      <c r="B144" s="255"/>
      <c r="C144" s="255"/>
      <c r="E144" s="255"/>
    </row>
    <row r="145">
      <c r="B145" s="255"/>
      <c r="C145" s="255"/>
      <c r="E145" s="255"/>
    </row>
    <row r="146">
      <c r="B146" s="255"/>
      <c r="C146" s="255"/>
      <c r="E146" s="255"/>
    </row>
    <row r="147">
      <c r="B147" s="255"/>
      <c r="C147" s="255"/>
      <c r="E147" s="255"/>
    </row>
    <row r="148">
      <c r="B148" s="255"/>
      <c r="C148" s="255"/>
      <c r="E148" s="255"/>
    </row>
    <row r="149">
      <c r="B149" s="255"/>
      <c r="C149" s="255"/>
      <c r="E149" s="255"/>
    </row>
    <row r="150">
      <c r="B150" s="255"/>
      <c r="C150" s="255"/>
      <c r="E150" s="255"/>
    </row>
    <row r="151">
      <c r="B151" s="255"/>
      <c r="C151" s="255"/>
      <c r="E151" s="255"/>
    </row>
    <row r="152">
      <c r="B152" s="255"/>
      <c r="C152" s="255"/>
      <c r="E152" s="255"/>
    </row>
    <row r="153">
      <c r="B153" s="255"/>
      <c r="C153" s="255"/>
      <c r="E153" s="255"/>
    </row>
    <row r="154">
      <c r="B154" s="255"/>
      <c r="C154" s="255"/>
      <c r="E154" s="255"/>
    </row>
    <row r="155">
      <c r="B155" s="255"/>
      <c r="C155" s="255"/>
      <c r="E155" s="255"/>
    </row>
    <row r="156">
      <c r="B156" s="255"/>
      <c r="C156" s="255"/>
      <c r="E156" s="255"/>
    </row>
    <row r="157">
      <c r="B157" s="255"/>
      <c r="C157" s="255"/>
      <c r="E157" s="255"/>
    </row>
    <row r="158">
      <c r="B158" s="255"/>
      <c r="C158" s="255"/>
      <c r="E158" s="255"/>
    </row>
    <row r="159">
      <c r="B159" s="255"/>
      <c r="C159" s="255"/>
      <c r="E159" s="255"/>
    </row>
    <row r="160">
      <c r="B160" s="255"/>
      <c r="C160" s="255"/>
      <c r="E160" s="255"/>
    </row>
    <row r="161">
      <c r="B161" s="255"/>
      <c r="C161" s="255"/>
      <c r="E161" s="255"/>
    </row>
    <row r="162">
      <c r="B162" s="255"/>
      <c r="C162" s="255"/>
      <c r="E162" s="255"/>
    </row>
    <row r="163">
      <c r="B163" s="255"/>
      <c r="C163" s="255"/>
      <c r="E163" s="255"/>
    </row>
    <row r="164">
      <c r="B164" s="255"/>
      <c r="C164" s="255"/>
      <c r="E164" s="255"/>
    </row>
    <row r="165">
      <c r="B165" s="255"/>
      <c r="C165" s="255"/>
      <c r="E165" s="255"/>
    </row>
    <row r="166">
      <c r="B166" s="255"/>
      <c r="C166" s="255"/>
      <c r="E166" s="255"/>
    </row>
    <row r="167">
      <c r="B167" s="255"/>
      <c r="C167" s="255"/>
      <c r="E167" s="255"/>
    </row>
    <row r="168">
      <c r="B168" s="255"/>
      <c r="C168" s="255"/>
      <c r="E168" s="255"/>
    </row>
    <row r="169">
      <c r="B169" s="255"/>
      <c r="C169" s="255"/>
      <c r="E169" s="255"/>
    </row>
    <row r="170">
      <c r="B170" s="255"/>
      <c r="C170" s="255"/>
      <c r="E170" s="255"/>
    </row>
    <row r="171">
      <c r="B171" s="255"/>
      <c r="C171" s="255"/>
      <c r="E171" s="255"/>
    </row>
    <row r="172">
      <c r="B172" s="255"/>
      <c r="C172" s="255"/>
      <c r="E172" s="255"/>
    </row>
    <row r="173">
      <c r="B173" s="255"/>
      <c r="C173" s="255"/>
      <c r="E173" s="255"/>
    </row>
    <row r="174">
      <c r="B174" s="255"/>
      <c r="C174" s="255"/>
      <c r="E174" s="255"/>
    </row>
    <row r="175">
      <c r="B175" s="255"/>
      <c r="C175" s="255"/>
      <c r="E175" s="255"/>
    </row>
    <row r="176">
      <c r="B176" s="255"/>
      <c r="C176" s="255"/>
      <c r="E176" s="255"/>
    </row>
    <row r="177">
      <c r="B177" s="255"/>
      <c r="C177" s="255"/>
      <c r="E177" s="255"/>
    </row>
    <row r="178">
      <c r="B178" s="255"/>
      <c r="C178" s="255"/>
      <c r="E178" s="255"/>
    </row>
    <row r="179">
      <c r="B179" s="255"/>
      <c r="C179" s="255"/>
      <c r="E179" s="255"/>
    </row>
    <row r="180">
      <c r="B180" s="255"/>
      <c r="C180" s="255"/>
      <c r="E180" s="255"/>
    </row>
    <row r="181">
      <c r="B181" s="255"/>
      <c r="C181" s="255"/>
      <c r="E181" s="255"/>
    </row>
    <row r="182">
      <c r="B182" s="255"/>
      <c r="C182" s="255"/>
      <c r="E182" s="255"/>
    </row>
    <row r="183">
      <c r="B183" s="255"/>
      <c r="C183" s="255"/>
      <c r="E183" s="255"/>
    </row>
    <row r="184">
      <c r="B184" s="255"/>
      <c r="C184" s="255"/>
      <c r="E184" s="255"/>
    </row>
    <row r="185">
      <c r="B185" s="255"/>
      <c r="C185" s="255"/>
      <c r="E185" s="255"/>
    </row>
    <row r="186">
      <c r="B186" s="255"/>
      <c r="C186" s="255"/>
      <c r="E186" s="255"/>
    </row>
    <row r="187">
      <c r="B187" s="255"/>
      <c r="C187" s="255"/>
      <c r="E187" s="255"/>
    </row>
    <row r="188">
      <c r="B188" s="255"/>
      <c r="C188" s="255"/>
      <c r="E188" s="255"/>
    </row>
    <row r="189">
      <c r="B189" s="255"/>
      <c r="C189" s="255"/>
      <c r="E189" s="255"/>
    </row>
    <row r="190">
      <c r="B190" s="255"/>
      <c r="C190" s="255"/>
      <c r="E190" s="255"/>
    </row>
    <row r="191">
      <c r="B191" s="255"/>
      <c r="C191" s="255"/>
      <c r="E191" s="255"/>
    </row>
    <row r="192">
      <c r="B192" s="255"/>
      <c r="C192" s="255"/>
      <c r="E192" s="255"/>
    </row>
    <row r="193">
      <c r="B193" s="255"/>
      <c r="C193" s="255"/>
      <c r="E193" s="255"/>
    </row>
    <row r="194">
      <c r="B194" s="255"/>
      <c r="C194" s="255"/>
      <c r="E194" s="255"/>
    </row>
    <row r="195">
      <c r="B195" s="255"/>
      <c r="C195" s="255"/>
      <c r="E195" s="255"/>
    </row>
    <row r="196">
      <c r="B196" s="255"/>
      <c r="C196" s="255"/>
      <c r="E196" s="255"/>
    </row>
    <row r="197">
      <c r="B197" s="255"/>
      <c r="C197" s="255"/>
      <c r="E197" s="255"/>
    </row>
    <row r="198">
      <c r="B198" s="255"/>
      <c r="C198" s="255"/>
      <c r="E198" s="255"/>
    </row>
    <row r="199">
      <c r="B199" s="255"/>
      <c r="C199" s="255"/>
      <c r="E199" s="255"/>
    </row>
    <row r="200">
      <c r="B200" s="255"/>
      <c r="C200" s="255"/>
      <c r="E200" s="255"/>
    </row>
    <row r="201">
      <c r="B201" s="255"/>
      <c r="C201" s="255"/>
      <c r="E201" s="255"/>
    </row>
    <row r="202">
      <c r="B202" s="255"/>
      <c r="C202" s="255"/>
      <c r="E202" s="255"/>
    </row>
    <row r="203">
      <c r="B203" s="255"/>
      <c r="C203" s="255"/>
      <c r="E203" s="255"/>
    </row>
    <row r="204">
      <c r="B204" s="255"/>
      <c r="C204" s="255"/>
      <c r="E204" s="255"/>
    </row>
    <row r="205">
      <c r="B205" s="255"/>
      <c r="C205" s="255"/>
      <c r="E205" s="255"/>
    </row>
    <row r="206">
      <c r="B206" s="255"/>
      <c r="C206" s="255"/>
      <c r="E206" s="255"/>
    </row>
    <row r="207">
      <c r="B207" s="255"/>
      <c r="C207" s="255"/>
      <c r="E207" s="255"/>
    </row>
    <row r="208">
      <c r="B208" s="255"/>
      <c r="C208" s="255"/>
      <c r="E208" s="255"/>
    </row>
    <row r="209">
      <c r="B209" s="255"/>
      <c r="C209" s="255"/>
      <c r="E209" s="255"/>
    </row>
    <row r="210">
      <c r="B210" s="255"/>
      <c r="C210" s="255"/>
      <c r="E210" s="255"/>
    </row>
    <row r="211">
      <c r="B211" s="255"/>
      <c r="C211" s="255"/>
      <c r="E211" s="255"/>
    </row>
    <row r="212">
      <c r="B212" s="255"/>
      <c r="C212" s="255"/>
      <c r="E212" s="255"/>
    </row>
    <row r="213">
      <c r="B213" s="255"/>
      <c r="C213" s="255"/>
      <c r="E213" s="255"/>
    </row>
    <row r="214">
      <c r="B214" s="255"/>
      <c r="C214" s="255"/>
      <c r="E214" s="255"/>
    </row>
    <row r="215">
      <c r="B215" s="255"/>
      <c r="C215" s="255"/>
      <c r="E215" s="255"/>
    </row>
    <row r="216">
      <c r="B216" s="255"/>
      <c r="C216" s="255"/>
      <c r="E216" s="255"/>
    </row>
    <row r="217">
      <c r="B217" s="255"/>
      <c r="C217" s="255"/>
      <c r="E217" s="255"/>
    </row>
    <row r="218">
      <c r="B218" s="255"/>
      <c r="C218" s="255"/>
      <c r="E218" s="255"/>
    </row>
    <row r="219">
      <c r="B219" s="255"/>
      <c r="C219" s="255"/>
      <c r="E219" s="255"/>
    </row>
    <row r="220">
      <c r="B220" s="255"/>
      <c r="C220" s="255"/>
      <c r="E220" s="255"/>
    </row>
    <row r="221">
      <c r="B221" s="255"/>
      <c r="C221" s="255"/>
      <c r="E221" s="255"/>
    </row>
    <row r="222">
      <c r="B222" s="255"/>
      <c r="C222" s="255"/>
      <c r="E222" s="255"/>
    </row>
    <row r="223">
      <c r="B223" s="255"/>
      <c r="C223" s="255"/>
      <c r="E223" s="255"/>
    </row>
    <row r="224">
      <c r="B224" s="255"/>
      <c r="C224" s="255"/>
      <c r="E224" s="255"/>
    </row>
    <row r="225">
      <c r="B225" s="255"/>
      <c r="C225" s="255"/>
      <c r="E225" s="255"/>
    </row>
    <row r="226">
      <c r="B226" s="255"/>
      <c r="C226" s="255"/>
      <c r="E226" s="255"/>
    </row>
    <row r="227">
      <c r="B227" s="255"/>
      <c r="C227" s="255"/>
      <c r="E227" s="255"/>
    </row>
    <row r="228">
      <c r="B228" s="255"/>
      <c r="C228" s="255"/>
      <c r="E228" s="255"/>
    </row>
    <row r="229">
      <c r="B229" s="255"/>
      <c r="C229" s="255"/>
      <c r="E229" s="255"/>
    </row>
    <row r="230">
      <c r="B230" s="255"/>
      <c r="C230" s="255"/>
      <c r="E230" s="255"/>
    </row>
    <row r="231">
      <c r="B231" s="255"/>
      <c r="C231" s="255"/>
      <c r="E231" s="255"/>
    </row>
    <row r="232">
      <c r="B232" s="255"/>
      <c r="C232" s="255"/>
      <c r="E232" s="255"/>
    </row>
    <row r="233">
      <c r="B233" s="255"/>
      <c r="C233" s="255"/>
      <c r="E233" s="255"/>
    </row>
    <row r="234">
      <c r="B234" s="255"/>
      <c r="C234" s="255"/>
      <c r="E234" s="255"/>
    </row>
    <row r="235">
      <c r="B235" s="255"/>
      <c r="C235" s="255"/>
      <c r="E235" s="255"/>
    </row>
    <row r="236">
      <c r="B236" s="255"/>
      <c r="C236" s="255"/>
      <c r="E236" s="255"/>
    </row>
    <row r="237">
      <c r="B237" s="255"/>
      <c r="C237" s="255"/>
      <c r="E237" s="255"/>
    </row>
    <row r="238">
      <c r="B238" s="255"/>
      <c r="C238" s="255"/>
      <c r="E238" s="255"/>
    </row>
    <row r="239">
      <c r="B239" s="255"/>
      <c r="C239" s="255"/>
      <c r="E239" s="255"/>
    </row>
    <row r="240">
      <c r="B240" s="255"/>
      <c r="C240" s="255"/>
      <c r="E240" s="255"/>
    </row>
    <row r="241">
      <c r="B241" s="255"/>
      <c r="C241" s="255"/>
      <c r="E241" s="255"/>
    </row>
    <row r="242">
      <c r="B242" s="255"/>
      <c r="C242" s="255"/>
      <c r="E242" s="255"/>
    </row>
    <row r="243">
      <c r="B243" s="255"/>
      <c r="C243" s="255"/>
      <c r="E243" s="255"/>
    </row>
    <row r="244">
      <c r="B244" s="255"/>
      <c r="C244" s="255"/>
      <c r="E244" s="255"/>
    </row>
    <row r="245">
      <c r="B245" s="255"/>
      <c r="C245" s="255"/>
      <c r="E245" s="255"/>
    </row>
    <row r="246">
      <c r="B246" s="255"/>
      <c r="C246" s="255"/>
      <c r="E246" s="255"/>
    </row>
    <row r="247">
      <c r="B247" s="255"/>
      <c r="C247" s="255"/>
      <c r="E247" s="255"/>
    </row>
    <row r="248">
      <c r="B248" s="255"/>
      <c r="C248" s="255"/>
      <c r="E248" s="255"/>
    </row>
    <row r="249">
      <c r="B249" s="255"/>
      <c r="C249" s="255"/>
      <c r="E249" s="255"/>
    </row>
    <row r="250">
      <c r="B250" s="255"/>
      <c r="C250" s="255"/>
      <c r="E250" s="255"/>
    </row>
    <row r="251">
      <c r="B251" s="255"/>
      <c r="C251" s="255"/>
      <c r="E251" s="255"/>
    </row>
    <row r="252">
      <c r="B252" s="255"/>
      <c r="C252" s="255"/>
      <c r="E252" s="255"/>
    </row>
    <row r="253">
      <c r="B253" s="255"/>
      <c r="C253" s="255"/>
      <c r="E253" s="255"/>
    </row>
    <row r="254">
      <c r="B254" s="255"/>
      <c r="C254" s="255"/>
      <c r="E254" s="255"/>
    </row>
    <row r="255">
      <c r="B255" s="255"/>
      <c r="C255" s="255"/>
      <c r="E255" s="255"/>
    </row>
    <row r="256">
      <c r="B256" s="255"/>
      <c r="C256" s="255"/>
      <c r="E256" s="255"/>
    </row>
    <row r="257">
      <c r="B257" s="255"/>
      <c r="C257" s="255"/>
      <c r="E257" s="255"/>
    </row>
    <row r="258">
      <c r="B258" s="255"/>
      <c r="C258" s="255"/>
      <c r="E258" s="255"/>
    </row>
    <row r="259">
      <c r="B259" s="255"/>
      <c r="C259" s="255"/>
      <c r="E259" s="255"/>
    </row>
    <row r="260">
      <c r="B260" s="255"/>
      <c r="C260" s="255"/>
      <c r="E260" s="255"/>
    </row>
    <row r="261">
      <c r="B261" s="255"/>
      <c r="C261" s="255"/>
      <c r="E261" s="255"/>
    </row>
    <row r="262">
      <c r="B262" s="255"/>
      <c r="C262" s="255"/>
      <c r="E262" s="255"/>
    </row>
    <row r="263">
      <c r="B263" s="255"/>
      <c r="C263" s="255"/>
      <c r="E263" s="255"/>
    </row>
    <row r="264">
      <c r="B264" s="255"/>
      <c r="C264" s="255"/>
      <c r="E264" s="255"/>
    </row>
    <row r="265">
      <c r="B265" s="255"/>
      <c r="C265" s="255"/>
      <c r="E265" s="255"/>
    </row>
    <row r="266">
      <c r="B266" s="255"/>
      <c r="C266" s="255"/>
      <c r="E266" s="255"/>
    </row>
    <row r="267">
      <c r="B267" s="255"/>
      <c r="C267" s="255"/>
      <c r="E267" s="255"/>
    </row>
    <row r="268">
      <c r="B268" s="255"/>
      <c r="C268" s="255"/>
      <c r="E268" s="255"/>
    </row>
    <row r="269">
      <c r="B269" s="255"/>
      <c r="C269" s="255"/>
      <c r="E269" s="255"/>
    </row>
    <row r="270">
      <c r="B270" s="255"/>
      <c r="C270" s="255"/>
      <c r="E270" s="255"/>
    </row>
    <row r="271">
      <c r="B271" s="255"/>
      <c r="C271" s="255"/>
      <c r="E271" s="255"/>
    </row>
    <row r="272">
      <c r="B272" s="255"/>
      <c r="C272" s="255"/>
      <c r="E272" s="255"/>
    </row>
    <row r="273">
      <c r="B273" s="255"/>
      <c r="C273" s="255"/>
      <c r="E273" s="255"/>
    </row>
    <row r="274">
      <c r="B274" s="255"/>
      <c r="C274" s="255"/>
      <c r="E274" s="255"/>
    </row>
    <row r="275">
      <c r="B275" s="255"/>
      <c r="C275" s="255"/>
      <c r="E275" s="255"/>
    </row>
    <row r="276">
      <c r="B276" s="255"/>
      <c r="C276" s="255"/>
      <c r="E276" s="255"/>
    </row>
    <row r="277">
      <c r="B277" s="255"/>
      <c r="C277" s="255"/>
      <c r="E277" s="255"/>
    </row>
    <row r="278">
      <c r="B278" s="255"/>
      <c r="C278" s="255"/>
      <c r="E278" s="255"/>
    </row>
    <row r="279">
      <c r="B279" s="255"/>
      <c r="C279" s="255"/>
      <c r="E279" s="255"/>
    </row>
    <row r="280">
      <c r="B280" s="255"/>
      <c r="C280" s="255"/>
      <c r="E280" s="255"/>
    </row>
    <row r="281">
      <c r="B281" s="255"/>
      <c r="C281" s="255"/>
      <c r="E281" s="255"/>
    </row>
    <row r="282">
      <c r="B282" s="255"/>
      <c r="C282" s="255"/>
      <c r="E282" s="255"/>
    </row>
    <row r="283">
      <c r="B283" s="255"/>
      <c r="C283" s="255"/>
      <c r="E283" s="255"/>
    </row>
    <row r="284">
      <c r="B284" s="255"/>
      <c r="C284" s="255"/>
      <c r="E284" s="255"/>
    </row>
    <row r="285">
      <c r="B285" s="255"/>
      <c r="C285" s="255"/>
      <c r="E285" s="255"/>
    </row>
    <row r="286">
      <c r="B286" s="255"/>
      <c r="C286" s="255"/>
      <c r="E286" s="255"/>
    </row>
    <row r="287">
      <c r="B287" s="255"/>
      <c r="C287" s="255"/>
      <c r="E287" s="255"/>
    </row>
    <row r="288">
      <c r="B288" s="255"/>
      <c r="C288" s="255"/>
      <c r="E288" s="255"/>
    </row>
    <row r="289">
      <c r="B289" s="255"/>
      <c r="C289" s="255"/>
      <c r="E289" s="255"/>
    </row>
    <row r="290">
      <c r="B290" s="255"/>
      <c r="C290" s="255"/>
      <c r="E290" s="255"/>
    </row>
    <row r="291">
      <c r="B291" s="255"/>
      <c r="C291" s="255"/>
      <c r="E291" s="255"/>
    </row>
    <row r="292">
      <c r="B292" s="255"/>
      <c r="C292" s="255"/>
      <c r="E292" s="255"/>
    </row>
    <row r="293">
      <c r="B293" s="255"/>
      <c r="C293" s="255"/>
      <c r="E293" s="255"/>
    </row>
    <row r="294">
      <c r="B294" s="255"/>
      <c r="C294" s="255"/>
      <c r="E294" s="255"/>
    </row>
    <row r="295">
      <c r="B295" s="255"/>
      <c r="C295" s="255"/>
      <c r="E295" s="255"/>
    </row>
    <row r="296">
      <c r="B296" s="255"/>
      <c r="C296" s="255"/>
      <c r="E296" s="255"/>
    </row>
    <row r="297">
      <c r="B297" s="255"/>
      <c r="C297" s="255"/>
      <c r="E297" s="255"/>
    </row>
    <row r="298">
      <c r="B298" s="255"/>
      <c r="C298" s="255"/>
      <c r="E298" s="255"/>
    </row>
    <row r="299">
      <c r="B299" s="255"/>
      <c r="C299" s="255"/>
      <c r="E299" s="255"/>
    </row>
    <row r="300">
      <c r="B300" s="255"/>
      <c r="C300" s="255"/>
      <c r="E300" s="255"/>
    </row>
    <row r="301">
      <c r="B301" s="255"/>
      <c r="C301" s="255"/>
      <c r="E301" s="255"/>
    </row>
    <row r="302">
      <c r="B302" s="255"/>
      <c r="C302" s="255"/>
      <c r="E302" s="255"/>
    </row>
    <row r="303">
      <c r="B303" s="255"/>
      <c r="C303" s="255"/>
      <c r="E303" s="255"/>
    </row>
    <row r="304">
      <c r="B304" s="255"/>
      <c r="C304" s="255"/>
      <c r="E304" s="255"/>
    </row>
    <row r="305">
      <c r="B305" s="255"/>
      <c r="C305" s="255"/>
      <c r="E305" s="255"/>
    </row>
    <row r="306">
      <c r="B306" s="255"/>
      <c r="C306" s="255"/>
      <c r="E306" s="255"/>
    </row>
    <row r="307">
      <c r="B307" s="255"/>
      <c r="C307" s="255"/>
      <c r="E307" s="255"/>
    </row>
    <row r="308">
      <c r="B308" s="255"/>
      <c r="C308" s="255"/>
      <c r="E308" s="255"/>
    </row>
    <row r="309">
      <c r="B309" s="255"/>
      <c r="C309" s="255"/>
      <c r="E309" s="255"/>
    </row>
    <row r="310">
      <c r="B310" s="255"/>
      <c r="C310" s="255"/>
      <c r="E310" s="255"/>
    </row>
    <row r="311">
      <c r="B311" s="255"/>
      <c r="C311" s="255"/>
      <c r="E311" s="255"/>
    </row>
    <row r="312">
      <c r="B312" s="255"/>
      <c r="C312" s="255"/>
      <c r="E312" s="255"/>
    </row>
    <row r="313">
      <c r="B313" s="255"/>
      <c r="C313" s="255"/>
      <c r="E313" s="255"/>
    </row>
    <row r="314">
      <c r="B314" s="255"/>
      <c r="C314" s="255"/>
      <c r="E314" s="255"/>
    </row>
    <row r="315">
      <c r="B315" s="255"/>
      <c r="C315" s="255"/>
      <c r="E315" s="255"/>
    </row>
    <row r="316">
      <c r="B316" s="255"/>
      <c r="C316" s="255"/>
      <c r="E316" s="255"/>
    </row>
    <row r="317">
      <c r="B317" s="255"/>
      <c r="C317" s="255"/>
      <c r="E317" s="255"/>
    </row>
    <row r="318">
      <c r="B318" s="255"/>
      <c r="C318" s="255"/>
      <c r="E318" s="255"/>
    </row>
    <row r="319">
      <c r="B319" s="255"/>
      <c r="C319" s="255"/>
      <c r="E319" s="255"/>
    </row>
    <row r="320">
      <c r="B320" s="255"/>
      <c r="C320" s="255"/>
      <c r="E320" s="255"/>
    </row>
    <row r="321">
      <c r="B321" s="255"/>
      <c r="C321" s="255"/>
      <c r="E321" s="255"/>
    </row>
    <row r="322">
      <c r="B322" s="255"/>
      <c r="C322" s="255"/>
      <c r="E322" s="255"/>
    </row>
    <row r="323">
      <c r="B323" s="255"/>
      <c r="C323" s="255"/>
      <c r="E323" s="255"/>
    </row>
    <row r="324">
      <c r="B324" s="255"/>
      <c r="C324" s="255"/>
      <c r="E324" s="255"/>
    </row>
    <row r="325">
      <c r="B325" s="255"/>
      <c r="C325" s="255"/>
      <c r="E325" s="255"/>
    </row>
    <row r="326">
      <c r="B326" s="255"/>
      <c r="C326" s="255"/>
      <c r="E326" s="255"/>
    </row>
    <row r="327">
      <c r="B327" s="255"/>
      <c r="C327" s="255"/>
      <c r="E327" s="255"/>
    </row>
    <row r="328">
      <c r="B328" s="255"/>
      <c r="C328" s="255"/>
      <c r="E328" s="255"/>
    </row>
    <row r="329">
      <c r="B329" s="255"/>
      <c r="C329" s="255"/>
      <c r="E329" s="255"/>
    </row>
    <row r="330">
      <c r="B330" s="255"/>
      <c r="C330" s="255"/>
      <c r="E330" s="255"/>
    </row>
    <row r="331">
      <c r="B331" s="255"/>
      <c r="C331" s="255"/>
      <c r="E331" s="255"/>
    </row>
    <row r="332">
      <c r="B332" s="255"/>
      <c r="C332" s="255"/>
      <c r="E332" s="255"/>
    </row>
    <row r="333">
      <c r="B333" s="255"/>
      <c r="C333" s="255"/>
      <c r="E333" s="255"/>
    </row>
    <row r="334">
      <c r="B334" s="255"/>
      <c r="C334" s="255"/>
      <c r="E334" s="255"/>
    </row>
    <row r="335">
      <c r="B335" s="255"/>
      <c r="C335" s="255"/>
      <c r="E335" s="255"/>
    </row>
    <row r="336">
      <c r="B336" s="255"/>
      <c r="C336" s="255"/>
      <c r="E336" s="255"/>
    </row>
    <row r="337">
      <c r="B337" s="255"/>
      <c r="C337" s="255"/>
      <c r="E337" s="255"/>
    </row>
    <row r="338">
      <c r="B338" s="255"/>
      <c r="C338" s="255"/>
      <c r="E338" s="255"/>
    </row>
    <row r="339">
      <c r="B339" s="255"/>
      <c r="C339" s="255"/>
      <c r="E339" s="255"/>
    </row>
    <row r="340">
      <c r="B340" s="255"/>
      <c r="C340" s="255"/>
      <c r="E340" s="255"/>
    </row>
    <row r="341">
      <c r="B341" s="255"/>
      <c r="C341" s="255"/>
      <c r="E341" s="255"/>
    </row>
    <row r="342">
      <c r="B342" s="255"/>
      <c r="C342" s="255"/>
      <c r="E342" s="255"/>
    </row>
    <row r="343">
      <c r="B343" s="255"/>
      <c r="C343" s="255"/>
      <c r="E343" s="255"/>
    </row>
    <row r="344">
      <c r="B344" s="255"/>
      <c r="C344" s="255"/>
      <c r="E344" s="255"/>
    </row>
    <row r="345">
      <c r="B345" s="255"/>
      <c r="C345" s="255"/>
      <c r="E345" s="255"/>
    </row>
    <row r="346">
      <c r="B346" s="255"/>
      <c r="C346" s="255"/>
      <c r="E346" s="255"/>
    </row>
    <row r="347">
      <c r="B347" s="255"/>
      <c r="C347" s="255"/>
      <c r="E347" s="255"/>
    </row>
    <row r="348">
      <c r="B348" s="255"/>
      <c r="C348" s="255"/>
      <c r="E348" s="255"/>
    </row>
    <row r="349">
      <c r="B349" s="255"/>
      <c r="C349" s="255"/>
      <c r="E349" s="255"/>
    </row>
    <row r="350">
      <c r="B350" s="255"/>
      <c r="C350" s="255"/>
      <c r="E350" s="255"/>
    </row>
    <row r="351">
      <c r="B351" s="255"/>
      <c r="C351" s="255"/>
      <c r="E351" s="255"/>
    </row>
    <row r="352">
      <c r="B352" s="255"/>
      <c r="C352" s="255"/>
      <c r="E352" s="255"/>
    </row>
    <row r="353">
      <c r="B353" s="255"/>
      <c r="C353" s="255"/>
      <c r="E353" s="255"/>
    </row>
    <row r="354">
      <c r="B354" s="255"/>
      <c r="C354" s="255"/>
      <c r="E354" s="255"/>
    </row>
    <row r="355">
      <c r="B355" s="255"/>
      <c r="C355" s="255"/>
      <c r="E355" s="255"/>
    </row>
    <row r="356">
      <c r="B356" s="255"/>
      <c r="C356" s="255"/>
      <c r="E356" s="255"/>
    </row>
    <row r="357">
      <c r="B357" s="255"/>
      <c r="C357" s="255"/>
      <c r="E357" s="255"/>
    </row>
    <row r="358">
      <c r="B358" s="255"/>
      <c r="C358" s="255"/>
      <c r="E358" s="255"/>
    </row>
    <row r="359">
      <c r="B359" s="255"/>
      <c r="C359" s="255"/>
      <c r="E359" s="255"/>
    </row>
    <row r="360">
      <c r="B360" s="255"/>
      <c r="C360" s="255"/>
      <c r="E360" s="255"/>
    </row>
    <row r="361">
      <c r="B361" s="255"/>
      <c r="C361" s="255"/>
      <c r="E361" s="255"/>
    </row>
    <row r="362">
      <c r="B362" s="255"/>
      <c r="C362" s="255"/>
      <c r="E362" s="255"/>
    </row>
    <row r="363">
      <c r="B363" s="255"/>
      <c r="C363" s="255"/>
      <c r="E363" s="255"/>
    </row>
    <row r="364">
      <c r="B364" s="255"/>
      <c r="C364" s="255"/>
      <c r="E364" s="255"/>
    </row>
    <row r="365">
      <c r="B365" s="255"/>
      <c r="C365" s="255"/>
      <c r="E365" s="255"/>
    </row>
    <row r="366">
      <c r="B366" s="255"/>
      <c r="C366" s="255"/>
      <c r="E366" s="255"/>
    </row>
    <row r="367">
      <c r="B367" s="255"/>
      <c r="C367" s="255"/>
      <c r="E367" s="255"/>
    </row>
    <row r="368">
      <c r="B368" s="255"/>
      <c r="C368" s="255"/>
      <c r="E368" s="255"/>
    </row>
    <row r="369">
      <c r="B369" s="255"/>
      <c r="C369" s="255"/>
      <c r="E369" s="255"/>
    </row>
    <row r="370">
      <c r="B370" s="255"/>
      <c r="C370" s="255"/>
      <c r="E370" s="255"/>
    </row>
    <row r="371">
      <c r="B371" s="255"/>
      <c r="C371" s="255"/>
      <c r="E371" s="255"/>
    </row>
    <row r="372">
      <c r="B372" s="255"/>
      <c r="C372" s="255"/>
      <c r="E372" s="255"/>
    </row>
    <row r="373">
      <c r="B373" s="255"/>
      <c r="C373" s="255"/>
      <c r="E373" s="255"/>
    </row>
    <row r="374">
      <c r="B374" s="255"/>
      <c r="C374" s="255"/>
      <c r="E374" s="255"/>
    </row>
    <row r="375">
      <c r="B375" s="255"/>
      <c r="C375" s="255"/>
      <c r="E375" s="255"/>
    </row>
    <row r="376">
      <c r="B376" s="255"/>
      <c r="C376" s="255"/>
      <c r="E376" s="255"/>
    </row>
    <row r="377">
      <c r="B377" s="255"/>
      <c r="C377" s="255"/>
      <c r="E377" s="255"/>
    </row>
    <row r="378">
      <c r="B378" s="255"/>
      <c r="C378" s="255"/>
      <c r="E378" s="255"/>
    </row>
    <row r="379">
      <c r="B379" s="255"/>
      <c r="C379" s="255"/>
      <c r="E379" s="255"/>
    </row>
    <row r="380">
      <c r="B380" s="255"/>
      <c r="C380" s="255"/>
      <c r="E380" s="255"/>
    </row>
    <row r="381">
      <c r="B381" s="255"/>
      <c r="C381" s="255"/>
      <c r="E381" s="255"/>
    </row>
    <row r="382">
      <c r="B382" s="255"/>
      <c r="C382" s="255"/>
      <c r="E382" s="255"/>
    </row>
    <row r="383">
      <c r="B383" s="255"/>
      <c r="C383" s="255"/>
      <c r="E383" s="255"/>
    </row>
    <row r="384">
      <c r="B384" s="255"/>
      <c r="C384" s="255"/>
      <c r="E384" s="255"/>
    </row>
    <row r="385">
      <c r="B385" s="255"/>
      <c r="C385" s="255"/>
      <c r="E385" s="255"/>
    </row>
    <row r="386">
      <c r="B386" s="255"/>
      <c r="C386" s="255"/>
      <c r="E386" s="255"/>
    </row>
    <row r="387">
      <c r="B387" s="255"/>
      <c r="C387" s="255"/>
      <c r="E387" s="255"/>
    </row>
    <row r="388">
      <c r="B388" s="255"/>
      <c r="C388" s="255"/>
      <c r="E388" s="255"/>
    </row>
    <row r="389">
      <c r="B389" s="255"/>
      <c r="C389" s="255"/>
      <c r="E389" s="255"/>
    </row>
    <row r="390">
      <c r="B390" s="255"/>
      <c r="C390" s="255"/>
      <c r="E390" s="255"/>
    </row>
    <row r="391">
      <c r="B391" s="255"/>
      <c r="C391" s="255"/>
      <c r="E391" s="255"/>
    </row>
    <row r="392">
      <c r="B392" s="255"/>
      <c r="C392" s="255"/>
      <c r="E392" s="255"/>
    </row>
    <row r="393">
      <c r="B393" s="255"/>
      <c r="C393" s="255"/>
      <c r="E393" s="255"/>
    </row>
    <row r="394">
      <c r="B394" s="255"/>
      <c r="C394" s="255"/>
      <c r="E394" s="255"/>
    </row>
    <row r="395">
      <c r="B395" s="255"/>
      <c r="C395" s="255"/>
      <c r="E395" s="255"/>
    </row>
    <row r="396">
      <c r="B396" s="255"/>
      <c r="C396" s="255"/>
      <c r="E396" s="255"/>
    </row>
    <row r="397">
      <c r="B397" s="255"/>
      <c r="C397" s="255"/>
      <c r="E397" s="255"/>
    </row>
    <row r="398">
      <c r="B398" s="255"/>
      <c r="C398" s="255"/>
      <c r="E398" s="255"/>
    </row>
    <row r="399">
      <c r="B399" s="255"/>
      <c r="C399" s="255"/>
      <c r="E399" s="255"/>
    </row>
    <row r="400">
      <c r="B400" s="255"/>
      <c r="C400" s="255"/>
      <c r="E400" s="255"/>
    </row>
    <row r="401">
      <c r="B401" s="255"/>
      <c r="C401" s="255"/>
      <c r="E401" s="255"/>
    </row>
    <row r="402">
      <c r="B402" s="255"/>
      <c r="C402" s="255"/>
      <c r="E402" s="255"/>
    </row>
    <row r="403">
      <c r="B403" s="255"/>
      <c r="C403" s="255"/>
      <c r="E403" s="255"/>
    </row>
    <row r="404">
      <c r="B404" s="255"/>
      <c r="C404" s="255"/>
      <c r="E404" s="255"/>
    </row>
    <row r="405">
      <c r="B405" s="255"/>
      <c r="C405" s="255"/>
      <c r="E405" s="255"/>
    </row>
    <row r="406">
      <c r="B406" s="255"/>
      <c r="C406" s="255"/>
      <c r="E406" s="255"/>
    </row>
    <row r="407">
      <c r="B407" s="255"/>
      <c r="C407" s="255"/>
      <c r="E407" s="255"/>
    </row>
    <row r="408">
      <c r="B408" s="255"/>
      <c r="C408" s="255"/>
      <c r="E408" s="255"/>
    </row>
    <row r="409">
      <c r="B409" s="255"/>
      <c r="C409" s="255"/>
      <c r="E409" s="255"/>
    </row>
    <row r="410">
      <c r="B410" s="255"/>
      <c r="C410" s="255"/>
      <c r="E410" s="255"/>
    </row>
    <row r="411">
      <c r="B411" s="255"/>
      <c r="C411" s="255"/>
      <c r="E411" s="255"/>
    </row>
    <row r="412">
      <c r="B412" s="255"/>
      <c r="C412" s="255"/>
      <c r="E412" s="255"/>
    </row>
    <row r="413">
      <c r="B413" s="255"/>
      <c r="C413" s="255"/>
      <c r="E413" s="255"/>
    </row>
    <row r="414">
      <c r="B414" s="255"/>
      <c r="C414" s="255"/>
      <c r="E414" s="255"/>
    </row>
    <row r="415">
      <c r="B415" s="255"/>
      <c r="C415" s="255"/>
      <c r="E415" s="255"/>
    </row>
    <row r="416">
      <c r="B416" s="255"/>
      <c r="C416" s="255"/>
      <c r="E416" s="255"/>
    </row>
    <row r="417">
      <c r="B417" s="255"/>
      <c r="C417" s="255"/>
      <c r="E417" s="255"/>
    </row>
    <row r="418">
      <c r="B418" s="255"/>
      <c r="C418" s="255"/>
      <c r="E418" s="255"/>
    </row>
    <row r="419">
      <c r="B419" s="255"/>
      <c r="C419" s="255"/>
      <c r="E419" s="255"/>
    </row>
    <row r="420">
      <c r="B420" s="255"/>
      <c r="C420" s="255"/>
      <c r="E420" s="255"/>
    </row>
    <row r="421">
      <c r="B421" s="255"/>
      <c r="C421" s="255"/>
      <c r="E421" s="255"/>
    </row>
    <row r="422">
      <c r="B422" s="255"/>
      <c r="C422" s="255"/>
      <c r="E422" s="255"/>
    </row>
    <row r="423">
      <c r="B423" s="255"/>
      <c r="C423" s="255"/>
      <c r="E423" s="255"/>
    </row>
    <row r="424">
      <c r="B424" s="255"/>
      <c r="C424" s="255"/>
      <c r="E424" s="255"/>
    </row>
    <row r="425">
      <c r="B425" s="255"/>
      <c r="C425" s="255"/>
      <c r="E425" s="255"/>
    </row>
    <row r="426">
      <c r="B426" s="255"/>
      <c r="C426" s="255"/>
      <c r="E426" s="255"/>
    </row>
    <row r="427">
      <c r="B427" s="255"/>
      <c r="C427" s="255"/>
      <c r="E427" s="255"/>
    </row>
    <row r="428">
      <c r="B428" s="255"/>
      <c r="C428" s="255"/>
      <c r="E428" s="255"/>
    </row>
    <row r="429">
      <c r="B429" s="255"/>
      <c r="C429" s="255"/>
      <c r="E429" s="255"/>
    </row>
    <row r="430">
      <c r="B430" s="255"/>
      <c r="C430" s="255"/>
      <c r="E430" s="255"/>
    </row>
    <row r="431">
      <c r="B431" s="255"/>
      <c r="C431" s="255"/>
      <c r="E431" s="255"/>
    </row>
    <row r="432">
      <c r="B432" s="255"/>
      <c r="C432" s="255"/>
      <c r="E432" s="255"/>
    </row>
    <row r="433">
      <c r="B433" s="255"/>
      <c r="C433" s="255"/>
      <c r="E433" s="255"/>
    </row>
    <row r="434">
      <c r="B434" s="255"/>
      <c r="C434" s="255"/>
      <c r="E434" s="255"/>
    </row>
    <row r="435">
      <c r="B435" s="255"/>
      <c r="C435" s="255"/>
      <c r="E435" s="255"/>
    </row>
    <row r="436">
      <c r="B436" s="255"/>
      <c r="C436" s="255"/>
      <c r="E436" s="255"/>
    </row>
    <row r="437">
      <c r="B437" s="255"/>
      <c r="C437" s="255"/>
      <c r="E437" s="255"/>
    </row>
    <row r="438">
      <c r="B438" s="255"/>
      <c r="C438" s="255"/>
      <c r="E438" s="255"/>
    </row>
    <row r="439">
      <c r="B439" s="255"/>
      <c r="C439" s="255"/>
      <c r="E439" s="255"/>
    </row>
    <row r="440">
      <c r="B440" s="255"/>
      <c r="C440" s="255"/>
      <c r="E440" s="255"/>
    </row>
    <row r="441">
      <c r="B441" s="255"/>
      <c r="C441" s="255"/>
      <c r="E441" s="255"/>
    </row>
    <row r="442">
      <c r="B442" s="255"/>
      <c r="C442" s="255"/>
      <c r="E442" s="255"/>
    </row>
    <row r="443">
      <c r="B443" s="255"/>
      <c r="C443" s="255"/>
      <c r="E443" s="255"/>
    </row>
    <row r="444">
      <c r="B444" s="255"/>
      <c r="C444" s="255"/>
      <c r="E444" s="255"/>
    </row>
    <row r="445">
      <c r="B445" s="255"/>
      <c r="C445" s="255"/>
      <c r="E445" s="255"/>
    </row>
    <row r="446">
      <c r="B446" s="255"/>
      <c r="C446" s="255"/>
      <c r="E446" s="255"/>
    </row>
    <row r="447">
      <c r="B447" s="255"/>
      <c r="C447" s="255"/>
      <c r="E447" s="255"/>
    </row>
    <row r="448">
      <c r="B448" s="255"/>
      <c r="C448" s="255"/>
      <c r="E448" s="255"/>
    </row>
    <row r="449">
      <c r="B449" s="255"/>
      <c r="C449" s="255"/>
      <c r="E449" s="255"/>
    </row>
    <row r="450">
      <c r="B450" s="255"/>
      <c r="C450" s="255"/>
      <c r="E450" s="255"/>
    </row>
    <row r="451">
      <c r="B451" s="255"/>
      <c r="C451" s="255"/>
      <c r="E451" s="255"/>
    </row>
    <row r="452">
      <c r="B452" s="255"/>
      <c r="C452" s="255"/>
      <c r="E452" s="255"/>
    </row>
    <row r="453">
      <c r="B453" s="255"/>
      <c r="C453" s="255"/>
      <c r="E453" s="255"/>
    </row>
    <row r="454">
      <c r="B454" s="255"/>
      <c r="C454" s="255"/>
      <c r="E454" s="255"/>
    </row>
    <row r="455">
      <c r="B455" s="255"/>
      <c r="C455" s="255"/>
      <c r="E455" s="255"/>
    </row>
    <row r="456">
      <c r="B456" s="255"/>
      <c r="C456" s="255"/>
      <c r="E456" s="255"/>
    </row>
    <row r="457">
      <c r="B457" s="255"/>
      <c r="C457" s="255"/>
      <c r="E457" s="255"/>
    </row>
    <row r="458">
      <c r="B458" s="255"/>
      <c r="C458" s="255"/>
      <c r="E458" s="255"/>
    </row>
    <row r="459">
      <c r="B459" s="255"/>
      <c r="C459" s="255"/>
      <c r="E459" s="255"/>
    </row>
    <row r="460">
      <c r="B460" s="255"/>
      <c r="C460" s="255"/>
      <c r="E460" s="255"/>
    </row>
    <row r="461">
      <c r="B461" s="255"/>
      <c r="C461" s="255"/>
      <c r="E461" s="255"/>
    </row>
    <row r="462">
      <c r="B462" s="255"/>
      <c r="C462" s="255"/>
      <c r="E462" s="255"/>
    </row>
    <row r="463">
      <c r="B463" s="255"/>
      <c r="C463" s="255"/>
      <c r="E463" s="255"/>
    </row>
    <row r="464">
      <c r="B464" s="255"/>
      <c r="C464" s="255"/>
      <c r="E464" s="255"/>
    </row>
    <row r="465">
      <c r="B465" s="255"/>
      <c r="C465" s="255"/>
      <c r="E465" s="255"/>
    </row>
    <row r="466">
      <c r="B466" s="255"/>
      <c r="C466" s="255"/>
      <c r="E466" s="255"/>
    </row>
    <row r="467">
      <c r="B467" s="255"/>
      <c r="C467" s="255"/>
      <c r="E467" s="255"/>
    </row>
    <row r="468">
      <c r="B468" s="255"/>
      <c r="C468" s="255"/>
      <c r="E468" s="255"/>
    </row>
    <row r="469">
      <c r="B469" s="255"/>
      <c r="C469" s="255"/>
      <c r="E469" s="255"/>
    </row>
    <row r="470">
      <c r="B470" s="255"/>
      <c r="C470" s="255"/>
      <c r="E470" s="255"/>
    </row>
    <row r="471">
      <c r="B471" s="255"/>
      <c r="C471" s="255"/>
      <c r="E471" s="255"/>
    </row>
    <row r="472">
      <c r="B472" s="255"/>
      <c r="C472" s="255"/>
      <c r="E472" s="255"/>
    </row>
    <row r="473">
      <c r="B473" s="255"/>
      <c r="C473" s="255"/>
      <c r="E473" s="255"/>
    </row>
    <row r="474">
      <c r="B474" s="255"/>
      <c r="C474" s="255"/>
      <c r="E474" s="255"/>
    </row>
    <row r="475">
      <c r="B475" s="255"/>
      <c r="C475" s="255"/>
      <c r="E475" s="255"/>
    </row>
    <row r="476">
      <c r="B476" s="255"/>
      <c r="C476" s="255"/>
      <c r="E476" s="255"/>
    </row>
    <row r="477">
      <c r="B477" s="255"/>
      <c r="C477" s="255"/>
      <c r="E477" s="255"/>
    </row>
    <row r="478">
      <c r="B478" s="255"/>
      <c r="C478" s="255"/>
      <c r="E478" s="255"/>
    </row>
    <row r="479">
      <c r="B479" s="255"/>
      <c r="C479" s="255"/>
      <c r="E479" s="255"/>
    </row>
    <row r="480">
      <c r="B480" s="255"/>
      <c r="C480" s="255"/>
      <c r="E480" s="255"/>
    </row>
    <row r="481">
      <c r="B481" s="255"/>
      <c r="C481" s="255"/>
      <c r="E481" s="255"/>
    </row>
    <row r="482">
      <c r="B482" s="255"/>
      <c r="C482" s="255"/>
      <c r="E482" s="255"/>
    </row>
    <row r="483">
      <c r="B483" s="255"/>
      <c r="C483" s="255"/>
      <c r="E483" s="255"/>
    </row>
    <row r="484">
      <c r="B484" s="255"/>
      <c r="C484" s="255"/>
      <c r="E484" s="255"/>
    </row>
    <row r="485">
      <c r="B485" s="255"/>
      <c r="C485" s="255"/>
      <c r="E485" s="255"/>
    </row>
    <row r="486">
      <c r="B486" s="255"/>
      <c r="C486" s="255"/>
      <c r="E486" s="255"/>
    </row>
    <row r="487">
      <c r="B487" s="255"/>
      <c r="C487" s="255"/>
      <c r="E487" s="255"/>
    </row>
    <row r="488">
      <c r="B488" s="255"/>
      <c r="C488" s="255"/>
      <c r="E488" s="255"/>
    </row>
    <row r="489">
      <c r="B489" s="255"/>
      <c r="C489" s="255"/>
      <c r="E489" s="255"/>
    </row>
    <row r="490">
      <c r="B490" s="255"/>
      <c r="C490" s="255"/>
      <c r="E490" s="255"/>
    </row>
    <row r="491">
      <c r="B491" s="255"/>
      <c r="C491" s="255"/>
      <c r="E491" s="255"/>
    </row>
    <row r="492">
      <c r="B492" s="255"/>
      <c r="C492" s="255"/>
      <c r="E492" s="255"/>
    </row>
    <row r="493">
      <c r="B493" s="255"/>
      <c r="C493" s="255"/>
      <c r="E493" s="255"/>
    </row>
    <row r="494">
      <c r="B494" s="255"/>
      <c r="C494" s="255"/>
      <c r="E494" s="255"/>
    </row>
    <row r="495">
      <c r="B495" s="255"/>
      <c r="C495" s="255"/>
      <c r="E495" s="255"/>
    </row>
    <row r="496">
      <c r="B496" s="255"/>
      <c r="C496" s="255"/>
      <c r="E496" s="255"/>
    </row>
    <row r="497">
      <c r="B497" s="255"/>
      <c r="C497" s="255"/>
      <c r="E497" s="255"/>
    </row>
    <row r="498">
      <c r="B498" s="255"/>
      <c r="C498" s="255"/>
      <c r="E498" s="255"/>
    </row>
    <row r="499">
      <c r="B499" s="255"/>
      <c r="C499" s="255"/>
      <c r="E499" s="255"/>
    </row>
    <row r="500">
      <c r="B500" s="255"/>
      <c r="C500" s="255"/>
      <c r="E500" s="255"/>
    </row>
    <row r="501">
      <c r="B501" s="255"/>
      <c r="C501" s="255"/>
      <c r="E501" s="255"/>
    </row>
    <row r="502">
      <c r="B502" s="255"/>
      <c r="C502" s="255"/>
      <c r="E502" s="255"/>
    </row>
    <row r="503">
      <c r="B503" s="255"/>
      <c r="C503" s="255"/>
      <c r="E503" s="255"/>
    </row>
    <row r="504">
      <c r="B504" s="255"/>
      <c r="C504" s="255"/>
      <c r="E504" s="255"/>
    </row>
    <row r="505">
      <c r="B505" s="255"/>
      <c r="C505" s="255"/>
      <c r="E505" s="255"/>
    </row>
    <row r="506">
      <c r="B506" s="255"/>
      <c r="C506" s="255"/>
      <c r="E506" s="255"/>
    </row>
    <row r="507">
      <c r="B507" s="255"/>
      <c r="C507" s="255"/>
      <c r="E507" s="255"/>
    </row>
    <row r="508">
      <c r="B508" s="255"/>
      <c r="C508" s="255"/>
      <c r="E508" s="255"/>
    </row>
    <row r="509">
      <c r="B509" s="255"/>
      <c r="C509" s="255"/>
      <c r="E509" s="255"/>
    </row>
    <row r="510">
      <c r="B510" s="255"/>
      <c r="C510" s="255"/>
      <c r="E510" s="255"/>
    </row>
    <row r="511">
      <c r="B511" s="255"/>
      <c r="C511" s="255"/>
      <c r="E511" s="255"/>
    </row>
    <row r="512">
      <c r="B512" s="255"/>
      <c r="C512" s="255"/>
      <c r="E512" s="255"/>
    </row>
    <row r="513">
      <c r="B513" s="255"/>
      <c r="C513" s="255"/>
      <c r="E513" s="255"/>
    </row>
    <row r="514">
      <c r="B514" s="255"/>
      <c r="C514" s="255"/>
      <c r="E514" s="255"/>
    </row>
    <row r="515">
      <c r="B515" s="255"/>
      <c r="C515" s="255"/>
      <c r="E515" s="255"/>
    </row>
    <row r="516">
      <c r="B516" s="255"/>
      <c r="C516" s="255"/>
      <c r="E516" s="255"/>
    </row>
    <row r="517">
      <c r="B517" s="255"/>
      <c r="C517" s="255"/>
      <c r="E517" s="255"/>
    </row>
    <row r="518">
      <c r="B518" s="255"/>
      <c r="C518" s="255"/>
      <c r="E518" s="255"/>
    </row>
    <row r="519">
      <c r="B519" s="255"/>
      <c r="C519" s="255"/>
      <c r="E519" s="255"/>
    </row>
    <row r="520">
      <c r="B520" s="255"/>
      <c r="C520" s="255"/>
      <c r="E520" s="255"/>
    </row>
    <row r="521">
      <c r="B521" s="255"/>
      <c r="C521" s="255"/>
      <c r="E521" s="255"/>
    </row>
    <row r="522">
      <c r="B522" s="255"/>
      <c r="C522" s="255"/>
      <c r="E522" s="255"/>
    </row>
    <row r="523">
      <c r="B523" s="255"/>
      <c r="C523" s="255"/>
      <c r="E523" s="255"/>
    </row>
    <row r="524">
      <c r="B524" s="255"/>
      <c r="C524" s="255"/>
      <c r="E524" s="255"/>
    </row>
    <row r="525">
      <c r="B525" s="255"/>
      <c r="C525" s="255"/>
      <c r="E525" s="255"/>
    </row>
    <row r="526">
      <c r="B526" s="255"/>
      <c r="C526" s="255"/>
      <c r="E526" s="255"/>
    </row>
    <row r="527">
      <c r="B527" s="255"/>
      <c r="C527" s="255"/>
      <c r="E527" s="255"/>
    </row>
    <row r="528">
      <c r="B528" s="255"/>
      <c r="C528" s="255"/>
      <c r="E528" s="255"/>
    </row>
    <row r="529">
      <c r="B529" s="255"/>
      <c r="C529" s="255"/>
      <c r="E529" s="255"/>
    </row>
    <row r="530">
      <c r="B530" s="255"/>
      <c r="C530" s="255"/>
      <c r="E530" s="255"/>
    </row>
    <row r="531">
      <c r="B531" s="255"/>
      <c r="C531" s="255"/>
      <c r="E531" s="255"/>
    </row>
    <row r="532">
      <c r="B532" s="255"/>
      <c r="C532" s="255"/>
      <c r="E532" s="255"/>
    </row>
    <row r="533">
      <c r="B533" s="255"/>
      <c r="C533" s="255"/>
      <c r="E533" s="255"/>
    </row>
    <row r="534">
      <c r="B534" s="255"/>
      <c r="C534" s="255"/>
      <c r="E534" s="255"/>
    </row>
    <row r="535">
      <c r="B535" s="255"/>
      <c r="C535" s="255"/>
      <c r="E535" s="255"/>
    </row>
    <row r="536">
      <c r="B536" s="255"/>
      <c r="C536" s="255"/>
      <c r="E536" s="255"/>
    </row>
    <row r="537">
      <c r="B537" s="255"/>
      <c r="C537" s="255"/>
      <c r="E537" s="255"/>
    </row>
    <row r="538">
      <c r="B538" s="255"/>
      <c r="C538" s="255"/>
      <c r="E538" s="255"/>
    </row>
    <row r="539">
      <c r="B539" s="255"/>
      <c r="C539" s="255"/>
      <c r="E539" s="255"/>
    </row>
    <row r="540">
      <c r="B540" s="255"/>
      <c r="C540" s="255"/>
      <c r="E540" s="255"/>
    </row>
    <row r="541">
      <c r="B541" s="255"/>
      <c r="C541" s="255"/>
      <c r="E541" s="255"/>
    </row>
    <row r="542">
      <c r="B542" s="255"/>
      <c r="C542" s="255"/>
      <c r="E542" s="255"/>
    </row>
    <row r="543">
      <c r="B543" s="255"/>
      <c r="C543" s="255"/>
      <c r="E543" s="255"/>
    </row>
    <row r="544">
      <c r="B544" s="255"/>
      <c r="C544" s="255"/>
      <c r="E544" s="255"/>
    </row>
    <row r="545">
      <c r="B545" s="255"/>
      <c r="C545" s="255"/>
      <c r="E545" s="255"/>
    </row>
    <row r="546">
      <c r="B546" s="255"/>
      <c r="C546" s="255"/>
      <c r="E546" s="255"/>
    </row>
    <row r="547">
      <c r="B547" s="255"/>
      <c r="C547" s="255"/>
      <c r="E547" s="255"/>
    </row>
    <row r="548">
      <c r="B548" s="255"/>
      <c r="C548" s="255"/>
      <c r="E548" s="255"/>
    </row>
    <row r="549">
      <c r="B549" s="255"/>
      <c r="C549" s="255"/>
      <c r="E549" s="255"/>
    </row>
    <row r="550">
      <c r="B550" s="255"/>
      <c r="C550" s="255"/>
      <c r="E550" s="255"/>
    </row>
    <row r="551">
      <c r="B551" s="255"/>
      <c r="C551" s="255"/>
      <c r="E551" s="255"/>
    </row>
    <row r="552">
      <c r="B552" s="255"/>
      <c r="C552" s="255"/>
      <c r="E552" s="255"/>
    </row>
    <row r="553">
      <c r="B553" s="255"/>
      <c r="C553" s="255"/>
      <c r="E553" s="255"/>
    </row>
    <row r="554">
      <c r="B554" s="255"/>
      <c r="C554" s="255"/>
      <c r="E554" s="255"/>
    </row>
    <row r="555">
      <c r="B555" s="255"/>
      <c r="C555" s="255"/>
      <c r="E555" s="255"/>
    </row>
    <row r="556">
      <c r="B556" s="255"/>
      <c r="C556" s="255"/>
      <c r="E556" s="255"/>
    </row>
    <row r="557">
      <c r="B557" s="255"/>
      <c r="C557" s="255"/>
      <c r="E557" s="255"/>
    </row>
    <row r="558">
      <c r="B558" s="255"/>
      <c r="C558" s="255"/>
      <c r="E558" s="255"/>
    </row>
    <row r="559">
      <c r="B559" s="255"/>
      <c r="C559" s="255"/>
      <c r="E559" s="255"/>
    </row>
    <row r="560">
      <c r="B560" s="255"/>
      <c r="C560" s="255"/>
      <c r="E560" s="255"/>
    </row>
    <row r="561">
      <c r="B561" s="255"/>
      <c r="C561" s="255"/>
      <c r="E561" s="255"/>
    </row>
    <row r="562">
      <c r="B562" s="255"/>
      <c r="C562" s="255"/>
      <c r="E562" s="255"/>
    </row>
    <row r="563">
      <c r="B563" s="255"/>
      <c r="C563" s="255"/>
      <c r="E563" s="255"/>
    </row>
    <row r="564">
      <c r="B564" s="255"/>
      <c r="C564" s="255"/>
      <c r="E564" s="255"/>
    </row>
    <row r="565">
      <c r="B565" s="255"/>
      <c r="C565" s="255"/>
      <c r="E565" s="255"/>
    </row>
    <row r="566">
      <c r="B566" s="255"/>
      <c r="C566" s="255"/>
      <c r="E566" s="255"/>
    </row>
    <row r="567">
      <c r="B567" s="255"/>
      <c r="C567" s="255"/>
      <c r="E567" s="255"/>
    </row>
    <row r="568">
      <c r="B568" s="255"/>
      <c r="C568" s="255"/>
      <c r="E568" s="255"/>
    </row>
    <row r="569">
      <c r="B569" s="255"/>
      <c r="C569" s="255"/>
      <c r="E569" s="255"/>
    </row>
    <row r="570">
      <c r="B570" s="255"/>
      <c r="C570" s="255"/>
      <c r="E570" s="255"/>
    </row>
    <row r="571">
      <c r="B571" s="255"/>
      <c r="C571" s="255"/>
      <c r="E571" s="255"/>
    </row>
    <row r="572">
      <c r="B572" s="255"/>
      <c r="C572" s="255"/>
      <c r="E572" s="255"/>
    </row>
    <row r="573">
      <c r="B573" s="255"/>
      <c r="C573" s="255"/>
      <c r="E573" s="255"/>
    </row>
    <row r="574">
      <c r="B574" s="255"/>
      <c r="C574" s="255"/>
      <c r="E574" s="255"/>
    </row>
    <row r="575">
      <c r="B575" s="255"/>
      <c r="C575" s="255"/>
      <c r="E575" s="255"/>
    </row>
    <row r="576">
      <c r="B576" s="255"/>
      <c r="C576" s="255"/>
      <c r="E576" s="255"/>
    </row>
    <row r="577">
      <c r="B577" s="255"/>
      <c r="C577" s="255"/>
      <c r="E577" s="255"/>
    </row>
    <row r="578">
      <c r="B578" s="255"/>
      <c r="C578" s="255"/>
      <c r="E578" s="255"/>
    </row>
    <row r="579">
      <c r="B579" s="255"/>
      <c r="C579" s="255"/>
      <c r="E579" s="255"/>
    </row>
    <row r="580">
      <c r="B580" s="255"/>
      <c r="C580" s="255"/>
      <c r="E580" s="255"/>
    </row>
    <row r="581">
      <c r="B581" s="255"/>
      <c r="C581" s="255"/>
      <c r="E581" s="255"/>
    </row>
    <row r="582">
      <c r="B582" s="255"/>
      <c r="C582" s="255"/>
      <c r="E582" s="255"/>
    </row>
    <row r="583">
      <c r="B583" s="255"/>
      <c r="C583" s="255"/>
      <c r="E583" s="255"/>
    </row>
    <row r="584">
      <c r="B584" s="255"/>
      <c r="C584" s="255"/>
      <c r="E584" s="255"/>
    </row>
    <row r="585">
      <c r="B585" s="255"/>
      <c r="C585" s="255"/>
      <c r="E585" s="255"/>
    </row>
    <row r="586">
      <c r="B586" s="255"/>
      <c r="C586" s="255"/>
      <c r="E586" s="255"/>
    </row>
    <row r="587">
      <c r="B587" s="255"/>
      <c r="C587" s="255"/>
      <c r="E587" s="255"/>
    </row>
    <row r="588">
      <c r="B588" s="255"/>
      <c r="C588" s="255"/>
      <c r="E588" s="255"/>
    </row>
    <row r="589">
      <c r="B589" s="255"/>
      <c r="C589" s="255"/>
      <c r="E589" s="255"/>
    </row>
    <row r="590">
      <c r="B590" s="255"/>
      <c r="C590" s="255"/>
      <c r="E590" s="255"/>
    </row>
    <row r="591">
      <c r="B591" s="255"/>
      <c r="C591" s="255"/>
      <c r="E591" s="255"/>
    </row>
    <row r="592">
      <c r="B592" s="255"/>
      <c r="C592" s="255"/>
      <c r="E592" s="255"/>
    </row>
    <row r="593">
      <c r="B593" s="255"/>
      <c r="C593" s="255"/>
      <c r="E593" s="255"/>
    </row>
    <row r="594">
      <c r="B594" s="255"/>
      <c r="C594" s="255"/>
      <c r="E594" s="255"/>
    </row>
    <row r="595">
      <c r="B595" s="255"/>
      <c r="C595" s="255"/>
      <c r="E595" s="255"/>
    </row>
    <row r="596">
      <c r="B596" s="255"/>
      <c r="C596" s="255"/>
      <c r="E596" s="255"/>
    </row>
    <row r="597">
      <c r="B597" s="255"/>
      <c r="C597" s="255"/>
      <c r="E597" s="255"/>
    </row>
    <row r="598">
      <c r="B598" s="255"/>
      <c r="C598" s="255"/>
      <c r="E598" s="255"/>
    </row>
    <row r="599">
      <c r="B599" s="255"/>
      <c r="C599" s="255"/>
      <c r="E599" s="255"/>
    </row>
    <row r="600">
      <c r="B600" s="255"/>
      <c r="C600" s="255"/>
      <c r="E600" s="255"/>
    </row>
    <row r="601">
      <c r="B601" s="255"/>
      <c r="C601" s="255"/>
      <c r="E601" s="255"/>
    </row>
    <row r="602">
      <c r="B602" s="255"/>
      <c r="C602" s="255"/>
      <c r="E602" s="255"/>
    </row>
    <row r="603">
      <c r="B603" s="255"/>
      <c r="C603" s="255"/>
      <c r="E603" s="255"/>
    </row>
    <row r="604">
      <c r="B604" s="255"/>
      <c r="C604" s="255"/>
      <c r="E604" s="255"/>
    </row>
    <row r="605">
      <c r="B605" s="255"/>
      <c r="C605" s="255"/>
      <c r="E605" s="255"/>
    </row>
    <row r="606">
      <c r="B606" s="255"/>
      <c r="C606" s="255"/>
      <c r="E606" s="255"/>
    </row>
    <row r="607">
      <c r="B607" s="255"/>
      <c r="C607" s="255"/>
      <c r="E607" s="255"/>
    </row>
    <row r="608">
      <c r="B608" s="255"/>
      <c r="C608" s="255"/>
      <c r="E608" s="255"/>
    </row>
    <row r="609">
      <c r="B609" s="255"/>
      <c r="C609" s="255"/>
      <c r="E609" s="255"/>
    </row>
    <row r="610">
      <c r="B610" s="255"/>
      <c r="C610" s="255"/>
      <c r="E610" s="255"/>
    </row>
    <row r="611">
      <c r="B611" s="255"/>
      <c r="C611" s="255"/>
      <c r="E611" s="255"/>
    </row>
    <row r="612">
      <c r="B612" s="255"/>
      <c r="C612" s="255"/>
      <c r="E612" s="255"/>
    </row>
    <row r="613">
      <c r="B613" s="255"/>
      <c r="C613" s="255"/>
      <c r="E613" s="255"/>
    </row>
    <row r="614">
      <c r="B614" s="255"/>
      <c r="C614" s="255"/>
      <c r="E614" s="255"/>
    </row>
    <row r="615">
      <c r="B615" s="255"/>
      <c r="C615" s="255"/>
      <c r="E615" s="255"/>
    </row>
    <row r="616">
      <c r="B616" s="255"/>
      <c r="C616" s="255"/>
      <c r="E616" s="255"/>
    </row>
    <row r="617">
      <c r="B617" s="255"/>
      <c r="C617" s="255"/>
      <c r="E617" s="255"/>
    </row>
    <row r="618">
      <c r="B618" s="255"/>
      <c r="C618" s="255"/>
      <c r="E618" s="255"/>
    </row>
    <row r="619">
      <c r="B619" s="255"/>
      <c r="C619" s="255"/>
      <c r="E619" s="255"/>
    </row>
    <row r="620">
      <c r="B620" s="255"/>
      <c r="C620" s="255"/>
      <c r="E620" s="255"/>
    </row>
    <row r="621">
      <c r="B621" s="255"/>
      <c r="C621" s="255"/>
      <c r="E621" s="255"/>
    </row>
    <row r="622">
      <c r="B622" s="255"/>
      <c r="C622" s="255"/>
      <c r="E622" s="255"/>
    </row>
    <row r="623">
      <c r="B623" s="255"/>
      <c r="C623" s="255"/>
      <c r="E623" s="255"/>
    </row>
    <row r="624">
      <c r="B624" s="255"/>
      <c r="C624" s="255"/>
      <c r="E624" s="255"/>
    </row>
    <row r="625">
      <c r="B625" s="255"/>
      <c r="C625" s="255"/>
      <c r="E625" s="255"/>
    </row>
    <row r="626">
      <c r="B626" s="255"/>
      <c r="C626" s="255"/>
      <c r="E626" s="255"/>
    </row>
    <row r="627">
      <c r="B627" s="255"/>
      <c r="C627" s="255"/>
      <c r="E627" s="255"/>
    </row>
    <row r="628">
      <c r="B628" s="255"/>
      <c r="C628" s="255"/>
      <c r="E628" s="255"/>
    </row>
    <row r="629">
      <c r="B629" s="255"/>
      <c r="C629" s="255"/>
      <c r="E629" s="255"/>
    </row>
    <row r="630">
      <c r="B630" s="255"/>
      <c r="C630" s="255"/>
      <c r="E630" s="255"/>
    </row>
    <row r="631">
      <c r="B631" s="255"/>
      <c r="C631" s="255"/>
      <c r="E631" s="255"/>
    </row>
    <row r="632">
      <c r="B632" s="255"/>
      <c r="C632" s="255"/>
      <c r="E632" s="255"/>
    </row>
    <row r="633">
      <c r="B633" s="255"/>
      <c r="C633" s="255"/>
      <c r="E633" s="255"/>
    </row>
    <row r="634">
      <c r="B634" s="255"/>
      <c r="C634" s="255"/>
      <c r="E634" s="255"/>
    </row>
    <row r="635">
      <c r="B635" s="255"/>
      <c r="C635" s="255"/>
      <c r="E635" s="255"/>
    </row>
    <row r="636">
      <c r="B636" s="255"/>
      <c r="C636" s="255"/>
      <c r="E636" s="255"/>
    </row>
    <row r="637">
      <c r="B637" s="255"/>
      <c r="C637" s="255"/>
      <c r="E637" s="255"/>
    </row>
    <row r="638">
      <c r="B638" s="255"/>
      <c r="C638" s="255"/>
      <c r="E638" s="255"/>
    </row>
    <row r="639">
      <c r="B639" s="255"/>
      <c r="C639" s="255"/>
      <c r="E639" s="255"/>
    </row>
    <row r="640">
      <c r="B640" s="255"/>
      <c r="C640" s="255"/>
      <c r="E640" s="255"/>
    </row>
    <row r="641">
      <c r="B641" s="255"/>
      <c r="C641" s="255"/>
      <c r="E641" s="255"/>
    </row>
    <row r="642">
      <c r="B642" s="255"/>
      <c r="C642" s="255"/>
      <c r="E642" s="255"/>
    </row>
    <row r="643">
      <c r="B643" s="255"/>
      <c r="C643" s="255"/>
      <c r="E643" s="255"/>
    </row>
    <row r="644">
      <c r="B644" s="255"/>
      <c r="C644" s="255"/>
      <c r="E644" s="255"/>
    </row>
    <row r="645">
      <c r="B645" s="255"/>
      <c r="C645" s="255"/>
      <c r="E645" s="255"/>
    </row>
    <row r="646">
      <c r="B646" s="255"/>
      <c r="C646" s="255"/>
      <c r="E646" s="255"/>
    </row>
    <row r="647">
      <c r="B647" s="255"/>
      <c r="C647" s="255"/>
      <c r="E647" s="255"/>
    </row>
    <row r="648">
      <c r="B648" s="255"/>
      <c r="C648" s="255"/>
      <c r="E648" s="255"/>
    </row>
    <row r="649">
      <c r="B649" s="255"/>
      <c r="C649" s="255"/>
      <c r="E649" s="255"/>
    </row>
    <row r="650">
      <c r="B650" s="255"/>
      <c r="C650" s="255"/>
      <c r="E650" s="255"/>
    </row>
    <row r="651">
      <c r="B651" s="255"/>
      <c r="C651" s="255"/>
      <c r="E651" s="255"/>
    </row>
    <row r="652">
      <c r="B652" s="255"/>
      <c r="C652" s="255"/>
      <c r="E652" s="255"/>
    </row>
    <row r="653">
      <c r="B653" s="255"/>
      <c r="C653" s="255"/>
      <c r="E653" s="255"/>
    </row>
    <row r="654">
      <c r="B654" s="255"/>
      <c r="C654" s="255"/>
      <c r="E654" s="255"/>
    </row>
    <row r="655">
      <c r="B655" s="255"/>
      <c r="C655" s="255"/>
      <c r="E655" s="255"/>
    </row>
    <row r="656">
      <c r="B656" s="255"/>
      <c r="C656" s="255"/>
      <c r="E656" s="255"/>
    </row>
    <row r="657">
      <c r="B657" s="255"/>
      <c r="C657" s="255"/>
      <c r="E657" s="255"/>
    </row>
    <row r="658">
      <c r="B658" s="255"/>
      <c r="C658" s="255"/>
      <c r="E658" s="255"/>
    </row>
    <row r="659">
      <c r="B659" s="255"/>
      <c r="C659" s="255"/>
      <c r="E659" s="255"/>
    </row>
    <row r="660">
      <c r="B660" s="255"/>
      <c r="C660" s="255"/>
      <c r="E660" s="255"/>
    </row>
    <row r="661">
      <c r="B661" s="255"/>
      <c r="C661" s="255"/>
      <c r="E661" s="255"/>
    </row>
    <row r="662">
      <c r="B662" s="255"/>
      <c r="C662" s="255"/>
      <c r="E662" s="255"/>
    </row>
    <row r="663">
      <c r="B663" s="255"/>
      <c r="C663" s="255"/>
      <c r="E663" s="255"/>
    </row>
    <row r="664">
      <c r="B664" s="255"/>
      <c r="C664" s="255"/>
      <c r="E664" s="255"/>
    </row>
    <row r="665">
      <c r="B665" s="255"/>
      <c r="C665" s="255"/>
      <c r="E665" s="255"/>
    </row>
    <row r="666">
      <c r="B666" s="255"/>
      <c r="C666" s="255"/>
      <c r="E666" s="255"/>
    </row>
    <row r="667">
      <c r="B667" s="255"/>
      <c r="C667" s="255"/>
      <c r="E667" s="255"/>
    </row>
    <row r="668">
      <c r="B668" s="255"/>
      <c r="C668" s="255"/>
      <c r="E668" s="255"/>
    </row>
    <row r="669">
      <c r="B669" s="255"/>
      <c r="C669" s="255"/>
      <c r="E669" s="255"/>
    </row>
    <row r="670">
      <c r="B670" s="255"/>
      <c r="C670" s="255"/>
      <c r="E670" s="255"/>
    </row>
    <row r="671">
      <c r="B671" s="255"/>
      <c r="C671" s="255"/>
      <c r="E671" s="255"/>
    </row>
    <row r="672">
      <c r="B672" s="255"/>
      <c r="C672" s="255"/>
      <c r="E672" s="255"/>
    </row>
    <row r="673">
      <c r="B673" s="255"/>
      <c r="C673" s="255"/>
      <c r="E673" s="255"/>
    </row>
    <row r="674">
      <c r="B674" s="255"/>
      <c r="C674" s="255"/>
      <c r="E674" s="255"/>
    </row>
    <row r="675">
      <c r="B675" s="255"/>
      <c r="C675" s="255"/>
      <c r="E675" s="255"/>
    </row>
    <row r="676">
      <c r="B676" s="255"/>
      <c r="C676" s="255"/>
      <c r="E676" s="255"/>
    </row>
    <row r="677">
      <c r="B677" s="255"/>
      <c r="C677" s="255"/>
      <c r="E677" s="255"/>
    </row>
    <row r="678">
      <c r="B678" s="255"/>
      <c r="C678" s="255"/>
      <c r="E678" s="255"/>
    </row>
    <row r="679">
      <c r="B679" s="255"/>
      <c r="C679" s="255"/>
      <c r="E679" s="255"/>
    </row>
    <row r="680">
      <c r="B680" s="255"/>
      <c r="C680" s="255"/>
      <c r="E680" s="255"/>
    </row>
    <row r="681">
      <c r="B681" s="255"/>
      <c r="C681" s="255"/>
      <c r="E681" s="255"/>
    </row>
    <row r="682">
      <c r="B682" s="255"/>
      <c r="C682" s="255"/>
      <c r="E682" s="255"/>
    </row>
    <row r="683">
      <c r="B683" s="255"/>
      <c r="C683" s="255"/>
      <c r="E683" s="255"/>
    </row>
    <row r="684">
      <c r="B684" s="255"/>
      <c r="C684" s="255"/>
      <c r="E684" s="255"/>
    </row>
    <row r="685">
      <c r="B685" s="255"/>
      <c r="C685" s="255"/>
      <c r="E685" s="255"/>
    </row>
    <row r="686">
      <c r="B686" s="255"/>
      <c r="C686" s="255"/>
      <c r="E686" s="255"/>
    </row>
    <row r="687">
      <c r="B687" s="255"/>
      <c r="C687" s="255"/>
      <c r="E687" s="255"/>
    </row>
    <row r="688">
      <c r="B688" s="255"/>
      <c r="C688" s="255"/>
      <c r="E688" s="255"/>
    </row>
    <row r="689">
      <c r="B689" s="255"/>
      <c r="C689" s="255"/>
      <c r="E689" s="255"/>
    </row>
    <row r="690">
      <c r="B690" s="255"/>
      <c r="C690" s="255"/>
      <c r="E690" s="255"/>
    </row>
    <row r="691">
      <c r="B691" s="255"/>
      <c r="C691" s="255"/>
      <c r="E691" s="255"/>
    </row>
    <row r="692">
      <c r="B692" s="255"/>
      <c r="C692" s="255"/>
      <c r="E692" s="255"/>
    </row>
    <row r="693">
      <c r="B693" s="255"/>
      <c r="C693" s="255"/>
      <c r="E693" s="255"/>
    </row>
    <row r="694">
      <c r="B694" s="255"/>
      <c r="C694" s="255"/>
      <c r="E694" s="255"/>
    </row>
    <row r="695">
      <c r="B695" s="255"/>
      <c r="C695" s="255"/>
      <c r="E695" s="255"/>
    </row>
    <row r="696">
      <c r="B696" s="255"/>
      <c r="C696" s="255"/>
      <c r="E696" s="255"/>
    </row>
    <row r="697">
      <c r="B697" s="255"/>
      <c r="C697" s="255"/>
      <c r="E697" s="255"/>
    </row>
    <row r="698">
      <c r="B698" s="255"/>
      <c r="C698" s="255"/>
      <c r="E698" s="255"/>
    </row>
    <row r="699">
      <c r="B699" s="255"/>
      <c r="C699" s="255"/>
      <c r="E699" s="255"/>
    </row>
    <row r="700">
      <c r="B700" s="255"/>
      <c r="C700" s="255"/>
      <c r="E700" s="255"/>
    </row>
    <row r="701">
      <c r="B701" s="255"/>
      <c r="C701" s="255"/>
      <c r="E701" s="255"/>
    </row>
    <row r="702">
      <c r="B702" s="255"/>
      <c r="C702" s="255"/>
      <c r="E702" s="255"/>
    </row>
    <row r="703">
      <c r="B703" s="255"/>
      <c r="C703" s="255"/>
      <c r="E703" s="255"/>
    </row>
    <row r="704">
      <c r="B704" s="255"/>
      <c r="C704" s="255"/>
      <c r="E704" s="255"/>
    </row>
    <row r="705">
      <c r="B705" s="255"/>
      <c r="C705" s="255"/>
      <c r="E705" s="255"/>
    </row>
    <row r="706">
      <c r="B706" s="255"/>
      <c r="C706" s="255"/>
      <c r="E706" s="255"/>
    </row>
    <row r="707">
      <c r="B707" s="255"/>
      <c r="C707" s="255"/>
      <c r="E707" s="255"/>
    </row>
    <row r="708">
      <c r="B708" s="255"/>
      <c r="C708" s="255"/>
      <c r="E708" s="255"/>
    </row>
    <row r="709">
      <c r="B709" s="255"/>
      <c r="C709" s="255"/>
      <c r="E709" s="255"/>
    </row>
    <row r="710">
      <c r="B710" s="255"/>
      <c r="C710" s="255"/>
      <c r="E710" s="255"/>
    </row>
    <row r="711">
      <c r="B711" s="255"/>
      <c r="C711" s="255"/>
      <c r="E711" s="255"/>
    </row>
    <row r="712">
      <c r="B712" s="255"/>
      <c r="C712" s="255"/>
      <c r="E712" s="255"/>
    </row>
    <row r="713">
      <c r="B713" s="255"/>
      <c r="C713" s="255"/>
      <c r="E713" s="255"/>
    </row>
    <row r="714">
      <c r="B714" s="255"/>
      <c r="C714" s="255"/>
      <c r="E714" s="255"/>
    </row>
    <row r="715">
      <c r="B715" s="255"/>
      <c r="C715" s="255"/>
      <c r="E715" s="255"/>
    </row>
    <row r="716">
      <c r="B716" s="255"/>
      <c r="C716" s="255"/>
      <c r="E716" s="255"/>
    </row>
    <row r="717">
      <c r="B717" s="255"/>
      <c r="C717" s="255"/>
      <c r="E717" s="255"/>
    </row>
    <row r="718">
      <c r="B718" s="255"/>
      <c r="C718" s="255"/>
      <c r="E718" s="255"/>
    </row>
    <row r="719">
      <c r="B719" s="255"/>
      <c r="C719" s="255"/>
      <c r="E719" s="255"/>
    </row>
    <row r="720">
      <c r="B720" s="255"/>
      <c r="C720" s="255"/>
      <c r="E720" s="255"/>
    </row>
    <row r="721">
      <c r="B721" s="255"/>
      <c r="C721" s="255"/>
      <c r="E721" s="255"/>
    </row>
    <row r="722">
      <c r="B722" s="255"/>
      <c r="C722" s="255"/>
      <c r="E722" s="255"/>
    </row>
    <row r="723">
      <c r="B723" s="255"/>
      <c r="C723" s="255"/>
      <c r="E723" s="255"/>
    </row>
    <row r="724">
      <c r="B724" s="255"/>
      <c r="C724" s="255"/>
      <c r="E724" s="255"/>
    </row>
    <row r="725">
      <c r="B725" s="255"/>
      <c r="C725" s="255"/>
      <c r="E725" s="255"/>
    </row>
    <row r="726">
      <c r="B726" s="255"/>
      <c r="C726" s="255"/>
      <c r="E726" s="255"/>
    </row>
    <row r="727">
      <c r="B727" s="255"/>
      <c r="C727" s="255"/>
      <c r="E727" s="255"/>
    </row>
    <row r="728">
      <c r="B728" s="255"/>
      <c r="C728" s="255"/>
      <c r="E728" s="255"/>
    </row>
    <row r="729">
      <c r="B729" s="255"/>
      <c r="C729" s="255"/>
      <c r="E729" s="255"/>
    </row>
    <row r="730">
      <c r="B730" s="255"/>
      <c r="C730" s="255"/>
      <c r="E730" s="255"/>
    </row>
    <row r="731">
      <c r="B731" s="255"/>
      <c r="C731" s="255"/>
      <c r="E731" s="255"/>
    </row>
    <row r="732">
      <c r="B732" s="255"/>
      <c r="C732" s="255"/>
      <c r="E732" s="255"/>
    </row>
    <row r="733">
      <c r="B733" s="255"/>
      <c r="C733" s="255"/>
      <c r="E733" s="255"/>
    </row>
    <row r="734">
      <c r="B734" s="255"/>
      <c r="C734" s="255"/>
      <c r="E734" s="255"/>
    </row>
    <row r="735">
      <c r="B735" s="255"/>
      <c r="C735" s="255"/>
      <c r="E735" s="255"/>
    </row>
    <row r="736">
      <c r="B736" s="255"/>
      <c r="C736" s="255"/>
      <c r="E736" s="255"/>
    </row>
    <row r="737">
      <c r="B737" s="255"/>
      <c r="C737" s="255"/>
      <c r="E737" s="255"/>
    </row>
    <row r="738">
      <c r="B738" s="255"/>
      <c r="C738" s="255"/>
      <c r="E738" s="255"/>
    </row>
    <row r="739">
      <c r="B739" s="255"/>
      <c r="C739" s="255"/>
      <c r="E739" s="255"/>
    </row>
    <row r="740">
      <c r="B740" s="255"/>
      <c r="C740" s="255"/>
      <c r="E740" s="255"/>
    </row>
    <row r="741">
      <c r="B741" s="255"/>
      <c r="C741" s="255"/>
      <c r="E741" s="255"/>
    </row>
    <row r="742">
      <c r="B742" s="255"/>
      <c r="C742" s="255"/>
      <c r="E742" s="255"/>
    </row>
    <row r="743">
      <c r="B743" s="255"/>
      <c r="C743" s="255"/>
      <c r="E743" s="255"/>
    </row>
    <row r="744">
      <c r="B744" s="255"/>
      <c r="C744" s="255"/>
      <c r="E744" s="255"/>
    </row>
    <row r="745">
      <c r="B745" s="255"/>
      <c r="C745" s="255"/>
      <c r="E745" s="255"/>
    </row>
    <row r="746">
      <c r="B746" s="255"/>
      <c r="C746" s="255"/>
      <c r="E746" s="255"/>
    </row>
    <row r="747">
      <c r="B747" s="255"/>
      <c r="C747" s="255"/>
      <c r="E747" s="255"/>
    </row>
    <row r="748">
      <c r="B748" s="255"/>
      <c r="C748" s="255"/>
      <c r="E748" s="255"/>
    </row>
    <row r="749">
      <c r="B749" s="255"/>
      <c r="C749" s="255"/>
      <c r="E749" s="255"/>
    </row>
    <row r="750">
      <c r="B750" s="255"/>
      <c r="C750" s="255"/>
      <c r="E750" s="255"/>
    </row>
    <row r="751">
      <c r="B751" s="255"/>
      <c r="C751" s="255"/>
      <c r="E751" s="255"/>
    </row>
    <row r="752">
      <c r="B752" s="255"/>
      <c r="C752" s="255"/>
      <c r="E752" s="255"/>
    </row>
    <row r="753">
      <c r="B753" s="255"/>
      <c r="C753" s="255"/>
      <c r="E753" s="255"/>
    </row>
    <row r="754">
      <c r="B754" s="255"/>
      <c r="C754" s="255"/>
      <c r="E754" s="255"/>
    </row>
    <row r="755">
      <c r="B755" s="255"/>
      <c r="C755" s="255"/>
      <c r="E755" s="255"/>
    </row>
    <row r="756">
      <c r="B756" s="255"/>
      <c r="C756" s="255"/>
      <c r="E756" s="255"/>
    </row>
    <row r="757">
      <c r="B757" s="255"/>
      <c r="C757" s="255"/>
      <c r="E757" s="255"/>
    </row>
    <row r="758">
      <c r="B758" s="255"/>
      <c r="C758" s="255"/>
      <c r="E758" s="255"/>
    </row>
    <row r="759">
      <c r="B759" s="255"/>
      <c r="C759" s="255"/>
      <c r="E759" s="255"/>
    </row>
    <row r="760">
      <c r="B760" s="255"/>
      <c r="C760" s="255"/>
      <c r="E760" s="255"/>
    </row>
    <row r="761">
      <c r="B761" s="255"/>
      <c r="C761" s="255"/>
      <c r="E761" s="255"/>
    </row>
    <row r="762">
      <c r="B762" s="255"/>
      <c r="C762" s="255"/>
      <c r="E762" s="255"/>
    </row>
    <row r="763">
      <c r="B763" s="255"/>
      <c r="C763" s="255"/>
      <c r="E763" s="255"/>
    </row>
    <row r="764">
      <c r="B764" s="255"/>
      <c r="C764" s="255"/>
      <c r="E764" s="255"/>
    </row>
    <row r="765">
      <c r="B765" s="255"/>
      <c r="C765" s="255"/>
      <c r="E765" s="255"/>
    </row>
    <row r="766">
      <c r="B766" s="255"/>
      <c r="C766" s="255"/>
      <c r="E766" s="255"/>
    </row>
    <row r="767">
      <c r="B767" s="255"/>
      <c r="C767" s="255"/>
      <c r="E767" s="255"/>
    </row>
    <row r="768">
      <c r="B768" s="255"/>
      <c r="C768" s="255"/>
      <c r="E768" s="255"/>
    </row>
    <row r="769">
      <c r="B769" s="255"/>
      <c r="C769" s="255"/>
      <c r="E769" s="255"/>
    </row>
    <row r="770">
      <c r="B770" s="255"/>
      <c r="C770" s="255"/>
      <c r="E770" s="255"/>
    </row>
    <row r="771">
      <c r="B771" s="255"/>
      <c r="C771" s="255"/>
      <c r="E771" s="255"/>
    </row>
    <row r="772">
      <c r="B772" s="255"/>
      <c r="C772" s="255"/>
      <c r="E772" s="255"/>
    </row>
    <row r="773">
      <c r="B773" s="255"/>
      <c r="C773" s="255"/>
      <c r="E773" s="255"/>
    </row>
    <row r="774">
      <c r="B774" s="255"/>
      <c r="C774" s="255"/>
      <c r="E774" s="255"/>
    </row>
    <row r="775">
      <c r="B775" s="255"/>
      <c r="C775" s="255"/>
      <c r="E775" s="255"/>
    </row>
    <row r="776">
      <c r="B776" s="255"/>
      <c r="C776" s="255"/>
      <c r="E776" s="255"/>
    </row>
    <row r="777">
      <c r="B777" s="255"/>
      <c r="C777" s="255"/>
      <c r="E777" s="255"/>
    </row>
    <row r="778">
      <c r="B778" s="255"/>
      <c r="C778" s="255"/>
      <c r="E778" s="255"/>
    </row>
    <row r="779">
      <c r="B779" s="255"/>
      <c r="C779" s="255"/>
      <c r="E779" s="255"/>
    </row>
    <row r="780">
      <c r="B780" s="255"/>
      <c r="C780" s="255"/>
      <c r="E780" s="255"/>
    </row>
    <row r="781">
      <c r="B781" s="255"/>
      <c r="C781" s="255"/>
      <c r="E781" s="255"/>
    </row>
    <row r="782">
      <c r="B782" s="255"/>
      <c r="C782" s="255"/>
      <c r="E782" s="255"/>
    </row>
    <row r="783">
      <c r="B783" s="255"/>
      <c r="C783" s="255"/>
      <c r="E783" s="255"/>
    </row>
    <row r="784">
      <c r="B784" s="255"/>
      <c r="C784" s="255"/>
      <c r="E784" s="255"/>
    </row>
    <row r="785">
      <c r="B785" s="255"/>
      <c r="C785" s="255"/>
      <c r="E785" s="255"/>
    </row>
    <row r="786">
      <c r="B786" s="255"/>
      <c r="C786" s="255"/>
      <c r="E786" s="255"/>
    </row>
    <row r="787">
      <c r="B787" s="255"/>
      <c r="C787" s="255"/>
      <c r="E787" s="255"/>
    </row>
    <row r="788">
      <c r="B788" s="255"/>
      <c r="C788" s="255"/>
      <c r="E788" s="255"/>
    </row>
    <row r="789">
      <c r="B789" s="255"/>
      <c r="C789" s="255"/>
      <c r="E789" s="255"/>
    </row>
    <row r="790">
      <c r="B790" s="255"/>
      <c r="C790" s="255"/>
      <c r="E790" s="255"/>
    </row>
    <row r="791">
      <c r="B791" s="255"/>
      <c r="C791" s="255"/>
      <c r="E791" s="255"/>
    </row>
    <row r="792">
      <c r="B792" s="255"/>
      <c r="C792" s="255"/>
      <c r="E792" s="255"/>
    </row>
    <row r="793">
      <c r="B793" s="255"/>
      <c r="C793" s="255"/>
      <c r="E793" s="255"/>
    </row>
    <row r="794">
      <c r="B794" s="255"/>
      <c r="C794" s="255"/>
      <c r="E794" s="255"/>
    </row>
    <row r="795">
      <c r="B795" s="255"/>
      <c r="C795" s="255"/>
      <c r="E795" s="255"/>
    </row>
    <row r="796">
      <c r="B796" s="255"/>
      <c r="C796" s="255"/>
      <c r="E796" s="255"/>
    </row>
    <row r="797">
      <c r="B797" s="255"/>
      <c r="C797" s="255"/>
      <c r="E797" s="255"/>
    </row>
    <row r="798">
      <c r="B798" s="255"/>
      <c r="C798" s="255"/>
      <c r="E798" s="255"/>
    </row>
    <row r="799">
      <c r="B799" s="255"/>
      <c r="C799" s="255"/>
      <c r="E799" s="255"/>
    </row>
    <row r="800">
      <c r="B800" s="255"/>
      <c r="C800" s="255"/>
      <c r="E800" s="255"/>
    </row>
    <row r="801">
      <c r="B801" s="255"/>
      <c r="C801" s="255"/>
      <c r="E801" s="255"/>
    </row>
    <row r="802">
      <c r="B802" s="255"/>
      <c r="C802" s="255"/>
      <c r="E802" s="255"/>
    </row>
    <row r="803">
      <c r="B803" s="255"/>
      <c r="C803" s="255"/>
      <c r="E803" s="255"/>
    </row>
    <row r="804">
      <c r="B804" s="255"/>
      <c r="C804" s="255"/>
      <c r="E804" s="255"/>
    </row>
    <row r="805">
      <c r="B805" s="255"/>
      <c r="C805" s="255"/>
      <c r="E805" s="255"/>
    </row>
    <row r="806">
      <c r="B806" s="255"/>
      <c r="C806" s="255"/>
      <c r="E806" s="255"/>
    </row>
    <row r="807">
      <c r="B807" s="255"/>
      <c r="C807" s="255"/>
      <c r="E807" s="255"/>
    </row>
    <row r="808">
      <c r="B808" s="255"/>
      <c r="C808" s="255"/>
      <c r="E808" s="255"/>
    </row>
    <row r="809">
      <c r="B809" s="255"/>
      <c r="C809" s="255"/>
      <c r="E809" s="255"/>
    </row>
    <row r="810">
      <c r="B810" s="255"/>
      <c r="C810" s="255"/>
      <c r="E810" s="255"/>
    </row>
    <row r="811">
      <c r="B811" s="255"/>
      <c r="C811" s="255"/>
      <c r="E811" s="255"/>
    </row>
    <row r="812">
      <c r="B812" s="255"/>
      <c r="C812" s="255"/>
      <c r="E812" s="255"/>
    </row>
    <row r="813">
      <c r="B813" s="255"/>
      <c r="C813" s="255"/>
      <c r="E813" s="255"/>
    </row>
    <row r="814">
      <c r="B814" s="255"/>
      <c r="C814" s="255"/>
      <c r="E814" s="255"/>
    </row>
    <row r="815">
      <c r="B815" s="255"/>
      <c r="C815" s="255"/>
      <c r="E815" s="255"/>
    </row>
    <row r="816">
      <c r="B816" s="255"/>
      <c r="C816" s="255"/>
      <c r="E816" s="255"/>
    </row>
    <row r="817">
      <c r="B817" s="255"/>
      <c r="C817" s="255"/>
      <c r="E817" s="255"/>
    </row>
    <row r="818">
      <c r="B818" s="255"/>
      <c r="C818" s="255"/>
      <c r="E818" s="255"/>
    </row>
    <row r="819">
      <c r="B819" s="255"/>
      <c r="C819" s="255"/>
      <c r="E819" s="255"/>
    </row>
    <row r="820">
      <c r="B820" s="255"/>
      <c r="C820" s="255"/>
      <c r="E820" s="255"/>
    </row>
    <row r="821">
      <c r="B821" s="255"/>
      <c r="C821" s="255"/>
      <c r="E821" s="255"/>
    </row>
    <row r="822">
      <c r="B822" s="255"/>
      <c r="C822" s="255"/>
      <c r="E822" s="255"/>
    </row>
    <row r="823">
      <c r="B823" s="255"/>
      <c r="C823" s="255"/>
      <c r="E823" s="255"/>
    </row>
    <row r="824">
      <c r="B824" s="255"/>
      <c r="C824" s="255"/>
      <c r="E824" s="255"/>
    </row>
    <row r="825">
      <c r="B825" s="255"/>
      <c r="C825" s="255"/>
      <c r="E825" s="255"/>
    </row>
    <row r="826">
      <c r="B826" s="255"/>
      <c r="C826" s="255"/>
      <c r="E826" s="255"/>
    </row>
    <row r="827">
      <c r="B827" s="255"/>
      <c r="C827" s="255"/>
      <c r="E827" s="255"/>
    </row>
    <row r="828">
      <c r="B828" s="255"/>
      <c r="C828" s="255"/>
      <c r="E828" s="255"/>
    </row>
    <row r="829">
      <c r="B829" s="255"/>
      <c r="C829" s="255"/>
      <c r="E829" s="255"/>
    </row>
    <row r="830">
      <c r="B830" s="255"/>
      <c r="C830" s="255"/>
      <c r="E830" s="255"/>
    </row>
    <row r="831">
      <c r="B831" s="255"/>
      <c r="C831" s="255"/>
      <c r="E831" s="255"/>
    </row>
    <row r="832">
      <c r="B832" s="255"/>
      <c r="C832" s="255"/>
      <c r="E832" s="255"/>
    </row>
    <row r="833">
      <c r="B833" s="255"/>
      <c r="C833" s="255"/>
      <c r="E833" s="255"/>
    </row>
    <row r="834">
      <c r="B834" s="255"/>
      <c r="C834" s="255"/>
      <c r="E834" s="255"/>
    </row>
    <row r="835">
      <c r="B835" s="255"/>
      <c r="C835" s="255"/>
      <c r="E835" s="255"/>
    </row>
    <row r="836">
      <c r="B836" s="255"/>
      <c r="C836" s="255"/>
      <c r="E836" s="255"/>
    </row>
    <row r="837">
      <c r="B837" s="255"/>
      <c r="C837" s="255"/>
      <c r="E837" s="255"/>
    </row>
    <row r="838">
      <c r="B838" s="255"/>
      <c r="C838" s="255"/>
      <c r="E838" s="255"/>
    </row>
    <row r="839">
      <c r="B839" s="255"/>
      <c r="C839" s="255"/>
      <c r="E839" s="255"/>
    </row>
    <row r="840">
      <c r="B840" s="255"/>
      <c r="C840" s="255"/>
      <c r="E840" s="255"/>
    </row>
    <row r="841">
      <c r="B841" s="255"/>
      <c r="C841" s="255"/>
      <c r="E841" s="255"/>
    </row>
    <row r="842">
      <c r="B842" s="255"/>
      <c r="C842" s="255"/>
      <c r="E842" s="255"/>
    </row>
    <row r="843">
      <c r="B843" s="255"/>
      <c r="C843" s="255"/>
      <c r="E843" s="255"/>
    </row>
    <row r="844">
      <c r="B844" s="255"/>
      <c r="C844" s="255"/>
      <c r="E844" s="255"/>
    </row>
    <row r="845">
      <c r="B845" s="255"/>
      <c r="C845" s="255"/>
      <c r="E845" s="255"/>
    </row>
    <row r="846">
      <c r="B846" s="255"/>
      <c r="C846" s="255"/>
      <c r="E846" s="255"/>
    </row>
    <row r="847">
      <c r="B847" s="255"/>
      <c r="C847" s="255"/>
      <c r="E847" s="255"/>
    </row>
    <row r="848">
      <c r="B848" s="255"/>
      <c r="C848" s="255"/>
      <c r="E848" s="255"/>
    </row>
    <row r="849">
      <c r="B849" s="255"/>
      <c r="C849" s="255"/>
      <c r="E849" s="255"/>
    </row>
    <row r="850">
      <c r="B850" s="255"/>
      <c r="C850" s="255"/>
      <c r="E850" s="255"/>
    </row>
    <row r="851">
      <c r="B851" s="255"/>
      <c r="C851" s="255"/>
      <c r="E851" s="255"/>
    </row>
    <row r="852">
      <c r="B852" s="255"/>
      <c r="C852" s="255"/>
      <c r="E852" s="255"/>
    </row>
    <row r="853">
      <c r="B853" s="255"/>
      <c r="C853" s="255"/>
      <c r="E853" s="255"/>
    </row>
    <row r="854">
      <c r="B854" s="255"/>
      <c r="C854" s="255"/>
      <c r="E854" s="255"/>
    </row>
    <row r="855">
      <c r="B855" s="255"/>
      <c r="C855" s="255"/>
      <c r="E855" s="255"/>
    </row>
    <row r="856">
      <c r="B856" s="255"/>
      <c r="C856" s="255"/>
      <c r="E856" s="255"/>
    </row>
    <row r="857">
      <c r="B857" s="255"/>
      <c r="C857" s="255"/>
      <c r="E857" s="255"/>
    </row>
    <row r="858">
      <c r="B858" s="255"/>
      <c r="C858" s="255"/>
      <c r="E858" s="255"/>
    </row>
    <row r="859">
      <c r="B859" s="255"/>
      <c r="C859" s="255"/>
      <c r="E859" s="255"/>
    </row>
    <row r="860">
      <c r="B860" s="255"/>
      <c r="C860" s="255"/>
      <c r="E860" s="255"/>
    </row>
    <row r="861">
      <c r="B861" s="255"/>
      <c r="C861" s="255"/>
      <c r="E861" s="255"/>
    </row>
    <row r="862">
      <c r="B862" s="255"/>
      <c r="C862" s="255"/>
      <c r="E862" s="255"/>
    </row>
    <row r="863">
      <c r="B863" s="255"/>
      <c r="C863" s="255"/>
      <c r="E863" s="255"/>
    </row>
    <row r="864">
      <c r="B864" s="255"/>
      <c r="C864" s="255"/>
      <c r="E864" s="255"/>
    </row>
    <row r="865">
      <c r="B865" s="255"/>
      <c r="C865" s="255"/>
      <c r="E865" s="255"/>
    </row>
    <row r="866">
      <c r="B866" s="255"/>
      <c r="C866" s="255"/>
      <c r="E866" s="255"/>
    </row>
    <row r="867">
      <c r="B867" s="255"/>
      <c r="C867" s="255"/>
      <c r="E867" s="255"/>
    </row>
    <row r="868">
      <c r="B868" s="255"/>
      <c r="C868" s="255"/>
      <c r="E868" s="255"/>
    </row>
    <row r="869">
      <c r="B869" s="255"/>
      <c r="C869" s="255"/>
      <c r="E869" s="255"/>
    </row>
    <row r="870">
      <c r="B870" s="255"/>
      <c r="C870" s="255"/>
      <c r="E870" s="255"/>
    </row>
    <row r="871">
      <c r="B871" s="255"/>
      <c r="C871" s="255"/>
      <c r="E871" s="255"/>
    </row>
    <row r="872">
      <c r="B872" s="255"/>
      <c r="C872" s="255"/>
      <c r="E872" s="255"/>
    </row>
    <row r="873">
      <c r="B873" s="255"/>
      <c r="C873" s="255"/>
      <c r="E873" s="255"/>
    </row>
    <row r="874">
      <c r="B874" s="255"/>
      <c r="C874" s="255"/>
      <c r="E874" s="255"/>
    </row>
    <row r="875">
      <c r="B875" s="255"/>
      <c r="C875" s="255"/>
      <c r="E875" s="255"/>
    </row>
    <row r="876">
      <c r="B876" s="255"/>
      <c r="C876" s="255"/>
      <c r="E876" s="255"/>
    </row>
    <row r="877">
      <c r="B877" s="255"/>
      <c r="C877" s="255"/>
      <c r="E877" s="255"/>
    </row>
    <row r="878">
      <c r="B878" s="255"/>
      <c r="C878" s="255"/>
      <c r="E878" s="255"/>
    </row>
    <row r="879">
      <c r="B879" s="255"/>
      <c r="C879" s="255"/>
      <c r="E879" s="255"/>
    </row>
    <row r="880">
      <c r="B880" s="255"/>
      <c r="C880" s="255"/>
      <c r="E880" s="255"/>
    </row>
    <row r="881">
      <c r="B881" s="255"/>
      <c r="C881" s="255"/>
      <c r="E881" s="255"/>
    </row>
    <row r="882">
      <c r="B882" s="255"/>
      <c r="C882" s="255"/>
      <c r="E882" s="255"/>
    </row>
    <row r="883">
      <c r="B883" s="255"/>
      <c r="C883" s="255"/>
      <c r="E883" s="255"/>
    </row>
    <row r="884">
      <c r="B884" s="255"/>
      <c r="C884" s="255"/>
      <c r="E884" s="255"/>
    </row>
    <row r="885">
      <c r="B885" s="255"/>
      <c r="C885" s="255"/>
      <c r="E885" s="255"/>
    </row>
    <row r="886">
      <c r="B886" s="255"/>
      <c r="C886" s="255"/>
      <c r="E886" s="255"/>
    </row>
    <row r="887">
      <c r="B887" s="255"/>
      <c r="C887" s="255"/>
      <c r="E887" s="255"/>
    </row>
    <row r="888">
      <c r="B888" s="255"/>
      <c r="C888" s="255"/>
      <c r="E888" s="255"/>
    </row>
    <row r="889">
      <c r="B889" s="255"/>
      <c r="C889" s="255"/>
      <c r="E889" s="255"/>
    </row>
    <row r="890">
      <c r="B890" s="255"/>
      <c r="C890" s="255"/>
      <c r="E890" s="255"/>
    </row>
    <row r="891">
      <c r="B891" s="255"/>
      <c r="C891" s="255"/>
      <c r="E891" s="255"/>
    </row>
    <row r="892">
      <c r="B892" s="255"/>
      <c r="C892" s="255"/>
      <c r="E892" s="255"/>
    </row>
    <row r="893">
      <c r="B893" s="255"/>
      <c r="C893" s="255"/>
      <c r="E893" s="255"/>
    </row>
    <row r="894">
      <c r="B894" s="255"/>
      <c r="C894" s="255"/>
      <c r="E894" s="255"/>
    </row>
    <row r="895">
      <c r="B895" s="255"/>
      <c r="C895" s="255"/>
      <c r="E895" s="255"/>
    </row>
    <row r="896">
      <c r="B896" s="255"/>
      <c r="C896" s="255"/>
      <c r="E896" s="255"/>
    </row>
    <row r="897">
      <c r="B897" s="255"/>
      <c r="C897" s="255"/>
      <c r="E897" s="255"/>
    </row>
    <row r="898">
      <c r="B898" s="255"/>
      <c r="C898" s="255"/>
      <c r="E898" s="255"/>
    </row>
    <row r="899">
      <c r="B899" s="255"/>
      <c r="C899" s="255"/>
      <c r="E899" s="255"/>
    </row>
    <row r="900">
      <c r="B900" s="255"/>
      <c r="C900" s="255"/>
      <c r="E900" s="255"/>
    </row>
    <row r="901">
      <c r="B901" s="255"/>
      <c r="C901" s="255"/>
      <c r="E901" s="255"/>
    </row>
    <row r="902">
      <c r="B902" s="255"/>
      <c r="C902" s="255"/>
      <c r="E902" s="255"/>
    </row>
    <row r="903">
      <c r="B903" s="255"/>
      <c r="C903" s="255"/>
      <c r="E903" s="255"/>
    </row>
    <row r="904">
      <c r="B904" s="255"/>
      <c r="C904" s="255"/>
      <c r="E904" s="255"/>
    </row>
    <row r="905">
      <c r="B905" s="255"/>
      <c r="C905" s="255"/>
      <c r="E905" s="255"/>
    </row>
    <row r="906">
      <c r="B906" s="255"/>
      <c r="C906" s="255"/>
      <c r="E906" s="255"/>
    </row>
    <row r="907">
      <c r="B907" s="255"/>
      <c r="C907" s="255"/>
      <c r="E907" s="255"/>
    </row>
    <row r="908">
      <c r="B908" s="255"/>
      <c r="C908" s="255"/>
      <c r="E908" s="255"/>
    </row>
    <row r="909">
      <c r="B909" s="255"/>
      <c r="C909" s="255"/>
      <c r="E909" s="255"/>
    </row>
    <row r="910">
      <c r="B910" s="255"/>
      <c r="C910" s="255"/>
      <c r="E910" s="255"/>
    </row>
    <row r="911">
      <c r="B911" s="255"/>
      <c r="C911" s="255"/>
      <c r="E911" s="255"/>
    </row>
    <row r="912">
      <c r="B912" s="255"/>
      <c r="C912" s="255"/>
      <c r="E912" s="255"/>
    </row>
    <row r="913">
      <c r="B913" s="255"/>
      <c r="C913" s="255"/>
      <c r="E913" s="255"/>
    </row>
    <row r="914">
      <c r="B914" s="255"/>
      <c r="C914" s="255"/>
      <c r="E914" s="255"/>
    </row>
    <row r="915">
      <c r="B915" s="255"/>
      <c r="C915" s="255"/>
      <c r="E915" s="255"/>
    </row>
    <row r="916">
      <c r="B916" s="255"/>
      <c r="C916" s="255"/>
      <c r="E916" s="255"/>
    </row>
    <row r="917">
      <c r="B917" s="255"/>
      <c r="C917" s="255"/>
      <c r="E917" s="255"/>
    </row>
    <row r="918">
      <c r="B918" s="255"/>
      <c r="C918" s="255"/>
      <c r="E918" s="255"/>
    </row>
    <row r="919">
      <c r="B919" s="255"/>
      <c r="C919" s="255"/>
      <c r="E919" s="255"/>
    </row>
    <row r="920">
      <c r="B920" s="255"/>
      <c r="C920" s="255"/>
      <c r="E920" s="255"/>
    </row>
    <row r="921">
      <c r="B921" s="255"/>
      <c r="C921" s="255"/>
      <c r="E921" s="255"/>
    </row>
    <row r="922">
      <c r="B922" s="255"/>
      <c r="C922" s="255"/>
      <c r="E922" s="255"/>
    </row>
    <row r="923">
      <c r="B923" s="255"/>
      <c r="C923" s="255"/>
      <c r="E923" s="255"/>
    </row>
    <row r="924">
      <c r="B924" s="255"/>
      <c r="C924" s="255"/>
      <c r="E924" s="255"/>
    </row>
    <row r="925">
      <c r="B925" s="255"/>
      <c r="C925" s="255"/>
      <c r="E925" s="255"/>
    </row>
    <row r="926">
      <c r="B926" s="255"/>
      <c r="C926" s="255"/>
      <c r="E926" s="255"/>
    </row>
    <row r="927">
      <c r="B927" s="255"/>
      <c r="C927" s="255"/>
      <c r="E927" s="255"/>
    </row>
    <row r="928">
      <c r="B928" s="255"/>
      <c r="C928" s="255"/>
      <c r="E928" s="255"/>
    </row>
    <row r="929">
      <c r="B929" s="255"/>
      <c r="C929" s="255"/>
      <c r="E929" s="255"/>
    </row>
    <row r="930">
      <c r="B930" s="255"/>
      <c r="C930" s="255"/>
      <c r="E930" s="255"/>
    </row>
    <row r="931">
      <c r="B931" s="255"/>
      <c r="C931" s="255"/>
      <c r="E931" s="255"/>
    </row>
    <row r="932">
      <c r="B932" s="255"/>
      <c r="C932" s="255"/>
      <c r="E932" s="255"/>
    </row>
    <row r="933">
      <c r="B933" s="255"/>
      <c r="C933" s="255"/>
      <c r="E933" s="255"/>
    </row>
    <row r="934">
      <c r="B934" s="255"/>
      <c r="C934" s="255"/>
      <c r="E934" s="255"/>
    </row>
    <row r="935">
      <c r="B935" s="255"/>
      <c r="C935" s="255"/>
      <c r="E935" s="255"/>
    </row>
    <row r="936">
      <c r="B936" s="255"/>
      <c r="C936" s="255"/>
      <c r="E936" s="255"/>
    </row>
    <row r="937">
      <c r="B937" s="255"/>
      <c r="C937" s="255"/>
      <c r="E937" s="255"/>
    </row>
    <row r="938">
      <c r="B938" s="255"/>
      <c r="C938" s="255"/>
      <c r="E938" s="255"/>
    </row>
    <row r="939">
      <c r="B939" s="255"/>
      <c r="C939" s="255"/>
      <c r="E939" s="255"/>
    </row>
    <row r="940">
      <c r="B940" s="255"/>
      <c r="C940" s="255"/>
      <c r="E940" s="255"/>
    </row>
    <row r="941">
      <c r="B941" s="255"/>
      <c r="C941" s="255"/>
      <c r="E941" s="255"/>
    </row>
    <row r="942">
      <c r="B942" s="255"/>
      <c r="C942" s="255"/>
      <c r="E942" s="255"/>
    </row>
    <row r="943">
      <c r="B943" s="255"/>
      <c r="C943" s="255"/>
      <c r="E943" s="255"/>
    </row>
    <row r="944">
      <c r="B944" s="255"/>
      <c r="C944" s="255"/>
      <c r="E944" s="255"/>
    </row>
    <row r="945">
      <c r="B945" s="255"/>
      <c r="C945" s="255"/>
      <c r="E945" s="255"/>
    </row>
    <row r="946">
      <c r="B946" s="255"/>
      <c r="C946" s="255"/>
      <c r="E946" s="255"/>
    </row>
    <row r="947">
      <c r="B947" s="255"/>
      <c r="C947" s="255"/>
      <c r="E947" s="255"/>
    </row>
    <row r="948">
      <c r="B948" s="255"/>
      <c r="C948" s="255"/>
      <c r="E948" s="255"/>
    </row>
    <row r="949">
      <c r="B949" s="255"/>
      <c r="C949" s="255"/>
      <c r="E949" s="255"/>
    </row>
    <row r="950">
      <c r="B950" s="255"/>
      <c r="C950" s="255"/>
      <c r="E950" s="255"/>
    </row>
    <row r="951">
      <c r="B951" s="255"/>
      <c r="C951" s="255"/>
      <c r="E951" s="255"/>
    </row>
    <row r="952">
      <c r="B952" s="255"/>
      <c r="C952" s="255"/>
      <c r="E952" s="255"/>
    </row>
    <row r="953">
      <c r="B953" s="255"/>
      <c r="C953" s="255"/>
      <c r="E953" s="255"/>
    </row>
    <row r="954">
      <c r="B954" s="255"/>
      <c r="C954" s="255"/>
      <c r="E954" s="255"/>
    </row>
    <row r="955">
      <c r="B955" s="255"/>
      <c r="C955" s="255"/>
      <c r="E955" s="255"/>
    </row>
    <row r="956">
      <c r="B956" s="255"/>
      <c r="C956" s="255"/>
      <c r="E956" s="255"/>
    </row>
    <row r="957">
      <c r="B957" s="255"/>
      <c r="C957" s="255"/>
      <c r="E957" s="255"/>
    </row>
    <row r="958">
      <c r="B958" s="255"/>
      <c r="C958" s="255"/>
      <c r="E958" s="255"/>
    </row>
    <row r="959">
      <c r="B959" s="255"/>
      <c r="C959" s="255"/>
      <c r="E959" s="255"/>
    </row>
    <row r="960">
      <c r="B960" s="255"/>
      <c r="C960" s="255"/>
      <c r="E960" s="255"/>
    </row>
    <row r="961">
      <c r="B961" s="255"/>
      <c r="C961" s="255"/>
      <c r="E961" s="255"/>
    </row>
    <row r="962">
      <c r="B962" s="255"/>
      <c r="C962" s="255"/>
      <c r="E962" s="255"/>
    </row>
    <row r="963">
      <c r="B963" s="255"/>
      <c r="C963" s="255"/>
      <c r="E963" s="255"/>
    </row>
    <row r="964">
      <c r="B964" s="255"/>
      <c r="C964" s="255"/>
      <c r="E964" s="255"/>
    </row>
    <row r="965">
      <c r="B965" s="255"/>
      <c r="C965" s="255"/>
      <c r="E965" s="255"/>
    </row>
    <row r="966">
      <c r="B966" s="255"/>
      <c r="C966" s="255"/>
      <c r="E966" s="255"/>
    </row>
    <row r="967">
      <c r="B967" s="255"/>
      <c r="C967" s="255"/>
      <c r="E967" s="255"/>
    </row>
    <row r="968">
      <c r="B968" s="255"/>
      <c r="C968" s="255"/>
      <c r="E968" s="255"/>
    </row>
    <row r="969">
      <c r="B969" s="255"/>
      <c r="C969" s="255"/>
      <c r="E969" s="255"/>
    </row>
    <row r="970">
      <c r="B970" s="255"/>
      <c r="C970" s="255"/>
      <c r="E970" s="255"/>
    </row>
    <row r="971">
      <c r="B971" s="255"/>
      <c r="C971" s="255"/>
      <c r="E971" s="255"/>
    </row>
    <row r="972">
      <c r="B972" s="255"/>
      <c r="C972" s="255"/>
      <c r="E972" s="255"/>
    </row>
    <row r="973">
      <c r="B973" s="255"/>
      <c r="C973" s="255"/>
      <c r="E973" s="255"/>
    </row>
    <row r="974">
      <c r="B974" s="255"/>
      <c r="C974" s="255"/>
      <c r="E974" s="255"/>
    </row>
    <row r="975">
      <c r="B975" s="255"/>
      <c r="C975" s="255"/>
      <c r="E975" s="255"/>
    </row>
    <row r="976">
      <c r="B976" s="255"/>
      <c r="C976" s="255"/>
      <c r="E976" s="255"/>
    </row>
    <row r="977">
      <c r="B977" s="255"/>
      <c r="C977" s="255"/>
      <c r="E977" s="255"/>
    </row>
    <row r="978">
      <c r="B978" s="255"/>
      <c r="C978" s="255"/>
      <c r="E978" s="255"/>
    </row>
    <row r="979">
      <c r="B979" s="255"/>
      <c r="C979" s="255"/>
      <c r="E979" s="255"/>
    </row>
    <row r="980">
      <c r="B980" s="255"/>
      <c r="C980" s="255"/>
      <c r="E980" s="255"/>
    </row>
    <row r="981">
      <c r="B981" s="255"/>
      <c r="C981" s="255"/>
      <c r="E981" s="255"/>
    </row>
    <row r="982">
      <c r="B982" s="255"/>
      <c r="C982" s="255"/>
      <c r="E982" s="255"/>
    </row>
    <row r="983">
      <c r="B983" s="255"/>
      <c r="C983" s="255"/>
      <c r="E983" s="255"/>
    </row>
    <row r="984">
      <c r="B984" s="255"/>
      <c r="C984" s="255"/>
      <c r="E984" s="255"/>
    </row>
    <row r="985">
      <c r="B985" s="255"/>
      <c r="C985" s="255"/>
      <c r="E985" s="255"/>
    </row>
    <row r="986">
      <c r="B986" s="255"/>
      <c r="C986" s="255"/>
      <c r="E986" s="255"/>
    </row>
    <row r="987">
      <c r="B987" s="255"/>
      <c r="C987" s="255"/>
      <c r="E987" s="255"/>
    </row>
    <row r="988">
      <c r="B988" s="255"/>
      <c r="C988" s="255"/>
      <c r="E988" s="255"/>
    </row>
    <row r="989">
      <c r="B989" s="255"/>
      <c r="C989" s="255"/>
      <c r="E989" s="255"/>
    </row>
    <row r="990">
      <c r="B990" s="255"/>
      <c r="C990" s="255"/>
      <c r="E990" s="255"/>
    </row>
    <row r="991">
      <c r="B991" s="255"/>
      <c r="C991" s="255"/>
      <c r="E991" s="255"/>
    </row>
    <row r="992">
      <c r="B992" s="255"/>
      <c r="C992" s="255"/>
      <c r="E992" s="255"/>
    </row>
    <row r="993">
      <c r="B993" s="255"/>
      <c r="C993" s="255"/>
      <c r="E993" s="255"/>
    </row>
    <row r="994">
      <c r="B994" s="255"/>
      <c r="C994" s="255"/>
      <c r="E994" s="255"/>
    </row>
    <row r="995">
      <c r="B995" s="255"/>
      <c r="C995" s="255"/>
      <c r="E995" s="255"/>
    </row>
    <row r="996">
      <c r="B996" s="255"/>
      <c r="C996" s="255"/>
      <c r="E996" s="255"/>
    </row>
    <row r="997">
      <c r="B997" s="255"/>
      <c r="C997" s="255"/>
      <c r="E997" s="255"/>
    </row>
    <row r="998">
      <c r="B998" s="255"/>
      <c r="C998" s="255"/>
      <c r="E998" s="255"/>
    </row>
    <row r="999">
      <c r="B999" s="255"/>
      <c r="C999" s="255"/>
      <c r="E999" s="255"/>
    </row>
  </sheetData>
  <conditionalFormatting sqref="D2:D32">
    <cfRule type="expression" dxfId="4" priority="1">
      <formula> SUM($N2:$Y2) &gt;0</formula>
    </cfRule>
  </conditionalFormatting>
  <conditionalFormatting sqref="F17">
    <cfRule type="notContainsBlanks" dxfId="6" priority="2">
      <formula>LEN(TRIM(F17))&gt;0</formula>
    </cfRule>
  </conditionalFormatting>
  <conditionalFormatting sqref="D2:E32 F2:F10 H2:H10 J2:Y32 AE2:AE32 F12:F17 H12:H17 F19:F32 H19:H32">
    <cfRule type="expression" dxfId="4" priority="3">
      <formula> SUM($N2:$Y2) &gt; 0</formula>
    </cfRule>
  </conditionalFormatting>
  <conditionalFormatting sqref="AE14">
    <cfRule type="notContainsBlanks" dxfId="5" priority="4">
      <formula>LEN(TRIM(AE14))&gt;0</formula>
    </cfRule>
  </conditionalFormatting>
  <conditionalFormatting sqref="AD2:AD32">
    <cfRule type="colorScale" priority="5">
      <colorScale>
        <cfvo type="min"/>
        <cfvo type="max"/>
        <color rgb="FF999999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59" width="6.38"/>
  </cols>
  <sheetData>
    <row r="2">
      <c r="A2" s="106" t="s">
        <v>183</v>
      </c>
    </row>
    <row r="3">
      <c r="B3" t="s">
        <v>184</v>
      </c>
      <c r="D3" t="s">
        <v>185</v>
      </c>
      <c r="F3" t="s">
        <v>186</v>
      </c>
      <c r="H3" t="s">
        <v>187</v>
      </c>
      <c r="J3" t="s">
        <v>188</v>
      </c>
      <c r="L3" t="s">
        <v>189</v>
      </c>
      <c r="N3" t="s">
        <v>190</v>
      </c>
      <c r="P3" t="s">
        <v>191</v>
      </c>
      <c r="R3" t="s">
        <v>192</v>
      </c>
      <c r="T3" t="s">
        <v>193</v>
      </c>
      <c r="V3" t="s">
        <v>194</v>
      </c>
      <c r="X3" t="s">
        <v>195</v>
      </c>
    </row>
    <row r="4">
      <c r="A4" t="s">
        <v>196</v>
      </c>
      <c r="B4" t="s">
        <v>197</v>
      </c>
      <c r="C4" t="s">
        <v>198</v>
      </c>
      <c r="D4" t="s">
        <v>197</v>
      </c>
      <c r="E4" t="s">
        <v>198</v>
      </c>
      <c r="F4" t="s">
        <v>197</v>
      </c>
      <c r="G4" t="s">
        <v>198</v>
      </c>
      <c r="H4" t="s">
        <v>197</v>
      </c>
      <c r="I4" t="s">
        <v>198</v>
      </c>
      <c r="J4" t="s">
        <v>197</v>
      </c>
      <c r="K4" t="s">
        <v>198</v>
      </c>
      <c r="L4" t="s">
        <v>197</v>
      </c>
      <c r="M4" t="s">
        <v>198</v>
      </c>
      <c r="N4" t="s">
        <v>197</v>
      </c>
      <c r="O4" t="s">
        <v>198</v>
      </c>
      <c r="P4" t="s">
        <v>197</v>
      </c>
      <c r="Q4" t="s">
        <v>198</v>
      </c>
      <c r="R4" t="s">
        <v>197</v>
      </c>
      <c r="S4" t="s">
        <v>198</v>
      </c>
      <c r="T4" t="s">
        <v>197</v>
      </c>
      <c r="U4" t="s">
        <v>198</v>
      </c>
      <c r="V4" t="s">
        <v>197</v>
      </c>
      <c r="W4" t="s">
        <v>198</v>
      </c>
      <c r="X4" t="s">
        <v>197</v>
      </c>
      <c r="Y4" t="s">
        <v>198</v>
      </c>
    </row>
    <row r="5">
      <c r="A5" s="290">
        <v>1.0</v>
      </c>
      <c r="B5">
        <v>717.0</v>
      </c>
      <c r="C5">
        <v>1712.0</v>
      </c>
      <c r="D5">
        <v>700.0</v>
      </c>
      <c r="E5">
        <v>1749.0</v>
      </c>
      <c r="F5">
        <v>619.0</v>
      </c>
      <c r="G5">
        <v>1827.0</v>
      </c>
      <c r="H5">
        <v>521.0</v>
      </c>
      <c r="I5">
        <v>1909.0</v>
      </c>
      <c r="J5">
        <v>426.0</v>
      </c>
      <c r="K5">
        <v>1950.0</v>
      </c>
      <c r="L5">
        <v>348.0</v>
      </c>
      <c r="M5">
        <v>2029.0</v>
      </c>
      <c r="N5">
        <v>348.0</v>
      </c>
      <c r="O5">
        <v>2041.0</v>
      </c>
      <c r="P5">
        <v>420.0</v>
      </c>
      <c r="Q5">
        <v>2013.0</v>
      </c>
      <c r="R5">
        <v>501.0</v>
      </c>
      <c r="S5">
        <v>1919.0</v>
      </c>
      <c r="T5">
        <v>539.0</v>
      </c>
      <c r="U5">
        <v>1821.0</v>
      </c>
      <c r="V5">
        <v>619.0</v>
      </c>
      <c r="W5">
        <v>1729.0</v>
      </c>
      <c r="X5">
        <v>657.0</v>
      </c>
      <c r="Y5">
        <v>1702.0</v>
      </c>
    </row>
    <row r="6">
      <c r="A6" s="290">
        <v>2.0</v>
      </c>
      <c r="B6">
        <v>717.0</v>
      </c>
      <c r="C6">
        <v>1713.0</v>
      </c>
      <c r="D6">
        <v>659.0</v>
      </c>
      <c r="E6">
        <v>1750.0</v>
      </c>
      <c r="F6">
        <v>618.0</v>
      </c>
      <c r="G6">
        <v>1829.0</v>
      </c>
      <c r="H6">
        <v>519.0</v>
      </c>
      <c r="I6">
        <v>1910.0</v>
      </c>
      <c r="J6">
        <v>425.0</v>
      </c>
      <c r="K6">
        <v>1952.0</v>
      </c>
      <c r="L6">
        <v>348.0</v>
      </c>
      <c r="M6">
        <v>2030.0</v>
      </c>
      <c r="N6">
        <v>349.0</v>
      </c>
      <c r="O6">
        <v>2041.0</v>
      </c>
      <c r="P6">
        <v>421.0</v>
      </c>
      <c r="Q6">
        <v>2011.0</v>
      </c>
      <c r="R6">
        <v>502.0</v>
      </c>
      <c r="S6">
        <v>1917.0</v>
      </c>
      <c r="T6">
        <v>540.0</v>
      </c>
      <c r="U6">
        <v>1819.0</v>
      </c>
      <c r="V6">
        <v>620.0</v>
      </c>
      <c r="W6">
        <v>1727.0</v>
      </c>
      <c r="X6">
        <v>658.0</v>
      </c>
      <c r="Y6">
        <v>1702.0</v>
      </c>
    </row>
    <row r="7">
      <c r="A7" s="290">
        <v>3.0</v>
      </c>
      <c r="B7">
        <v>717.0</v>
      </c>
      <c r="C7">
        <v>1714.0</v>
      </c>
      <c r="D7">
        <v>658.0</v>
      </c>
      <c r="E7">
        <v>1752.0</v>
      </c>
      <c r="F7">
        <v>616.0</v>
      </c>
      <c r="G7">
        <v>1830.0</v>
      </c>
      <c r="H7">
        <v>517.0</v>
      </c>
      <c r="I7">
        <v>1911.0</v>
      </c>
      <c r="J7">
        <v>423.0</v>
      </c>
      <c r="K7">
        <v>1953.0</v>
      </c>
      <c r="L7">
        <v>347.0</v>
      </c>
      <c r="M7">
        <v>2031.0</v>
      </c>
      <c r="N7">
        <v>349.0</v>
      </c>
      <c r="O7">
        <v>2040.0</v>
      </c>
      <c r="P7">
        <v>423.0</v>
      </c>
      <c r="Q7">
        <v>2010.0</v>
      </c>
      <c r="R7">
        <v>504.0</v>
      </c>
      <c r="S7">
        <v>1915.0</v>
      </c>
      <c r="T7">
        <v>542.0</v>
      </c>
      <c r="U7">
        <v>1817.0</v>
      </c>
      <c r="V7">
        <v>622.0</v>
      </c>
      <c r="W7">
        <v>1726.0</v>
      </c>
      <c r="X7">
        <v>659.0</v>
      </c>
      <c r="Y7">
        <v>1702.0</v>
      </c>
    </row>
    <row r="8">
      <c r="A8" s="290">
        <v>4.0</v>
      </c>
      <c r="B8">
        <v>717.0</v>
      </c>
      <c r="C8">
        <v>1715.0</v>
      </c>
      <c r="D8">
        <v>657.0</v>
      </c>
      <c r="E8">
        <v>1753.0</v>
      </c>
      <c r="F8">
        <v>614.0</v>
      </c>
      <c r="G8">
        <v>1831.0</v>
      </c>
      <c r="H8">
        <v>515.0</v>
      </c>
      <c r="I8">
        <v>1913.0</v>
      </c>
      <c r="J8">
        <v>421.0</v>
      </c>
      <c r="K8">
        <v>1954.0</v>
      </c>
      <c r="L8">
        <v>347.0</v>
      </c>
      <c r="M8">
        <v>2032.0</v>
      </c>
      <c r="N8">
        <v>350.0</v>
      </c>
      <c r="O8">
        <v>2040.0</v>
      </c>
      <c r="P8">
        <v>424.0</v>
      </c>
      <c r="Q8">
        <v>2008.0</v>
      </c>
      <c r="R8">
        <v>505.0</v>
      </c>
      <c r="S8">
        <v>1913.0</v>
      </c>
      <c r="T8">
        <v>543.0</v>
      </c>
      <c r="U8">
        <v>1815.0</v>
      </c>
      <c r="V8">
        <v>623.0</v>
      </c>
      <c r="W8">
        <v>1725.0</v>
      </c>
      <c r="X8">
        <v>700.0</v>
      </c>
      <c r="Y8">
        <v>1701.0</v>
      </c>
    </row>
    <row r="9">
      <c r="A9" s="290">
        <v>5.0</v>
      </c>
      <c r="B9">
        <v>717.0</v>
      </c>
      <c r="C9">
        <v>1716.0</v>
      </c>
      <c r="D9">
        <v>656.0</v>
      </c>
      <c r="E9">
        <v>1754.0</v>
      </c>
      <c r="F9">
        <v>612.0</v>
      </c>
      <c r="G9">
        <v>1833.0</v>
      </c>
      <c r="H9">
        <v>513.0</v>
      </c>
      <c r="I9">
        <v>1914.0</v>
      </c>
      <c r="J9">
        <v>420.0</v>
      </c>
      <c r="K9">
        <v>1956.0</v>
      </c>
      <c r="L9">
        <v>346.0</v>
      </c>
      <c r="M9">
        <v>2033.0</v>
      </c>
      <c r="N9">
        <v>351.0</v>
      </c>
      <c r="O9">
        <v>2039.0</v>
      </c>
      <c r="P9">
        <v>425.0</v>
      </c>
      <c r="Q9">
        <v>2007.0</v>
      </c>
      <c r="R9">
        <v>506.0</v>
      </c>
      <c r="S9">
        <v>1911.0</v>
      </c>
      <c r="T9">
        <v>544.0</v>
      </c>
      <c r="U9">
        <v>1813.0</v>
      </c>
      <c r="V9">
        <v>624.0</v>
      </c>
      <c r="W9">
        <v>1723.0</v>
      </c>
      <c r="X9">
        <v>701.0</v>
      </c>
      <c r="Y9">
        <v>1701.0</v>
      </c>
    </row>
    <row r="10">
      <c r="A10" s="290">
        <v>6.0</v>
      </c>
      <c r="B10">
        <v>717.0</v>
      </c>
      <c r="C10">
        <v>1717.0</v>
      </c>
      <c r="D10">
        <v>654.0</v>
      </c>
      <c r="E10">
        <v>1756.0</v>
      </c>
      <c r="F10">
        <v>611.0</v>
      </c>
      <c r="G10">
        <v>1834.0</v>
      </c>
      <c r="H10">
        <v>511.0</v>
      </c>
      <c r="I10">
        <v>1915.0</v>
      </c>
      <c r="J10">
        <v>418.0</v>
      </c>
      <c r="K10">
        <v>1957.0</v>
      </c>
      <c r="L10">
        <v>346.0</v>
      </c>
      <c r="M10">
        <v>2033.0</v>
      </c>
      <c r="N10">
        <v>352.0</v>
      </c>
      <c r="O10">
        <v>2039.0</v>
      </c>
      <c r="P10">
        <v>427.0</v>
      </c>
      <c r="Q10">
        <v>2005.0</v>
      </c>
      <c r="R10">
        <v>508.0</v>
      </c>
      <c r="S10">
        <v>1909.0</v>
      </c>
      <c r="T10">
        <v>545.0</v>
      </c>
      <c r="U10">
        <v>1811.0</v>
      </c>
      <c r="V10">
        <v>626.0</v>
      </c>
      <c r="W10">
        <v>1722.0</v>
      </c>
      <c r="X10">
        <v>702.0</v>
      </c>
      <c r="Y10">
        <v>1701.0</v>
      </c>
    </row>
    <row r="11">
      <c r="A11" s="290">
        <v>7.0</v>
      </c>
      <c r="B11">
        <v>716.0</v>
      </c>
      <c r="C11">
        <v>1718.0</v>
      </c>
      <c r="D11">
        <v>653.0</v>
      </c>
      <c r="E11">
        <v>1757.0</v>
      </c>
      <c r="F11">
        <v>609.0</v>
      </c>
      <c r="G11">
        <v>1835.0</v>
      </c>
      <c r="H11">
        <v>510.0</v>
      </c>
      <c r="I11">
        <v>1917.0</v>
      </c>
      <c r="J11">
        <v>417.0</v>
      </c>
      <c r="K11">
        <v>1959.0</v>
      </c>
      <c r="L11">
        <v>345.0</v>
      </c>
      <c r="M11">
        <v>2034.0</v>
      </c>
      <c r="N11">
        <v>352.0</v>
      </c>
      <c r="O11">
        <v>2038.0</v>
      </c>
      <c r="P11">
        <v>428.0</v>
      </c>
      <c r="Q11">
        <v>2004.0</v>
      </c>
      <c r="R11">
        <v>509.0</v>
      </c>
      <c r="S11">
        <v>1907.0</v>
      </c>
      <c r="T11">
        <v>547.0</v>
      </c>
      <c r="U11">
        <v>1809.0</v>
      </c>
      <c r="V11">
        <v>627.0</v>
      </c>
      <c r="W11">
        <v>1721.0</v>
      </c>
      <c r="X11">
        <v>703.0</v>
      </c>
      <c r="Y11">
        <v>1701.0</v>
      </c>
    </row>
    <row r="12">
      <c r="A12" s="290">
        <v>8.0</v>
      </c>
      <c r="B12">
        <v>716.0</v>
      </c>
      <c r="C12">
        <v>1719.0</v>
      </c>
      <c r="D12">
        <v>652.0</v>
      </c>
      <c r="E12">
        <v>1758.0</v>
      </c>
      <c r="F12">
        <v>607.0</v>
      </c>
      <c r="G12">
        <v>1837.0</v>
      </c>
      <c r="H12">
        <v>508.0</v>
      </c>
      <c r="I12">
        <v>1918.0</v>
      </c>
      <c r="J12">
        <v>415.0</v>
      </c>
      <c r="K12">
        <v>2000.0</v>
      </c>
      <c r="L12">
        <v>345.0</v>
      </c>
      <c r="M12">
        <v>2035.0</v>
      </c>
      <c r="N12">
        <v>353.0</v>
      </c>
      <c r="O12">
        <v>2038.0</v>
      </c>
      <c r="P12">
        <v>429.0</v>
      </c>
      <c r="Q12">
        <v>2002.0</v>
      </c>
      <c r="R12">
        <v>510.0</v>
      </c>
      <c r="S12">
        <v>1905.0</v>
      </c>
      <c r="T12">
        <v>548.0</v>
      </c>
      <c r="U12">
        <v>1807.0</v>
      </c>
      <c r="V12">
        <v>628.0</v>
      </c>
      <c r="W12">
        <v>1720.0</v>
      </c>
      <c r="X12">
        <v>704.0</v>
      </c>
      <c r="Y12">
        <v>1701.0</v>
      </c>
    </row>
    <row r="13">
      <c r="A13" s="290">
        <v>9.0</v>
      </c>
      <c r="B13">
        <v>716.0</v>
      </c>
      <c r="C13">
        <v>1720.0</v>
      </c>
      <c r="D13">
        <v>650.0</v>
      </c>
      <c r="E13">
        <v>1800.0</v>
      </c>
      <c r="F13">
        <v>605.0</v>
      </c>
      <c r="G13">
        <v>1838.0</v>
      </c>
      <c r="H13">
        <v>506.0</v>
      </c>
      <c r="I13">
        <v>1920.0</v>
      </c>
      <c r="J13">
        <v>414.0</v>
      </c>
      <c r="K13">
        <v>2001.0</v>
      </c>
      <c r="L13">
        <v>344.0</v>
      </c>
      <c r="M13">
        <v>2036.0</v>
      </c>
      <c r="N13">
        <v>354.0</v>
      </c>
      <c r="O13">
        <v>2037.0</v>
      </c>
      <c r="P13">
        <v>431.0</v>
      </c>
      <c r="Q13">
        <v>2001.0</v>
      </c>
      <c r="R13">
        <v>511.0</v>
      </c>
      <c r="S13">
        <v>1903.0</v>
      </c>
      <c r="T13">
        <v>549.0</v>
      </c>
      <c r="U13">
        <v>1806.0</v>
      </c>
      <c r="V13">
        <v>630.0</v>
      </c>
      <c r="W13">
        <v>1719.0</v>
      </c>
      <c r="X13">
        <v>705.0</v>
      </c>
      <c r="Y13">
        <v>1701.0</v>
      </c>
    </row>
    <row r="14">
      <c r="A14" s="290">
        <v>10.0</v>
      </c>
      <c r="B14">
        <v>716.0</v>
      </c>
      <c r="C14">
        <v>1721.0</v>
      </c>
      <c r="D14">
        <v>649.0</v>
      </c>
      <c r="E14">
        <v>1801.0</v>
      </c>
      <c r="F14">
        <v>603.0</v>
      </c>
      <c r="G14">
        <v>1839.0</v>
      </c>
      <c r="H14">
        <v>504.0</v>
      </c>
      <c r="I14">
        <v>1921.0</v>
      </c>
      <c r="J14">
        <v>412.0</v>
      </c>
      <c r="K14">
        <v>2003.0</v>
      </c>
      <c r="L14">
        <v>344.0</v>
      </c>
      <c r="M14">
        <v>2036.0</v>
      </c>
      <c r="N14">
        <v>355.0</v>
      </c>
      <c r="O14">
        <v>2037.0</v>
      </c>
      <c r="P14">
        <v>432.0</v>
      </c>
      <c r="Q14">
        <v>1959.0</v>
      </c>
      <c r="R14">
        <v>513.0</v>
      </c>
      <c r="S14">
        <v>1901.0</v>
      </c>
      <c r="T14">
        <v>551.0</v>
      </c>
      <c r="U14">
        <v>1804.0</v>
      </c>
      <c r="V14">
        <v>631.0</v>
      </c>
      <c r="W14">
        <v>1718.0</v>
      </c>
      <c r="X14">
        <v>706.0</v>
      </c>
      <c r="Y14">
        <v>1701.0</v>
      </c>
    </row>
    <row r="15">
      <c r="A15" s="290">
        <v>11.0</v>
      </c>
      <c r="B15">
        <v>715.0</v>
      </c>
      <c r="C15">
        <v>1722.0</v>
      </c>
      <c r="D15">
        <v>648.0</v>
      </c>
      <c r="E15">
        <v>1803.0</v>
      </c>
      <c r="F15">
        <v>601.0</v>
      </c>
      <c r="G15">
        <v>1841.0</v>
      </c>
      <c r="H15">
        <v>502.0</v>
      </c>
      <c r="I15">
        <v>1922.0</v>
      </c>
      <c r="J15">
        <v>411.0</v>
      </c>
      <c r="K15">
        <v>2004.0</v>
      </c>
      <c r="L15">
        <v>344.0</v>
      </c>
      <c r="M15">
        <v>2037.0</v>
      </c>
      <c r="N15">
        <v>356.0</v>
      </c>
      <c r="O15">
        <v>2036.0</v>
      </c>
      <c r="P15">
        <v>433.0</v>
      </c>
      <c r="Q15">
        <v>1957.0</v>
      </c>
      <c r="R15">
        <v>514.0</v>
      </c>
      <c r="S15">
        <v>1859.0</v>
      </c>
      <c r="T15">
        <v>552.0</v>
      </c>
      <c r="U15">
        <v>1802.0</v>
      </c>
      <c r="V15">
        <v>632.0</v>
      </c>
      <c r="W15">
        <v>1716.0</v>
      </c>
      <c r="X15">
        <v>706.0</v>
      </c>
      <c r="Y15">
        <v>1701.0</v>
      </c>
    </row>
    <row r="16">
      <c r="A16" s="290">
        <v>12.0</v>
      </c>
      <c r="B16">
        <v>715.0</v>
      </c>
      <c r="C16">
        <v>1723.0</v>
      </c>
      <c r="D16">
        <v>646.0</v>
      </c>
      <c r="E16">
        <v>1804.0</v>
      </c>
      <c r="F16">
        <v>600.0</v>
      </c>
      <c r="G16">
        <v>1842.0</v>
      </c>
      <c r="H16">
        <v>500.0</v>
      </c>
      <c r="I16">
        <v>1924.0</v>
      </c>
      <c r="J16">
        <v>409.0</v>
      </c>
      <c r="K16">
        <v>2005.0</v>
      </c>
      <c r="L16">
        <v>344.0</v>
      </c>
      <c r="M16">
        <v>2038.0</v>
      </c>
      <c r="N16">
        <v>357.0</v>
      </c>
      <c r="O16">
        <v>2035.0</v>
      </c>
      <c r="P16">
        <v>435.0</v>
      </c>
      <c r="Q16">
        <v>1956.0</v>
      </c>
      <c r="R16">
        <v>515.0</v>
      </c>
      <c r="S16">
        <v>1858.0</v>
      </c>
      <c r="T16">
        <v>553.0</v>
      </c>
      <c r="U16">
        <v>1800.0</v>
      </c>
      <c r="V16">
        <v>634.0</v>
      </c>
      <c r="W16">
        <v>1715.0</v>
      </c>
      <c r="X16">
        <v>707.0</v>
      </c>
      <c r="Y16">
        <v>1701.0</v>
      </c>
    </row>
    <row r="17">
      <c r="A17" s="290">
        <v>13.0</v>
      </c>
      <c r="B17">
        <v>715.0</v>
      </c>
      <c r="C17">
        <v>1724.0</v>
      </c>
      <c r="D17">
        <v>645.0</v>
      </c>
      <c r="E17">
        <v>1805.0</v>
      </c>
      <c r="F17">
        <v>558.0</v>
      </c>
      <c r="G17">
        <v>1843.0</v>
      </c>
      <c r="H17">
        <v>458.0</v>
      </c>
      <c r="I17">
        <v>1925.0</v>
      </c>
      <c r="J17">
        <v>408.0</v>
      </c>
      <c r="K17">
        <v>2007.0</v>
      </c>
      <c r="L17">
        <v>344.0</v>
      </c>
      <c r="M17">
        <v>2038.0</v>
      </c>
      <c r="N17">
        <v>358.0</v>
      </c>
      <c r="O17">
        <v>2034.0</v>
      </c>
      <c r="P17">
        <v>436.0</v>
      </c>
      <c r="Q17">
        <v>1954.0</v>
      </c>
      <c r="R17">
        <v>517.0</v>
      </c>
      <c r="S17">
        <v>1856.0</v>
      </c>
      <c r="T17">
        <v>554.0</v>
      </c>
      <c r="U17">
        <v>1759.0</v>
      </c>
      <c r="V17">
        <v>635.0</v>
      </c>
      <c r="W17">
        <v>1714.0</v>
      </c>
      <c r="X17">
        <v>708.0</v>
      </c>
      <c r="Y17">
        <v>1701.0</v>
      </c>
    </row>
    <row r="18">
      <c r="A18" s="290">
        <v>14.0</v>
      </c>
      <c r="B18">
        <v>714.0</v>
      </c>
      <c r="C18">
        <v>1725.0</v>
      </c>
      <c r="D18">
        <v>644.0</v>
      </c>
      <c r="E18">
        <v>1807.0</v>
      </c>
      <c r="F18">
        <v>556.0</v>
      </c>
      <c r="G18">
        <v>1845.0</v>
      </c>
      <c r="H18">
        <v>456.0</v>
      </c>
      <c r="I18">
        <v>1926.0</v>
      </c>
      <c r="J18">
        <v>407.0</v>
      </c>
      <c r="K18">
        <v>2008.0</v>
      </c>
      <c r="L18">
        <v>343.0</v>
      </c>
      <c r="M18">
        <v>2039.0</v>
      </c>
      <c r="N18">
        <v>359.0</v>
      </c>
      <c r="O18">
        <v>2034.0</v>
      </c>
      <c r="P18">
        <v>437.0</v>
      </c>
      <c r="Q18">
        <v>1952.0</v>
      </c>
      <c r="R18">
        <v>518.0</v>
      </c>
      <c r="S18">
        <v>1854.0</v>
      </c>
      <c r="T18">
        <v>556.0</v>
      </c>
      <c r="U18">
        <v>1757.0</v>
      </c>
      <c r="V18">
        <v>636.0</v>
      </c>
      <c r="W18">
        <v>1713.0</v>
      </c>
      <c r="X18">
        <v>709.0</v>
      </c>
      <c r="Y18">
        <v>1702.0</v>
      </c>
    </row>
    <row r="19">
      <c r="A19" s="290">
        <v>15.0</v>
      </c>
      <c r="B19">
        <v>714.0</v>
      </c>
      <c r="C19">
        <v>1727.0</v>
      </c>
      <c r="D19">
        <v>642.0</v>
      </c>
      <c r="E19">
        <v>1808.0</v>
      </c>
      <c r="F19">
        <v>554.0</v>
      </c>
      <c r="G19">
        <v>1846.0</v>
      </c>
      <c r="H19">
        <v>454.0</v>
      </c>
      <c r="I19">
        <v>1928.0</v>
      </c>
      <c r="J19">
        <v>405.0</v>
      </c>
      <c r="K19">
        <v>2009.0</v>
      </c>
      <c r="L19">
        <v>343.0</v>
      </c>
      <c r="M19">
        <v>2039.0</v>
      </c>
      <c r="N19">
        <v>400.0</v>
      </c>
      <c r="O19">
        <v>2033.0</v>
      </c>
      <c r="P19">
        <v>439.0</v>
      </c>
      <c r="Q19">
        <v>1950.0</v>
      </c>
      <c r="R19">
        <v>519.0</v>
      </c>
      <c r="S19">
        <v>1852.0</v>
      </c>
      <c r="T19">
        <v>557.0</v>
      </c>
      <c r="U19">
        <v>1755.0</v>
      </c>
      <c r="V19">
        <v>637.0</v>
      </c>
      <c r="W19">
        <v>1712.0</v>
      </c>
      <c r="X19">
        <v>710.0</v>
      </c>
      <c r="Y19">
        <v>1702.0</v>
      </c>
    </row>
    <row r="20">
      <c r="A20" s="290">
        <v>16.0</v>
      </c>
      <c r="B20">
        <v>713.0</v>
      </c>
      <c r="C20">
        <v>1728.0</v>
      </c>
      <c r="D20">
        <v>641.0</v>
      </c>
      <c r="E20">
        <v>1809.0</v>
      </c>
      <c r="F20">
        <v>552.0</v>
      </c>
      <c r="G20">
        <v>1847.0</v>
      </c>
      <c r="H20">
        <v>453.0</v>
      </c>
      <c r="I20">
        <v>1929.0</v>
      </c>
      <c r="J20">
        <v>404.0</v>
      </c>
      <c r="K20">
        <v>2011.0</v>
      </c>
      <c r="L20">
        <v>343.0</v>
      </c>
      <c r="M20">
        <v>2040.0</v>
      </c>
      <c r="N20">
        <v>401.0</v>
      </c>
      <c r="O20">
        <v>2032.0</v>
      </c>
      <c r="P20">
        <v>440.0</v>
      </c>
      <c r="Q20">
        <v>1949.0</v>
      </c>
      <c r="R20">
        <v>520.0</v>
      </c>
      <c r="S20">
        <v>1850.0</v>
      </c>
      <c r="T20">
        <v>558.0</v>
      </c>
      <c r="U20">
        <v>1753.0</v>
      </c>
      <c r="V20">
        <v>639.0</v>
      </c>
      <c r="W20">
        <v>1712.0</v>
      </c>
      <c r="X20">
        <v>710.0</v>
      </c>
      <c r="Y20">
        <v>1702.0</v>
      </c>
    </row>
    <row r="21">
      <c r="A21" s="290">
        <v>17.0</v>
      </c>
      <c r="B21">
        <v>713.0</v>
      </c>
      <c r="C21">
        <v>1729.0</v>
      </c>
      <c r="D21">
        <v>639.0</v>
      </c>
      <c r="E21">
        <v>1811.0</v>
      </c>
      <c r="F21">
        <v>550.0</v>
      </c>
      <c r="G21">
        <v>1849.0</v>
      </c>
      <c r="H21">
        <v>451.0</v>
      </c>
      <c r="I21">
        <v>1931.0</v>
      </c>
      <c r="J21">
        <v>403.0</v>
      </c>
      <c r="K21">
        <v>2012.0</v>
      </c>
      <c r="L21">
        <v>343.0</v>
      </c>
      <c r="M21">
        <v>2040.0</v>
      </c>
      <c r="N21">
        <v>402.0</v>
      </c>
      <c r="O21">
        <v>2031.0</v>
      </c>
      <c r="P21">
        <v>441.0</v>
      </c>
      <c r="Q21">
        <v>1947.0</v>
      </c>
      <c r="R21">
        <v>522.0</v>
      </c>
      <c r="S21">
        <v>1848.0</v>
      </c>
      <c r="T21">
        <v>559.0</v>
      </c>
      <c r="U21">
        <v>1752.0</v>
      </c>
      <c r="V21">
        <v>640.0</v>
      </c>
      <c r="W21">
        <v>1711.0</v>
      </c>
      <c r="X21">
        <v>711.0</v>
      </c>
      <c r="Y21">
        <v>1702.0</v>
      </c>
    </row>
    <row r="22">
      <c r="A22" s="290">
        <v>18.0</v>
      </c>
      <c r="B22">
        <v>712.0</v>
      </c>
      <c r="C22">
        <v>1730.0</v>
      </c>
      <c r="D22">
        <v>638.0</v>
      </c>
      <c r="E22">
        <v>1812.0</v>
      </c>
      <c r="F22">
        <v>548.0</v>
      </c>
      <c r="G22">
        <v>1850.0</v>
      </c>
      <c r="H22">
        <v>449.0</v>
      </c>
      <c r="I22">
        <v>1932.0</v>
      </c>
      <c r="J22">
        <v>402.0</v>
      </c>
      <c r="K22">
        <v>2013.0</v>
      </c>
      <c r="L22">
        <v>343.0</v>
      </c>
      <c r="M22">
        <v>2040.0</v>
      </c>
      <c r="N22">
        <v>403.0</v>
      </c>
      <c r="O22">
        <v>2030.0</v>
      </c>
      <c r="P22">
        <v>443.0</v>
      </c>
      <c r="Q22">
        <v>1945.0</v>
      </c>
      <c r="R22">
        <v>523.0</v>
      </c>
      <c r="S22">
        <v>1846.0</v>
      </c>
      <c r="T22">
        <v>601.0</v>
      </c>
      <c r="U22">
        <v>1750.0</v>
      </c>
      <c r="V22">
        <v>641.0</v>
      </c>
      <c r="W22">
        <v>1710.0</v>
      </c>
      <c r="X22">
        <v>712.0</v>
      </c>
      <c r="Y22">
        <v>1703.0</v>
      </c>
    </row>
    <row r="23">
      <c r="A23" s="290">
        <v>19.0</v>
      </c>
      <c r="B23">
        <v>712.0</v>
      </c>
      <c r="C23">
        <v>1732.0</v>
      </c>
      <c r="D23">
        <v>636.0</v>
      </c>
      <c r="E23">
        <v>1814.0</v>
      </c>
      <c r="F23">
        <v>546.0</v>
      </c>
      <c r="G23">
        <v>1851.0</v>
      </c>
      <c r="H23">
        <v>447.0</v>
      </c>
      <c r="I23">
        <v>1933.0</v>
      </c>
      <c r="J23">
        <v>401.0</v>
      </c>
      <c r="K23">
        <v>2014.0</v>
      </c>
      <c r="L23">
        <v>343.0</v>
      </c>
      <c r="M23">
        <v>2041.0</v>
      </c>
      <c r="N23">
        <v>404.0</v>
      </c>
      <c r="O23">
        <v>2029.0</v>
      </c>
      <c r="P23">
        <v>444.0</v>
      </c>
      <c r="Q23">
        <v>1943.0</v>
      </c>
      <c r="R23">
        <v>524.0</v>
      </c>
      <c r="S23">
        <v>1844.0</v>
      </c>
      <c r="T23">
        <v>602.0</v>
      </c>
      <c r="U23">
        <v>1748.0</v>
      </c>
      <c r="V23">
        <v>643.0</v>
      </c>
      <c r="W23">
        <v>1709.0</v>
      </c>
      <c r="X23">
        <v>712.0</v>
      </c>
      <c r="Y23">
        <v>1703.0</v>
      </c>
    </row>
    <row r="24">
      <c r="A24" s="290">
        <v>20.0</v>
      </c>
      <c r="B24">
        <v>711.0</v>
      </c>
      <c r="C24">
        <v>1733.0</v>
      </c>
      <c r="D24">
        <v>634.0</v>
      </c>
      <c r="E24">
        <v>1815.0</v>
      </c>
      <c r="F24">
        <v>544.0</v>
      </c>
      <c r="G24">
        <v>1853.0</v>
      </c>
      <c r="H24">
        <v>445.0</v>
      </c>
      <c r="I24">
        <v>1935.0</v>
      </c>
      <c r="J24">
        <v>359.0</v>
      </c>
      <c r="K24">
        <v>2016.0</v>
      </c>
      <c r="L24">
        <v>344.0</v>
      </c>
      <c r="M24">
        <v>2041.0</v>
      </c>
      <c r="N24">
        <v>405.0</v>
      </c>
      <c r="O24">
        <v>2028.0</v>
      </c>
      <c r="P24">
        <v>445.0</v>
      </c>
      <c r="Q24">
        <v>1942.0</v>
      </c>
      <c r="R24">
        <v>525.0</v>
      </c>
      <c r="S24">
        <v>1842.0</v>
      </c>
      <c r="T24">
        <v>603.0</v>
      </c>
      <c r="U24">
        <v>1747.0</v>
      </c>
      <c r="V24">
        <v>644.0</v>
      </c>
      <c r="W24">
        <v>1708.0</v>
      </c>
      <c r="X24">
        <v>713.0</v>
      </c>
      <c r="Y24">
        <v>1704.0</v>
      </c>
    </row>
    <row r="25">
      <c r="A25" s="290">
        <v>21.0</v>
      </c>
      <c r="B25">
        <v>710.0</v>
      </c>
      <c r="C25">
        <v>1734.0</v>
      </c>
      <c r="D25">
        <v>633.0</v>
      </c>
      <c r="E25">
        <v>1816.0</v>
      </c>
      <c r="F25">
        <v>542.0</v>
      </c>
      <c r="G25">
        <v>1854.0</v>
      </c>
      <c r="H25">
        <v>443.0</v>
      </c>
      <c r="I25">
        <v>1936.0</v>
      </c>
      <c r="J25">
        <v>358.0</v>
      </c>
      <c r="K25">
        <v>2017.0</v>
      </c>
      <c r="L25">
        <v>344.0</v>
      </c>
      <c r="M25">
        <v>2041.0</v>
      </c>
      <c r="N25">
        <v>406.0</v>
      </c>
      <c r="O25">
        <v>2027.0</v>
      </c>
      <c r="P25">
        <v>447.0</v>
      </c>
      <c r="Q25">
        <v>1940.0</v>
      </c>
      <c r="R25">
        <v>527.0</v>
      </c>
      <c r="S25">
        <v>1840.0</v>
      </c>
      <c r="T25">
        <v>605.0</v>
      </c>
      <c r="U25">
        <v>1745.0</v>
      </c>
      <c r="V25">
        <v>645.0</v>
      </c>
      <c r="W25">
        <v>1707.0</v>
      </c>
      <c r="X25">
        <v>713.0</v>
      </c>
      <c r="Y25">
        <v>1704.0</v>
      </c>
    </row>
    <row r="26">
      <c r="A26" s="290">
        <v>22.0</v>
      </c>
      <c r="B26">
        <v>709.0</v>
      </c>
      <c r="C26">
        <v>1735.0</v>
      </c>
      <c r="D26">
        <v>631.0</v>
      </c>
      <c r="E26">
        <v>1818.0</v>
      </c>
      <c r="F26">
        <v>541.0</v>
      </c>
      <c r="G26">
        <v>1855.0</v>
      </c>
      <c r="H26">
        <v>442.0</v>
      </c>
      <c r="I26">
        <v>1938.0</v>
      </c>
      <c r="J26">
        <v>357.0</v>
      </c>
      <c r="K26">
        <v>2018.0</v>
      </c>
      <c r="L26">
        <v>344.0</v>
      </c>
      <c r="M26">
        <v>2041.0</v>
      </c>
      <c r="N26">
        <v>408.0</v>
      </c>
      <c r="O26">
        <v>2026.0</v>
      </c>
      <c r="P26">
        <v>448.0</v>
      </c>
      <c r="Q26">
        <v>1938.0</v>
      </c>
      <c r="R26">
        <v>528.0</v>
      </c>
      <c r="S26">
        <v>1838.0</v>
      </c>
      <c r="T26">
        <v>606.0</v>
      </c>
      <c r="U26">
        <v>1743.0</v>
      </c>
      <c r="V26">
        <v>646.0</v>
      </c>
      <c r="W26">
        <v>1707.0</v>
      </c>
      <c r="X26">
        <v>714.0</v>
      </c>
      <c r="Y26">
        <v>1705.0</v>
      </c>
    </row>
    <row r="27">
      <c r="A27" s="290">
        <v>23.0</v>
      </c>
      <c r="B27">
        <v>709.0</v>
      </c>
      <c r="C27">
        <v>1737.0</v>
      </c>
      <c r="D27">
        <v>630.0</v>
      </c>
      <c r="E27">
        <v>1819.0</v>
      </c>
      <c r="F27">
        <v>539.0</v>
      </c>
      <c r="G27">
        <v>1857.0</v>
      </c>
      <c r="H27">
        <v>440.0</v>
      </c>
      <c r="I27">
        <v>1939.0</v>
      </c>
      <c r="J27">
        <v>356.0</v>
      </c>
      <c r="K27">
        <v>2019.0</v>
      </c>
      <c r="L27">
        <v>344.0</v>
      </c>
      <c r="M27">
        <v>2041.0</v>
      </c>
      <c r="N27">
        <v>409.0</v>
      </c>
      <c r="O27">
        <v>2025.0</v>
      </c>
      <c r="P27">
        <v>449.0</v>
      </c>
      <c r="Q27">
        <v>1936.0</v>
      </c>
      <c r="R27">
        <v>529.0</v>
      </c>
      <c r="S27">
        <v>1836.0</v>
      </c>
      <c r="T27">
        <v>607.0</v>
      </c>
      <c r="U27">
        <v>1742.0</v>
      </c>
      <c r="V27">
        <v>647.0</v>
      </c>
      <c r="W27">
        <v>1706.0</v>
      </c>
      <c r="X27">
        <v>714.0</v>
      </c>
      <c r="Y27">
        <v>1705.0</v>
      </c>
    </row>
    <row r="28">
      <c r="A28" s="290">
        <v>24.0</v>
      </c>
      <c r="B28">
        <v>708.0</v>
      </c>
      <c r="C28">
        <v>1738.0</v>
      </c>
      <c r="D28">
        <v>628.0</v>
      </c>
      <c r="E28">
        <v>1820.0</v>
      </c>
      <c r="F28">
        <v>537.0</v>
      </c>
      <c r="G28">
        <v>1858.0</v>
      </c>
      <c r="H28">
        <v>438.0</v>
      </c>
      <c r="I28">
        <v>1940.0</v>
      </c>
      <c r="J28">
        <v>355.0</v>
      </c>
      <c r="K28">
        <v>2020.0</v>
      </c>
      <c r="L28">
        <v>345.0</v>
      </c>
      <c r="M28">
        <v>2042.0</v>
      </c>
      <c r="N28">
        <v>410.0</v>
      </c>
      <c r="O28">
        <v>2023.0</v>
      </c>
      <c r="P28">
        <v>451.0</v>
      </c>
      <c r="Q28">
        <v>1934.0</v>
      </c>
      <c r="R28">
        <v>530.0</v>
      </c>
      <c r="S28">
        <v>1834.0</v>
      </c>
      <c r="T28">
        <v>609.0</v>
      </c>
      <c r="U28">
        <v>1740.0</v>
      </c>
      <c r="V28">
        <v>649.0</v>
      </c>
      <c r="W28">
        <v>1705.0</v>
      </c>
      <c r="X28">
        <v>715.0</v>
      </c>
      <c r="Y28">
        <v>1706.0</v>
      </c>
    </row>
    <row r="29">
      <c r="A29" s="290">
        <v>25.0</v>
      </c>
      <c r="B29">
        <v>707.0</v>
      </c>
      <c r="C29">
        <v>1739.0</v>
      </c>
      <c r="D29">
        <v>626.0</v>
      </c>
      <c r="E29">
        <v>1822.0</v>
      </c>
      <c r="F29">
        <v>535.0</v>
      </c>
      <c r="G29">
        <v>1859.0</v>
      </c>
      <c r="H29">
        <v>436.0</v>
      </c>
      <c r="I29">
        <v>1942.0</v>
      </c>
      <c r="J29">
        <v>354.0</v>
      </c>
      <c r="K29">
        <v>2022.0</v>
      </c>
      <c r="L29">
        <v>345.0</v>
      </c>
      <c r="M29">
        <v>2042.0</v>
      </c>
      <c r="N29">
        <v>411.0</v>
      </c>
      <c r="O29">
        <v>2022.0</v>
      </c>
      <c r="P29">
        <v>452.0</v>
      </c>
      <c r="Q29">
        <v>1932.0</v>
      </c>
      <c r="R29">
        <v>532.0</v>
      </c>
      <c r="S29">
        <v>1832.0</v>
      </c>
      <c r="T29">
        <v>610.0</v>
      </c>
      <c r="U29">
        <v>1739.0</v>
      </c>
      <c r="V29">
        <v>650.0</v>
      </c>
      <c r="W29">
        <v>1705.0</v>
      </c>
      <c r="X29">
        <v>715.0</v>
      </c>
      <c r="Y29">
        <v>1706.0</v>
      </c>
    </row>
    <row r="30">
      <c r="A30" s="290">
        <v>26.0</v>
      </c>
      <c r="B30">
        <v>706.0</v>
      </c>
      <c r="C30">
        <v>1741.0</v>
      </c>
      <c r="D30">
        <v>625.0</v>
      </c>
      <c r="E30">
        <v>1823.0</v>
      </c>
      <c r="F30">
        <v>533.0</v>
      </c>
      <c r="G30">
        <v>1901.0</v>
      </c>
      <c r="H30">
        <v>435.0</v>
      </c>
      <c r="I30">
        <v>1943.0</v>
      </c>
      <c r="J30">
        <v>353.0</v>
      </c>
      <c r="K30">
        <v>2023.0</v>
      </c>
      <c r="L30">
        <v>345.0</v>
      </c>
      <c r="M30">
        <v>2042.0</v>
      </c>
      <c r="N30">
        <v>412.0</v>
      </c>
      <c r="O30">
        <v>2021.0</v>
      </c>
      <c r="P30">
        <v>453.0</v>
      </c>
      <c r="Q30">
        <v>1930.0</v>
      </c>
      <c r="R30">
        <v>533.0</v>
      </c>
      <c r="S30">
        <v>1830.0</v>
      </c>
      <c r="T30">
        <v>611.0</v>
      </c>
      <c r="U30">
        <v>1737.0</v>
      </c>
      <c r="V30">
        <v>651.0</v>
      </c>
      <c r="W30">
        <v>1704.0</v>
      </c>
      <c r="X30">
        <v>715.0</v>
      </c>
      <c r="Y30">
        <v>1707.0</v>
      </c>
    </row>
    <row r="31">
      <c r="A31" s="290">
        <v>27.0</v>
      </c>
      <c r="B31">
        <v>705.0</v>
      </c>
      <c r="C31">
        <v>1742.0</v>
      </c>
      <c r="D31">
        <v>623.0</v>
      </c>
      <c r="E31">
        <v>1824.0</v>
      </c>
      <c r="F31">
        <v>531.0</v>
      </c>
      <c r="G31">
        <v>1902.0</v>
      </c>
      <c r="H31">
        <v>433.0</v>
      </c>
      <c r="I31">
        <v>1945.0</v>
      </c>
      <c r="J31">
        <v>352.0</v>
      </c>
      <c r="K31">
        <v>2024.0</v>
      </c>
      <c r="L31">
        <v>346.0</v>
      </c>
      <c r="M31">
        <v>2041.0</v>
      </c>
      <c r="N31">
        <v>414.0</v>
      </c>
      <c r="O31">
        <v>2020.0</v>
      </c>
      <c r="P31">
        <v>455.0</v>
      </c>
      <c r="Q31">
        <v>1929.0</v>
      </c>
      <c r="R31">
        <v>534.0</v>
      </c>
      <c r="S31">
        <v>1828.0</v>
      </c>
      <c r="T31">
        <v>612.0</v>
      </c>
      <c r="U31">
        <v>1736.0</v>
      </c>
      <c r="V31">
        <v>652.0</v>
      </c>
      <c r="W31">
        <v>1704.0</v>
      </c>
      <c r="X31">
        <v>716.0</v>
      </c>
      <c r="Y31">
        <v>1708.0</v>
      </c>
    </row>
    <row r="32">
      <c r="A32" s="290">
        <v>28.0</v>
      </c>
      <c r="B32">
        <v>704.0</v>
      </c>
      <c r="C32">
        <v>1743.0</v>
      </c>
      <c r="D32">
        <v>621.0</v>
      </c>
      <c r="E32">
        <v>1826.0</v>
      </c>
      <c r="F32">
        <v>529.0</v>
      </c>
      <c r="G32">
        <v>1903.0</v>
      </c>
      <c r="H32">
        <v>431.0</v>
      </c>
      <c r="I32">
        <v>1946.0</v>
      </c>
      <c r="J32">
        <v>352.0</v>
      </c>
      <c r="K32">
        <v>2025.0</v>
      </c>
      <c r="L32">
        <v>346.0</v>
      </c>
      <c r="M32">
        <v>2041.0</v>
      </c>
      <c r="N32">
        <v>415.0</v>
      </c>
      <c r="O32">
        <v>2018.0</v>
      </c>
      <c r="P32">
        <v>456.0</v>
      </c>
      <c r="Q32">
        <v>1927.0</v>
      </c>
      <c r="R32">
        <v>535.0</v>
      </c>
      <c r="S32">
        <v>1826.0</v>
      </c>
      <c r="T32">
        <v>614.0</v>
      </c>
      <c r="U32">
        <v>1734.0</v>
      </c>
      <c r="V32">
        <v>653.0</v>
      </c>
      <c r="W32">
        <v>1703.0</v>
      </c>
      <c r="X32">
        <v>716.0</v>
      </c>
      <c r="Y32">
        <v>1708.0</v>
      </c>
    </row>
    <row r="33">
      <c r="A33" s="290">
        <v>29.0</v>
      </c>
      <c r="B33">
        <v>703.0</v>
      </c>
      <c r="C33">
        <v>1745.0</v>
      </c>
      <c r="D33" t="s">
        <v>107</v>
      </c>
      <c r="E33" t="s">
        <v>107</v>
      </c>
      <c r="F33">
        <v>527.0</v>
      </c>
      <c r="G33">
        <v>1905.0</v>
      </c>
      <c r="H33">
        <v>429.0</v>
      </c>
      <c r="I33">
        <v>1947.0</v>
      </c>
      <c r="J33">
        <v>351.0</v>
      </c>
      <c r="K33">
        <v>2026.0</v>
      </c>
      <c r="L33">
        <v>347.0</v>
      </c>
      <c r="M33">
        <v>2041.0</v>
      </c>
      <c r="N33">
        <v>416.0</v>
      </c>
      <c r="O33">
        <v>2017.0</v>
      </c>
      <c r="P33">
        <v>457.0</v>
      </c>
      <c r="Q33">
        <v>1925.0</v>
      </c>
      <c r="R33">
        <v>537.0</v>
      </c>
      <c r="S33">
        <v>1824.0</v>
      </c>
      <c r="T33">
        <v>615.0</v>
      </c>
      <c r="U33">
        <v>1733.0</v>
      </c>
      <c r="V33">
        <v>655.0</v>
      </c>
      <c r="W33">
        <v>1703.0</v>
      </c>
      <c r="X33">
        <v>716.0</v>
      </c>
      <c r="Y33">
        <v>1709.0</v>
      </c>
    </row>
    <row r="34">
      <c r="A34" s="290">
        <v>30.0</v>
      </c>
      <c r="B34">
        <v>702.0</v>
      </c>
      <c r="C34">
        <v>1746.0</v>
      </c>
      <c r="D34" t="s">
        <v>107</v>
      </c>
      <c r="E34" t="s">
        <v>107</v>
      </c>
      <c r="F34">
        <v>525.0</v>
      </c>
      <c r="G34">
        <v>1906.0</v>
      </c>
      <c r="H34">
        <v>428.0</v>
      </c>
      <c r="I34">
        <v>1949.0</v>
      </c>
      <c r="J34">
        <v>350.0</v>
      </c>
      <c r="K34">
        <v>2027.0</v>
      </c>
      <c r="L34">
        <v>347.0</v>
      </c>
      <c r="M34">
        <v>2041.0</v>
      </c>
      <c r="N34">
        <v>418.0</v>
      </c>
      <c r="O34">
        <v>2016.0</v>
      </c>
      <c r="P34">
        <v>459.0</v>
      </c>
      <c r="Q34">
        <v>1923.0</v>
      </c>
      <c r="R34">
        <v>538.0</v>
      </c>
      <c r="S34">
        <v>1822.0</v>
      </c>
      <c r="T34">
        <v>616.0</v>
      </c>
      <c r="U34">
        <v>1731.0</v>
      </c>
      <c r="V34">
        <v>656.0</v>
      </c>
      <c r="W34">
        <v>1703.0</v>
      </c>
      <c r="X34">
        <v>716.0</v>
      </c>
      <c r="Y34">
        <v>1710.0</v>
      </c>
    </row>
    <row r="35">
      <c r="A35" s="290">
        <v>31.0</v>
      </c>
      <c r="B35">
        <v>701.0</v>
      </c>
      <c r="C35">
        <v>1747.0</v>
      </c>
      <c r="D35" t="s">
        <v>107</v>
      </c>
      <c r="E35" t="s">
        <v>107</v>
      </c>
      <c r="F35">
        <v>523.0</v>
      </c>
      <c r="G35">
        <v>1907.0</v>
      </c>
      <c r="H35" t="s">
        <v>107</v>
      </c>
      <c r="I35" t="s">
        <v>107</v>
      </c>
      <c r="J35">
        <v>349.0</v>
      </c>
      <c r="K35">
        <v>2028.0</v>
      </c>
      <c r="L35" t="s">
        <v>107</v>
      </c>
      <c r="M35" t="s">
        <v>107</v>
      </c>
      <c r="N35">
        <v>419.0</v>
      </c>
      <c r="O35">
        <v>2014.0</v>
      </c>
      <c r="P35">
        <v>500.0</v>
      </c>
      <c r="Q35">
        <v>1921.0</v>
      </c>
      <c r="R35" t="s">
        <v>107</v>
      </c>
      <c r="S35" t="s">
        <v>107</v>
      </c>
      <c r="T35">
        <v>618.0</v>
      </c>
      <c r="U35">
        <v>1730.0</v>
      </c>
      <c r="V35" t="s">
        <v>107</v>
      </c>
      <c r="W35" t="s">
        <v>107</v>
      </c>
      <c r="X35">
        <v>717.0</v>
      </c>
      <c r="Y35">
        <v>1711.0</v>
      </c>
    </row>
    <row r="37">
      <c r="A37" s="106" t="s">
        <v>199</v>
      </c>
    </row>
    <row r="38">
      <c r="B38" t="s">
        <v>184</v>
      </c>
      <c r="D38" t="s">
        <v>185</v>
      </c>
      <c r="F38" t="s">
        <v>186</v>
      </c>
      <c r="H38" t="s">
        <v>187</v>
      </c>
      <c r="J38" t="s">
        <v>188</v>
      </c>
      <c r="L38" t="s">
        <v>189</v>
      </c>
      <c r="N38" t="s">
        <v>190</v>
      </c>
      <c r="P38" t="s">
        <v>191</v>
      </c>
      <c r="R38" t="s">
        <v>192</v>
      </c>
      <c r="T38" t="s">
        <v>193</v>
      </c>
      <c r="V38" t="s">
        <v>194</v>
      </c>
      <c r="X38" t="s">
        <v>195</v>
      </c>
    </row>
    <row r="39">
      <c r="A39" s="290" t="s">
        <v>196</v>
      </c>
      <c r="B39" t="s">
        <v>197</v>
      </c>
      <c r="C39" t="s">
        <v>198</v>
      </c>
      <c r="D39" t="s">
        <v>197</v>
      </c>
      <c r="E39" t="s">
        <v>198</v>
      </c>
      <c r="F39" t="s">
        <v>197</v>
      </c>
      <c r="G39" t="s">
        <v>198</v>
      </c>
      <c r="H39" t="s">
        <v>197</v>
      </c>
      <c r="I39" t="s">
        <v>198</v>
      </c>
      <c r="J39" t="s">
        <v>197</v>
      </c>
      <c r="K39" t="s">
        <v>198</v>
      </c>
      <c r="L39" t="s">
        <v>197</v>
      </c>
      <c r="M39" t="s">
        <v>198</v>
      </c>
      <c r="N39" t="s">
        <v>197</v>
      </c>
      <c r="O39" t="s">
        <v>198</v>
      </c>
      <c r="P39" t="s">
        <v>197</v>
      </c>
      <c r="Q39" t="s">
        <v>198</v>
      </c>
      <c r="R39" t="s">
        <v>197</v>
      </c>
      <c r="S39" t="s">
        <v>198</v>
      </c>
      <c r="T39" t="s">
        <v>197</v>
      </c>
      <c r="U39" t="s">
        <v>198</v>
      </c>
      <c r="V39" t="s">
        <v>197</v>
      </c>
      <c r="W39" t="s">
        <v>198</v>
      </c>
      <c r="X39" t="s">
        <v>197</v>
      </c>
      <c r="Y39" t="s">
        <v>198</v>
      </c>
    </row>
    <row r="40">
      <c r="A40" s="290">
        <v>1.0</v>
      </c>
      <c r="B40">
        <v>717.0</v>
      </c>
      <c r="C40">
        <v>1712.0</v>
      </c>
      <c r="D40">
        <v>700.0</v>
      </c>
      <c r="E40">
        <v>1748.0</v>
      </c>
      <c r="F40">
        <v>618.0</v>
      </c>
      <c r="G40">
        <v>1828.0</v>
      </c>
      <c r="H40">
        <v>520.0</v>
      </c>
      <c r="I40">
        <v>1910.0</v>
      </c>
      <c r="J40">
        <v>425.0</v>
      </c>
      <c r="K40">
        <v>1951.0</v>
      </c>
      <c r="L40">
        <v>348.0</v>
      </c>
      <c r="M40">
        <v>2030.0</v>
      </c>
      <c r="N40">
        <v>348.0</v>
      </c>
      <c r="O40">
        <v>2041.0</v>
      </c>
      <c r="P40">
        <v>421.0</v>
      </c>
      <c r="Q40">
        <v>2012.0</v>
      </c>
      <c r="R40">
        <v>502.0</v>
      </c>
      <c r="S40">
        <v>1918.0</v>
      </c>
      <c r="T40">
        <v>540.0</v>
      </c>
      <c r="U40">
        <v>1819.0</v>
      </c>
      <c r="V40">
        <v>620.0</v>
      </c>
      <c r="W40">
        <v>1728.0</v>
      </c>
      <c r="X40">
        <v>658.0</v>
      </c>
      <c r="Y40">
        <v>1702.0</v>
      </c>
    </row>
    <row r="41">
      <c r="A41" s="290">
        <v>2.0</v>
      </c>
      <c r="B41">
        <v>717.0</v>
      </c>
      <c r="C41">
        <v>1712.0</v>
      </c>
      <c r="D41">
        <v>659.0</v>
      </c>
      <c r="E41">
        <v>1750.0</v>
      </c>
      <c r="F41">
        <v>616.0</v>
      </c>
      <c r="G41">
        <v>1830.0</v>
      </c>
      <c r="H41">
        <v>518.0</v>
      </c>
      <c r="I41">
        <v>1911.0</v>
      </c>
      <c r="J41">
        <v>423.0</v>
      </c>
      <c r="K41">
        <v>1953.0</v>
      </c>
      <c r="L41">
        <v>347.0</v>
      </c>
      <c r="M41">
        <v>2031.0</v>
      </c>
      <c r="N41">
        <v>349.0</v>
      </c>
      <c r="O41">
        <v>2040.0</v>
      </c>
      <c r="P41">
        <v>422.0</v>
      </c>
      <c r="Q41">
        <v>2010.0</v>
      </c>
      <c r="R41">
        <v>503.0</v>
      </c>
      <c r="S41">
        <v>1916.0</v>
      </c>
      <c r="T41">
        <v>541.0</v>
      </c>
      <c r="U41">
        <v>1817.0</v>
      </c>
      <c r="V41">
        <v>621.0</v>
      </c>
      <c r="W41">
        <v>1726.0</v>
      </c>
      <c r="X41">
        <v>659.0</v>
      </c>
      <c r="Y41">
        <v>1702.0</v>
      </c>
    </row>
    <row r="42">
      <c r="A42" s="290">
        <v>3.0</v>
      </c>
      <c r="B42">
        <v>717.0</v>
      </c>
      <c r="C42">
        <v>1713.0</v>
      </c>
      <c r="D42">
        <v>658.0</v>
      </c>
      <c r="E42">
        <v>1751.0</v>
      </c>
      <c r="F42">
        <v>615.0</v>
      </c>
      <c r="G42">
        <v>1831.0</v>
      </c>
      <c r="H42">
        <v>516.0</v>
      </c>
      <c r="I42">
        <v>1912.0</v>
      </c>
      <c r="J42">
        <v>422.0</v>
      </c>
      <c r="K42">
        <v>1954.0</v>
      </c>
      <c r="L42">
        <v>347.0</v>
      </c>
      <c r="M42">
        <v>2032.0</v>
      </c>
      <c r="N42">
        <v>350.0</v>
      </c>
      <c r="O42">
        <v>2040.0</v>
      </c>
      <c r="P42">
        <v>424.0</v>
      </c>
      <c r="Q42">
        <v>2009.0</v>
      </c>
      <c r="R42">
        <v>505.0</v>
      </c>
      <c r="S42">
        <v>1914.0</v>
      </c>
      <c r="T42">
        <v>543.0</v>
      </c>
      <c r="U42">
        <v>1815.0</v>
      </c>
      <c r="V42">
        <v>623.0</v>
      </c>
      <c r="W42">
        <v>1725.0</v>
      </c>
      <c r="X42">
        <v>700.0</v>
      </c>
      <c r="Y42">
        <v>1701.0</v>
      </c>
    </row>
    <row r="43">
      <c r="A43" s="290">
        <v>4.0</v>
      </c>
      <c r="B43">
        <v>717.0</v>
      </c>
      <c r="C43">
        <v>1714.0</v>
      </c>
      <c r="D43">
        <v>657.0</v>
      </c>
      <c r="E43">
        <v>1753.0</v>
      </c>
      <c r="F43">
        <v>613.0</v>
      </c>
      <c r="G43">
        <v>1832.0</v>
      </c>
      <c r="H43">
        <v>514.0</v>
      </c>
      <c r="I43">
        <v>1914.0</v>
      </c>
      <c r="J43">
        <v>420.0</v>
      </c>
      <c r="K43">
        <v>1955.0</v>
      </c>
      <c r="L43">
        <v>346.0</v>
      </c>
      <c r="M43">
        <v>2032.0</v>
      </c>
      <c r="N43">
        <v>351.0</v>
      </c>
      <c r="O43">
        <v>2039.0</v>
      </c>
      <c r="P43">
        <v>425.0</v>
      </c>
      <c r="Q43">
        <v>2007.0</v>
      </c>
      <c r="R43">
        <v>506.0</v>
      </c>
      <c r="S43">
        <v>1912.0</v>
      </c>
      <c r="T43">
        <v>544.0</v>
      </c>
      <c r="U43">
        <v>1813.0</v>
      </c>
      <c r="V43">
        <v>624.0</v>
      </c>
      <c r="W43">
        <v>1724.0</v>
      </c>
      <c r="X43">
        <v>701.0</v>
      </c>
      <c r="Y43">
        <v>1701.0</v>
      </c>
    </row>
    <row r="44">
      <c r="A44" s="290">
        <v>5.0</v>
      </c>
      <c r="B44">
        <v>717.0</v>
      </c>
      <c r="C44">
        <v>1715.0</v>
      </c>
      <c r="D44">
        <v>656.0</v>
      </c>
      <c r="E44">
        <v>1754.0</v>
      </c>
      <c r="F44">
        <v>611.0</v>
      </c>
      <c r="G44">
        <v>1834.0</v>
      </c>
      <c r="H44">
        <v>512.0</v>
      </c>
      <c r="I44">
        <v>1915.0</v>
      </c>
      <c r="J44">
        <v>419.0</v>
      </c>
      <c r="K44">
        <v>1957.0</v>
      </c>
      <c r="L44">
        <v>346.0</v>
      </c>
      <c r="M44">
        <v>2033.0</v>
      </c>
      <c r="N44">
        <v>351.0</v>
      </c>
      <c r="O44">
        <v>2039.0</v>
      </c>
      <c r="P44">
        <v>426.0</v>
      </c>
      <c r="Q44">
        <v>2006.0</v>
      </c>
      <c r="R44">
        <v>507.0</v>
      </c>
      <c r="S44">
        <v>1910.0</v>
      </c>
      <c r="T44">
        <v>545.0</v>
      </c>
      <c r="U44">
        <v>1812.0</v>
      </c>
      <c r="V44">
        <v>625.0</v>
      </c>
      <c r="W44">
        <v>1722.0</v>
      </c>
      <c r="X44">
        <v>702.0</v>
      </c>
      <c r="Y44">
        <v>1701.0</v>
      </c>
    </row>
    <row r="45">
      <c r="A45" s="290">
        <v>6.0</v>
      </c>
      <c r="B45">
        <v>717.0</v>
      </c>
      <c r="C45">
        <v>1716.0</v>
      </c>
      <c r="D45">
        <v>655.0</v>
      </c>
      <c r="E45">
        <v>1755.0</v>
      </c>
      <c r="F45">
        <v>609.0</v>
      </c>
      <c r="G45">
        <v>1835.0</v>
      </c>
      <c r="H45">
        <v>510.0</v>
      </c>
      <c r="I45">
        <v>1917.0</v>
      </c>
      <c r="J45">
        <v>417.0</v>
      </c>
      <c r="K45">
        <v>1958.0</v>
      </c>
      <c r="L45">
        <v>345.0</v>
      </c>
      <c r="M45">
        <v>2034.0</v>
      </c>
      <c r="N45">
        <v>352.0</v>
      </c>
      <c r="O45">
        <v>2039.0</v>
      </c>
      <c r="P45">
        <v>428.0</v>
      </c>
      <c r="Q45">
        <v>2004.0</v>
      </c>
      <c r="R45">
        <v>509.0</v>
      </c>
      <c r="S45">
        <v>1908.0</v>
      </c>
      <c r="T45">
        <v>546.0</v>
      </c>
      <c r="U45">
        <v>1810.0</v>
      </c>
      <c r="V45">
        <v>627.0</v>
      </c>
      <c r="W45">
        <v>1721.0</v>
      </c>
      <c r="X45">
        <v>703.0</v>
      </c>
      <c r="Y45">
        <v>1701.0</v>
      </c>
    </row>
    <row r="46">
      <c r="A46" s="290">
        <v>7.0</v>
      </c>
      <c r="B46">
        <v>717.0</v>
      </c>
      <c r="C46">
        <v>1717.0</v>
      </c>
      <c r="D46">
        <v>653.0</v>
      </c>
      <c r="E46">
        <v>1757.0</v>
      </c>
      <c r="F46">
        <v>607.0</v>
      </c>
      <c r="G46">
        <v>1836.0</v>
      </c>
      <c r="H46">
        <v>508.0</v>
      </c>
      <c r="I46">
        <v>1918.0</v>
      </c>
      <c r="J46">
        <v>416.0</v>
      </c>
      <c r="K46">
        <v>2000.0</v>
      </c>
      <c r="L46">
        <v>345.0</v>
      </c>
      <c r="M46">
        <v>2035.0</v>
      </c>
      <c r="N46">
        <v>353.0</v>
      </c>
      <c r="O46">
        <v>2038.0</v>
      </c>
      <c r="P46">
        <v>429.0</v>
      </c>
      <c r="Q46">
        <v>2003.0</v>
      </c>
      <c r="R46">
        <v>510.0</v>
      </c>
      <c r="S46">
        <v>1906.0</v>
      </c>
      <c r="T46">
        <v>548.0</v>
      </c>
      <c r="U46">
        <v>1808.0</v>
      </c>
      <c r="V46">
        <v>628.0</v>
      </c>
      <c r="W46">
        <v>1720.0</v>
      </c>
      <c r="X46">
        <v>704.0</v>
      </c>
      <c r="Y46">
        <v>1701.0</v>
      </c>
    </row>
    <row r="47">
      <c r="A47" s="290">
        <v>8.0</v>
      </c>
      <c r="B47">
        <v>716.0</v>
      </c>
      <c r="C47">
        <v>1718.0</v>
      </c>
      <c r="D47">
        <v>652.0</v>
      </c>
      <c r="E47">
        <v>1758.0</v>
      </c>
      <c r="F47">
        <v>606.0</v>
      </c>
      <c r="G47">
        <v>1838.0</v>
      </c>
      <c r="H47">
        <v>506.0</v>
      </c>
      <c r="I47">
        <v>1919.0</v>
      </c>
      <c r="J47">
        <v>414.0</v>
      </c>
      <c r="K47">
        <v>2001.0</v>
      </c>
      <c r="L47">
        <v>345.0</v>
      </c>
      <c r="M47">
        <v>2036.0</v>
      </c>
      <c r="N47">
        <v>354.0</v>
      </c>
      <c r="O47">
        <v>2037.0</v>
      </c>
      <c r="P47">
        <v>430.0</v>
      </c>
      <c r="Q47">
        <v>2001.0</v>
      </c>
      <c r="R47">
        <v>511.0</v>
      </c>
      <c r="S47">
        <v>1904.0</v>
      </c>
      <c r="T47">
        <v>549.0</v>
      </c>
      <c r="U47">
        <v>1806.0</v>
      </c>
      <c r="V47">
        <v>629.0</v>
      </c>
      <c r="W47">
        <v>1719.0</v>
      </c>
      <c r="X47">
        <v>704.0</v>
      </c>
      <c r="Y47">
        <v>1701.0</v>
      </c>
    </row>
    <row r="48">
      <c r="A48" s="290">
        <v>9.0</v>
      </c>
      <c r="B48">
        <v>716.0</v>
      </c>
      <c r="C48">
        <v>1719.0</v>
      </c>
      <c r="D48">
        <v>651.0</v>
      </c>
      <c r="E48">
        <v>1759.0</v>
      </c>
      <c r="F48">
        <v>604.0</v>
      </c>
      <c r="G48">
        <v>1839.0</v>
      </c>
      <c r="H48">
        <v>504.0</v>
      </c>
      <c r="I48">
        <v>1921.0</v>
      </c>
      <c r="J48">
        <v>413.0</v>
      </c>
      <c r="K48">
        <v>2002.0</v>
      </c>
      <c r="L48">
        <v>344.0</v>
      </c>
      <c r="M48">
        <v>2036.0</v>
      </c>
      <c r="N48">
        <v>355.0</v>
      </c>
      <c r="O48">
        <v>2037.0</v>
      </c>
      <c r="P48">
        <v>432.0</v>
      </c>
      <c r="Q48">
        <v>1959.0</v>
      </c>
      <c r="R48">
        <v>512.0</v>
      </c>
      <c r="S48">
        <v>1902.0</v>
      </c>
      <c r="T48">
        <v>550.0</v>
      </c>
      <c r="U48">
        <v>1804.0</v>
      </c>
      <c r="V48">
        <v>631.0</v>
      </c>
      <c r="W48">
        <v>1718.0</v>
      </c>
      <c r="X48">
        <v>705.0</v>
      </c>
      <c r="Y48">
        <v>1701.0</v>
      </c>
    </row>
    <row r="49">
      <c r="A49" s="290">
        <v>10.0</v>
      </c>
      <c r="B49">
        <v>716.0</v>
      </c>
      <c r="C49">
        <v>1721.0</v>
      </c>
      <c r="D49">
        <v>649.0</v>
      </c>
      <c r="E49">
        <v>1801.0</v>
      </c>
      <c r="F49">
        <v>602.0</v>
      </c>
      <c r="G49">
        <v>1840.0</v>
      </c>
      <c r="H49">
        <v>502.0</v>
      </c>
      <c r="I49">
        <v>1922.0</v>
      </c>
      <c r="J49">
        <v>411.0</v>
      </c>
      <c r="K49">
        <v>2004.0</v>
      </c>
      <c r="L49">
        <v>344.0</v>
      </c>
      <c r="M49">
        <v>2037.0</v>
      </c>
      <c r="N49">
        <v>356.0</v>
      </c>
      <c r="O49">
        <v>2036.0</v>
      </c>
      <c r="P49">
        <v>433.0</v>
      </c>
      <c r="Q49">
        <v>1958.0</v>
      </c>
      <c r="R49">
        <v>514.0</v>
      </c>
      <c r="S49">
        <v>1900.0</v>
      </c>
      <c r="T49">
        <v>551.0</v>
      </c>
      <c r="U49">
        <v>1803.0</v>
      </c>
      <c r="V49">
        <v>632.0</v>
      </c>
      <c r="W49">
        <v>1717.0</v>
      </c>
      <c r="X49">
        <v>706.0</v>
      </c>
      <c r="Y49">
        <v>1701.0</v>
      </c>
    </row>
    <row r="50">
      <c r="A50" s="290">
        <v>11.0</v>
      </c>
      <c r="B50">
        <v>716.0</v>
      </c>
      <c r="C50">
        <v>1722.0</v>
      </c>
      <c r="D50">
        <v>648.0</v>
      </c>
      <c r="E50">
        <v>1802.0</v>
      </c>
      <c r="F50">
        <v>600.0</v>
      </c>
      <c r="G50">
        <v>1842.0</v>
      </c>
      <c r="H50">
        <v>500.0</v>
      </c>
      <c r="I50">
        <v>1923.0</v>
      </c>
      <c r="J50">
        <v>410.0</v>
      </c>
      <c r="K50">
        <v>2005.0</v>
      </c>
      <c r="L50">
        <v>344.0</v>
      </c>
      <c r="M50">
        <v>2037.0</v>
      </c>
      <c r="N50">
        <v>357.0</v>
      </c>
      <c r="O50">
        <v>2035.0</v>
      </c>
      <c r="P50">
        <v>434.0</v>
      </c>
      <c r="Q50">
        <v>1956.0</v>
      </c>
      <c r="R50">
        <v>515.0</v>
      </c>
      <c r="S50">
        <v>1858.0</v>
      </c>
      <c r="T50">
        <v>553.0</v>
      </c>
      <c r="U50">
        <v>1801.0</v>
      </c>
      <c r="V50">
        <v>633.0</v>
      </c>
      <c r="W50">
        <v>1716.0</v>
      </c>
      <c r="X50">
        <v>707.0</v>
      </c>
      <c r="Y50">
        <v>1701.0</v>
      </c>
    </row>
    <row r="51">
      <c r="A51" s="290">
        <v>12.0</v>
      </c>
      <c r="B51">
        <v>715.0</v>
      </c>
      <c r="C51">
        <v>1723.0</v>
      </c>
      <c r="D51">
        <v>647.0</v>
      </c>
      <c r="E51">
        <v>1804.0</v>
      </c>
      <c r="F51">
        <v>558.0</v>
      </c>
      <c r="G51">
        <v>1843.0</v>
      </c>
      <c r="H51">
        <v>459.0</v>
      </c>
      <c r="I51">
        <v>1925.0</v>
      </c>
      <c r="J51">
        <v>408.0</v>
      </c>
      <c r="K51">
        <v>2006.0</v>
      </c>
      <c r="L51">
        <v>344.0</v>
      </c>
      <c r="M51">
        <v>2038.0</v>
      </c>
      <c r="N51">
        <v>358.0</v>
      </c>
      <c r="O51">
        <v>2035.0</v>
      </c>
      <c r="P51">
        <v>436.0</v>
      </c>
      <c r="Q51">
        <v>1954.0</v>
      </c>
      <c r="R51">
        <v>516.0</v>
      </c>
      <c r="S51">
        <v>1856.0</v>
      </c>
      <c r="T51">
        <v>554.0</v>
      </c>
      <c r="U51">
        <v>1759.0</v>
      </c>
      <c r="V51">
        <v>635.0</v>
      </c>
      <c r="W51">
        <v>1715.0</v>
      </c>
      <c r="X51">
        <v>708.0</v>
      </c>
      <c r="Y51">
        <v>1701.0</v>
      </c>
    </row>
    <row r="52">
      <c r="A52" s="290">
        <v>13.0</v>
      </c>
      <c r="B52">
        <v>715.0</v>
      </c>
      <c r="C52">
        <v>1724.0</v>
      </c>
      <c r="D52">
        <v>645.0</v>
      </c>
      <c r="E52">
        <v>1805.0</v>
      </c>
      <c r="F52">
        <v>556.0</v>
      </c>
      <c r="G52">
        <v>1844.0</v>
      </c>
      <c r="H52">
        <v>457.0</v>
      </c>
      <c r="I52">
        <v>1926.0</v>
      </c>
      <c r="J52">
        <v>407.0</v>
      </c>
      <c r="K52">
        <v>2008.0</v>
      </c>
      <c r="L52">
        <v>343.0</v>
      </c>
      <c r="M52">
        <v>2039.0</v>
      </c>
      <c r="N52">
        <v>359.0</v>
      </c>
      <c r="O52">
        <v>2034.0</v>
      </c>
      <c r="P52">
        <v>437.0</v>
      </c>
      <c r="Q52">
        <v>1953.0</v>
      </c>
      <c r="R52">
        <v>517.0</v>
      </c>
      <c r="S52">
        <v>1854.0</v>
      </c>
      <c r="T52">
        <v>555.0</v>
      </c>
      <c r="U52">
        <v>1757.0</v>
      </c>
      <c r="V52">
        <v>636.0</v>
      </c>
      <c r="W52">
        <v>1714.0</v>
      </c>
      <c r="X52">
        <v>709.0</v>
      </c>
      <c r="Y52">
        <v>1701.0</v>
      </c>
    </row>
    <row r="53">
      <c r="A53" s="290">
        <v>14.0</v>
      </c>
      <c r="B53">
        <v>714.0</v>
      </c>
      <c r="C53">
        <v>1725.0</v>
      </c>
      <c r="D53">
        <v>644.0</v>
      </c>
      <c r="E53">
        <v>1806.0</v>
      </c>
      <c r="F53">
        <v>554.0</v>
      </c>
      <c r="G53">
        <v>1846.0</v>
      </c>
      <c r="H53">
        <v>455.0</v>
      </c>
      <c r="I53">
        <v>1928.0</v>
      </c>
      <c r="J53">
        <v>406.0</v>
      </c>
      <c r="K53">
        <v>2009.0</v>
      </c>
      <c r="L53">
        <v>343.0</v>
      </c>
      <c r="M53">
        <v>2039.0</v>
      </c>
      <c r="N53">
        <v>400.0</v>
      </c>
      <c r="O53">
        <v>2033.0</v>
      </c>
      <c r="P53">
        <v>438.0</v>
      </c>
      <c r="Q53">
        <v>1951.0</v>
      </c>
      <c r="R53">
        <v>519.0</v>
      </c>
      <c r="S53">
        <v>1852.0</v>
      </c>
      <c r="T53">
        <v>557.0</v>
      </c>
      <c r="U53">
        <v>1756.0</v>
      </c>
      <c r="V53">
        <v>637.0</v>
      </c>
      <c r="W53">
        <v>1713.0</v>
      </c>
      <c r="X53">
        <v>709.0</v>
      </c>
      <c r="Y53">
        <v>1702.0</v>
      </c>
    </row>
    <row r="54">
      <c r="A54" s="290">
        <v>15.0</v>
      </c>
      <c r="B54">
        <v>714.0</v>
      </c>
      <c r="C54">
        <v>1726.0</v>
      </c>
      <c r="D54">
        <v>642.0</v>
      </c>
      <c r="E54">
        <v>1808.0</v>
      </c>
      <c r="F54">
        <v>552.0</v>
      </c>
      <c r="G54">
        <v>1847.0</v>
      </c>
      <c r="H54">
        <v>453.0</v>
      </c>
      <c r="I54">
        <v>1929.0</v>
      </c>
      <c r="J54">
        <v>404.0</v>
      </c>
      <c r="K54">
        <v>2010.0</v>
      </c>
      <c r="L54">
        <v>343.0</v>
      </c>
      <c r="M54">
        <v>2040.0</v>
      </c>
      <c r="N54">
        <v>401.0</v>
      </c>
      <c r="O54">
        <v>2032.0</v>
      </c>
      <c r="P54">
        <v>440.0</v>
      </c>
      <c r="Q54">
        <v>1949.0</v>
      </c>
      <c r="R54">
        <v>520.0</v>
      </c>
      <c r="S54">
        <v>1850.0</v>
      </c>
      <c r="T54">
        <v>558.0</v>
      </c>
      <c r="U54">
        <v>1754.0</v>
      </c>
      <c r="V54">
        <v>638.0</v>
      </c>
      <c r="W54">
        <v>1712.0</v>
      </c>
      <c r="X54">
        <v>710.0</v>
      </c>
      <c r="Y54">
        <v>1702.0</v>
      </c>
    </row>
    <row r="55">
      <c r="A55" s="290">
        <v>16.0</v>
      </c>
      <c r="B55">
        <v>713.0</v>
      </c>
      <c r="C55">
        <v>1727.0</v>
      </c>
      <c r="D55">
        <v>641.0</v>
      </c>
      <c r="E55">
        <v>1809.0</v>
      </c>
      <c r="F55">
        <v>551.0</v>
      </c>
      <c r="G55">
        <v>1848.0</v>
      </c>
      <c r="H55">
        <v>451.0</v>
      </c>
      <c r="I55">
        <v>1930.0</v>
      </c>
      <c r="J55">
        <v>403.0</v>
      </c>
      <c r="K55">
        <v>2012.0</v>
      </c>
      <c r="L55">
        <v>343.0</v>
      </c>
      <c r="M55">
        <v>2040.0</v>
      </c>
      <c r="N55">
        <v>402.0</v>
      </c>
      <c r="O55">
        <v>2031.0</v>
      </c>
      <c r="P55">
        <v>441.0</v>
      </c>
      <c r="Q55">
        <v>1947.0</v>
      </c>
      <c r="R55">
        <v>521.0</v>
      </c>
      <c r="S55">
        <v>1848.0</v>
      </c>
      <c r="T55">
        <v>559.0</v>
      </c>
      <c r="U55">
        <v>1752.0</v>
      </c>
      <c r="V55">
        <v>640.0</v>
      </c>
      <c r="W55">
        <v>1711.0</v>
      </c>
      <c r="X55">
        <v>711.0</v>
      </c>
      <c r="Y55">
        <v>1702.0</v>
      </c>
    </row>
    <row r="56">
      <c r="A56" s="290">
        <v>17.0</v>
      </c>
      <c r="B56">
        <v>713.0</v>
      </c>
      <c r="C56">
        <v>1729.0</v>
      </c>
      <c r="D56">
        <v>639.0</v>
      </c>
      <c r="E56">
        <v>1810.0</v>
      </c>
      <c r="F56">
        <v>549.0</v>
      </c>
      <c r="G56">
        <v>1850.0</v>
      </c>
      <c r="H56">
        <v>449.0</v>
      </c>
      <c r="I56">
        <v>1932.0</v>
      </c>
      <c r="J56">
        <v>402.0</v>
      </c>
      <c r="K56">
        <v>2013.0</v>
      </c>
      <c r="L56">
        <v>343.0</v>
      </c>
      <c r="M56">
        <v>2040.0</v>
      </c>
      <c r="N56">
        <v>403.0</v>
      </c>
      <c r="O56">
        <v>2030.0</v>
      </c>
      <c r="P56">
        <v>442.0</v>
      </c>
      <c r="Q56">
        <v>1946.0</v>
      </c>
      <c r="R56">
        <v>523.0</v>
      </c>
      <c r="S56">
        <v>1846.0</v>
      </c>
      <c r="T56">
        <v>600.0</v>
      </c>
      <c r="U56">
        <v>1750.0</v>
      </c>
      <c r="V56">
        <v>641.0</v>
      </c>
      <c r="W56">
        <v>1710.0</v>
      </c>
      <c r="X56">
        <v>711.0</v>
      </c>
      <c r="Y56">
        <v>1703.0</v>
      </c>
    </row>
    <row r="57">
      <c r="A57" s="290">
        <v>18.0</v>
      </c>
      <c r="B57">
        <v>712.0</v>
      </c>
      <c r="C57">
        <v>1730.0</v>
      </c>
      <c r="D57">
        <v>638.0</v>
      </c>
      <c r="E57">
        <v>1812.0</v>
      </c>
      <c r="F57">
        <v>547.0</v>
      </c>
      <c r="G57">
        <v>1851.0</v>
      </c>
      <c r="H57">
        <v>447.0</v>
      </c>
      <c r="I57">
        <v>1933.0</v>
      </c>
      <c r="J57">
        <v>401.0</v>
      </c>
      <c r="K57">
        <v>2014.0</v>
      </c>
      <c r="L57">
        <v>343.0</v>
      </c>
      <c r="M57">
        <v>2041.0</v>
      </c>
      <c r="N57">
        <v>404.0</v>
      </c>
      <c r="O57">
        <v>2029.0</v>
      </c>
      <c r="P57">
        <v>444.0</v>
      </c>
      <c r="Q57">
        <v>1944.0</v>
      </c>
      <c r="R57">
        <v>524.0</v>
      </c>
      <c r="S57">
        <v>1844.0</v>
      </c>
      <c r="T57">
        <v>602.0</v>
      </c>
      <c r="U57">
        <v>1749.0</v>
      </c>
      <c r="V57">
        <v>642.0</v>
      </c>
      <c r="W57">
        <v>1709.0</v>
      </c>
      <c r="X57">
        <v>712.0</v>
      </c>
      <c r="Y57">
        <v>1703.0</v>
      </c>
    </row>
    <row r="58">
      <c r="A58" s="290">
        <v>19.0</v>
      </c>
      <c r="B58">
        <v>712.0</v>
      </c>
      <c r="C58">
        <v>1731.0</v>
      </c>
      <c r="D58">
        <v>636.0</v>
      </c>
      <c r="E58">
        <v>1813.0</v>
      </c>
      <c r="F58">
        <v>545.0</v>
      </c>
      <c r="G58">
        <v>1852.0</v>
      </c>
      <c r="H58">
        <v>446.0</v>
      </c>
      <c r="I58">
        <v>1934.0</v>
      </c>
      <c r="J58">
        <v>400.0</v>
      </c>
      <c r="K58">
        <v>2015.0</v>
      </c>
      <c r="L58">
        <v>344.0</v>
      </c>
      <c r="M58">
        <v>2041.0</v>
      </c>
      <c r="N58">
        <v>405.0</v>
      </c>
      <c r="O58">
        <v>2028.0</v>
      </c>
      <c r="P58">
        <v>445.0</v>
      </c>
      <c r="Q58">
        <v>1942.0</v>
      </c>
      <c r="R58">
        <v>525.0</v>
      </c>
      <c r="S58">
        <v>1842.0</v>
      </c>
      <c r="T58">
        <v>603.0</v>
      </c>
      <c r="U58">
        <v>1747.0</v>
      </c>
      <c r="V58">
        <v>644.0</v>
      </c>
      <c r="W58">
        <v>1708.0</v>
      </c>
      <c r="X58">
        <v>713.0</v>
      </c>
      <c r="Y58">
        <v>1703.0</v>
      </c>
    </row>
    <row r="59">
      <c r="A59" s="290">
        <v>20.0</v>
      </c>
      <c r="B59">
        <v>711.0</v>
      </c>
      <c r="C59">
        <v>1732.0</v>
      </c>
      <c r="D59">
        <v>635.0</v>
      </c>
      <c r="E59">
        <v>1815.0</v>
      </c>
      <c r="F59">
        <v>543.0</v>
      </c>
      <c r="G59">
        <v>1854.0</v>
      </c>
      <c r="H59">
        <v>444.0</v>
      </c>
      <c r="I59">
        <v>1936.0</v>
      </c>
      <c r="J59">
        <v>359.0</v>
      </c>
      <c r="K59">
        <v>2017.0</v>
      </c>
      <c r="L59">
        <v>344.0</v>
      </c>
      <c r="M59">
        <v>2041.0</v>
      </c>
      <c r="N59">
        <v>406.0</v>
      </c>
      <c r="O59">
        <v>2027.0</v>
      </c>
      <c r="P59">
        <v>446.0</v>
      </c>
      <c r="Q59">
        <v>1940.0</v>
      </c>
      <c r="R59">
        <v>526.0</v>
      </c>
      <c r="S59">
        <v>1840.0</v>
      </c>
      <c r="T59">
        <v>604.0</v>
      </c>
      <c r="U59">
        <v>1745.0</v>
      </c>
      <c r="V59">
        <v>645.0</v>
      </c>
      <c r="W59">
        <v>1708.0</v>
      </c>
      <c r="X59">
        <v>713.0</v>
      </c>
      <c r="Y59">
        <v>1704.0</v>
      </c>
    </row>
    <row r="60">
      <c r="A60" s="290">
        <v>21.0</v>
      </c>
      <c r="B60">
        <v>710.0</v>
      </c>
      <c r="C60">
        <v>1734.0</v>
      </c>
      <c r="D60">
        <v>633.0</v>
      </c>
      <c r="E60">
        <v>1816.0</v>
      </c>
      <c r="F60">
        <v>541.0</v>
      </c>
      <c r="G60">
        <v>1855.0</v>
      </c>
      <c r="H60">
        <v>442.0</v>
      </c>
      <c r="I60">
        <v>1937.0</v>
      </c>
      <c r="J60">
        <v>357.0</v>
      </c>
      <c r="K60">
        <v>2018.0</v>
      </c>
      <c r="L60">
        <v>344.0</v>
      </c>
      <c r="M60">
        <v>2041.0</v>
      </c>
      <c r="N60">
        <v>407.0</v>
      </c>
      <c r="O60">
        <v>2026.0</v>
      </c>
      <c r="P60">
        <v>448.0</v>
      </c>
      <c r="Q60">
        <v>1938.0</v>
      </c>
      <c r="R60">
        <v>528.0</v>
      </c>
      <c r="S60">
        <v>1838.0</v>
      </c>
      <c r="T60">
        <v>606.0</v>
      </c>
      <c r="U60">
        <v>1744.0</v>
      </c>
      <c r="V60">
        <v>646.0</v>
      </c>
      <c r="W60">
        <v>1707.0</v>
      </c>
      <c r="X60">
        <v>714.0</v>
      </c>
      <c r="Y60">
        <v>1704.0</v>
      </c>
    </row>
    <row r="61">
      <c r="A61" s="290">
        <v>22.0</v>
      </c>
      <c r="B61">
        <v>710.0</v>
      </c>
      <c r="C61">
        <v>1735.0</v>
      </c>
      <c r="D61">
        <v>632.0</v>
      </c>
      <c r="E61">
        <v>1817.0</v>
      </c>
      <c r="F61">
        <v>539.0</v>
      </c>
      <c r="G61">
        <v>1856.0</v>
      </c>
      <c r="H61">
        <v>440.0</v>
      </c>
      <c r="I61">
        <v>1939.0</v>
      </c>
      <c r="J61">
        <v>356.0</v>
      </c>
      <c r="K61">
        <v>2019.0</v>
      </c>
      <c r="L61">
        <v>344.0</v>
      </c>
      <c r="M61">
        <v>2041.0</v>
      </c>
      <c r="N61">
        <v>409.0</v>
      </c>
      <c r="O61">
        <v>2025.0</v>
      </c>
      <c r="P61">
        <v>449.0</v>
      </c>
      <c r="Q61">
        <v>1937.0</v>
      </c>
      <c r="R61">
        <v>529.0</v>
      </c>
      <c r="S61">
        <v>1836.0</v>
      </c>
      <c r="T61">
        <v>607.0</v>
      </c>
      <c r="U61">
        <v>1742.0</v>
      </c>
      <c r="V61">
        <v>647.0</v>
      </c>
      <c r="W61">
        <v>1706.0</v>
      </c>
      <c r="X61">
        <v>714.0</v>
      </c>
      <c r="Y61">
        <v>1705.0</v>
      </c>
    </row>
    <row r="62">
      <c r="A62" s="290">
        <v>23.0</v>
      </c>
      <c r="B62">
        <v>709.0</v>
      </c>
      <c r="C62">
        <v>1736.0</v>
      </c>
      <c r="D62">
        <v>630.0</v>
      </c>
      <c r="E62">
        <v>1819.0</v>
      </c>
      <c r="F62">
        <v>537.0</v>
      </c>
      <c r="G62">
        <v>1858.0</v>
      </c>
      <c r="H62">
        <v>439.0</v>
      </c>
      <c r="I62">
        <v>1940.0</v>
      </c>
      <c r="J62">
        <v>355.0</v>
      </c>
      <c r="K62">
        <v>2020.0</v>
      </c>
      <c r="L62">
        <v>344.0</v>
      </c>
      <c r="M62">
        <v>2042.0</v>
      </c>
      <c r="N62">
        <v>410.0</v>
      </c>
      <c r="O62">
        <v>2024.0</v>
      </c>
      <c r="P62">
        <v>450.0</v>
      </c>
      <c r="Q62">
        <v>1935.0</v>
      </c>
      <c r="R62">
        <v>530.0</v>
      </c>
      <c r="S62">
        <v>1834.0</v>
      </c>
      <c r="T62">
        <v>608.0</v>
      </c>
      <c r="U62">
        <v>1741.0</v>
      </c>
      <c r="V62">
        <v>648.0</v>
      </c>
      <c r="W62">
        <v>1706.0</v>
      </c>
      <c r="X62">
        <v>715.0</v>
      </c>
      <c r="Y62">
        <v>1706.0</v>
      </c>
    </row>
    <row r="63">
      <c r="A63" s="290">
        <v>24.0</v>
      </c>
      <c r="B63">
        <v>708.0</v>
      </c>
      <c r="C63">
        <v>1738.0</v>
      </c>
      <c r="D63">
        <v>628.0</v>
      </c>
      <c r="E63">
        <v>1820.0</v>
      </c>
      <c r="F63">
        <v>535.0</v>
      </c>
      <c r="G63">
        <v>1859.0</v>
      </c>
      <c r="H63">
        <v>437.0</v>
      </c>
      <c r="I63">
        <v>1942.0</v>
      </c>
      <c r="J63">
        <v>354.0</v>
      </c>
      <c r="K63">
        <v>2021.0</v>
      </c>
      <c r="L63">
        <v>345.0</v>
      </c>
      <c r="M63">
        <v>2042.0</v>
      </c>
      <c r="N63">
        <v>411.0</v>
      </c>
      <c r="O63">
        <v>2022.0</v>
      </c>
      <c r="P63">
        <v>452.0</v>
      </c>
      <c r="Q63">
        <v>1933.0</v>
      </c>
      <c r="R63">
        <v>531.0</v>
      </c>
      <c r="S63">
        <v>1833.0</v>
      </c>
      <c r="T63">
        <v>610.0</v>
      </c>
      <c r="U63">
        <v>1739.0</v>
      </c>
      <c r="V63">
        <v>650.0</v>
      </c>
      <c r="W63">
        <v>1705.0</v>
      </c>
      <c r="X63">
        <v>715.0</v>
      </c>
      <c r="Y63">
        <v>1706.0</v>
      </c>
    </row>
    <row r="64">
      <c r="A64" s="290">
        <v>25.0</v>
      </c>
      <c r="B64">
        <v>707.0</v>
      </c>
      <c r="C64">
        <v>1739.0</v>
      </c>
      <c r="D64">
        <v>627.0</v>
      </c>
      <c r="E64">
        <v>1821.0</v>
      </c>
      <c r="F64">
        <v>533.0</v>
      </c>
      <c r="G64">
        <v>1900.0</v>
      </c>
      <c r="H64">
        <v>435.0</v>
      </c>
      <c r="I64">
        <v>1943.0</v>
      </c>
      <c r="J64">
        <v>354.0</v>
      </c>
      <c r="K64">
        <v>2023.0</v>
      </c>
      <c r="L64">
        <v>345.0</v>
      </c>
      <c r="M64">
        <v>2042.0</v>
      </c>
      <c r="N64">
        <v>412.0</v>
      </c>
      <c r="O64">
        <v>2021.0</v>
      </c>
      <c r="P64">
        <v>453.0</v>
      </c>
      <c r="Q64">
        <v>1931.0</v>
      </c>
      <c r="R64">
        <v>533.0</v>
      </c>
      <c r="S64">
        <v>1831.0</v>
      </c>
      <c r="T64">
        <v>611.0</v>
      </c>
      <c r="U64">
        <v>1738.0</v>
      </c>
      <c r="V64">
        <v>651.0</v>
      </c>
      <c r="W64">
        <v>1704.0</v>
      </c>
      <c r="X64">
        <v>715.0</v>
      </c>
      <c r="Y64">
        <v>1707.0</v>
      </c>
    </row>
    <row r="65">
      <c r="A65" s="290">
        <v>26.0</v>
      </c>
      <c r="B65">
        <v>706.0</v>
      </c>
      <c r="C65">
        <v>1740.0</v>
      </c>
      <c r="D65">
        <v>625.0</v>
      </c>
      <c r="E65">
        <v>1823.0</v>
      </c>
      <c r="F65">
        <v>531.0</v>
      </c>
      <c r="G65">
        <v>1902.0</v>
      </c>
      <c r="H65">
        <v>433.0</v>
      </c>
      <c r="I65">
        <v>1944.0</v>
      </c>
      <c r="J65">
        <v>353.0</v>
      </c>
      <c r="K65">
        <v>2024.0</v>
      </c>
      <c r="L65">
        <v>346.0</v>
      </c>
      <c r="M65">
        <v>2042.0</v>
      </c>
      <c r="N65">
        <v>413.0</v>
      </c>
      <c r="O65">
        <v>2020.0</v>
      </c>
      <c r="P65">
        <v>454.0</v>
      </c>
      <c r="Q65">
        <v>1929.0</v>
      </c>
      <c r="R65">
        <v>534.0</v>
      </c>
      <c r="S65">
        <v>1829.0</v>
      </c>
      <c r="T65">
        <v>612.0</v>
      </c>
      <c r="U65">
        <v>1736.0</v>
      </c>
      <c r="V65">
        <v>652.0</v>
      </c>
      <c r="W65">
        <v>1704.0</v>
      </c>
      <c r="X65">
        <v>716.0</v>
      </c>
      <c r="Y65">
        <v>1707.0</v>
      </c>
    </row>
    <row r="66">
      <c r="A66" s="290">
        <v>27.0</v>
      </c>
      <c r="B66">
        <v>705.0</v>
      </c>
      <c r="C66">
        <v>1742.0</v>
      </c>
      <c r="D66">
        <v>623.0</v>
      </c>
      <c r="E66">
        <v>1824.0</v>
      </c>
      <c r="F66">
        <v>529.0</v>
      </c>
      <c r="G66">
        <v>1903.0</v>
      </c>
      <c r="H66">
        <v>432.0</v>
      </c>
      <c r="I66">
        <v>1946.0</v>
      </c>
      <c r="J66">
        <v>352.0</v>
      </c>
      <c r="K66">
        <v>2025.0</v>
      </c>
      <c r="L66">
        <v>346.0</v>
      </c>
      <c r="M66">
        <v>2041.0</v>
      </c>
      <c r="N66">
        <v>415.0</v>
      </c>
      <c r="O66">
        <v>2019.0</v>
      </c>
      <c r="P66">
        <v>456.0</v>
      </c>
      <c r="Q66">
        <v>1927.0</v>
      </c>
      <c r="R66">
        <v>535.0</v>
      </c>
      <c r="S66">
        <v>1827.0</v>
      </c>
      <c r="T66">
        <v>613.0</v>
      </c>
      <c r="U66">
        <v>1735.0</v>
      </c>
      <c r="V66">
        <v>653.0</v>
      </c>
      <c r="W66">
        <v>1704.0</v>
      </c>
      <c r="X66">
        <v>716.0</v>
      </c>
      <c r="Y66">
        <v>1708.0</v>
      </c>
    </row>
    <row r="67">
      <c r="A67" s="290">
        <v>28.0</v>
      </c>
      <c r="B67">
        <v>705.0</v>
      </c>
      <c r="C67">
        <v>1743.0</v>
      </c>
      <c r="D67">
        <v>622.0</v>
      </c>
      <c r="E67">
        <v>1826.0</v>
      </c>
      <c r="F67">
        <v>527.0</v>
      </c>
      <c r="G67">
        <v>1904.0</v>
      </c>
      <c r="H67">
        <v>430.0</v>
      </c>
      <c r="I67">
        <v>1947.0</v>
      </c>
      <c r="J67">
        <v>351.0</v>
      </c>
      <c r="K67">
        <v>2026.0</v>
      </c>
      <c r="L67">
        <v>347.0</v>
      </c>
      <c r="M67">
        <v>2041.0</v>
      </c>
      <c r="N67">
        <v>416.0</v>
      </c>
      <c r="O67">
        <v>2017.0</v>
      </c>
      <c r="P67">
        <v>457.0</v>
      </c>
      <c r="Q67">
        <v>1925.0</v>
      </c>
      <c r="R67">
        <v>536.0</v>
      </c>
      <c r="S67">
        <v>1825.0</v>
      </c>
      <c r="T67">
        <v>615.0</v>
      </c>
      <c r="U67">
        <v>1733.0</v>
      </c>
      <c r="V67">
        <v>654.0</v>
      </c>
      <c r="W67">
        <v>1703.0</v>
      </c>
      <c r="X67">
        <v>716.0</v>
      </c>
      <c r="Y67">
        <v>1709.0</v>
      </c>
    </row>
    <row r="68">
      <c r="A68" s="290">
        <v>29.0</v>
      </c>
      <c r="B68">
        <v>704.0</v>
      </c>
      <c r="C68">
        <v>1744.0</v>
      </c>
      <c r="D68">
        <v>620.0</v>
      </c>
      <c r="E68">
        <v>1827.0</v>
      </c>
      <c r="F68">
        <v>526.0</v>
      </c>
      <c r="G68">
        <v>1906.0</v>
      </c>
      <c r="H68">
        <v>428.0</v>
      </c>
      <c r="I68">
        <v>1949.0</v>
      </c>
      <c r="J68">
        <v>350.0</v>
      </c>
      <c r="K68">
        <v>2027.0</v>
      </c>
      <c r="L68">
        <v>347.0</v>
      </c>
      <c r="M68">
        <v>2041.0</v>
      </c>
      <c r="N68">
        <v>417.0</v>
      </c>
      <c r="O68">
        <v>2016.0</v>
      </c>
      <c r="P68">
        <v>458.0</v>
      </c>
      <c r="Q68">
        <v>1923.0</v>
      </c>
      <c r="R68">
        <v>538.0</v>
      </c>
      <c r="S68">
        <v>1823.0</v>
      </c>
      <c r="T68">
        <v>616.0</v>
      </c>
      <c r="U68">
        <v>1732.0</v>
      </c>
      <c r="V68">
        <v>655.0</v>
      </c>
      <c r="W68">
        <v>1703.0</v>
      </c>
      <c r="X68">
        <v>716.0</v>
      </c>
      <c r="Y68">
        <v>1710.0</v>
      </c>
    </row>
    <row r="69">
      <c r="A69" s="290">
        <v>30.0</v>
      </c>
      <c r="B69">
        <v>703.0</v>
      </c>
      <c r="C69">
        <v>1746.0</v>
      </c>
      <c r="D69" t="s">
        <v>55</v>
      </c>
      <c r="E69" t="s">
        <v>55</v>
      </c>
      <c r="F69">
        <v>524.0</v>
      </c>
      <c r="G69">
        <v>1907.0</v>
      </c>
      <c r="H69">
        <v>427.0</v>
      </c>
      <c r="I69">
        <v>1950.0</v>
      </c>
      <c r="J69">
        <v>349.0</v>
      </c>
      <c r="K69">
        <v>2028.0</v>
      </c>
      <c r="L69">
        <v>348.0</v>
      </c>
      <c r="M69">
        <v>2041.0</v>
      </c>
      <c r="N69">
        <v>419.0</v>
      </c>
      <c r="O69">
        <v>2015.0</v>
      </c>
      <c r="P69">
        <v>500.0</v>
      </c>
      <c r="Q69">
        <v>1921.0</v>
      </c>
      <c r="R69">
        <v>539.0</v>
      </c>
      <c r="S69">
        <v>1821.0</v>
      </c>
      <c r="T69">
        <v>617.0</v>
      </c>
      <c r="U69">
        <v>1730.0</v>
      </c>
      <c r="V69">
        <v>656.0</v>
      </c>
      <c r="W69">
        <v>1702.0</v>
      </c>
      <c r="X69">
        <v>717.0</v>
      </c>
      <c r="Y69">
        <v>1711.0</v>
      </c>
    </row>
    <row r="70">
      <c r="A70" s="290">
        <v>31.0</v>
      </c>
      <c r="B70">
        <v>702.0</v>
      </c>
      <c r="C70">
        <v>1747.0</v>
      </c>
      <c r="D70" t="s">
        <v>55</v>
      </c>
      <c r="E70" t="s">
        <v>55</v>
      </c>
      <c r="F70">
        <v>522.0</v>
      </c>
      <c r="G70">
        <v>1908.0</v>
      </c>
      <c r="H70" t="s">
        <v>55</v>
      </c>
      <c r="I70" t="s">
        <v>55</v>
      </c>
      <c r="J70">
        <v>349.0</v>
      </c>
      <c r="K70">
        <v>2029.0</v>
      </c>
      <c r="L70" t="s">
        <v>55</v>
      </c>
      <c r="M70" t="s">
        <v>55</v>
      </c>
      <c r="N70">
        <v>420.0</v>
      </c>
      <c r="O70">
        <v>2013.0</v>
      </c>
      <c r="P70">
        <v>501.0</v>
      </c>
      <c r="Q70">
        <v>1919.0</v>
      </c>
      <c r="R70" t="s">
        <v>55</v>
      </c>
      <c r="S70" t="s">
        <v>55</v>
      </c>
      <c r="T70">
        <v>619.0</v>
      </c>
      <c r="U70">
        <v>1729.0</v>
      </c>
      <c r="V70" t="s">
        <v>55</v>
      </c>
      <c r="W70" t="s">
        <v>55</v>
      </c>
      <c r="X70">
        <v>717.0</v>
      </c>
      <c r="Y70">
        <v>1711.0</v>
      </c>
    </row>
    <row r="71">
      <c r="A71" s="291"/>
    </row>
    <row r="73">
      <c r="A73" s="292" t="s">
        <v>200</v>
      </c>
    </row>
    <row r="74">
      <c r="B74" t="s">
        <v>184</v>
      </c>
      <c r="D74" t="s">
        <v>185</v>
      </c>
      <c r="F74" t="s">
        <v>186</v>
      </c>
      <c r="H74" t="s">
        <v>187</v>
      </c>
      <c r="J74" t="s">
        <v>188</v>
      </c>
      <c r="L74" t="s">
        <v>189</v>
      </c>
      <c r="N74" t="s">
        <v>190</v>
      </c>
      <c r="P74" t="s">
        <v>191</v>
      </c>
      <c r="R74" t="s">
        <v>192</v>
      </c>
      <c r="T74" t="s">
        <v>193</v>
      </c>
      <c r="V74" t="s">
        <v>194</v>
      </c>
      <c r="X74" t="s">
        <v>195</v>
      </c>
    </row>
    <row r="75">
      <c r="A75" s="290" t="s">
        <v>196</v>
      </c>
      <c r="B75" t="s">
        <v>197</v>
      </c>
      <c r="C75" t="s">
        <v>198</v>
      </c>
      <c r="D75" t="s">
        <v>197</v>
      </c>
      <c r="E75" t="s">
        <v>198</v>
      </c>
      <c r="F75" t="s">
        <v>197</v>
      </c>
      <c r="G75" t="s">
        <v>198</v>
      </c>
      <c r="H75" t="s">
        <v>197</v>
      </c>
      <c r="I75" t="s">
        <v>198</v>
      </c>
      <c r="J75" t="s">
        <v>197</v>
      </c>
      <c r="K75" t="s">
        <v>198</v>
      </c>
      <c r="L75" t="s">
        <v>197</v>
      </c>
      <c r="M75" t="s">
        <v>198</v>
      </c>
      <c r="N75" t="s">
        <v>197</v>
      </c>
      <c r="O75" t="s">
        <v>198</v>
      </c>
      <c r="P75" t="s">
        <v>197</v>
      </c>
      <c r="Q75" t="s">
        <v>198</v>
      </c>
      <c r="R75" t="s">
        <v>197</v>
      </c>
      <c r="S75" t="s">
        <v>198</v>
      </c>
      <c r="T75" t="s">
        <v>197</v>
      </c>
      <c r="U75" t="s">
        <v>198</v>
      </c>
      <c r="V75" t="s">
        <v>197</v>
      </c>
      <c r="W75" t="s">
        <v>198</v>
      </c>
      <c r="X75" t="s">
        <v>197</v>
      </c>
      <c r="Y75" t="s">
        <v>198</v>
      </c>
    </row>
    <row r="76">
      <c r="A76" s="290">
        <v>1.0</v>
      </c>
      <c r="B76">
        <v>751.0</v>
      </c>
      <c r="C76">
        <v>1638.0</v>
      </c>
      <c r="D76">
        <v>732.0</v>
      </c>
      <c r="E76">
        <v>1717.0</v>
      </c>
      <c r="F76">
        <v>648.0</v>
      </c>
      <c r="G76">
        <v>1759.0</v>
      </c>
      <c r="H76">
        <v>550.0</v>
      </c>
      <c r="I76">
        <v>1840.0</v>
      </c>
      <c r="J76">
        <v>458.0</v>
      </c>
      <c r="K76">
        <v>1918.0</v>
      </c>
      <c r="L76">
        <v>425.0</v>
      </c>
      <c r="M76">
        <v>1953.0</v>
      </c>
      <c r="N76">
        <v>426.0</v>
      </c>
      <c r="O76">
        <v>2003.0</v>
      </c>
      <c r="P76">
        <v>455.0</v>
      </c>
      <c r="Q76">
        <v>1938.0</v>
      </c>
      <c r="R76">
        <v>533.0</v>
      </c>
      <c r="S76">
        <v>1847.0</v>
      </c>
      <c r="T76">
        <v>610.0</v>
      </c>
      <c r="U76">
        <v>1750.0</v>
      </c>
      <c r="V76">
        <v>651.0</v>
      </c>
      <c r="W76">
        <v>1657.0</v>
      </c>
      <c r="X76">
        <v>731.0</v>
      </c>
      <c r="Y76">
        <v>1628.0</v>
      </c>
    </row>
    <row r="77">
      <c r="A77" s="290">
        <v>2.0</v>
      </c>
      <c r="B77">
        <v>751.0</v>
      </c>
      <c r="C77">
        <v>1639.0</v>
      </c>
      <c r="D77">
        <v>731.0</v>
      </c>
      <c r="E77">
        <v>1718.0</v>
      </c>
      <c r="F77">
        <v>646.0</v>
      </c>
      <c r="G77">
        <v>1800.0</v>
      </c>
      <c r="H77">
        <v>548.0</v>
      </c>
      <c r="I77">
        <v>1841.0</v>
      </c>
      <c r="J77">
        <v>456.0</v>
      </c>
      <c r="K77">
        <v>1920.0</v>
      </c>
      <c r="L77">
        <v>424.0</v>
      </c>
      <c r="M77">
        <v>1954.0</v>
      </c>
      <c r="N77">
        <v>427.0</v>
      </c>
      <c r="O77">
        <v>2003.0</v>
      </c>
      <c r="P77">
        <v>456.0</v>
      </c>
      <c r="Q77">
        <v>1936.0</v>
      </c>
      <c r="R77">
        <v>534.0</v>
      </c>
      <c r="S77">
        <v>1845.0</v>
      </c>
      <c r="T77">
        <v>611.0</v>
      </c>
      <c r="U77">
        <v>1748.0</v>
      </c>
      <c r="V77">
        <v>652.0</v>
      </c>
      <c r="W77">
        <v>1655.0</v>
      </c>
      <c r="X77">
        <v>732.0</v>
      </c>
      <c r="Y77">
        <v>1628.0</v>
      </c>
    </row>
    <row r="78">
      <c r="A78" s="290">
        <v>3.0</v>
      </c>
      <c r="B78">
        <v>751.0</v>
      </c>
      <c r="C78">
        <v>1639.0</v>
      </c>
      <c r="D78">
        <v>730.0</v>
      </c>
      <c r="E78">
        <v>1720.0</v>
      </c>
      <c r="F78">
        <v>644.0</v>
      </c>
      <c r="G78">
        <v>1801.0</v>
      </c>
      <c r="H78">
        <v>546.0</v>
      </c>
      <c r="I78">
        <v>1842.0</v>
      </c>
      <c r="J78">
        <v>455.0</v>
      </c>
      <c r="K78">
        <v>1921.0</v>
      </c>
      <c r="L78">
        <v>424.0</v>
      </c>
      <c r="M78">
        <v>1954.0</v>
      </c>
      <c r="N78">
        <v>427.0</v>
      </c>
      <c r="O78">
        <v>2002.0</v>
      </c>
      <c r="P78">
        <v>458.0</v>
      </c>
      <c r="Q78">
        <v>1935.0</v>
      </c>
      <c r="R78">
        <v>535.0</v>
      </c>
      <c r="S78">
        <v>1843.0</v>
      </c>
      <c r="T78">
        <v>612.0</v>
      </c>
      <c r="U78">
        <v>1746.0</v>
      </c>
      <c r="V78">
        <v>654.0</v>
      </c>
      <c r="W78">
        <v>1654.0</v>
      </c>
      <c r="X78">
        <v>733.0</v>
      </c>
      <c r="Y78">
        <v>1628.0</v>
      </c>
    </row>
    <row r="79">
      <c r="A79" s="290">
        <v>4.0</v>
      </c>
      <c r="B79">
        <v>751.0</v>
      </c>
      <c r="C79">
        <v>1640.0</v>
      </c>
      <c r="D79">
        <v>728.0</v>
      </c>
      <c r="E79">
        <v>1721.0</v>
      </c>
      <c r="F79">
        <v>642.0</v>
      </c>
      <c r="G79">
        <v>1803.0</v>
      </c>
      <c r="H79">
        <v>544.0</v>
      </c>
      <c r="I79">
        <v>1844.0</v>
      </c>
      <c r="J79">
        <v>453.0</v>
      </c>
      <c r="K79">
        <v>1922.0</v>
      </c>
      <c r="L79">
        <v>423.0</v>
      </c>
      <c r="M79">
        <v>1955.0</v>
      </c>
      <c r="N79">
        <v>428.0</v>
      </c>
      <c r="O79">
        <v>2002.0</v>
      </c>
      <c r="P79">
        <v>459.0</v>
      </c>
      <c r="Q79">
        <v>1934.0</v>
      </c>
      <c r="R79">
        <v>536.0</v>
      </c>
      <c r="S79">
        <v>1841.0</v>
      </c>
      <c r="T79">
        <v>613.0</v>
      </c>
      <c r="U79">
        <v>1744.0</v>
      </c>
      <c r="V79">
        <v>655.0</v>
      </c>
      <c r="W79">
        <v>1653.0</v>
      </c>
      <c r="X79">
        <v>734.0</v>
      </c>
      <c r="Y79">
        <v>1628.0</v>
      </c>
    </row>
    <row r="80">
      <c r="A80" s="290">
        <v>5.0</v>
      </c>
      <c r="B80">
        <v>751.0</v>
      </c>
      <c r="C80">
        <v>1642.0</v>
      </c>
      <c r="D80">
        <v>727.0</v>
      </c>
      <c r="E80">
        <v>1723.0</v>
      </c>
      <c r="F80">
        <v>641.0</v>
      </c>
      <c r="G80">
        <v>1804.0</v>
      </c>
      <c r="H80">
        <v>542.0</v>
      </c>
      <c r="I80">
        <v>1845.0</v>
      </c>
      <c r="J80">
        <v>452.0</v>
      </c>
      <c r="K80">
        <v>1923.0</v>
      </c>
      <c r="L80">
        <v>423.0</v>
      </c>
      <c r="M80">
        <v>1956.0</v>
      </c>
      <c r="N80">
        <v>429.0</v>
      </c>
      <c r="O80">
        <v>2002.0</v>
      </c>
      <c r="P80">
        <v>500.0</v>
      </c>
      <c r="Q80">
        <v>1932.0</v>
      </c>
      <c r="R80">
        <v>538.0</v>
      </c>
      <c r="S80">
        <v>1840.0</v>
      </c>
      <c r="T80">
        <v>615.0</v>
      </c>
      <c r="U80">
        <v>1742.0</v>
      </c>
      <c r="V80">
        <v>657.0</v>
      </c>
      <c r="W80">
        <v>1651.0</v>
      </c>
      <c r="X80">
        <v>735.0</v>
      </c>
      <c r="Y80">
        <v>1627.0</v>
      </c>
    </row>
    <row r="81">
      <c r="A81" s="290">
        <v>6.0</v>
      </c>
      <c r="B81">
        <v>750.0</v>
      </c>
      <c r="C81">
        <v>1643.0</v>
      </c>
      <c r="D81">
        <v>726.0</v>
      </c>
      <c r="E81">
        <v>1724.0</v>
      </c>
      <c r="F81">
        <v>639.0</v>
      </c>
      <c r="G81">
        <v>1805.0</v>
      </c>
      <c r="H81">
        <v>540.0</v>
      </c>
      <c r="I81">
        <v>1846.0</v>
      </c>
      <c r="J81">
        <v>451.0</v>
      </c>
      <c r="K81">
        <v>1925.0</v>
      </c>
      <c r="L81">
        <v>423.0</v>
      </c>
      <c r="M81">
        <v>1957.0</v>
      </c>
      <c r="N81">
        <v>429.0</v>
      </c>
      <c r="O81">
        <v>2001.0</v>
      </c>
      <c r="P81">
        <v>501.0</v>
      </c>
      <c r="Q81">
        <v>1931.0</v>
      </c>
      <c r="R81">
        <v>539.0</v>
      </c>
      <c r="S81">
        <v>1838.0</v>
      </c>
      <c r="T81">
        <v>616.0</v>
      </c>
      <c r="U81">
        <v>1740.0</v>
      </c>
      <c r="V81">
        <v>658.0</v>
      </c>
      <c r="W81">
        <v>1650.0</v>
      </c>
      <c r="X81">
        <v>736.0</v>
      </c>
      <c r="Y81">
        <v>1627.0</v>
      </c>
    </row>
    <row r="82">
      <c r="A82" s="290">
        <v>7.0</v>
      </c>
      <c r="B82">
        <v>750.0</v>
      </c>
      <c r="C82">
        <v>1644.0</v>
      </c>
      <c r="D82">
        <v>724.0</v>
      </c>
      <c r="E82">
        <v>1726.0</v>
      </c>
      <c r="F82">
        <v>637.0</v>
      </c>
      <c r="G82">
        <v>1807.0</v>
      </c>
      <c r="H82">
        <v>538.0</v>
      </c>
      <c r="I82">
        <v>1847.0</v>
      </c>
      <c r="J82">
        <v>449.0</v>
      </c>
      <c r="K82">
        <v>1926.0</v>
      </c>
      <c r="L82">
        <v>422.0</v>
      </c>
      <c r="M82">
        <v>1957.0</v>
      </c>
      <c r="N82">
        <v>430.0</v>
      </c>
      <c r="O82">
        <v>2001.0</v>
      </c>
      <c r="P82">
        <v>502.0</v>
      </c>
      <c r="Q82">
        <v>1929.0</v>
      </c>
      <c r="R82">
        <v>540.0</v>
      </c>
      <c r="S82">
        <v>1836.0</v>
      </c>
      <c r="T82">
        <v>617.0</v>
      </c>
      <c r="U82">
        <v>1738.0</v>
      </c>
      <c r="V82">
        <v>659.0</v>
      </c>
      <c r="W82">
        <v>1649.0</v>
      </c>
      <c r="X82">
        <v>737.0</v>
      </c>
      <c r="Y82">
        <v>1627.0</v>
      </c>
    </row>
    <row r="83">
      <c r="A83" s="290">
        <v>8.0</v>
      </c>
      <c r="B83">
        <v>750.0</v>
      </c>
      <c r="C83">
        <v>1645.0</v>
      </c>
      <c r="D83">
        <v>723.0</v>
      </c>
      <c r="E83">
        <v>1727.0</v>
      </c>
      <c r="F83">
        <v>635.0</v>
      </c>
      <c r="G83">
        <v>1808.0</v>
      </c>
      <c r="H83">
        <v>537.0</v>
      </c>
      <c r="I83">
        <v>1849.0</v>
      </c>
      <c r="J83">
        <v>448.0</v>
      </c>
      <c r="K83">
        <v>1927.0</v>
      </c>
      <c r="L83">
        <v>422.0</v>
      </c>
      <c r="M83">
        <v>1958.0</v>
      </c>
      <c r="N83">
        <v>431.0</v>
      </c>
      <c r="O83">
        <v>2000.0</v>
      </c>
      <c r="P83">
        <v>504.0</v>
      </c>
      <c r="Q83">
        <v>1928.0</v>
      </c>
      <c r="R83">
        <v>541.0</v>
      </c>
      <c r="S83">
        <v>1834.0</v>
      </c>
      <c r="T83">
        <v>619.0</v>
      </c>
      <c r="U83">
        <v>1737.0</v>
      </c>
      <c r="V83">
        <v>701.0</v>
      </c>
      <c r="W83">
        <v>1647.0</v>
      </c>
      <c r="X83">
        <v>738.0</v>
      </c>
      <c r="Y83">
        <v>1627.0</v>
      </c>
    </row>
    <row r="84">
      <c r="A84" s="290">
        <v>9.0</v>
      </c>
      <c r="B84">
        <v>750.0</v>
      </c>
      <c r="C84">
        <v>1646.0</v>
      </c>
      <c r="D84">
        <v>722.0</v>
      </c>
      <c r="E84">
        <v>1728.0</v>
      </c>
      <c r="F84">
        <v>633.0</v>
      </c>
      <c r="G84">
        <v>1809.0</v>
      </c>
      <c r="H84">
        <v>535.0</v>
      </c>
      <c r="I84">
        <v>1850.0</v>
      </c>
      <c r="J84">
        <v>447.0</v>
      </c>
      <c r="K84">
        <v>1928.0</v>
      </c>
      <c r="L84">
        <v>422.0</v>
      </c>
      <c r="M84">
        <v>1958.0</v>
      </c>
      <c r="N84">
        <v>432.0</v>
      </c>
      <c r="O84">
        <v>2000.0</v>
      </c>
      <c r="P84">
        <v>505.0</v>
      </c>
      <c r="Q84">
        <v>1926.0</v>
      </c>
      <c r="R84">
        <v>543.0</v>
      </c>
      <c r="S84">
        <v>1832.0</v>
      </c>
      <c r="T84">
        <v>620.0</v>
      </c>
      <c r="U84">
        <v>1735.0</v>
      </c>
      <c r="V84">
        <v>702.0</v>
      </c>
      <c r="W84">
        <v>1646.0</v>
      </c>
      <c r="X84">
        <v>739.0</v>
      </c>
      <c r="Y84">
        <v>1627.0</v>
      </c>
    </row>
    <row r="85">
      <c r="A85" s="290">
        <v>10.0</v>
      </c>
      <c r="B85">
        <v>749.0</v>
      </c>
      <c r="C85">
        <v>1647.0</v>
      </c>
      <c r="D85">
        <v>720.0</v>
      </c>
      <c r="E85">
        <v>1730.0</v>
      </c>
      <c r="F85">
        <v>631.0</v>
      </c>
      <c r="G85">
        <v>1811.0</v>
      </c>
      <c r="H85">
        <v>533.0</v>
      </c>
      <c r="I85">
        <v>1851.0</v>
      </c>
      <c r="J85">
        <v>445.0</v>
      </c>
      <c r="K85">
        <v>1929.0</v>
      </c>
      <c r="L85">
        <v>422.0</v>
      </c>
      <c r="M85">
        <v>1959.0</v>
      </c>
      <c r="N85">
        <v>433.0</v>
      </c>
      <c r="O85">
        <v>1959.0</v>
      </c>
      <c r="P85">
        <v>506.0</v>
      </c>
      <c r="Q85">
        <v>1925.0</v>
      </c>
      <c r="R85">
        <v>544.0</v>
      </c>
      <c r="S85">
        <v>1830.0</v>
      </c>
      <c r="T85">
        <v>621.0</v>
      </c>
      <c r="U85">
        <v>1733.0</v>
      </c>
      <c r="V85">
        <v>704.0</v>
      </c>
      <c r="W85">
        <v>1645.0</v>
      </c>
      <c r="X85">
        <v>740.0</v>
      </c>
      <c r="Y85">
        <v>1627.0</v>
      </c>
    </row>
    <row r="86">
      <c r="A86" s="290">
        <v>11.0</v>
      </c>
      <c r="B86">
        <v>749.0</v>
      </c>
      <c r="C86">
        <v>1648.0</v>
      </c>
      <c r="D86">
        <v>719.0</v>
      </c>
      <c r="E86">
        <v>1731.0</v>
      </c>
      <c r="F86">
        <v>629.0</v>
      </c>
      <c r="G86">
        <v>1812.0</v>
      </c>
      <c r="H86">
        <v>531.0</v>
      </c>
      <c r="I86">
        <v>1853.0</v>
      </c>
      <c r="J86">
        <v>444.0</v>
      </c>
      <c r="K86">
        <v>1931.0</v>
      </c>
      <c r="L86">
        <v>421.0</v>
      </c>
      <c r="M86">
        <v>2000.0</v>
      </c>
      <c r="N86">
        <v>433.0</v>
      </c>
      <c r="O86">
        <v>1959.0</v>
      </c>
      <c r="P86">
        <v>507.0</v>
      </c>
      <c r="Q86">
        <v>1923.0</v>
      </c>
      <c r="R86">
        <v>545.0</v>
      </c>
      <c r="S86">
        <v>1828.0</v>
      </c>
      <c r="T86">
        <v>622.0</v>
      </c>
      <c r="U86">
        <v>1731.0</v>
      </c>
      <c r="V86">
        <v>705.0</v>
      </c>
      <c r="W86">
        <v>1644.0</v>
      </c>
      <c r="X86">
        <v>741.0</v>
      </c>
      <c r="Y86">
        <v>1627.0</v>
      </c>
    </row>
    <row r="87">
      <c r="A87" s="290">
        <v>12.0</v>
      </c>
      <c r="B87">
        <v>749.0</v>
      </c>
      <c r="C87">
        <v>1649.0</v>
      </c>
      <c r="D87">
        <v>717.0</v>
      </c>
      <c r="E87">
        <v>1733.0</v>
      </c>
      <c r="F87">
        <v>628.0</v>
      </c>
      <c r="G87">
        <v>1813.0</v>
      </c>
      <c r="H87">
        <v>529.0</v>
      </c>
      <c r="I87">
        <v>1854.0</v>
      </c>
      <c r="J87">
        <v>443.0</v>
      </c>
      <c r="K87">
        <v>1932.0</v>
      </c>
      <c r="L87">
        <v>421.0</v>
      </c>
      <c r="M87">
        <v>2000.0</v>
      </c>
      <c r="N87">
        <v>434.0</v>
      </c>
      <c r="O87">
        <v>1958.0</v>
      </c>
      <c r="P87">
        <v>508.0</v>
      </c>
      <c r="Q87">
        <v>1922.0</v>
      </c>
      <c r="R87">
        <v>546.0</v>
      </c>
      <c r="S87">
        <v>1826.0</v>
      </c>
      <c r="T87">
        <v>624.0</v>
      </c>
      <c r="U87">
        <v>1729.0</v>
      </c>
      <c r="V87">
        <v>706.0</v>
      </c>
      <c r="W87">
        <v>1643.0</v>
      </c>
      <c r="X87">
        <v>742.0</v>
      </c>
      <c r="Y87">
        <v>1627.0</v>
      </c>
    </row>
    <row r="88">
      <c r="A88" s="290">
        <v>13.0</v>
      </c>
      <c r="B88">
        <v>748.0</v>
      </c>
      <c r="C88">
        <v>1651.0</v>
      </c>
      <c r="D88">
        <v>716.0</v>
      </c>
      <c r="E88">
        <v>1734.0</v>
      </c>
      <c r="F88">
        <v>626.0</v>
      </c>
      <c r="G88">
        <v>1815.0</v>
      </c>
      <c r="H88">
        <v>528.0</v>
      </c>
      <c r="I88">
        <v>1855.0</v>
      </c>
      <c r="J88">
        <v>442.0</v>
      </c>
      <c r="K88">
        <v>1933.0</v>
      </c>
      <c r="L88">
        <v>421.0</v>
      </c>
      <c r="M88">
        <v>2001.0</v>
      </c>
      <c r="N88">
        <v>435.0</v>
      </c>
      <c r="O88">
        <v>1957.0</v>
      </c>
      <c r="P88">
        <v>510.0</v>
      </c>
      <c r="Q88">
        <v>1920.0</v>
      </c>
      <c r="R88">
        <v>547.0</v>
      </c>
      <c r="S88">
        <v>1824.0</v>
      </c>
      <c r="T88">
        <v>625.0</v>
      </c>
      <c r="U88">
        <v>1727.0</v>
      </c>
      <c r="V88">
        <v>708.0</v>
      </c>
      <c r="W88">
        <v>1642.0</v>
      </c>
      <c r="X88">
        <v>743.0</v>
      </c>
      <c r="Y88">
        <v>1627.0</v>
      </c>
    </row>
    <row r="89">
      <c r="A89" s="290">
        <v>14.0</v>
      </c>
      <c r="B89">
        <v>748.0</v>
      </c>
      <c r="C89">
        <v>1652.0</v>
      </c>
      <c r="D89">
        <v>714.0</v>
      </c>
      <c r="E89">
        <v>1736.0</v>
      </c>
      <c r="F89">
        <v>624.0</v>
      </c>
      <c r="G89">
        <v>1816.0</v>
      </c>
      <c r="H89">
        <v>526.0</v>
      </c>
      <c r="I89">
        <v>1856.0</v>
      </c>
      <c r="J89">
        <v>440.0</v>
      </c>
      <c r="K89">
        <v>1934.0</v>
      </c>
      <c r="L89">
        <v>421.0</v>
      </c>
      <c r="M89">
        <v>2001.0</v>
      </c>
      <c r="N89">
        <v>436.0</v>
      </c>
      <c r="O89">
        <v>1957.0</v>
      </c>
      <c r="P89">
        <v>511.0</v>
      </c>
      <c r="Q89">
        <v>1919.0</v>
      </c>
      <c r="R89">
        <v>549.0</v>
      </c>
      <c r="S89">
        <v>1822.0</v>
      </c>
      <c r="T89">
        <v>626.0</v>
      </c>
      <c r="U89">
        <v>1726.0</v>
      </c>
      <c r="V89">
        <v>709.0</v>
      </c>
      <c r="W89">
        <v>1641.0</v>
      </c>
      <c r="X89">
        <v>744.0</v>
      </c>
      <c r="Y89">
        <v>1628.0</v>
      </c>
    </row>
    <row r="90">
      <c r="A90" s="290">
        <v>15.0</v>
      </c>
      <c r="B90">
        <v>747.0</v>
      </c>
      <c r="C90">
        <v>1653.0</v>
      </c>
      <c r="D90">
        <v>713.0</v>
      </c>
      <c r="E90">
        <v>1737.0</v>
      </c>
      <c r="F90">
        <v>622.0</v>
      </c>
      <c r="G90">
        <v>1817.0</v>
      </c>
      <c r="H90">
        <v>524.0</v>
      </c>
      <c r="I90">
        <v>1858.0</v>
      </c>
      <c r="J90">
        <v>439.0</v>
      </c>
      <c r="K90">
        <v>1935.0</v>
      </c>
      <c r="L90">
        <v>421.0</v>
      </c>
      <c r="M90">
        <v>2001.0</v>
      </c>
      <c r="N90">
        <v>437.0</v>
      </c>
      <c r="O90">
        <v>1956.0</v>
      </c>
      <c r="P90">
        <v>512.0</v>
      </c>
      <c r="Q90">
        <v>1917.0</v>
      </c>
      <c r="R90">
        <v>550.0</v>
      </c>
      <c r="S90">
        <v>1820.0</v>
      </c>
      <c r="T90">
        <v>628.0</v>
      </c>
      <c r="U90">
        <v>1724.0</v>
      </c>
      <c r="V90">
        <v>711.0</v>
      </c>
      <c r="W90">
        <v>1640.0</v>
      </c>
      <c r="X90">
        <v>744.0</v>
      </c>
      <c r="Y90">
        <v>1628.0</v>
      </c>
    </row>
    <row r="91">
      <c r="A91" s="290">
        <v>16.0</v>
      </c>
      <c r="B91">
        <v>747.0</v>
      </c>
      <c r="C91">
        <v>1654.0</v>
      </c>
      <c r="D91">
        <v>711.0</v>
      </c>
      <c r="E91">
        <v>1739.0</v>
      </c>
      <c r="F91">
        <v>620.0</v>
      </c>
      <c r="G91">
        <v>1819.0</v>
      </c>
      <c r="H91">
        <v>522.0</v>
      </c>
      <c r="I91">
        <v>1859.0</v>
      </c>
      <c r="J91">
        <v>438.0</v>
      </c>
      <c r="K91">
        <v>1937.0</v>
      </c>
      <c r="L91">
        <v>421.0</v>
      </c>
      <c r="M91">
        <v>2002.0</v>
      </c>
      <c r="N91">
        <v>438.0</v>
      </c>
      <c r="O91">
        <v>1955.0</v>
      </c>
      <c r="P91">
        <v>513.0</v>
      </c>
      <c r="Q91">
        <v>1915.0</v>
      </c>
      <c r="R91">
        <v>551.0</v>
      </c>
      <c r="S91">
        <v>1818.0</v>
      </c>
      <c r="T91">
        <v>629.0</v>
      </c>
      <c r="U91">
        <v>1722.0</v>
      </c>
      <c r="V91">
        <v>712.0</v>
      </c>
      <c r="W91">
        <v>1639.0</v>
      </c>
      <c r="X91">
        <v>745.0</v>
      </c>
      <c r="Y91">
        <v>1628.0</v>
      </c>
    </row>
    <row r="92">
      <c r="A92" s="290">
        <v>17.0</v>
      </c>
      <c r="B92">
        <v>746.0</v>
      </c>
      <c r="C92">
        <v>1656.0</v>
      </c>
      <c r="D92">
        <v>710.0</v>
      </c>
      <c r="E92">
        <v>1740.0</v>
      </c>
      <c r="F92">
        <v>618.0</v>
      </c>
      <c r="G92">
        <v>1820.0</v>
      </c>
      <c r="H92">
        <v>521.0</v>
      </c>
      <c r="I92">
        <v>1900.0</v>
      </c>
      <c r="J92">
        <v>437.0</v>
      </c>
      <c r="K92">
        <v>1938.0</v>
      </c>
      <c r="L92">
        <v>421.0</v>
      </c>
      <c r="M92">
        <v>2002.0</v>
      </c>
      <c r="N92">
        <v>439.0</v>
      </c>
      <c r="O92">
        <v>1954.0</v>
      </c>
      <c r="P92">
        <v>514.0</v>
      </c>
      <c r="Q92">
        <v>1914.0</v>
      </c>
      <c r="R92">
        <v>552.0</v>
      </c>
      <c r="S92">
        <v>1817.0</v>
      </c>
      <c r="T92">
        <v>630.0</v>
      </c>
      <c r="U92">
        <v>1720.0</v>
      </c>
      <c r="V92">
        <v>713.0</v>
      </c>
      <c r="W92">
        <v>1638.0</v>
      </c>
      <c r="X92">
        <v>746.0</v>
      </c>
      <c r="Y92">
        <v>1628.0</v>
      </c>
    </row>
    <row r="93">
      <c r="A93" s="290">
        <v>18.0</v>
      </c>
      <c r="B93">
        <v>745.0</v>
      </c>
      <c r="C93">
        <v>1657.0</v>
      </c>
      <c r="D93">
        <v>708.0</v>
      </c>
      <c r="E93">
        <v>1742.0</v>
      </c>
      <c r="F93">
        <v>616.0</v>
      </c>
      <c r="G93">
        <v>1821.0</v>
      </c>
      <c r="H93">
        <v>519.0</v>
      </c>
      <c r="I93">
        <v>1902.0</v>
      </c>
      <c r="J93">
        <v>436.0</v>
      </c>
      <c r="K93">
        <v>1939.0</v>
      </c>
      <c r="L93">
        <v>421.0</v>
      </c>
      <c r="M93">
        <v>2002.0</v>
      </c>
      <c r="N93">
        <v>440.0</v>
      </c>
      <c r="O93">
        <v>1953.0</v>
      </c>
      <c r="P93">
        <v>516.0</v>
      </c>
      <c r="Q93">
        <v>1912.0</v>
      </c>
      <c r="R93">
        <v>554.0</v>
      </c>
      <c r="S93">
        <v>1815.0</v>
      </c>
      <c r="T93">
        <v>632.0</v>
      </c>
      <c r="U93">
        <v>1719.0</v>
      </c>
      <c r="V93">
        <v>715.0</v>
      </c>
      <c r="W93">
        <v>1637.0</v>
      </c>
      <c r="X93">
        <v>746.0</v>
      </c>
      <c r="Y93">
        <v>1629.0</v>
      </c>
    </row>
    <row r="94">
      <c r="A94" s="290">
        <v>19.0</v>
      </c>
      <c r="B94">
        <v>745.0</v>
      </c>
      <c r="C94">
        <v>1658.0</v>
      </c>
      <c r="D94">
        <v>707.0</v>
      </c>
      <c r="E94">
        <v>1743.0</v>
      </c>
      <c r="F94">
        <v>614.0</v>
      </c>
      <c r="G94">
        <v>1823.0</v>
      </c>
      <c r="H94">
        <v>517.0</v>
      </c>
      <c r="I94">
        <v>1903.0</v>
      </c>
      <c r="J94">
        <v>435.0</v>
      </c>
      <c r="K94">
        <v>1940.0</v>
      </c>
      <c r="L94">
        <v>422.0</v>
      </c>
      <c r="M94">
        <v>2003.0</v>
      </c>
      <c r="N94">
        <v>441.0</v>
      </c>
      <c r="O94">
        <v>1952.0</v>
      </c>
      <c r="P94">
        <v>517.0</v>
      </c>
      <c r="Q94">
        <v>1910.0</v>
      </c>
      <c r="R94">
        <v>555.0</v>
      </c>
      <c r="S94">
        <v>1813.0</v>
      </c>
      <c r="T94">
        <v>633.0</v>
      </c>
      <c r="U94">
        <v>1717.0</v>
      </c>
      <c r="V94">
        <v>716.0</v>
      </c>
      <c r="W94">
        <v>1636.0</v>
      </c>
      <c r="X94">
        <v>747.0</v>
      </c>
      <c r="Y94">
        <v>1629.0</v>
      </c>
    </row>
    <row r="95">
      <c r="A95" s="290">
        <v>20.0</v>
      </c>
      <c r="B95">
        <v>744.0</v>
      </c>
      <c r="C95">
        <v>1700.0</v>
      </c>
      <c r="D95">
        <v>705.0</v>
      </c>
      <c r="E95">
        <v>1744.0</v>
      </c>
      <c r="F95">
        <v>612.0</v>
      </c>
      <c r="G95">
        <v>1824.0</v>
      </c>
      <c r="H95">
        <v>515.0</v>
      </c>
      <c r="I95">
        <v>1904.0</v>
      </c>
      <c r="J95">
        <v>434.0</v>
      </c>
      <c r="K95">
        <v>1941.0</v>
      </c>
      <c r="L95">
        <v>422.0</v>
      </c>
      <c r="M95">
        <v>2003.0</v>
      </c>
      <c r="N95">
        <v>442.0</v>
      </c>
      <c r="O95">
        <v>1951.0</v>
      </c>
      <c r="P95">
        <v>518.0</v>
      </c>
      <c r="Q95">
        <v>1909.0</v>
      </c>
      <c r="R95">
        <v>556.0</v>
      </c>
      <c r="S95">
        <v>1811.0</v>
      </c>
      <c r="T95">
        <v>635.0</v>
      </c>
      <c r="U95">
        <v>1715.0</v>
      </c>
      <c r="V95">
        <v>717.0</v>
      </c>
      <c r="W95">
        <v>1635.0</v>
      </c>
      <c r="X95">
        <v>748.0</v>
      </c>
      <c r="Y95">
        <v>1630.0</v>
      </c>
    </row>
    <row r="96">
      <c r="A96" s="290">
        <v>21.0</v>
      </c>
      <c r="B96">
        <v>743.0</v>
      </c>
      <c r="C96">
        <v>1701.0</v>
      </c>
      <c r="D96">
        <v>703.0</v>
      </c>
      <c r="E96">
        <v>1746.0</v>
      </c>
      <c r="F96">
        <v>611.0</v>
      </c>
      <c r="G96">
        <v>1825.0</v>
      </c>
      <c r="H96">
        <v>514.0</v>
      </c>
      <c r="I96">
        <v>1905.0</v>
      </c>
      <c r="J96">
        <v>433.0</v>
      </c>
      <c r="K96">
        <v>1942.0</v>
      </c>
      <c r="L96">
        <v>422.0</v>
      </c>
      <c r="M96">
        <v>2003.0</v>
      </c>
      <c r="N96">
        <v>443.0</v>
      </c>
      <c r="O96">
        <v>1951.0</v>
      </c>
      <c r="P96">
        <v>519.0</v>
      </c>
      <c r="Q96">
        <v>1907.0</v>
      </c>
      <c r="R96">
        <v>557.0</v>
      </c>
      <c r="S96">
        <v>1809.0</v>
      </c>
      <c r="T96">
        <v>636.0</v>
      </c>
      <c r="U96">
        <v>1714.0</v>
      </c>
      <c r="V96">
        <v>719.0</v>
      </c>
      <c r="W96">
        <v>1634.0</v>
      </c>
      <c r="X96">
        <v>748.0</v>
      </c>
      <c r="Y96">
        <v>1630.0</v>
      </c>
    </row>
    <row r="97">
      <c r="A97" s="290">
        <v>22.0</v>
      </c>
      <c r="B97">
        <v>742.0</v>
      </c>
      <c r="C97">
        <v>1703.0</v>
      </c>
      <c r="D97">
        <v>702.0</v>
      </c>
      <c r="E97">
        <v>1747.0</v>
      </c>
      <c r="F97">
        <v>609.0</v>
      </c>
      <c r="G97">
        <v>1827.0</v>
      </c>
      <c r="H97">
        <v>512.0</v>
      </c>
      <c r="I97">
        <v>1907.0</v>
      </c>
      <c r="J97">
        <v>432.0</v>
      </c>
      <c r="K97">
        <v>1943.0</v>
      </c>
      <c r="L97">
        <v>422.0</v>
      </c>
      <c r="M97">
        <v>2003.0</v>
      </c>
      <c r="N97">
        <v>444.0</v>
      </c>
      <c r="O97">
        <v>1950.0</v>
      </c>
      <c r="P97">
        <v>521.0</v>
      </c>
      <c r="Q97">
        <v>1905.0</v>
      </c>
      <c r="R97">
        <v>558.0</v>
      </c>
      <c r="S97">
        <v>1807.0</v>
      </c>
      <c r="T97">
        <v>637.0</v>
      </c>
      <c r="U97">
        <v>1712.0</v>
      </c>
      <c r="V97">
        <v>720.0</v>
      </c>
      <c r="W97">
        <v>1633.0</v>
      </c>
      <c r="X97">
        <v>749.0</v>
      </c>
      <c r="Y97">
        <v>1631.0</v>
      </c>
    </row>
    <row r="98">
      <c r="A98" s="290">
        <v>23.0</v>
      </c>
      <c r="B98">
        <v>741.0</v>
      </c>
      <c r="C98">
        <v>1704.0</v>
      </c>
      <c r="D98">
        <v>700.0</v>
      </c>
      <c r="E98">
        <v>1749.0</v>
      </c>
      <c r="F98">
        <v>607.0</v>
      </c>
      <c r="G98">
        <v>1828.0</v>
      </c>
      <c r="H98">
        <v>510.0</v>
      </c>
      <c r="I98">
        <v>1908.0</v>
      </c>
      <c r="J98">
        <v>431.0</v>
      </c>
      <c r="K98">
        <v>1944.0</v>
      </c>
      <c r="L98">
        <v>423.0</v>
      </c>
      <c r="M98">
        <v>2003.0</v>
      </c>
      <c r="N98">
        <v>445.0</v>
      </c>
      <c r="O98">
        <v>1948.0</v>
      </c>
      <c r="P98">
        <v>522.0</v>
      </c>
      <c r="Q98">
        <v>1903.0</v>
      </c>
      <c r="R98">
        <v>600.0</v>
      </c>
      <c r="S98">
        <v>1805.0</v>
      </c>
      <c r="T98">
        <v>639.0</v>
      </c>
      <c r="U98">
        <v>1710.0</v>
      </c>
      <c r="V98">
        <v>721.0</v>
      </c>
      <c r="W98">
        <v>1633.0</v>
      </c>
      <c r="X98">
        <v>749.0</v>
      </c>
      <c r="Y98">
        <v>1631.0</v>
      </c>
    </row>
    <row r="99">
      <c r="A99" s="290">
        <v>24.0</v>
      </c>
      <c r="B99">
        <v>740.0</v>
      </c>
      <c r="C99">
        <v>1705.0</v>
      </c>
      <c r="D99">
        <v>658.0</v>
      </c>
      <c r="E99">
        <v>1750.0</v>
      </c>
      <c r="F99">
        <v>605.0</v>
      </c>
      <c r="G99">
        <v>1829.0</v>
      </c>
      <c r="H99">
        <v>509.0</v>
      </c>
      <c r="I99">
        <v>1909.0</v>
      </c>
      <c r="J99">
        <v>430.0</v>
      </c>
      <c r="K99">
        <v>1945.0</v>
      </c>
      <c r="L99">
        <v>423.0</v>
      </c>
      <c r="M99">
        <v>2004.0</v>
      </c>
      <c r="N99">
        <v>446.0</v>
      </c>
      <c r="O99">
        <v>1947.0</v>
      </c>
      <c r="P99">
        <v>523.0</v>
      </c>
      <c r="Q99">
        <v>1902.0</v>
      </c>
      <c r="R99">
        <v>601.0</v>
      </c>
      <c r="S99">
        <v>1803.0</v>
      </c>
      <c r="T99">
        <v>640.0</v>
      </c>
      <c r="U99">
        <v>1709.0</v>
      </c>
      <c r="V99">
        <v>723.0</v>
      </c>
      <c r="W99">
        <v>1632.0</v>
      </c>
      <c r="X99">
        <v>749.0</v>
      </c>
      <c r="Y99">
        <v>1632.0</v>
      </c>
    </row>
    <row r="100">
      <c r="A100" s="290">
        <v>25.0</v>
      </c>
      <c r="B100">
        <v>740.0</v>
      </c>
      <c r="C100">
        <v>1707.0</v>
      </c>
      <c r="D100">
        <v>657.0</v>
      </c>
      <c r="E100">
        <v>1752.0</v>
      </c>
      <c r="F100">
        <v>603.0</v>
      </c>
      <c r="G100">
        <v>1831.0</v>
      </c>
      <c r="H100">
        <v>507.0</v>
      </c>
      <c r="I100">
        <v>1911.0</v>
      </c>
      <c r="J100">
        <v>430.0</v>
      </c>
      <c r="K100">
        <v>1946.0</v>
      </c>
      <c r="L100">
        <v>423.0</v>
      </c>
      <c r="M100">
        <v>2004.0</v>
      </c>
      <c r="N100">
        <v>447.0</v>
      </c>
      <c r="O100">
        <v>1946.0</v>
      </c>
      <c r="P100">
        <v>524.0</v>
      </c>
      <c r="Q100">
        <v>1900.0</v>
      </c>
      <c r="R100">
        <v>602.0</v>
      </c>
      <c r="S100">
        <v>1801.0</v>
      </c>
      <c r="T100">
        <v>641.0</v>
      </c>
      <c r="U100">
        <v>1707.0</v>
      </c>
      <c r="V100">
        <v>724.0</v>
      </c>
      <c r="W100">
        <v>1631.0</v>
      </c>
      <c r="X100">
        <v>750.0</v>
      </c>
      <c r="Y100">
        <v>1633.0</v>
      </c>
    </row>
    <row r="101">
      <c r="A101" s="290">
        <v>26.0</v>
      </c>
      <c r="B101">
        <v>739.0</v>
      </c>
      <c r="C101">
        <v>1708.0</v>
      </c>
      <c r="D101">
        <v>655.0</v>
      </c>
      <c r="E101">
        <v>1753.0</v>
      </c>
      <c r="F101">
        <v>601.0</v>
      </c>
      <c r="G101">
        <v>1832.0</v>
      </c>
      <c r="H101">
        <v>505.0</v>
      </c>
      <c r="I101">
        <v>1912.0</v>
      </c>
      <c r="J101">
        <v>429.0</v>
      </c>
      <c r="K101">
        <v>1947.0</v>
      </c>
      <c r="L101">
        <v>424.0</v>
      </c>
      <c r="M101">
        <v>2004.0</v>
      </c>
      <c r="N101">
        <v>448.0</v>
      </c>
      <c r="O101">
        <v>1945.0</v>
      </c>
      <c r="P101">
        <v>525.0</v>
      </c>
      <c r="Q101">
        <v>1858.0</v>
      </c>
      <c r="R101">
        <v>603.0</v>
      </c>
      <c r="S101">
        <v>1759.0</v>
      </c>
      <c r="T101">
        <v>643.0</v>
      </c>
      <c r="U101">
        <v>1706.0</v>
      </c>
      <c r="V101">
        <v>725.0</v>
      </c>
      <c r="W101">
        <v>1631.0</v>
      </c>
      <c r="X101">
        <v>750.0</v>
      </c>
      <c r="Y101">
        <v>1633.0</v>
      </c>
    </row>
    <row r="102">
      <c r="A102" s="290">
        <v>27.0</v>
      </c>
      <c r="B102">
        <v>738.0</v>
      </c>
      <c r="C102">
        <v>1710.0</v>
      </c>
      <c r="D102">
        <v>653.0</v>
      </c>
      <c r="E102">
        <v>1754.0</v>
      </c>
      <c r="F102">
        <v>559.0</v>
      </c>
      <c r="G102">
        <v>1833.0</v>
      </c>
      <c r="H102">
        <v>504.0</v>
      </c>
      <c r="I102">
        <v>1913.0</v>
      </c>
      <c r="J102">
        <v>428.0</v>
      </c>
      <c r="K102">
        <v>1948.0</v>
      </c>
      <c r="L102">
        <v>424.0</v>
      </c>
      <c r="M102">
        <v>2003.0</v>
      </c>
      <c r="N102">
        <v>450.0</v>
      </c>
      <c r="O102">
        <v>1944.0</v>
      </c>
      <c r="P102">
        <v>527.0</v>
      </c>
      <c r="Q102">
        <v>1856.0</v>
      </c>
      <c r="R102">
        <v>605.0</v>
      </c>
      <c r="S102">
        <v>1757.0</v>
      </c>
      <c r="T102">
        <v>644.0</v>
      </c>
      <c r="U102">
        <v>1704.0</v>
      </c>
      <c r="V102">
        <v>726.0</v>
      </c>
      <c r="W102">
        <v>1630.0</v>
      </c>
      <c r="X102">
        <v>750.0</v>
      </c>
      <c r="Y102">
        <v>1634.0</v>
      </c>
    </row>
    <row r="103">
      <c r="A103" s="290">
        <v>28.0</v>
      </c>
      <c r="B103">
        <v>737.0</v>
      </c>
      <c r="C103">
        <v>1711.0</v>
      </c>
      <c r="D103">
        <v>651.0</v>
      </c>
      <c r="E103">
        <v>1756.0</v>
      </c>
      <c r="F103">
        <v>557.0</v>
      </c>
      <c r="G103">
        <v>1834.0</v>
      </c>
      <c r="H103">
        <v>502.0</v>
      </c>
      <c r="I103">
        <v>1914.0</v>
      </c>
      <c r="J103">
        <v>427.0</v>
      </c>
      <c r="K103">
        <v>1949.0</v>
      </c>
      <c r="L103">
        <v>425.0</v>
      </c>
      <c r="M103">
        <v>2003.0</v>
      </c>
      <c r="N103">
        <v>451.0</v>
      </c>
      <c r="O103">
        <v>1943.0</v>
      </c>
      <c r="P103">
        <v>528.0</v>
      </c>
      <c r="Q103">
        <v>1854.0</v>
      </c>
      <c r="R103">
        <v>606.0</v>
      </c>
      <c r="S103">
        <v>1755.0</v>
      </c>
      <c r="T103">
        <v>646.0</v>
      </c>
      <c r="U103">
        <v>1703.0</v>
      </c>
      <c r="V103">
        <v>728.0</v>
      </c>
      <c r="W103">
        <v>1630.0</v>
      </c>
      <c r="X103">
        <v>750.0</v>
      </c>
      <c r="Y103">
        <v>1635.0</v>
      </c>
    </row>
    <row r="104">
      <c r="A104" s="290">
        <v>29.0</v>
      </c>
      <c r="B104">
        <v>735.0</v>
      </c>
      <c r="C104">
        <v>1712.0</v>
      </c>
      <c r="D104">
        <v>650.0</v>
      </c>
      <c r="E104">
        <v>1757.0</v>
      </c>
      <c r="F104">
        <v>555.0</v>
      </c>
      <c r="G104">
        <v>1836.0</v>
      </c>
      <c r="H104">
        <v>501.0</v>
      </c>
      <c r="I104">
        <v>1916.0</v>
      </c>
      <c r="J104">
        <v>427.0</v>
      </c>
      <c r="K104">
        <v>1950.0</v>
      </c>
      <c r="L104">
        <v>425.0</v>
      </c>
      <c r="M104">
        <v>2003.0</v>
      </c>
      <c r="N104">
        <v>452.0</v>
      </c>
      <c r="O104">
        <v>1942.0</v>
      </c>
      <c r="P104">
        <v>529.0</v>
      </c>
      <c r="Q104">
        <v>1853.0</v>
      </c>
      <c r="R104">
        <v>607.0</v>
      </c>
      <c r="S104">
        <v>1753.0</v>
      </c>
      <c r="T104">
        <v>647.0</v>
      </c>
      <c r="U104">
        <v>1701.0</v>
      </c>
      <c r="V104">
        <v>729.0</v>
      </c>
      <c r="W104">
        <v>1629.0</v>
      </c>
      <c r="X104">
        <v>751.0</v>
      </c>
      <c r="Y104">
        <v>1636.0</v>
      </c>
    </row>
    <row r="105">
      <c r="A105" s="290">
        <v>30.0</v>
      </c>
      <c r="B105">
        <v>734.0</v>
      </c>
      <c r="C105">
        <v>1714.0</v>
      </c>
      <c r="D105" t="s">
        <v>107</v>
      </c>
      <c r="E105" t="s">
        <v>107</v>
      </c>
      <c r="F105">
        <v>553.0</v>
      </c>
      <c r="G105">
        <v>1837.0</v>
      </c>
      <c r="H105">
        <v>459.0</v>
      </c>
      <c r="I105">
        <v>1917.0</v>
      </c>
      <c r="J105">
        <v>426.0</v>
      </c>
      <c r="K105">
        <v>1951.0</v>
      </c>
      <c r="L105">
        <v>426.0</v>
      </c>
      <c r="M105">
        <v>2003.0</v>
      </c>
      <c r="N105">
        <v>453.0</v>
      </c>
      <c r="O105">
        <v>1940.0</v>
      </c>
      <c r="P105">
        <v>530.0</v>
      </c>
      <c r="Q105">
        <v>1851.0</v>
      </c>
      <c r="R105">
        <v>608.0</v>
      </c>
      <c r="S105">
        <v>1752.0</v>
      </c>
      <c r="T105">
        <v>648.0</v>
      </c>
      <c r="U105">
        <v>1700.0</v>
      </c>
      <c r="V105">
        <v>730.0</v>
      </c>
      <c r="W105">
        <v>1629.0</v>
      </c>
      <c r="X105">
        <v>751.0</v>
      </c>
      <c r="Y105">
        <v>1636.0</v>
      </c>
    </row>
    <row r="106">
      <c r="A106" s="290">
        <v>31.0</v>
      </c>
      <c r="B106">
        <v>733.0</v>
      </c>
      <c r="C106">
        <v>1715.0</v>
      </c>
      <c r="D106" t="s">
        <v>107</v>
      </c>
      <c r="E106" t="s">
        <v>107</v>
      </c>
      <c r="F106">
        <v>552.0</v>
      </c>
      <c r="G106">
        <v>1838.0</v>
      </c>
      <c r="H106" t="s">
        <v>107</v>
      </c>
      <c r="I106" t="s">
        <v>107</v>
      </c>
      <c r="J106">
        <v>425.0</v>
      </c>
      <c r="K106">
        <v>1952.0</v>
      </c>
      <c r="L106" t="s">
        <v>107</v>
      </c>
      <c r="M106" t="s">
        <v>107</v>
      </c>
      <c r="N106">
        <v>454.0</v>
      </c>
      <c r="O106">
        <v>1939.0</v>
      </c>
      <c r="P106">
        <v>532.0</v>
      </c>
      <c r="Q106">
        <v>1849.0</v>
      </c>
      <c r="R106" t="s">
        <v>107</v>
      </c>
      <c r="S106" t="s">
        <v>107</v>
      </c>
      <c r="T106">
        <v>650.0</v>
      </c>
      <c r="U106">
        <v>1658.0</v>
      </c>
      <c r="V106" t="s">
        <v>107</v>
      </c>
      <c r="W106" t="s">
        <v>107</v>
      </c>
      <c r="X106">
        <v>751.0</v>
      </c>
      <c r="Y106">
        <v>1637.0</v>
      </c>
    </row>
    <row r="107">
      <c r="A107" s="291"/>
    </row>
    <row r="108">
      <c r="A108" s="29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5.88"/>
    <col customWidth="1" min="2" max="2" width="7.5"/>
    <col customWidth="1" min="3" max="14" width="6.25"/>
  </cols>
  <sheetData>
    <row r="1">
      <c r="A1" s="106" t="s">
        <v>201</v>
      </c>
      <c r="B1" s="184" t="str">
        <f>IFERROR(__xludf.DUMMYFUNCTION("SPLIT(A1,"" "")"),"Day")</f>
        <v>Day</v>
      </c>
      <c r="C1" s="184" t="str">
        <f>IFERROR(__xludf.DUMMYFUNCTION("""COMPUTED_VALUE"""),"Jan.")</f>
        <v>Jan.</v>
      </c>
      <c r="D1" s="184" t="str">
        <f>IFERROR(__xludf.DUMMYFUNCTION("""COMPUTED_VALUE"""),"Feb.")</f>
        <v>Feb.</v>
      </c>
      <c r="E1" s="184" t="str">
        <f>IFERROR(__xludf.DUMMYFUNCTION("""COMPUTED_VALUE"""),"Mar.")</f>
        <v>Mar.</v>
      </c>
      <c r="F1" s="184" t="str">
        <f>IFERROR(__xludf.DUMMYFUNCTION("""COMPUTED_VALUE"""),"Apr.")</f>
        <v>Apr.</v>
      </c>
      <c r="G1" s="184" t="str">
        <f>IFERROR(__xludf.DUMMYFUNCTION("""COMPUTED_VALUE"""),"May")</f>
        <v>May</v>
      </c>
      <c r="H1" s="184" t="str">
        <f>IFERROR(__xludf.DUMMYFUNCTION("""COMPUTED_VALUE"""),"June")</f>
        <v>June</v>
      </c>
      <c r="I1" s="184" t="str">
        <f>IFERROR(__xludf.DUMMYFUNCTION("""COMPUTED_VALUE"""),"July")</f>
        <v>July</v>
      </c>
      <c r="J1" s="184" t="str">
        <f>IFERROR(__xludf.DUMMYFUNCTION("""COMPUTED_VALUE"""),"Aug.")</f>
        <v>Aug.</v>
      </c>
      <c r="K1" s="184" t="str">
        <f>IFERROR(__xludf.DUMMYFUNCTION("""COMPUTED_VALUE"""),"Sep.")</f>
        <v>Sep.</v>
      </c>
      <c r="L1" s="184" t="str">
        <f>IFERROR(__xludf.DUMMYFUNCTION("""COMPUTED_VALUE"""),"Oct.")</f>
        <v>Oct.</v>
      </c>
      <c r="M1" s="184" t="str">
        <f>IFERROR(__xludf.DUMMYFUNCTION("""COMPUTED_VALUE"""),"Nov.")</f>
        <v>Nov.</v>
      </c>
      <c r="N1" s="184" t="str">
        <f>IFERROR(__xludf.DUMMYFUNCTION("""COMPUTED_VALUE"""),"Dec.")</f>
        <v>Dec.</v>
      </c>
    </row>
    <row r="2">
      <c r="A2" s="106" t="s">
        <v>202</v>
      </c>
      <c r="B2" s="184">
        <f>IFERROR(__xludf.DUMMYFUNCTION("SPLIT(A2,"" "")"),1.0)</f>
        <v>1</v>
      </c>
      <c r="C2" s="293">
        <f>IFERROR(__xludf.DUMMYFUNCTION("""COMPUTED_VALUE"""),0.99)</f>
        <v>0.99</v>
      </c>
      <c r="D2" s="293">
        <f>IFERROR(__xludf.DUMMYFUNCTION("""COMPUTED_VALUE"""),0.99)</f>
        <v>0.99</v>
      </c>
      <c r="E2" s="293">
        <f>IFERROR(__xludf.DUMMYFUNCTION("""COMPUTED_VALUE"""),0.99)</f>
        <v>0.99</v>
      </c>
      <c r="F2" s="293">
        <f>IFERROR(__xludf.DUMMYFUNCTION("""COMPUTED_VALUE"""),0.99)</f>
        <v>0.99</v>
      </c>
      <c r="G2" s="293">
        <f>IFERROR(__xludf.DUMMYFUNCTION("""COMPUTED_VALUE"""),0.98)</f>
        <v>0.98</v>
      </c>
      <c r="H2" s="293">
        <f>IFERROR(__xludf.DUMMYFUNCTION("""COMPUTED_VALUE"""),0.93)</f>
        <v>0.93</v>
      </c>
      <c r="I2" s="293">
        <f>IFERROR(__xludf.DUMMYFUNCTION("""COMPUTED_VALUE"""),0.91)</f>
        <v>0.91</v>
      </c>
      <c r="J2" s="293">
        <f>IFERROR(__xludf.DUMMYFUNCTION("""COMPUTED_VALUE"""),0.82)</f>
        <v>0.82</v>
      </c>
      <c r="K2" s="293">
        <f>IFERROR(__xludf.DUMMYFUNCTION("""COMPUTED_VALUE"""),0.69)</f>
        <v>0.69</v>
      </c>
      <c r="L2" s="293">
        <f>IFERROR(__xludf.DUMMYFUNCTION("""COMPUTED_VALUE"""),0.62)</f>
        <v>0.62</v>
      </c>
      <c r="M2" s="293">
        <f>IFERROR(__xludf.DUMMYFUNCTION("""COMPUTED_VALUE"""),0.43)</f>
        <v>0.43</v>
      </c>
      <c r="N2" s="293">
        <f>IFERROR(__xludf.DUMMYFUNCTION("""COMPUTED_VALUE"""),0.36)</f>
        <v>0.36</v>
      </c>
    </row>
    <row r="3">
      <c r="A3" s="106" t="s">
        <v>203</v>
      </c>
      <c r="B3" s="184">
        <f>IFERROR(__xludf.DUMMYFUNCTION("SPLIT(A3,"" "")"),2.0)</f>
        <v>2</v>
      </c>
      <c r="C3" s="293">
        <f>IFERROR(__xludf.DUMMYFUNCTION("""COMPUTED_VALUE"""),1.0)</f>
        <v>1</v>
      </c>
      <c r="D3" s="293">
        <f>IFERROR(__xludf.DUMMYFUNCTION("""COMPUTED_VALUE"""),0.96)</f>
        <v>0.96</v>
      </c>
      <c r="E3" s="293">
        <f>IFERROR(__xludf.DUMMYFUNCTION("""COMPUTED_VALUE"""),1.0)</f>
        <v>1</v>
      </c>
      <c r="F3" s="293">
        <f>IFERROR(__xludf.DUMMYFUNCTION("""COMPUTED_VALUE"""),0.96)</f>
        <v>0.96</v>
      </c>
      <c r="G3" s="293">
        <f>IFERROR(__xludf.DUMMYFUNCTION("""COMPUTED_VALUE"""),0.95)</f>
        <v>0.95</v>
      </c>
      <c r="H3" s="293">
        <f>IFERROR(__xludf.DUMMYFUNCTION("""COMPUTED_VALUE"""),0.88)</f>
        <v>0.88</v>
      </c>
      <c r="I3" s="293">
        <f>IFERROR(__xludf.DUMMYFUNCTION("""COMPUTED_VALUE"""),0.85)</f>
        <v>0.85</v>
      </c>
      <c r="J3" s="293">
        <f>IFERROR(__xludf.DUMMYFUNCTION("""COMPUTED_VALUE"""),0.74)</f>
        <v>0.74</v>
      </c>
      <c r="K3" s="293">
        <f>IFERROR(__xludf.DUMMYFUNCTION("""COMPUTED_VALUE"""),0.59)</f>
        <v>0.59</v>
      </c>
      <c r="L3" s="293">
        <f>IFERROR(__xludf.DUMMYFUNCTION("""COMPUTED_VALUE"""),0.51)</f>
        <v>0.51</v>
      </c>
      <c r="M3" s="293">
        <f>IFERROR(__xludf.DUMMYFUNCTION("""COMPUTED_VALUE"""),0.32)</f>
        <v>0.32</v>
      </c>
      <c r="N3" s="293">
        <f>IFERROR(__xludf.DUMMYFUNCTION("""COMPUTED_VALUE"""),0.25)</f>
        <v>0.25</v>
      </c>
    </row>
    <row r="4">
      <c r="A4" s="106" t="s">
        <v>204</v>
      </c>
      <c r="B4" s="184">
        <f>IFERROR(__xludf.DUMMYFUNCTION("SPLIT(A4,"" "")"),3.0)</f>
        <v>3</v>
      </c>
      <c r="C4" s="293">
        <f>IFERROR(__xludf.DUMMYFUNCTION("""COMPUTED_VALUE"""),0.98)</f>
        <v>0.98</v>
      </c>
      <c r="D4" s="293">
        <f>IFERROR(__xludf.DUMMYFUNCTION("""COMPUTED_VALUE"""),0.9)</f>
        <v>0.9</v>
      </c>
      <c r="E4" s="293">
        <f>IFERROR(__xludf.DUMMYFUNCTION("""COMPUTED_VALUE"""),0.98)</f>
        <v>0.98</v>
      </c>
      <c r="F4" s="293">
        <f>IFERROR(__xludf.DUMMYFUNCTION("""COMPUTED_VALUE"""),0.91)</f>
        <v>0.91</v>
      </c>
      <c r="G4" s="293">
        <f>IFERROR(__xludf.DUMMYFUNCTION("""COMPUTED_VALUE"""),0.89)</f>
        <v>0.89</v>
      </c>
      <c r="H4" s="293">
        <f>IFERROR(__xludf.DUMMYFUNCTION("""COMPUTED_VALUE"""),0.81)</f>
        <v>0.81</v>
      </c>
      <c r="I4" s="293">
        <f>IFERROR(__xludf.DUMMYFUNCTION("""COMPUTED_VALUE"""),0.78)</f>
        <v>0.78</v>
      </c>
      <c r="J4" s="293">
        <f>IFERROR(__xludf.DUMMYFUNCTION("""COMPUTED_VALUE"""),0.65)</f>
        <v>0.65</v>
      </c>
      <c r="K4" s="293">
        <f>IFERROR(__xludf.DUMMYFUNCTION("""COMPUTED_VALUE"""),0.48)</f>
        <v>0.48</v>
      </c>
      <c r="L4" s="293">
        <f>IFERROR(__xludf.DUMMYFUNCTION("""COMPUTED_VALUE"""),0.4)</f>
        <v>0.4</v>
      </c>
      <c r="M4" s="293">
        <f>IFERROR(__xludf.DUMMYFUNCTION("""COMPUTED_VALUE"""),0.22)</f>
        <v>0.22</v>
      </c>
      <c r="N4" s="293">
        <f>IFERROR(__xludf.DUMMYFUNCTION("""COMPUTED_VALUE"""),0.17)</f>
        <v>0.17</v>
      </c>
    </row>
    <row r="5">
      <c r="A5" s="106" t="s">
        <v>205</v>
      </c>
      <c r="B5" s="184">
        <f>IFERROR(__xludf.DUMMYFUNCTION("SPLIT(A5,"" "")"),4.0)</f>
        <v>4</v>
      </c>
      <c r="C5" s="293">
        <f>IFERROR(__xludf.DUMMYFUNCTION("""COMPUTED_VALUE"""),0.93)</f>
        <v>0.93</v>
      </c>
      <c r="D5" s="293">
        <f>IFERROR(__xludf.DUMMYFUNCTION("""COMPUTED_VALUE"""),0.82)</f>
        <v>0.82</v>
      </c>
      <c r="E5" s="293">
        <f>IFERROR(__xludf.DUMMYFUNCTION("""COMPUTED_VALUE"""),0.93)</f>
        <v>0.93</v>
      </c>
      <c r="F5" s="293">
        <f>IFERROR(__xludf.DUMMYFUNCTION("""COMPUTED_VALUE"""),0.85)</f>
        <v>0.85</v>
      </c>
      <c r="G5" s="293">
        <f>IFERROR(__xludf.DUMMYFUNCTION("""COMPUTED_VALUE"""),0.83)</f>
        <v>0.83</v>
      </c>
      <c r="H5" s="293">
        <f>IFERROR(__xludf.DUMMYFUNCTION("""COMPUTED_VALUE"""),0.73)</f>
        <v>0.73</v>
      </c>
      <c r="I5" s="293">
        <f>IFERROR(__xludf.DUMMYFUNCTION("""COMPUTED_VALUE"""),0.7)</f>
        <v>0.7</v>
      </c>
      <c r="J5" s="293">
        <f>IFERROR(__xludf.DUMMYFUNCTION("""COMPUTED_VALUE"""),0.55)</f>
        <v>0.55</v>
      </c>
      <c r="K5" s="293">
        <f>IFERROR(__xludf.DUMMYFUNCTION("""COMPUTED_VALUE"""),0.36)</f>
        <v>0.36</v>
      </c>
      <c r="L5" s="293">
        <f>IFERROR(__xludf.DUMMYFUNCTION("""COMPUTED_VALUE"""),0.29)</f>
        <v>0.29</v>
      </c>
      <c r="M5" s="293">
        <f>IFERROR(__xludf.DUMMYFUNCTION("""COMPUTED_VALUE"""),0.13)</f>
        <v>0.13</v>
      </c>
      <c r="N5" s="293">
        <f>IFERROR(__xludf.DUMMYFUNCTION("""COMPUTED_VALUE"""),0.09)</f>
        <v>0.09</v>
      </c>
    </row>
    <row r="6">
      <c r="A6" s="106" t="s">
        <v>206</v>
      </c>
      <c r="B6" s="184">
        <f>IFERROR(__xludf.DUMMYFUNCTION("SPLIT(A6,"" "")"),5.0)</f>
        <v>5</v>
      </c>
      <c r="C6" s="293">
        <f>IFERROR(__xludf.DUMMYFUNCTION("""COMPUTED_VALUE"""),0.85)</f>
        <v>0.85</v>
      </c>
      <c r="D6" s="293">
        <f>IFERROR(__xludf.DUMMYFUNCTION("""COMPUTED_VALUE"""),0.73)</f>
        <v>0.73</v>
      </c>
      <c r="E6" s="293">
        <f>IFERROR(__xludf.DUMMYFUNCTION("""COMPUTED_VALUE"""),0.87)</f>
        <v>0.87</v>
      </c>
      <c r="F6" s="293">
        <f>IFERROR(__xludf.DUMMYFUNCTION("""COMPUTED_VALUE"""),0.77)</f>
        <v>0.77</v>
      </c>
      <c r="G6" s="293">
        <f>IFERROR(__xludf.DUMMYFUNCTION("""COMPUTED_VALUE"""),0.75)</f>
        <v>0.75</v>
      </c>
      <c r="H6" s="293">
        <f>IFERROR(__xludf.DUMMYFUNCTION("""COMPUTED_VALUE"""),0.64)</f>
        <v>0.64</v>
      </c>
      <c r="I6" s="293">
        <f>IFERROR(__xludf.DUMMYFUNCTION("""COMPUTED_VALUE"""),0.6)</f>
        <v>0.6</v>
      </c>
      <c r="J6" s="293">
        <f>IFERROR(__xludf.DUMMYFUNCTION("""COMPUTED_VALUE"""),0.44)</f>
        <v>0.44</v>
      </c>
      <c r="K6" s="293">
        <f>IFERROR(__xludf.DUMMYFUNCTION("""COMPUTED_VALUE"""),0.26)</f>
        <v>0.26</v>
      </c>
      <c r="L6" s="293">
        <f>IFERROR(__xludf.DUMMYFUNCTION("""COMPUTED_VALUE"""),0.19)</f>
        <v>0.19</v>
      </c>
      <c r="M6" s="293">
        <f>IFERROR(__xludf.DUMMYFUNCTION("""COMPUTED_VALUE"""),0.07)</f>
        <v>0.07</v>
      </c>
      <c r="N6" s="293">
        <f>IFERROR(__xludf.DUMMYFUNCTION("""COMPUTED_VALUE"""),0.04)</f>
        <v>0.04</v>
      </c>
    </row>
    <row r="7">
      <c r="A7" s="106" t="s">
        <v>207</v>
      </c>
      <c r="B7" s="184">
        <f>IFERROR(__xludf.DUMMYFUNCTION("SPLIT(A7,"" "")"),6.0)</f>
        <v>6</v>
      </c>
      <c r="C7" s="293">
        <f>IFERROR(__xludf.DUMMYFUNCTION("""COMPUTED_VALUE"""),0.77)</f>
        <v>0.77</v>
      </c>
      <c r="D7" s="293">
        <f>IFERROR(__xludf.DUMMYFUNCTION("""COMPUTED_VALUE"""),0.63)</f>
        <v>0.63</v>
      </c>
      <c r="E7" s="293">
        <f>IFERROR(__xludf.DUMMYFUNCTION("""COMPUTED_VALUE"""),0.79)</f>
        <v>0.79</v>
      </c>
      <c r="F7" s="293">
        <f>IFERROR(__xludf.DUMMYFUNCTION("""COMPUTED_VALUE"""),0.68)</f>
        <v>0.68</v>
      </c>
      <c r="G7" s="293">
        <f>IFERROR(__xludf.DUMMYFUNCTION("""COMPUTED_VALUE"""),0.66)</f>
        <v>0.66</v>
      </c>
      <c r="H7" s="293">
        <f>IFERROR(__xludf.DUMMYFUNCTION("""COMPUTED_VALUE"""),0.54)</f>
        <v>0.54</v>
      </c>
      <c r="I7" s="293">
        <f>IFERROR(__xludf.DUMMYFUNCTION("""COMPUTED_VALUE"""),0.5)</f>
        <v>0.5</v>
      </c>
      <c r="J7" s="293">
        <f>IFERROR(__xludf.DUMMYFUNCTION("""COMPUTED_VALUE"""),0.33)</f>
        <v>0.33</v>
      </c>
      <c r="K7" s="293">
        <f>IFERROR(__xludf.DUMMYFUNCTION("""COMPUTED_VALUE"""),0.16)</f>
        <v>0.16</v>
      </c>
      <c r="L7" s="293">
        <f>IFERROR(__xludf.DUMMYFUNCTION("""COMPUTED_VALUE"""),0.11)</f>
        <v>0.11</v>
      </c>
      <c r="M7" s="293">
        <f>IFERROR(__xludf.DUMMYFUNCTION("""COMPUTED_VALUE"""),0.02)</f>
        <v>0.02</v>
      </c>
      <c r="N7" s="293">
        <f>IFERROR(__xludf.DUMMYFUNCTION("""COMPUTED_VALUE"""),0.01)</f>
        <v>0.01</v>
      </c>
    </row>
    <row r="8">
      <c r="A8" s="106" t="s">
        <v>208</v>
      </c>
      <c r="B8" s="184">
        <f>IFERROR(__xludf.DUMMYFUNCTION("SPLIT(A8,"" "")"),7.0)</f>
        <v>7</v>
      </c>
      <c r="C8" s="293">
        <f>IFERROR(__xludf.DUMMYFUNCTION("""COMPUTED_VALUE"""),0.67)</f>
        <v>0.67</v>
      </c>
      <c r="D8" s="293">
        <f>IFERROR(__xludf.DUMMYFUNCTION("""COMPUTED_VALUE"""),0.53)</f>
        <v>0.53</v>
      </c>
      <c r="E8" s="293">
        <f>IFERROR(__xludf.DUMMYFUNCTION("""COMPUTED_VALUE"""),0.7)</f>
        <v>0.7</v>
      </c>
      <c r="F8" s="293">
        <f>IFERROR(__xludf.DUMMYFUNCTION("""COMPUTED_VALUE"""),0.59)</f>
        <v>0.59</v>
      </c>
      <c r="G8" s="293">
        <f>IFERROR(__xludf.DUMMYFUNCTION("""COMPUTED_VALUE"""),0.57)</f>
        <v>0.57</v>
      </c>
      <c r="H8" s="293">
        <f>IFERROR(__xludf.DUMMYFUNCTION("""COMPUTED_VALUE"""),0.45)</f>
        <v>0.45</v>
      </c>
      <c r="I8" s="293">
        <f>IFERROR(__xludf.DUMMYFUNCTION("""COMPUTED_VALUE"""),0.4)</f>
        <v>0.4</v>
      </c>
      <c r="J8" s="293">
        <f>IFERROR(__xludf.DUMMYFUNCTION("""COMPUTED_VALUE"""),0.23)</f>
        <v>0.23</v>
      </c>
      <c r="K8" s="293">
        <f>IFERROR(__xludf.DUMMYFUNCTION("""COMPUTED_VALUE"""),0.08)</f>
        <v>0.08</v>
      </c>
      <c r="L8" s="293">
        <f>IFERROR(__xludf.DUMMYFUNCTION("""COMPUTED_VALUE"""),0.05)</f>
        <v>0.05</v>
      </c>
      <c r="M8" s="293">
        <f>IFERROR(__xludf.DUMMYFUNCTION("""COMPUTED_VALUE"""),0.0)</f>
        <v>0</v>
      </c>
      <c r="N8" s="293">
        <f>IFERROR(__xludf.DUMMYFUNCTION("""COMPUTED_VALUE"""),0.0)</f>
        <v>0</v>
      </c>
    </row>
    <row r="9">
      <c r="A9" s="106" t="s">
        <v>209</v>
      </c>
      <c r="B9" s="184">
        <f>IFERROR(__xludf.DUMMYFUNCTION("SPLIT(A9,"" "")"),8.0)</f>
        <v>8</v>
      </c>
      <c r="C9" s="293">
        <f>IFERROR(__xludf.DUMMYFUNCTION("""COMPUTED_VALUE"""),0.56)</f>
        <v>0.56</v>
      </c>
      <c r="D9" s="293">
        <f>IFERROR(__xludf.DUMMYFUNCTION("""COMPUTED_VALUE"""),0.44)</f>
        <v>0.44</v>
      </c>
      <c r="E9" s="293">
        <f>IFERROR(__xludf.DUMMYFUNCTION("""COMPUTED_VALUE"""),0.61)</f>
        <v>0.61</v>
      </c>
      <c r="F9" s="293">
        <f>IFERROR(__xludf.DUMMYFUNCTION("""COMPUTED_VALUE"""),0.5)</f>
        <v>0.5</v>
      </c>
      <c r="G9" s="293">
        <f>IFERROR(__xludf.DUMMYFUNCTION("""COMPUTED_VALUE"""),0.48)</f>
        <v>0.48</v>
      </c>
      <c r="H9" s="293">
        <f>IFERROR(__xludf.DUMMYFUNCTION("""COMPUTED_VALUE"""),0.35)</f>
        <v>0.35</v>
      </c>
      <c r="I9" s="293">
        <f>IFERROR(__xludf.DUMMYFUNCTION("""COMPUTED_VALUE"""),0.29)</f>
        <v>0.29</v>
      </c>
      <c r="J9" s="293">
        <f>IFERROR(__xludf.DUMMYFUNCTION("""COMPUTED_VALUE"""),0.14)</f>
        <v>0.14</v>
      </c>
      <c r="K9" s="293">
        <f>IFERROR(__xludf.DUMMYFUNCTION("""COMPUTED_VALUE"""),0.03)</f>
        <v>0.03</v>
      </c>
      <c r="L9" s="293">
        <f>IFERROR(__xludf.DUMMYFUNCTION("""COMPUTED_VALUE"""),0.01)</f>
        <v>0.01</v>
      </c>
      <c r="M9" s="293">
        <f>IFERROR(__xludf.DUMMYFUNCTION("""COMPUTED_VALUE"""),0.01)</f>
        <v>0.01</v>
      </c>
      <c r="N9" s="293">
        <f>IFERROR(__xludf.DUMMYFUNCTION("""COMPUTED_VALUE"""),0.01)</f>
        <v>0.01</v>
      </c>
    </row>
    <row r="10">
      <c r="A10" s="106" t="s">
        <v>210</v>
      </c>
      <c r="B10" s="184">
        <f>IFERROR(__xludf.DUMMYFUNCTION("SPLIT(A10,"" "")"),9.0)</f>
        <v>9</v>
      </c>
      <c r="C10" s="293">
        <f>IFERROR(__xludf.DUMMYFUNCTION("""COMPUTED_VALUE"""),0.46)</f>
        <v>0.46</v>
      </c>
      <c r="D10" s="293">
        <f>IFERROR(__xludf.DUMMYFUNCTION("""COMPUTED_VALUE"""),0.34)</f>
        <v>0.34</v>
      </c>
      <c r="E10" s="293">
        <f>IFERROR(__xludf.DUMMYFUNCTION("""COMPUTED_VALUE"""),0.51)</f>
        <v>0.51</v>
      </c>
      <c r="F10" s="293">
        <f>IFERROR(__xludf.DUMMYFUNCTION("""COMPUTED_VALUE"""),0.4)</f>
        <v>0.4</v>
      </c>
      <c r="G10" s="293">
        <f>IFERROR(__xludf.DUMMYFUNCTION("""COMPUTED_VALUE"""),0.38)</f>
        <v>0.38</v>
      </c>
      <c r="H10" s="293">
        <f>IFERROR(__xludf.DUMMYFUNCTION("""COMPUTED_VALUE"""),0.25)</f>
        <v>0.25</v>
      </c>
      <c r="I10" s="293">
        <f>IFERROR(__xludf.DUMMYFUNCTION("""COMPUTED_VALUE"""),0.2)</f>
        <v>0.2</v>
      </c>
      <c r="J10" s="293">
        <f>IFERROR(__xludf.DUMMYFUNCTION("""COMPUTED_VALUE"""),0.06)</f>
        <v>0.06</v>
      </c>
      <c r="K10" s="293">
        <f>IFERROR(__xludf.DUMMYFUNCTION("""COMPUTED_VALUE"""),0.0)</f>
        <v>0</v>
      </c>
      <c r="L10" s="293">
        <f>IFERROR(__xludf.DUMMYFUNCTION("""COMPUTED_VALUE"""),0.0)</f>
        <v>0</v>
      </c>
      <c r="M10" s="293">
        <f>IFERROR(__xludf.DUMMYFUNCTION("""COMPUTED_VALUE"""),0.03)</f>
        <v>0.03</v>
      </c>
      <c r="N10" s="293">
        <f>IFERROR(__xludf.DUMMYFUNCTION("""COMPUTED_VALUE"""),0.04)</f>
        <v>0.04</v>
      </c>
    </row>
    <row r="11">
      <c r="A11" s="106" t="s">
        <v>211</v>
      </c>
      <c r="B11" s="184">
        <f>IFERROR(__xludf.DUMMYFUNCTION("SPLIT(A11,"" "")"),10.0)</f>
        <v>10</v>
      </c>
      <c r="C11" s="293">
        <f>IFERROR(__xludf.DUMMYFUNCTION("""COMPUTED_VALUE"""),0.36)</f>
        <v>0.36</v>
      </c>
      <c r="D11" s="293">
        <f>IFERROR(__xludf.DUMMYFUNCTION("""COMPUTED_VALUE"""),0.26)</f>
        <v>0.26</v>
      </c>
      <c r="E11" s="293">
        <f>IFERROR(__xludf.DUMMYFUNCTION("""COMPUTED_VALUE"""),0.42)</f>
        <v>0.42</v>
      </c>
      <c r="F11" s="293">
        <f>IFERROR(__xludf.DUMMYFUNCTION("""COMPUTED_VALUE"""),0.31)</f>
        <v>0.31</v>
      </c>
      <c r="G11" s="293">
        <f>IFERROR(__xludf.DUMMYFUNCTION("""COMPUTED_VALUE"""),0.29)</f>
        <v>0.29</v>
      </c>
      <c r="H11" s="293">
        <f>IFERROR(__xludf.DUMMYFUNCTION("""COMPUTED_VALUE"""),0.16)</f>
        <v>0.16</v>
      </c>
      <c r="I11" s="293">
        <f>IFERROR(__xludf.DUMMYFUNCTION("""COMPUTED_VALUE"""),0.11)</f>
        <v>0.11</v>
      </c>
      <c r="J11" s="293">
        <f>IFERROR(__xludf.DUMMYFUNCTION("""COMPUTED_VALUE"""),0.02)</f>
        <v>0.02</v>
      </c>
      <c r="K11" s="293">
        <f>IFERROR(__xludf.DUMMYFUNCTION("""COMPUTED_VALUE"""),0.01)</f>
        <v>0.01</v>
      </c>
      <c r="L11" s="293">
        <f>IFERROR(__xludf.DUMMYFUNCTION("""COMPUTED_VALUE"""),0.02)</f>
        <v>0.02</v>
      </c>
      <c r="M11" s="293">
        <f>IFERROR(__xludf.DUMMYFUNCTION("""COMPUTED_VALUE"""),0.08)</f>
        <v>0.08</v>
      </c>
      <c r="N11" s="293">
        <f>IFERROR(__xludf.DUMMYFUNCTION("""COMPUTED_VALUE"""),0.09)</f>
        <v>0.09</v>
      </c>
    </row>
    <row r="12">
      <c r="A12" s="106" t="s">
        <v>212</v>
      </c>
      <c r="B12" s="184">
        <f>IFERROR(__xludf.DUMMYFUNCTION("SPLIT(A12,"" "")"),11.0)</f>
        <v>11</v>
      </c>
      <c r="C12" s="293">
        <f>IFERROR(__xludf.DUMMYFUNCTION("""COMPUTED_VALUE"""),0.27)</f>
        <v>0.27</v>
      </c>
      <c r="D12" s="293">
        <f>IFERROR(__xludf.DUMMYFUNCTION("""COMPUTED_VALUE"""),0.18)</f>
        <v>0.18</v>
      </c>
      <c r="E12" s="293">
        <f>IFERROR(__xludf.DUMMYFUNCTION("""COMPUTED_VALUE"""),0.33)</f>
        <v>0.33</v>
      </c>
      <c r="F12" s="293">
        <f>IFERROR(__xludf.DUMMYFUNCTION("""COMPUTED_VALUE"""),0.23)</f>
        <v>0.23</v>
      </c>
      <c r="G12" s="293">
        <f>IFERROR(__xludf.DUMMYFUNCTION("""COMPUTED_VALUE"""),0.2)</f>
        <v>0.2</v>
      </c>
      <c r="H12" s="293">
        <f>IFERROR(__xludf.DUMMYFUNCTION("""COMPUTED_VALUE"""),0.09)</f>
        <v>0.09</v>
      </c>
      <c r="I12" s="293">
        <f>IFERROR(__xludf.DUMMYFUNCTION("""COMPUTED_VALUE"""),0.05)</f>
        <v>0.05</v>
      </c>
      <c r="J12" s="293">
        <f>IFERROR(__xludf.DUMMYFUNCTION("""COMPUTED_VALUE"""),0.0)</f>
        <v>0</v>
      </c>
      <c r="K12" s="293">
        <f>IFERROR(__xludf.DUMMYFUNCTION("""COMPUTED_VALUE"""),0.04)</f>
        <v>0.04</v>
      </c>
      <c r="L12" s="293">
        <f>IFERROR(__xludf.DUMMYFUNCTION("""COMPUTED_VALUE"""),0.06)</f>
        <v>0.06</v>
      </c>
      <c r="M12" s="293">
        <f>IFERROR(__xludf.DUMMYFUNCTION("""COMPUTED_VALUE"""),0.14)</f>
        <v>0.14</v>
      </c>
      <c r="N12" s="293">
        <f>IFERROR(__xludf.DUMMYFUNCTION("""COMPUTED_VALUE"""),0.15)</f>
        <v>0.15</v>
      </c>
    </row>
    <row r="13">
      <c r="A13" s="106" t="s">
        <v>213</v>
      </c>
      <c r="B13" s="184">
        <f>IFERROR(__xludf.DUMMYFUNCTION("SPLIT(A13,"" "")"),12.0)</f>
        <v>12</v>
      </c>
      <c r="C13" s="293">
        <f>IFERROR(__xludf.DUMMYFUNCTION("""COMPUTED_VALUE"""),0.19)</f>
        <v>0.19</v>
      </c>
      <c r="D13" s="293">
        <f>IFERROR(__xludf.DUMMYFUNCTION("""COMPUTED_VALUE"""),0.11)</f>
        <v>0.11</v>
      </c>
      <c r="E13" s="293">
        <f>IFERROR(__xludf.DUMMYFUNCTION("""COMPUTED_VALUE"""),0.24)</f>
        <v>0.24</v>
      </c>
      <c r="F13" s="293">
        <f>IFERROR(__xludf.DUMMYFUNCTION("""COMPUTED_VALUE"""),0.15)</f>
        <v>0.15</v>
      </c>
      <c r="G13" s="293">
        <f>IFERROR(__xludf.DUMMYFUNCTION("""COMPUTED_VALUE"""),0.12)</f>
        <v>0.12</v>
      </c>
      <c r="H13" s="293">
        <f>IFERROR(__xludf.DUMMYFUNCTION("""COMPUTED_VALUE"""),0.03)</f>
        <v>0.03</v>
      </c>
      <c r="I13" s="293">
        <f>IFERROR(__xludf.DUMMYFUNCTION("""COMPUTED_VALUE"""),0.01)</f>
        <v>0.01</v>
      </c>
      <c r="J13" s="293">
        <f>IFERROR(__xludf.DUMMYFUNCTION("""COMPUTED_VALUE"""),0.01)</f>
        <v>0.01</v>
      </c>
      <c r="K13" s="293">
        <f>IFERROR(__xludf.DUMMYFUNCTION("""COMPUTED_VALUE"""),0.09)</f>
        <v>0.09</v>
      </c>
      <c r="L13" s="293">
        <f>IFERROR(__xludf.DUMMYFUNCTION("""COMPUTED_VALUE"""),0.12)</f>
        <v>0.12</v>
      </c>
      <c r="M13" s="293">
        <f>IFERROR(__xludf.DUMMYFUNCTION("""COMPUTED_VALUE"""),0.21)</f>
        <v>0.21</v>
      </c>
      <c r="N13" s="293">
        <f>IFERROR(__xludf.DUMMYFUNCTION("""COMPUTED_VALUE"""),0.22)</f>
        <v>0.22</v>
      </c>
    </row>
    <row r="14">
      <c r="A14" s="106" t="s">
        <v>214</v>
      </c>
      <c r="B14" s="184">
        <f>IFERROR(__xludf.DUMMYFUNCTION("SPLIT(A14,"" "")"),13.0)</f>
        <v>13</v>
      </c>
      <c r="C14" s="293">
        <f>IFERROR(__xludf.DUMMYFUNCTION("""COMPUTED_VALUE"""),0.12)</f>
        <v>0.12</v>
      </c>
      <c r="D14" s="293">
        <f>IFERROR(__xludf.DUMMYFUNCTION("""COMPUTED_VALUE"""),0.06)</f>
        <v>0.06</v>
      </c>
      <c r="E14" s="293">
        <f>IFERROR(__xludf.DUMMYFUNCTION("""COMPUTED_VALUE"""),0.17)</f>
        <v>0.17</v>
      </c>
      <c r="F14" s="293">
        <f>IFERROR(__xludf.DUMMYFUNCTION("""COMPUTED_VALUE"""),0.09)</f>
        <v>0.09</v>
      </c>
      <c r="G14" s="293">
        <f>IFERROR(__xludf.DUMMYFUNCTION("""COMPUTED_VALUE"""),0.06)</f>
        <v>0.06</v>
      </c>
      <c r="H14" s="293">
        <f>IFERROR(__xludf.DUMMYFUNCTION("""COMPUTED_VALUE"""),0.0)</f>
        <v>0</v>
      </c>
      <c r="I14" s="293">
        <f>IFERROR(__xludf.DUMMYFUNCTION("""COMPUTED_VALUE"""),0.0)</f>
        <v>0</v>
      </c>
      <c r="J14" s="293">
        <f>IFERROR(__xludf.DUMMYFUNCTION("""COMPUTED_VALUE"""),0.05)</f>
        <v>0.05</v>
      </c>
      <c r="K14" s="293">
        <f>IFERROR(__xludf.DUMMYFUNCTION("""COMPUTED_VALUE"""),0.16)</f>
        <v>0.16</v>
      </c>
      <c r="L14" s="293">
        <f>IFERROR(__xludf.DUMMYFUNCTION("""COMPUTED_VALUE"""),0.19)</f>
        <v>0.19</v>
      </c>
      <c r="M14" s="293">
        <f>IFERROR(__xludf.DUMMYFUNCTION("""COMPUTED_VALUE"""),0.29)</f>
        <v>0.29</v>
      </c>
      <c r="N14" s="293">
        <f>IFERROR(__xludf.DUMMYFUNCTION("""COMPUTED_VALUE"""),0.3)</f>
        <v>0.3</v>
      </c>
    </row>
    <row r="15">
      <c r="A15" s="106" t="s">
        <v>215</v>
      </c>
      <c r="B15" s="184">
        <f>IFERROR(__xludf.DUMMYFUNCTION("SPLIT(A15,"" "")"),14.0)</f>
        <v>14</v>
      </c>
      <c r="C15" s="293">
        <f>IFERROR(__xludf.DUMMYFUNCTION("""COMPUTED_VALUE"""),0.07)</f>
        <v>0.07</v>
      </c>
      <c r="D15" s="293">
        <f>IFERROR(__xludf.DUMMYFUNCTION("""COMPUTED_VALUE"""),0.02)</f>
        <v>0.02</v>
      </c>
      <c r="E15" s="293">
        <f>IFERROR(__xludf.DUMMYFUNCTION("""COMPUTED_VALUE"""),0.1)</f>
        <v>0.1</v>
      </c>
      <c r="F15" s="293">
        <f>IFERROR(__xludf.DUMMYFUNCTION("""COMPUTED_VALUE"""),0.04)</f>
        <v>0.04</v>
      </c>
      <c r="G15" s="293">
        <f>IFERROR(__xludf.DUMMYFUNCTION("""COMPUTED_VALUE"""),0.02)</f>
        <v>0.02</v>
      </c>
      <c r="H15" s="293">
        <f>IFERROR(__xludf.DUMMYFUNCTION("""COMPUTED_VALUE"""),0.0)</f>
        <v>0</v>
      </c>
      <c r="I15" s="293">
        <f>IFERROR(__xludf.DUMMYFUNCTION("""COMPUTED_VALUE"""),0.02)</f>
        <v>0.02</v>
      </c>
      <c r="J15" s="293">
        <f>IFERROR(__xludf.DUMMYFUNCTION("""COMPUTED_VALUE"""),0.12)</f>
        <v>0.12</v>
      </c>
      <c r="K15" s="293">
        <f>IFERROR(__xludf.DUMMYFUNCTION("""COMPUTED_VALUE"""),0.25)</f>
        <v>0.25</v>
      </c>
      <c r="L15" s="293">
        <f>IFERROR(__xludf.DUMMYFUNCTION("""COMPUTED_VALUE"""),0.28)</f>
        <v>0.28</v>
      </c>
      <c r="M15" s="293">
        <f>IFERROR(__xludf.DUMMYFUNCTION("""COMPUTED_VALUE"""),0.38)</f>
        <v>0.38</v>
      </c>
      <c r="N15" s="293">
        <f>IFERROR(__xludf.DUMMYFUNCTION("""COMPUTED_VALUE"""),0.39)</f>
        <v>0.39</v>
      </c>
    </row>
    <row r="16">
      <c r="A16" s="106" t="s">
        <v>216</v>
      </c>
      <c r="B16" s="184">
        <f>IFERROR(__xludf.DUMMYFUNCTION("SPLIT(A16,"" "")"),15.0)</f>
        <v>15</v>
      </c>
      <c r="C16" s="293">
        <f>IFERROR(__xludf.DUMMYFUNCTION("""COMPUTED_VALUE"""),0.03)</f>
        <v>0.03</v>
      </c>
      <c r="D16" s="293">
        <f>IFERROR(__xludf.DUMMYFUNCTION("""COMPUTED_VALUE"""),0.0)</f>
        <v>0</v>
      </c>
      <c r="E16" s="293">
        <f>IFERROR(__xludf.DUMMYFUNCTION("""COMPUTED_VALUE"""),0.05)</f>
        <v>0.05</v>
      </c>
      <c r="F16" s="293">
        <f>IFERROR(__xludf.DUMMYFUNCTION("""COMPUTED_VALUE"""),0.01)</f>
        <v>0.01</v>
      </c>
      <c r="G16" s="293">
        <f>IFERROR(__xludf.DUMMYFUNCTION("""COMPUTED_VALUE"""),0.0)</f>
        <v>0</v>
      </c>
      <c r="H16" s="293">
        <f>IFERROR(__xludf.DUMMYFUNCTION("""COMPUTED_VALUE"""),0.03)</f>
        <v>0.03</v>
      </c>
      <c r="I16" s="293">
        <f>IFERROR(__xludf.DUMMYFUNCTION("""COMPUTED_VALUE"""),0.07)</f>
        <v>0.07</v>
      </c>
      <c r="J16" s="293">
        <f>IFERROR(__xludf.DUMMYFUNCTION("""COMPUTED_VALUE"""),0.2)</f>
        <v>0.2</v>
      </c>
      <c r="K16" s="293">
        <f>IFERROR(__xludf.DUMMYFUNCTION("""COMPUTED_VALUE"""),0.34)</f>
        <v>0.34</v>
      </c>
      <c r="L16" s="293">
        <f>IFERROR(__xludf.DUMMYFUNCTION("""COMPUTED_VALUE"""),0.37)</f>
        <v>0.37</v>
      </c>
      <c r="M16" s="293">
        <f>IFERROR(__xludf.DUMMYFUNCTION("""COMPUTED_VALUE"""),0.47)</f>
        <v>0.47</v>
      </c>
      <c r="N16" s="293">
        <f>IFERROR(__xludf.DUMMYFUNCTION("""COMPUTED_VALUE"""),0.49)</f>
        <v>0.49</v>
      </c>
    </row>
    <row r="17">
      <c r="A17" s="106" t="s">
        <v>217</v>
      </c>
      <c r="B17" s="184">
        <f>IFERROR(__xludf.DUMMYFUNCTION("SPLIT(A17,"" "")"),16.0)</f>
        <v>16</v>
      </c>
      <c r="C17" s="293">
        <f>IFERROR(__xludf.DUMMYFUNCTION("""COMPUTED_VALUE"""),0.01)</f>
        <v>0.01</v>
      </c>
      <c r="D17" s="293">
        <f>IFERROR(__xludf.DUMMYFUNCTION("""COMPUTED_VALUE"""),0.0)</f>
        <v>0</v>
      </c>
      <c r="E17" s="293">
        <f>IFERROR(__xludf.DUMMYFUNCTION("""COMPUTED_VALUE"""),0.02)</f>
        <v>0.02</v>
      </c>
      <c r="F17" s="293">
        <f>IFERROR(__xludf.DUMMYFUNCTION("""COMPUTED_VALUE"""),0.0)</f>
        <v>0</v>
      </c>
      <c r="G17" s="293">
        <f>IFERROR(__xludf.DUMMYFUNCTION("""COMPUTED_VALUE"""),0.01)</f>
        <v>0.01</v>
      </c>
      <c r="H17" s="293">
        <f>IFERROR(__xludf.DUMMYFUNCTION("""COMPUTED_VALUE"""),0.09)</f>
        <v>0.09</v>
      </c>
      <c r="I17" s="293">
        <f>IFERROR(__xludf.DUMMYFUNCTION("""COMPUTED_VALUE"""),0.15)</f>
        <v>0.15</v>
      </c>
      <c r="J17" s="293">
        <f>IFERROR(__xludf.DUMMYFUNCTION("""COMPUTED_VALUE"""),0.3)</f>
        <v>0.3</v>
      </c>
      <c r="K17" s="293">
        <f>IFERROR(__xludf.DUMMYFUNCTION("""COMPUTED_VALUE"""),0.44)</f>
        <v>0.44</v>
      </c>
      <c r="L17" s="293">
        <f>IFERROR(__xludf.DUMMYFUNCTION("""COMPUTED_VALUE"""),0.46)</f>
        <v>0.46</v>
      </c>
      <c r="M17" s="293">
        <f>IFERROR(__xludf.DUMMYFUNCTION("""COMPUTED_VALUE"""),0.57)</f>
        <v>0.57</v>
      </c>
      <c r="N17" s="293">
        <f>IFERROR(__xludf.DUMMYFUNCTION("""COMPUTED_VALUE"""),0.58)</f>
        <v>0.58</v>
      </c>
    </row>
    <row r="18">
      <c r="A18" s="106" t="s">
        <v>218</v>
      </c>
      <c r="B18" s="184">
        <f>IFERROR(__xludf.DUMMYFUNCTION("SPLIT(A18,"" "")"),17.0)</f>
        <v>17</v>
      </c>
      <c r="C18" s="293">
        <f>IFERROR(__xludf.DUMMYFUNCTION("""COMPUTED_VALUE"""),0.0)</f>
        <v>0</v>
      </c>
      <c r="D18" s="293">
        <f>IFERROR(__xludf.DUMMYFUNCTION("""COMPUTED_VALUE"""),0.02)</f>
        <v>0.02</v>
      </c>
      <c r="E18" s="293">
        <f>IFERROR(__xludf.DUMMYFUNCTION("""COMPUTED_VALUE"""),0.0)</f>
        <v>0</v>
      </c>
      <c r="F18" s="293">
        <f>IFERROR(__xludf.DUMMYFUNCTION("""COMPUTED_VALUE"""),0.02)</f>
        <v>0.02</v>
      </c>
      <c r="G18" s="293">
        <f>IFERROR(__xludf.DUMMYFUNCTION("""COMPUTED_VALUE"""),0.05)</f>
        <v>0.05</v>
      </c>
      <c r="H18" s="293">
        <f>IFERROR(__xludf.DUMMYFUNCTION("""COMPUTED_VALUE"""),0.17)</f>
        <v>0.17</v>
      </c>
      <c r="I18" s="293">
        <f>IFERROR(__xludf.DUMMYFUNCTION("""COMPUTED_VALUE"""),0.24)</f>
        <v>0.24</v>
      </c>
      <c r="J18" s="293">
        <f>IFERROR(__xludf.DUMMYFUNCTION("""COMPUTED_VALUE"""),0.4)</f>
        <v>0.4</v>
      </c>
      <c r="K18" s="293">
        <f>IFERROR(__xludf.DUMMYFUNCTION("""COMPUTED_VALUE"""),0.54)</f>
        <v>0.54</v>
      </c>
      <c r="L18" s="293">
        <f>IFERROR(__xludf.DUMMYFUNCTION("""COMPUTED_VALUE"""),0.56)</f>
        <v>0.56</v>
      </c>
      <c r="M18" s="293">
        <f>IFERROR(__xludf.DUMMYFUNCTION("""COMPUTED_VALUE"""),0.66)</f>
        <v>0.66</v>
      </c>
      <c r="N18" s="293">
        <f>IFERROR(__xludf.DUMMYFUNCTION("""COMPUTED_VALUE"""),0.68)</f>
        <v>0.68</v>
      </c>
    </row>
    <row r="19">
      <c r="A19" s="106" t="s">
        <v>219</v>
      </c>
      <c r="B19" s="184">
        <f>IFERROR(__xludf.DUMMYFUNCTION("SPLIT(A19,"" "")"),18.0)</f>
        <v>18</v>
      </c>
      <c r="C19" s="293">
        <f>IFERROR(__xludf.DUMMYFUNCTION("""COMPUTED_VALUE"""),0.01)</f>
        <v>0.01</v>
      </c>
      <c r="D19" s="293">
        <f>IFERROR(__xludf.DUMMYFUNCTION("""COMPUTED_VALUE"""),0.06)</f>
        <v>0.06</v>
      </c>
      <c r="E19" s="293">
        <f>IFERROR(__xludf.DUMMYFUNCTION("""COMPUTED_VALUE"""),0.01)</f>
        <v>0.01</v>
      </c>
      <c r="F19" s="293">
        <f>IFERROR(__xludf.DUMMYFUNCTION("""COMPUTED_VALUE"""),0.07)</f>
        <v>0.07</v>
      </c>
      <c r="G19" s="293">
        <f>IFERROR(__xludf.DUMMYFUNCTION("""COMPUTED_VALUE"""),0.11)</f>
        <v>0.11</v>
      </c>
      <c r="H19" s="293">
        <f>IFERROR(__xludf.DUMMYFUNCTION("""COMPUTED_VALUE"""),0.27)</f>
        <v>0.27</v>
      </c>
      <c r="I19" s="293">
        <f>IFERROR(__xludf.DUMMYFUNCTION("""COMPUTED_VALUE"""),0.34)</f>
        <v>0.34</v>
      </c>
      <c r="J19" s="293">
        <f>IFERROR(__xludf.DUMMYFUNCTION("""COMPUTED_VALUE"""),0.5)</f>
        <v>0.5</v>
      </c>
      <c r="K19" s="293">
        <f>IFERROR(__xludf.DUMMYFUNCTION("""COMPUTED_VALUE"""),0.63)</f>
        <v>0.63</v>
      </c>
      <c r="L19" s="293">
        <f>IFERROR(__xludf.DUMMYFUNCTION("""COMPUTED_VALUE"""),0.65)</f>
        <v>0.65</v>
      </c>
      <c r="M19" s="293">
        <f>IFERROR(__xludf.DUMMYFUNCTION("""COMPUTED_VALUE"""),0.75)</f>
        <v>0.75</v>
      </c>
      <c r="N19" s="293">
        <f>IFERROR(__xludf.DUMMYFUNCTION("""COMPUTED_VALUE"""),0.77)</f>
        <v>0.77</v>
      </c>
    </row>
    <row r="20">
      <c r="A20" s="106" t="s">
        <v>220</v>
      </c>
      <c r="B20" s="184">
        <f>IFERROR(__xludf.DUMMYFUNCTION("SPLIT(A20,"" "")"),19.0)</f>
        <v>19</v>
      </c>
      <c r="C20" s="293">
        <f>IFERROR(__xludf.DUMMYFUNCTION("""COMPUTED_VALUE"""),0.05)</f>
        <v>0.05</v>
      </c>
      <c r="D20" s="293">
        <f>IFERROR(__xludf.DUMMYFUNCTION("""COMPUTED_VALUE"""),0.12)</f>
        <v>0.12</v>
      </c>
      <c r="E20" s="293">
        <f>IFERROR(__xludf.DUMMYFUNCTION("""COMPUTED_VALUE"""),0.04)</f>
        <v>0.04</v>
      </c>
      <c r="F20" s="293">
        <f>IFERROR(__xludf.DUMMYFUNCTION("""COMPUTED_VALUE"""),0.13)</f>
        <v>0.13</v>
      </c>
      <c r="G20" s="293">
        <f>IFERROR(__xludf.DUMMYFUNCTION("""COMPUTED_VALUE"""),0.2)</f>
        <v>0.2</v>
      </c>
      <c r="H20" s="293">
        <f>IFERROR(__xludf.DUMMYFUNCTION("""COMPUTED_VALUE"""),0.38)</f>
        <v>0.38</v>
      </c>
      <c r="I20" s="293">
        <f>IFERROR(__xludf.DUMMYFUNCTION("""COMPUTED_VALUE"""),0.45)</f>
        <v>0.45</v>
      </c>
      <c r="J20" s="293">
        <f>IFERROR(__xludf.DUMMYFUNCTION("""COMPUTED_VALUE"""),0.6)</f>
        <v>0.6</v>
      </c>
      <c r="K20" s="293">
        <f>IFERROR(__xludf.DUMMYFUNCTION("""COMPUTED_VALUE"""),0.72)</f>
        <v>0.72</v>
      </c>
      <c r="L20" s="293">
        <f>IFERROR(__xludf.DUMMYFUNCTION("""COMPUTED_VALUE"""),0.74)</f>
        <v>0.74</v>
      </c>
      <c r="M20" s="293">
        <f>IFERROR(__xludf.DUMMYFUNCTION("""COMPUTED_VALUE"""),0.83)</f>
        <v>0.83</v>
      </c>
      <c r="N20" s="293">
        <f>IFERROR(__xludf.DUMMYFUNCTION("""COMPUTED_VALUE"""),0.85)</f>
        <v>0.85</v>
      </c>
    </row>
    <row r="21">
      <c r="A21" s="106" t="s">
        <v>221</v>
      </c>
      <c r="B21" s="184">
        <f>IFERROR(__xludf.DUMMYFUNCTION("SPLIT(A21,"" "")"),20.0)</f>
        <v>20</v>
      </c>
      <c r="C21" s="293">
        <f>IFERROR(__xludf.DUMMYFUNCTION("""COMPUTED_VALUE"""),0.09)</f>
        <v>0.09</v>
      </c>
      <c r="D21" s="293">
        <f>IFERROR(__xludf.DUMMYFUNCTION("""COMPUTED_VALUE"""),0.2)</f>
        <v>0.2</v>
      </c>
      <c r="E21" s="293">
        <f>IFERROR(__xludf.DUMMYFUNCTION("""COMPUTED_VALUE"""),0.09)</f>
        <v>0.09</v>
      </c>
      <c r="F21" s="293">
        <f>IFERROR(__xludf.DUMMYFUNCTION("""COMPUTED_VALUE"""),0.22)</f>
        <v>0.22</v>
      </c>
      <c r="G21" s="293">
        <f>IFERROR(__xludf.DUMMYFUNCTION("""COMPUTED_VALUE"""),0.3)</f>
        <v>0.3</v>
      </c>
      <c r="H21" s="293">
        <f>IFERROR(__xludf.DUMMYFUNCTION("""COMPUTED_VALUE"""),0.49)</f>
        <v>0.49</v>
      </c>
      <c r="I21" s="293">
        <f>IFERROR(__xludf.DUMMYFUNCTION("""COMPUTED_VALUE"""),0.55)</f>
        <v>0.55</v>
      </c>
      <c r="J21" s="293">
        <f>IFERROR(__xludf.DUMMYFUNCTION("""COMPUTED_VALUE"""),0.69)</f>
        <v>0.69</v>
      </c>
      <c r="K21" s="293">
        <f>IFERROR(__xludf.DUMMYFUNCTION("""COMPUTED_VALUE"""),0.8)</f>
        <v>0.8</v>
      </c>
      <c r="L21" s="293">
        <f>IFERROR(__xludf.DUMMYFUNCTION("""COMPUTED_VALUE"""),0.81)</f>
        <v>0.81</v>
      </c>
      <c r="M21" s="293">
        <f>IFERROR(__xludf.DUMMYFUNCTION("""COMPUTED_VALUE"""),0.9)</f>
        <v>0.9</v>
      </c>
      <c r="N21" s="293">
        <f>IFERROR(__xludf.DUMMYFUNCTION("""COMPUTED_VALUE"""),0.92)</f>
        <v>0.92</v>
      </c>
    </row>
    <row r="22">
      <c r="A22" s="106" t="s">
        <v>222</v>
      </c>
      <c r="B22" s="184">
        <f>IFERROR(__xludf.DUMMYFUNCTION("SPLIT(A22,"" "")"),21.0)</f>
        <v>21</v>
      </c>
      <c r="C22" s="293">
        <f>IFERROR(__xludf.DUMMYFUNCTION("""COMPUTED_VALUE"""),0.16)</f>
        <v>0.16</v>
      </c>
      <c r="D22" s="293">
        <f>IFERROR(__xludf.DUMMYFUNCTION("""COMPUTED_VALUE"""),0.29)</f>
        <v>0.29</v>
      </c>
      <c r="E22" s="293">
        <f>IFERROR(__xludf.DUMMYFUNCTION("""COMPUTED_VALUE"""),0.16)</f>
        <v>0.16</v>
      </c>
      <c r="F22" s="293">
        <f>IFERROR(__xludf.DUMMYFUNCTION("""COMPUTED_VALUE"""),0.32)</f>
        <v>0.32</v>
      </c>
      <c r="G22" s="293">
        <f>IFERROR(__xludf.DUMMYFUNCTION("""COMPUTED_VALUE"""),0.41)</f>
        <v>0.41</v>
      </c>
      <c r="H22" s="293">
        <f>IFERROR(__xludf.DUMMYFUNCTION("""COMPUTED_VALUE"""),0.6)</f>
        <v>0.6</v>
      </c>
      <c r="I22" s="293">
        <f>IFERROR(__xludf.DUMMYFUNCTION("""COMPUTED_VALUE"""),0.65)</f>
        <v>0.65</v>
      </c>
      <c r="J22" s="293">
        <f>IFERROR(__xludf.DUMMYFUNCTION("""COMPUTED_VALUE"""),0.78)</f>
        <v>0.78</v>
      </c>
      <c r="K22" s="293">
        <f>IFERROR(__xludf.DUMMYFUNCTION("""COMPUTED_VALUE"""),0.87)</f>
        <v>0.87</v>
      </c>
      <c r="L22" s="293">
        <f>IFERROR(__xludf.DUMMYFUNCTION("""COMPUTED_VALUE"""),0.88)</f>
        <v>0.88</v>
      </c>
      <c r="M22" s="293">
        <f>IFERROR(__xludf.DUMMYFUNCTION("""COMPUTED_VALUE"""),0.95)</f>
        <v>0.95</v>
      </c>
      <c r="N22" s="293">
        <f>IFERROR(__xludf.DUMMYFUNCTION("""COMPUTED_VALUE"""),0.97)</f>
        <v>0.97</v>
      </c>
    </row>
    <row r="23">
      <c r="A23" s="106" t="s">
        <v>223</v>
      </c>
      <c r="B23" s="184">
        <f>IFERROR(__xludf.DUMMYFUNCTION("SPLIT(A23,"" "")"),22.0)</f>
        <v>22</v>
      </c>
      <c r="C23" s="293">
        <f>IFERROR(__xludf.DUMMYFUNCTION("""COMPUTED_VALUE"""),0.24)</f>
        <v>0.24</v>
      </c>
      <c r="D23" s="293">
        <f>IFERROR(__xludf.DUMMYFUNCTION("""COMPUTED_VALUE"""),0.39)</f>
        <v>0.39</v>
      </c>
      <c r="E23" s="293">
        <f>IFERROR(__xludf.DUMMYFUNCTION("""COMPUTED_VALUE"""),0.25)</f>
        <v>0.25</v>
      </c>
      <c r="F23" s="293">
        <f>IFERROR(__xludf.DUMMYFUNCTION("""COMPUTED_VALUE"""),0.44)</f>
        <v>0.44</v>
      </c>
      <c r="G23" s="293">
        <f>IFERROR(__xludf.DUMMYFUNCTION("""COMPUTED_VALUE"""),0.52)</f>
        <v>0.52</v>
      </c>
      <c r="H23" s="293">
        <f>IFERROR(__xludf.DUMMYFUNCTION("""COMPUTED_VALUE"""),0.7)</f>
        <v>0.7</v>
      </c>
      <c r="I23" s="293">
        <f>IFERROR(__xludf.DUMMYFUNCTION("""COMPUTED_VALUE"""),0.75)</f>
        <v>0.75</v>
      </c>
      <c r="J23" s="293">
        <f>IFERROR(__xludf.DUMMYFUNCTION("""COMPUTED_VALUE"""),0.85)</f>
        <v>0.85</v>
      </c>
      <c r="K23" s="293">
        <f>IFERROR(__xludf.DUMMYFUNCTION("""COMPUTED_VALUE"""),0.93)</f>
        <v>0.93</v>
      </c>
      <c r="L23" s="293">
        <f>IFERROR(__xludf.DUMMYFUNCTION("""COMPUTED_VALUE"""),0.94)</f>
        <v>0.94</v>
      </c>
      <c r="M23" s="293">
        <f>IFERROR(__xludf.DUMMYFUNCTION("""COMPUTED_VALUE"""),0.99)</f>
        <v>0.99</v>
      </c>
      <c r="N23" s="293">
        <f>IFERROR(__xludf.DUMMYFUNCTION("""COMPUTED_VALUE"""),1.0)</f>
        <v>1</v>
      </c>
    </row>
    <row r="24">
      <c r="A24" s="106" t="s">
        <v>224</v>
      </c>
      <c r="B24" s="184">
        <f>IFERROR(__xludf.DUMMYFUNCTION("SPLIT(A24,"" "")"),23.0)</f>
        <v>23</v>
      </c>
      <c r="C24" s="293">
        <f>IFERROR(__xludf.DUMMYFUNCTION("""COMPUTED_VALUE"""),0.33)</f>
        <v>0.33</v>
      </c>
      <c r="D24" s="293">
        <f>IFERROR(__xludf.DUMMYFUNCTION("""COMPUTED_VALUE"""),0.5)</f>
        <v>0.5</v>
      </c>
      <c r="E24" s="293">
        <f>IFERROR(__xludf.DUMMYFUNCTION("""COMPUTED_VALUE"""),0.35)</f>
        <v>0.35</v>
      </c>
      <c r="F24" s="293">
        <f>IFERROR(__xludf.DUMMYFUNCTION("""COMPUTED_VALUE"""),0.55)</f>
        <v>0.55</v>
      </c>
      <c r="G24" s="293">
        <f>IFERROR(__xludf.DUMMYFUNCTION("""COMPUTED_VALUE"""),0.63)</f>
        <v>0.63</v>
      </c>
      <c r="H24" s="293">
        <f>IFERROR(__xludf.DUMMYFUNCTION("""COMPUTED_VALUE"""),0.79)</f>
        <v>0.79</v>
      </c>
      <c r="I24" s="293">
        <f>IFERROR(__xludf.DUMMYFUNCTION("""COMPUTED_VALUE"""),0.83)</f>
        <v>0.83</v>
      </c>
      <c r="J24" s="293">
        <f>IFERROR(__xludf.DUMMYFUNCTION("""COMPUTED_VALUE"""),0.91)</f>
        <v>0.91</v>
      </c>
      <c r="K24" s="293">
        <f>IFERROR(__xludf.DUMMYFUNCTION("""COMPUTED_VALUE"""),0.97)</f>
        <v>0.97</v>
      </c>
      <c r="L24" s="293">
        <f>IFERROR(__xludf.DUMMYFUNCTION("""COMPUTED_VALUE"""),0.98)</f>
        <v>0.98</v>
      </c>
      <c r="M24" s="293">
        <f>IFERROR(__xludf.DUMMYFUNCTION("""COMPUTED_VALUE"""),1.0)</f>
        <v>1</v>
      </c>
      <c r="N24" s="293">
        <f>IFERROR(__xludf.DUMMYFUNCTION("""COMPUTED_VALUE"""),0.99)</f>
        <v>0.99</v>
      </c>
    </row>
    <row r="25">
      <c r="A25" s="106" t="s">
        <v>225</v>
      </c>
      <c r="B25" s="184">
        <f>IFERROR(__xludf.DUMMYFUNCTION("SPLIT(A25,"" "")"),24.0)</f>
        <v>24</v>
      </c>
      <c r="C25" s="293">
        <f>IFERROR(__xludf.DUMMYFUNCTION("""COMPUTED_VALUE"""),0.44)</f>
        <v>0.44</v>
      </c>
      <c r="D25" s="293">
        <f>IFERROR(__xludf.DUMMYFUNCTION("""COMPUTED_VALUE"""),0.61)</f>
        <v>0.61</v>
      </c>
      <c r="E25" s="293">
        <f>IFERROR(__xludf.DUMMYFUNCTION("""COMPUTED_VALUE"""),0.47)</f>
        <v>0.47</v>
      </c>
      <c r="F25" s="293">
        <f>IFERROR(__xludf.DUMMYFUNCTION("""COMPUTED_VALUE"""),0.66)</f>
        <v>0.66</v>
      </c>
      <c r="G25" s="293">
        <f>IFERROR(__xludf.DUMMYFUNCTION("""COMPUTED_VALUE"""),0.73)</f>
        <v>0.73</v>
      </c>
      <c r="H25" s="293">
        <f>IFERROR(__xludf.DUMMYFUNCTION("""COMPUTED_VALUE"""),0.86)</f>
        <v>0.86</v>
      </c>
      <c r="I25" s="293">
        <f>IFERROR(__xludf.DUMMYFUNCTION("""COMPUTED_VALUE"""),0.89)</f>
        <v>0.89</v>
      </c>
      <c r="J25" s="293">
        <f>IFERROR(__xludf.DUMMYFUNCTION("""COMPUTED_VALUE"""),0.96)</f>
        <v>0.96</v>
      </c>
      <c r="K25" s="293">
        <f>IFERROR(__xludf.DUMMYFUNCTION("""COMPUTED_VALUE"""),0.99)</f>
        <v>0.99</v>
      </c>
      <c r="L25" s="293">
        <f>IFERROR(__xludf.DUMMYFUNCTION("""COMPUTED_VALUE"""),1.0)</f>
        <v>1</v>
      </c>
      <c r="M25" s="293">
        <f>IFERROR(__xludf.DUMMYFUNCTION("""COMPUTED_VALUE"""),0.98)</f>
        <v>0.98</v>
      </c>
      <c r="N25" s="293">
        <f>IFERROR(__xludf.DUMMYFUNCTION("""COMPUTED_VALUE"""),0.96)</f>
        <v>0.96</v>
      </c>
    </row>
    <row r="26">
      <c r="A26" s="106" t="s">
        <v>226</v>
      </c>
      <c r="B26" s="184">
        <f>IFERROR(__xludf.DUMMYFUNCTION("SPLIT(A26,"" "")"),25.0)</f>
        <v>25</v>
      </c>
      <c r="C26" s="293">
        <f>IFERROR(__xludf.DUMMYFUNCTION("""COMPUTED_VALUE"""),0.55)</f>
        <v>0.55</v>
      </c>
      <c r="D26" s="293">
        <f>IFERROR(__xludf.DUMMYFUNCTION("""COMPUTED_VALUE"""),0.72)</f>
        <v>0.72</v>
      </c>
      <c r="E26" s="293">
        <f>IFERROR(__xludf.DUMMYFUNCTION("""COMPUTED_VALUE"""),0.58)</f>
        <v>0.58</v>
      </c>
      <c r="F26" s="293">
        <f>IFERROR(__xludf.DUMMYFUNCTION("""COMPUTED_VALUE"""),0.76)</f>
        <v>0.76</v>
      </c>
      <c r="G26" s="293">
        <f>IFERROR(__xludf.DUMMYFUNCTION("""COMPUTED_VALUE"""),0.82)</f>
        <v>0.82</v>
      </c>
      <c r="H26" s="293">
        <f>IFERROR(__xludf.DUMMYFUNCTION("""COMPUTED_VALUE"""),0.92)</f>
        <v>0.92</v>
      </c>
      <c r="I26" s="293">
        <f>IFERROR(__xludf.DUMMYFUNCTION("""COMPUTED_VALUE"""),0.94)</f>
        <v>0.94</v>
      </c>
      <c r="J26" s="293">
        <f>IFERROR(__xludf.DUMMYFUNCTION("""COMPUTED_VALUE"""),0.99)</f>
        <v>0.99</v>
      </c>
      <c r="K26" s="293">
        <f>IFERROR(__xludf.DUMMYFUNCTION("""COMPUTED_VALUE"""),1.0)</f>
        <v>1</v>
      </c>
      <c r="L26" s="293">
        <f>IFERROR(__xludf.DUMMYFUNCTION("""COMPUTED_VALUE"""),0.99)</f>
        <v>0.99</v>
      </c>
      <c r="M26" s="293">
        <f>IFERROR(__xludf.DUMMYFUNCTION("""COMPUTED_VALUE"""),0.94)</f>
        <v>0.94</v>
      </c>
      <c r="N26" s="293">
        <f>IFERROR(__xludf.DUMMYFUNCTION("""COMPUTED_VALUE"""),0.91)</f>
        <v>0.91</v>
      </c>
    </row>
    <row r="27">
      <c r="A27" s="106" t="s">
        <v>227</v>
      </c>
      <c r="B27" s="184">
        <f>IFERROR(__xludf.DUMMYFUNCTION("SPLIT(A27,"" "")"),26.0)</f>
        <v>26</v>
      </c>
      <c r="C27" s="293">
        <f>IFERROR(__xludf.DUMMYFUNCTION("""COMPUTED_VALUE"""),0.65)</f>
        <v>0.65</v>
      </c>
      <c r="D27" s="293">
        <f>IFERROR(__xludf.DUMMYFUNCTION("""COMPUTED_VALUE"""),0.82)</f>
        <v>0.82</v>
      </c>
      <c r="E27" s="293">
        <f>IFERROR(__xludf.DUMMYFUNCTION("""COMPUTED_VALUE"""),0.69)</f>
        <v>0.69</v>
      </c>
      <c r="F27" s="293">
        <f>IFERROR(__xludf.DUMMYFUNCTION("""COMPUTED_VALUE"""),0.85)</f>
        <v>0.85</v>
      </c>
      <c r="G27" s="293">
        <f>IFERROR(__xludf.DUMMYFUNCTION("""COMPUTED_VALUE"""),0.89)</f>
        <v>0.89</v>
      </c>
      <c r="H27" s="293">
        <f>IFERROR(__xludf.DUMMYFUNCTION("""COMPUTED_VALUE"""),0.97)</f>
        <v>0.97</v>
      </c>
      <c r="I27" s="293">
        <f>IFERROR(__xludf.DUMMYFUNCTION("""COMPUTED_VALUE"""),0.98)</f>
        <v>0.98</v>
      </c>
      <c r="J27" s="293">
        <f>IFERROR(__xludf.DUMMYFUNCTION("""COMPUTED_VALUE"""),1.0)</f>
        <v>1</v>
      </c>
      <c r="K27" s="293">
        <f>IFERROR(__xludf.DUMMYFUNCTION("""COMPUTED_VALUE"""),0.98)</f>
        <v>0.98</v>
      </c>
      <c r="L27" s="293">
        <f>IFERROR(__xludf.DUMMYFUNCTION("""COMPUTED_VALUE"""),0.97)</f>
        <v>0.97</v>
      </c>
      <c r="M27" s="293">
        <f>IFERROR(__xludf.DUMMYFUNCTION("""COMPUTED_VALUE"""),0.88)</f>
        <v>0.88</v>
      </c>
      <c r="N27" s="293">
        <f>IFERROR(__xludf.DUMMYFUNCTION("""COMPUTED_VALUE"""),0.82)</f>
        <v>0.82</v>
      </c>
    </row>
    <row r="28">
      <c r="A28" s="106" t="s">
        <v>228</v>
      </c>
      <c r="B28" s="184">
        <f>IFERROR(__xludf.DUMMYFUNCTION("SPLIT(A28,"" "")"),27.0)</f>
        <v>27</v>
      </c>
      <c r="C28" s="293">
        <f>IFERROR(__xludf.DUMMYFUNCTION("""COMPUTED_VALUE"""),0.76)</f>
        <v>0.76</v>
      </c>
      <c r="D28" s="293">
        <f>IFERROR(__xludf.DUMMYFUNCTION("""COMPUTED_VALUE"""),0.9)</f>
        <v>0.9</v>
      </c>
      <c r="E28" s="293">
        <f>IFERROR(__xludf.DUMMYFUNCTION("""COMPUTED_VALUE"""),0.79)</f>
        <v>0.79</v>
      </c>
      <c r="F28" s="293">
        <f>IFERROR(__xludf.DUMMYFUNCTION("""COMPUTED_VALUE"""),0.92)</f>
        <v>0.92</v>
      </c>
      <c r="G28" s="293">
        <f>IFERROR(__xludf.DUMMYFUNCTION("""COMPUTED_VALUE"""),0.95)</f>
        <v>0.95</v>
      </c>
      <c r="H28" s="293">
        <f>IFERROR(__xludf.DUMMYFUNCTION("""COMPUTED_VALUE"""),0.99)</f>
        <v>0.99</v>
      </c>
      <c r="I28" s="293">
        <f>IFERROR(__xludf.DUMMYFUNCTION("""COMPUTED_VALUE"""),1.0)</f>
        <v>1</v>
      </c>
      <c r="J28" s="293">
        <f>IFERROR(__xludf.DUMMYFUNCTION("""COMPUTED_VALUE"""),0.99)</f>
        <v>0.99</v>
      </c>
      <c r="K28" s="293">
        <f>IFERROR(__xludf.DUMMYFUNCTION("""COMPUTED_VALUE"""),0.95)</f>
        <v>0.95</v>
      </c>
      <c r="L28" s="293">
        <f>IFERROR(__xludf.DUMMYFUNCTION("""COMPUTED_VALUE"""),0.92)</f>
        <v>0.92</v>
      </c>
      <c r="M28" s="293">
        <f>IFERROR(__xludf.DUMMYFUNCTION("""COMPUTED_VALUE"""),0.79)</f>
        <v>0.79</v>
      </c>
      <c r="N28" s="293">
        <f>IFERROR(__xludf.DUMMYFUNCTION("""COMPUTED_VALUE"""),0.73)</f>
        <v>0.73</v>
      </c>
    </row>
    <row r="29">
      <c r="A29" s="106" t="s">
        <v>229</v>
      </c>
      <c r="B29" s="184">
        <f>IFERROR(__xludf.DUMMYFUNCTION("SPLIT(A29,"" "")"),28.0)</f>
        <v>28</v>
      </c>
      <c r="C29" s="293">
        <f>IFERROR(__xludf.DUMMYFUNCTION("""COMPUTED_VALUE"""),0.85)</f>
        <v>0.85</v>
      </c>
      <c r="D29" s="293">
        <f>IFERROR(__xludf.DUMMYFUNCTION("""COMPUTED_VALUE"""),0.96)</f>
        <v>0.96</v>
      </c>
      <c r="E29" s="293">
        <f>IFERROR(__xludf.DUMMYFUNCTION("""COMPUTED_VALUE"""),0.88)</f>
        <v>0.88</v>
      </c>
      <c r="F29" s="293">
        <f>IFERROR(__xludf.DUMMYFUNCTION("""COMPUTED_VALUE"""),0.97)</f>
        <v>0.97</v>
      </c>
      <c r="G29" s="293">
        <f>IFERROR(__xludf.DUMMYFUNCTION("""COMPUTED_VALUE"""),0.98)</f>
        <v>0.98</v>
      </c>
      <c r="H29" s="293">
        <f>IFERROR(__xludf.DUMMYFUNCTION("""COMPUTED_VALUE"""),1.0)</f>
        <v>1</v>
      </c>
      <c r="I29" s="293">
        <f>IFERROR(__xludf.DUMMYFUNCTION("""COMPUTED_VALUE"""),1.0)</f>
        <v>1</v>
      </c>
      <c r="J29" s="293">
        <f>IFERROR(__xludf.DUMMYFUNCTION("""COMPUTED_VALUE"""),0.97)</f>
        <v>0.97</v>
      </c>
      <c r="K29" s="293">
        <f>IFERROR(__xludf.DUMMYFUNCTION("""COMPUTED_VALUE"""),0.89)</f>
        <v>0.89</v>
      </c>
      <c r="L29" s="293">
        <f>IFERROR(__xludf.DUMMYFUNCTION("""COMPUTED_VALUE"""),0.85)</f>
        <v>0.85</v>
      </c>
      <c r="M29" s="293">
        <f>IFERROR(__xludf.DUMMYFUNCTION("""COMPUTED_VALUE"""),0.69)</f>
        <v>0.69</v>
      </c>
      <c r="N29" s="293">
        <f>IFERROR(__xludf.DUMMYFUNCTION("""COMPUTED_VALUE"""),0.62)</f>
        <v>0.62</v>
      </c>
    </row>
    <row r="30">
      <c r="A30" s="106" t="s">
        <v>230</v>
      </c>
      <c r="B30" s="184">
        <f>IFERROR(__xludf.DUMMYFUNCTION("SPLIT(A30,"" "")"),29.0)</f>
        <v>29</v>
      </c>
      <c r="C30" s="293">
        <f>IFERROR(__xludf.DUMMYFUNCTION("""COMPUTED_VALUE"""),0.93)</f>
        <v>0.93</v>
      </c>
      <c r="D30" s="293" t="str">
        <f>IFERROR(__xludf.DUMMYFUNCTION("""COMPUTED_VALUE"""),"x")</f>
        <v>x</v>
      </c>
      <c r="E30" s="293">
        <f>IFERROR(__xludf.DUMMYFUNCTION("""COMPUTED_VALUE"""),0.94)</f>
        <v>0.94</v>
      </c>
      <c r="F30" s="293">
        <f>IFERROR(__xludf.DUMMYFUNCTION("""COMPUTED_VALUE"""),0.99)</f>
        <v>0.99</v>
      </c>
      <c r="G30" s="293">
        <f>IFERROR(__xludf.DUMMYFUNCTION("""COMPUTED_VALUE"""),1.0)</f>
        <v>1</v>
      </c>
      <c r="H30" s="293">
        <f>IFERROR(__xludf.DUMMYFUNCTION("""COMPUTED_VALUE"""),0.99)</f>
        <v>0.99</v>
      </c>
      <c r="I30" s="293">
        <f>IFERROR(__xludf.DUMMYFUNCTION("""COMPUTED_VALUE"""),0.98)</f>
        <v>0.98</v>
      </c>
      <c r="J30" s="293">
        <f>IFERROR(__xludf.DUMMYFUNCTION("""COMPUTED_VALUE"""),0.92)</f>
        <v>0.92</v>
      </c>
      <c r="K30" s="293">
        <f>IFERROR(__xludf.DUMMYFUNCTION("""COMPUTED_VALUE"""),0.82)</f>
        <v>0.82</v>
      </c>
      <c r="L30" s="293">
        <f>IFERROR(__xludf.DUMMYFUNCTION("""COMPUTED_VALUE"""),0.76)</f>
        <v>0.76</v>
      </c>
      <c r="M30" s="293">
        <f>IFERROR(__xludf.DUMMYFUNCTION("""COMPUTED_VALUE"""),0.58)</f>
        <v>0.58</v>
      </c>
      <c r="N30" s="293">
        <f>IFERROR(__xludf.DUMMYFUNCTION("""COMPUTED_VALUE"""),0.51)</f>
        <v>0.51</v>
      </c>
    </row>
    <row r="31">
      <c r="A31" s="106" t="s">
        <v>231</v>
      </c>
      <c r="B31" s="184">
        <f>IFERROR(__xludf.DUMMYFUNCTION("SPLIT(A31,"" "")"),30.0)</f>
        <v>30</v>
      </c>
      <c r="C31" s="293">
        <f>IFERROR(__xludf.DUMMYFUNCTION("""COMPUTED_VALUE"""),0.98)</f>
        <v>0.98</v>
      </c>
      <c r="D31" s="293" t="str">
        <f>IFERROR(__xludf.DUMMYFUNCTION("""COMPUTED_VALUE"""),"x")</f>
        <v>x</v>
      </c>
      <c r="E31" s="293">
        <f>IFERROR(__xludf.DUMMYFUNCTION("""COMPUTED_VALUE"""),0.98)</f>
        <v>0.98</v>
      </c>
      <c r="F31" s="293">
        <f>IFERROR(__xludf.DUMMYFUNCTION("""COMPUTED_VALUE"""),1.0)</f>
        <v>1</v>
      </c>
      <c r="G31" s="293">
        <f>IFERROR(__xludf.DUMMYFUNCTION("""COMPUTED_VALUE"""),0.99)</f>
        <v>0.99</v>
      </c>
      <c r="H31" s="293">
        <f>IFERROR(__xludf.DUMMYFUNCTION("""COMPUTED_VALUE"""),0.96)</f>
        <v>0.96</v>
      </c>
      <c r="I31" s="293">
        <f>IFERROR(__xludf.DUMMYFUNCTION("""COMPUTED_VALUE"""),0.94)</f>
        <v>0.94</v>
      </c>
      <c r="J31" s="293">
        <f>IFERROR(__xludf.DUMMYFUNCTION("""COMPUTED_VALUE"""),0.86)</f>
        <v>0.86</v>
      </c>
      <c r="K31" s="293">
        <f>IFERROR(__xludf.DUMMYFUNCTION("""COMPUTED_VALUE"""),0.72)</f>
        <v>0.72</v>
      </c>
      <c r="L31" s="293">
        <f>IFERROR(__xludf.DUMMYFUNCTION("""COMPUTED_VALUE"""),0.65)</f>
        <v>0.65</v>
      </c>
      <c r="M31" s="293">
        <f>IFERROR(__xludf.DUMMYFUNCTION("""COMPUTED_VALUE"""),0.47)</f>
        <v>0.47</v>
      </c>
      <c r="N31" s="293">
        <f>IFERROR(__xludf.DUMMYFUNCTION("""COMPUTED_VALUE"""),0.4)</f>
        <v>0.4</v>
      </c>
    </row>
    <row r="32">
      <c r="A32" s="106" t="s">
        <v>232</v>
      </c>
      <c r="B32" s="184">
        <f>IFERROR(__xludf.DUMMYFUNCTION("SPLIT(A32,"" "")"),31.0)</f>
        <v>31</v>
      </c>
      <c r="C32" s="293">
        <f>IFERROR(__xludf.DUMMYFUNCTION("""COMPUTED_VALUE"""),1.0)</f>
        <v>1</v>
      </c>
      <c r="D32" s="293" t="str">
        <f>IFERROR(__xludf.DUMMYFUNCTION("""COMPUTED_VALUE"""),"x")</f>
        <v>x</v>
      </c>
      <c r="E32" s="293">
        <f>IFERROR(__xludf.DUMMYFUNCTION("""COMPUTED_VALUE"""),1.0)</f>
        <v>1</v>
      </c>
      <c r="F32" s="293" t="str">
        <f>IFERROR(__xludf.DUMMYFUNCTION("""COMPUTED_VALUE"""),"x")</f>
        <v>x</v>
      </c>
      <c r="G32" s="293">
        <f>IFERROR(__xludf.DUMMYFUNCTION("""COMPUTED_VALUE"""),0.97)</f>
        <v>0.97</v>
      </c>
      <c r="H32" s="293" t="str">
        <f>IFERROR(__xludf.DUMMYFUNCTION("""COMPUTED_VALUE"""),"x")</f>
        <v>x</v>
      </c>
      <c r="I32" s="293">
        <f>IFERROR(__xludf.DUMMYFUNCTION("""COMPUTED_VALUE"""),0.89)</f>
        <v>0.89</v>
      </c>
      <c r="J32" s="293">
        <f>IFERROR(__xludf.DUMMYFUNCTION("""COMPUTED_VALUE"""),0.78)</f>
        <v>0.78</v>
      </c>
      <c r="K32" s="293" t="str">
        <f>IFERROR(__xludf.DUMMYFUNCTION("""COMPUTED_VALUE"""),"x")</f>
        <v>x</v>
      </c>
      <c r="L32" s="293">
        <f>IFERROR(__xludf.DUMMYFUNCTION("""COMPUTED_VALUE"""),0.54)</f>
        <v>0.54</v>
      </c>
      <c r="M32" s="293" t="str">
        <f>IFERROR(__xludf.DUMMYFUNCTION("""COMPUTED_VALUE"""),"x")</f>
        <v>x</v>
      </c>
      <c r="N32" s="293">
        <f>IFERROR(__xludf.DUMMYFUNCTION("""COMPUTED_VALUE"""),0.3)</f>
        <v>0.3</v>
      </c>
    </row>
    <row r="33"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</row>
    <row r="34"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</row>
    <row r="35"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</row>
    <row r="36"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</row>
    <row r="37"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</row>
    <row r="38"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</row>
    <row r="39"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</row>
    <row r="40"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</row>
    <row r="41"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</row>
    <row r="42"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</row>
    <row r="43"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</row>
    <row r="44"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</row>
    <row r="45"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</row>
    <row r="46"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</row>
    <row r="47"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</row>
    <row r="48"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</row>
    <row r="49"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</row>
    <row r="50"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</row>
    <row r="51"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</row>
    <row r="52"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</row>
    <row r="53"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</row>
    <row r="54"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</row>
    <row r="55"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</row>
    <row r="56"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</row>
    <row r="57"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</row>
    <row r="58"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</row>
    <row r="59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</row>
    <row r="60"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</row>
    <row r="61"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</row>
    <row r="62"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</row>
    <row r="63"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</row>
    <row r="64"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</row>
    <row r="65"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</row>
    <row r="66"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</row>
    <row r="67"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</row>
    <row r="68"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</row>
    <row r="69"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</row>
    <row r="70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</row>
    <row r="71"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</row>
    <row r="72"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</row>
    <row r="73"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</row>
    <row r="74"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</row>
    <row r="75"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</row>
    <row r="76"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</row>
    <row r="77"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</row>
    <row r="78"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</row>
    <row r="79"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</row>
    <row r="80"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</row>
    <row r="81"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</row>
    <row r="82"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</row>
    <row r="83"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</row>
    <row r="84"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</row>
    <row r="85"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</row>
    <row r="86"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</row>
    <row r="87"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</row>
    <row r="88"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</row>
    <row r="89"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</row>
    <row r="90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</row>
    <row r="91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</row>
    <row r="92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</row>
    <row r="93"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</row>
    <row r="94"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</row>
    <row r="95"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</row>
    <row r="96"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</row>
    <row r="97"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</row>
    <row r="98"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</row>
    <row r="99"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</row>
    <row r="100"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</row>
    <row r="101"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</row>
    <row r="102"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</row>
    <row r="103"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</row>
    <row r="104"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</row>
    <row r="105"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</row>
    <row r="106"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</row>
    <row r="107"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</row>
    <row r="108"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</row>
    <row r="109"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</row>
    <row r="110"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</row>
    <row r="111"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</row>
    <row r="112"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</row>
    <row r="113"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</row>
    <row r="114"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</row>
    <row r="115"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</row>
    <row r="116"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</row>
    <row r="117"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</row>
    <row r="118"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</row>
    <row r="119"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</row>
    <row r="120"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</row>
    <row r="121"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</row>
    <row r="122"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</row>
    <row r="123"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</row>
    <row r="124"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</row>
    <row r="125"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</row>
    <row r="126"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</row>
    <row r="127"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</row>
    <row r="128"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</row>
    <row r="129"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</row>
    <row r="130"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</row>
    <row r="131"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</row>
    <row r="132"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</row>
    <row r="133"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</row>
    <row r="134"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</row>
    <row r="135"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</row>
    <row r="136"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</row>
    <row r="137"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</row>
    <row r="138"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</row>
    <row r="139"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</row>
    <row r="140"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</row>
    <row r="141"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</row>
    <row r="142"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</row>
    <row r="143"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</row>
    <row r="144"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</row>
    <row r="145"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</row>
    <row r="146"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</row>
    <row r="147"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</row>
    <row r="148"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</row>
    <row r="149"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</row>
    <row r="150"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</row>
    <row r="151"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</row>
    <row r="152"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</row>
    <row r="153"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</row>
    <row r="154"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</row>
    <row r="155"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</row>
    <row r="156"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</row>
    <row r="157"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</row>
    <row r="158"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</row>
    <row r="159"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</row>
    <row r="160"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</row>
    <row r="161"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</row>
    <row r="162"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</row>
    <row r="163"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</row>
    <row r="164"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</row>
    <row r="165"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</row>
    <row r="166"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</row>
    <row r="167"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</row>
    <row r="168"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</row>
    <row r="169"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</row>
    <row r="170"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</row>
    <row r="171"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</row>
    <row r="172"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</row>
    <row r="173"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</row>
    <row r="174"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</row>
    <row r="175"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</row>
    <row r="176"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</row>
    <row r="177"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</row>
    <row r="178"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</row>
    <row r="179"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</row>
    <row r="180"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</row>
    <row r="181"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</row>
    <row r="182"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</row>
    <row r="183"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</row>
    <row r="184"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</row>
    <row r="185"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</row>
    <row r="186"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</row>
    <row r="187"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</row>
    <row r="188"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</row>
    <row r="189"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</row>
    <row r="190"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</row>
    <row r="191"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</row>
    <row r="192"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</row>
    <row r="193"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</row>
    <row r="194"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</row>
    <row r="195"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</row>
    <row r="196"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</row>
    <row r="197"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</row>
    <row r="198"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</row>
    <row r="199"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</row>
    <row r="200"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</row>
    <row r="201"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</row>
    <row r="202"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</row>
    <row r="203"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</row>
    <row r="204"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</row>
    <row r="205"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</row>
    <row r="206"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</row>
    <row r="207"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</row>
    <row r="208"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</row>
    <row r="209"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</row>
    <row r="210"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</row>
    <row r="211"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</row>
    <row r="212"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</row>
    <row r="213"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</row>
    <row r="214"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</row>
    <row r="215"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</row>
    <row r="216"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</row>
    <row r="217"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</row>
    <row r="218"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</row>
    <row r="219"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</row>
    <row r="220"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</row>
    <row r="221"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</row>
    <row r="222"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</row>
    <row r="223"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</row>
    <row r="224"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</row>
    <row r="225"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</row>
    <row r="226"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</row>
    <row r="227"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</row>
    <row r="228"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</row>
    <row r="229"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</row>
    <row r="230"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</row>
    <row r="231"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</row>
    <row r="232"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</row>
    <row r="233"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</row>
    <row r="234"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</row>
    <row r="235"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</row>
    <row r="236"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</row>
    <row r="237"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</row>
    <row r="238"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</row>
    <row r="239"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</row>
    <row r="240"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</row>
    <row r="241"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</row>
    <row r="242"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</row>
    <row r="243"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</row>
    <row r="244"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</row>
    <row r="245"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</row>
    <row r="246"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</row>
    <row r="247"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</row>
    <row r="248"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</row>
    <row r="249"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</row>
    <row r="250"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</row>
    <row r="251"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</row>
    <row r="252"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</row>
    <row r="253"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</row>
    <row r="254"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</row>
    <row r="255"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</row>
    <row r="256"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</row>
    <row r="257"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</row>
    <row r="258"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</row>
    <row r="259"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</row>
    <row r="260"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</row>
    <row r="261"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</row>
    <row r="262"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</row>
    <row r="263"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</row>
    <row r="264"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</row>
    <row r="265"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</row>
    <row r="266"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</row>
    <row r="267"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</row>
    <row r="268"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</row>
    <row r="269"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</row>
    <row r="270"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</row>
    <row r="271"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</row>
    <row r="272"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</row>
    <row r="273"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</row>
    <row r="274"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</row>
    <row r="275"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</row>
    <row r="276"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</row>
    <row r="277"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</row>
    <row r="278"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</row>
    <row r="279"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</row>
    <row r="280"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</row>
    <row r="281"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</row>
    <row r="282"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</row>
    <row r="283"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</row>
    <row r="284"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</row>
    <row r="285"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</row>
    <row r="286"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</row>
    <row r="287"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</row>
    <row r="288"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</row>
    <row r="289"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</row>
    <row r="290"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</row>
    <row r="291"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</row>
    <row r="292"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</row>
    <row r="293"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</row>
    <row r="294"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</row>
    <row r="295"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</row>
    <row r="296"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</row>
    <row r="297"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</row>
    <row r="298"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</row>
    <row r="299"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</row>
    <row r="300"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</row>
    <row r="301"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</row>
    <row r="302"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</row>
    <row r="303"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</row>
    <row r="304"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</row>
    <row r="305"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</row>
    <row r="306"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</row>
    <row r="307"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</row>
    <row r="308"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</row>
    <row r="309"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</row>
    <row r="310"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</row>
    <row r="311"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</row>
    <row r="312"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</row>
    <row r="313"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</row>
    <row r="314"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</row>
    <row r="315"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</row>
    <row r="316"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</row>
    <row r="317"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</row>
    <row r="318"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</row>
    <row r="319"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</row>
    <row r="320"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</row>
    <row r="321"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</row>
    <row r="322"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</row>
    <row r="323"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</row>
    <row r="324"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</row>
    <row r="325"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</row>
    <row r="326"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</row>
    <row r="327"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</row>
    <row r="328"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</row>
    <row r="329"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</row>
    <row r="330"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</row>
    <row r="331"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</row>
    <row r="332"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</row>
    <row r="333"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</row>
    <row r="334"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</row>
    <row r="335"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</row>
    <row r="336"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</row>
    <row r="337"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</row>
    <row r="338"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</row>
    <row r="339"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</row>
    <row r="340"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</row>
    <row r="341"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</row>
    <row r="342"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</row>
    <row r="343"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</row>
    <row r="344"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</row>
    <row r="345"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</row>
    <row r="346"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</row>
    <row r="347"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</row>
    <row r="348"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</row>
    <row r="349"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</row>
    <row r="350"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</row>
    <row r="351"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</row>
    <row r="352"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</row>
    <row r="353"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</row>
    <row r="354"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</row>
    <row r="355"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</row>
    <row r="356"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</row>
    <row r="357"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</row>
    <row r="358"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</row>
    <row r="359"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</row>
    <row r="360"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</row>
    <row r="361"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</row>
    <row r="362"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</row>
    <row r="363"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</row>
    <row r="364"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</row>
    <row r="365"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</row>
    <row r="366"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</row>
    <row r="367"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</row>
    <row r="368"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</row>
    <row r="369"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</row>
    <row r="370"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</row>
    <row r="371"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</row>
    <row r="372"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</row>
    <row r="373"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</row>
    <row r="374"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</row>
    <row r="375"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</row>
    <row r="376"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</row>
    <row r="377"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</row>
    <row r="378"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</row>
    <row r="379"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</row>
    <row r="380"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</row>
    <row r="381"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</row>
    <row r="382"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</row>
    <row r="383"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</row>
    <row r="384"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</row>
    <row r="385"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</row>
    <row r="386"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</row>
    <row r="387"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</row>
    <row r="388"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</row>
    <row r="389"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</row>
    <row r="390"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</row>
    <row r="391"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</row>
    <row r="392"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</row>
    <row r="393"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</row>
    <row r="394"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</row>
    <row r="395"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</row>
    <row r="396"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</row>
    <row r="397"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</row>
    <row r="398"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</row>
    <row r="399"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</row>
    <row r="400"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</row>
    <row r="401"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</row>
    <row r="402"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</row>
    <row r="403"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</row>
    <row r="404"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</row>
    <row r="405"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</row>
    <row r="406"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</row>
    <row r="407"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</row>
    <row r="408"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</row>
    <row r="409"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</row>
    <row r="410"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</row>
    <row r="411"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</row>
    <row r="412"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</row>
    <row r="413"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</row>
    <row r="414"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</row>
    <row r="415"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</row>
    <row r="416"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</row>
    <row r="417"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</row>
    <row r="418"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</row>
    <row r="419"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</row>
    <row r="420"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</row>
    <row r="421"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</row>
    <row r="422"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</row>
    <row r="423"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</row>
    <row r="424"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</row>
    <row r="425"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</row>
    <row r="426"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</row>
    <row r="427"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</row>
    <row r="428"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</row>
    <row r="429"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</row>
    <row r="430"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</row>
    <row r="431"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</row>
    <row r="432"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</row>
    <row r="433"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</row>
    <row r="434"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</row>
    <row r="435"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</row>
    <row r="436"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</row>
    <row r="437"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</row>
    <row r="438"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</row>
    <row r="439"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</row>
    <row r="440"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</row>
    <row r="441"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</row>
    <row r="442"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</row>
    <row r="443"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</row>
    <row r="444"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</row>
    <row r="445"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</row>
    <row r="446"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</row>
    <row r="447"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</row>
    <row r="448"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</row>
    <row r="449"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</row>
    <row r="450"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</row>
    <row r="451"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</row>
    <row r="452"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</row>
    <row r="453"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</row>
    <row r="454"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</row>
    <row r="455"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</row>
    <row r="456"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</row>
    <row r="457"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</row>
    <row r="458"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</row>
    <row r="459"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</row>
    <row r="460"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</row>
    <row r="461"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</row>
    <row r="462"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</row>
    <row r="463"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</row>
    <row r="464"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</row>
    <row r="465"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</row>
    <row r="466"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</row>
    <row r="467"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</row>
    <row r="468"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</row>
    <row r="469"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</row>
    <row r="470"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</row>
    <row r="471"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</row>
    <row r="472"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</row>
    <row r="473"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</row>
    <row r="474"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</row>
    <row r="475"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</row>
    <row r="476"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</row>
    <row r="477"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</row>
    <row r="478"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</row>
    <row r="479"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</row>
    <row r="480"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</row>
    <row r="481"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</row>
    <row r="482"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</row>
    <row r="483"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</row>
    <row r="484"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</row>
    <row r="485"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</row>
    <row r="486"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</row>
    <row r="487"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</row>
    <row r="488"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</row>
    <row r="489"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</row>
    <row r="490"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</row>
    <row r="491"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</row>
    <row r="492"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</row>
    <row r="493"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</row>
    <row r="494"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</row>
    <row r="495"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</row>
    <row r="496"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</row>
    <row r="497"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</row>
    <row r="498"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</row>
    <row r="499"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</row>
    <row r="500"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</row>
    <row r="501"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</row>
    <row r="502"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</row>
    <row r="503"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</row>
    <row r="504"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</row>
    <row r="505"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</row>
    <row r="506"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</row>
    <row r="507"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</row>
    <row r="508"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</row>
    <row r="509"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</row>
    <row r="510"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</row>
    <row r="511"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</row>
    <row r="512"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</row>
    <row r="513"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</row>
    <row r="514"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</row>
    <row r="515"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</row>
    <row r="516"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</row>
    <row r="517"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</row>
    <row r="518"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</row>
    <row r="519"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</row>
    <row r="520"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</row>
    <row r="521"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</row>
    <row r="522"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</row>
    <row r="523"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</row>
    <row r="524"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</row>
    <row r="525"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</row>
    <row r="526"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</row>
    <row r="527"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</row>
    <row r="528"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</row>
    <row r="529"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</row>
    <row r="530"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</row>
    <row r="531"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</row>
    <row r="532"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</row>
    <row r="533"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</row>
    <row r="534"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</row>
    <row r="535"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</row>
    <row r="536"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</row>
    <row r="537"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</row>
    <row r="538"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</row>
    <row r="539"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</row>
    <row r="540"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</row>
    <row r="541"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</row>
    <row r="542"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</row>
    <row r="543"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</row>
    <row r="544"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</row>
    <row r="545"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</row>
    <row r="546"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</row>
    <row r="547"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</row>
    <row r="548"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</row>
    <row r="549"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</row>
    <row r="550"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</row>
    <row r="551"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</row>
    <row r="552"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</row>
    <row r="553"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</row>
    <row r="554"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</row>
    <row r="555"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</row>
    <row r="556"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</row>
    <row r="557"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</row>
    <row r="558"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</row>
    <row r="559"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</row>
    <row r="560"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</row>
    <row r="561"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</row>
    <row r="562"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</row>
    <row r="563"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</row>
    <row r="564"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</row>
    <row r="565"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</row>
    <row r="566"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</row>
    <row r="567"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</row>
    <row r="568"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</row>
    <row r="569"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</row>
    <row r="570"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</row>
    <row r="571"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</row>
    <row r="572"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</row>
    <row r="573"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</row>
    <row r="574"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</row>
    <row r="575"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</row>
    <row r="576"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</row>
    <row r="577"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</row>
    <row r="578"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</row>
    <row r="579"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</row>
    <row r="580"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</row>
    <row r="581"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</row>
    <row r="582"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</row>
    <row r="583"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</row>
    <row r="584"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</row>
    <row r="585"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</row>
    <row r="586"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</row>
    <row r="587"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</row>
    <row r="588"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</row>
    <row r="589"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</row>
    <row r="590"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</row>
    <row r="591"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</row>
    <row r="592"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</row>
    <row r="593"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</row>
    <row r="594"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</row>
    <row r="595"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</row>
    <row r="596"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</row>
    <row r="597"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</row>
    <row r="598"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</row>
    <row r="599"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</row>
    <row r="600"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</row>
    <row r="601"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</row>
    <row r="602"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</row>
    <row r="603"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</row>
    <row r="604"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</row>
    <row r="605"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</row>
    <row r="606"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</row>
    <row r="607"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</row>
    <row r="608"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</row>
    <row r="609"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</row>
    <row r="610"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</row>
    <row r="611"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</row>
    <row r="612"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</row>
    <row r="613"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</row>
    <row r="614"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</row>
    <row r="615"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</row>
    <row r="616"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</row>
    <row r="617"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</row>
    <row r="618"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</row>
    <row r="619"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</row>
    <row r="620"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</row>
    <row r="621"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</row>
    <row r="622"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</row>
    <row r="623"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</row>
    <row r="624"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</row>
    <row r="625"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</row>
    <row r="626"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</row>
    <row r="627"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</row>
    <row r="628"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</row>
    <row r="629"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</row>
    <row r="630"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</row>
    <row r="631"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</row>
    <row r="632"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</row>
    <row r="633"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</row>
    <row r="634"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</row>
    <row r="635"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</row>
    <row r="636"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</row>
    <row r="637"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</row>
    <row r="638"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</row>
    <row r="639"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</row>
    <row r="640"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</row>
    <row r="641"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</row>
    <row r="642"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</row>
    <row r="643"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</row>
    <row r="644"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</row>
    <row r="645"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</row>
    <row r="646"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</row>
    <row r="647"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</row>
    <row r="648"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</row>
    <row r="649"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</row>
    <row r="650"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</row>
    <row r="651"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</row>
    <row r="652"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</row>
    <row r="653"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</row>
    <row r="654"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</row>
    <row r="655"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</row>
    <row r="656"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</row>
    <row r="657"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</row>
    <row r="658"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</row>
    <row r="659"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</row>
    <row r="660"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</row>
    <row r="661"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</row>
    <row r="662"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</row>
    <row r="663"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</row>
    <row r="664"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</row>
    <row r="665"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</row>
    <row r="666"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</row>
    <row r="667"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</row>
    <row r="668"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</row>
    <row r="669"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</row>
    <row r="670"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</row>
    <row r="671"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</row>
    <row r="672"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</row>
    <row r="673"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</row>
    <row r="674"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</row>
    <row r="675"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</row>
    <row r="676"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</row>
    <row r="677"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</row>
    <row r="678"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</row>
    <row r="679"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</row>
    <row r="680"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</row>
    <row r="681"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</row>
    <row r="682"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</row>
    <row r="683"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</row>
    <row r="684"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</row>
    <row r="685"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</row>
    <row r="686"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</row>
    <row r="687"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</row>
    <row r="688"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</row>
    <row r="689"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</row>
    <row r="690"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</row>
    <row r="691"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</row>
    <row r="692"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</row>
    <row r="693"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</row>
    <row r="694"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</row>
    <row r="695"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</row>
    <row r="696"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</row>
    <row r="697"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</row>
    <row r="698"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</row>
    <row r="699"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</row>
    <row r="700"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</row>
    <row r="701"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</row>
    <row r="702"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</row>
    <row r="703"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</row>
    <row r="704"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</row>
    <row r="705"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</row>
    <row r="706"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</row>
    <row r="707"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</row>
    <row r="708"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</row>
    <row r="709"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</row>
    <row r="710"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</row>
    <row r="711"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</row>
    <row r="712"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</row>
    <row r="713"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</row>
    <row r="714"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</row>
    <row r="715"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</row>
    <row r="716"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</row>
    <row r="717"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</row>
    <row r="718"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</row>
    <row r="719"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</row>
    <row r="720"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</row>
    <row r="721"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</row>
    <row r="722"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</row>
    <row r="723"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</row>
    <row r="724"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</row>
    <row r="725"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</row>
    <row r="726"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</row>
    <row r="727"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</row>
    <row r="728"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</row>
    <row r="729"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</row>
    <row r="730"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</row>
    <row r="731"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</row>
    <row r="732"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</row>
    <row r="733"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</row>
    <row r="734"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</row>
    <row r="735"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</row>
    <row r="736"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</row>
    <row r="737"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</row>
    <row r="738"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</row>
    <row r="739"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</row>
    <row r="740"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</row>
    <row r="741"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</row>
    <row r="742"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</row>
    <row r="743"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</row>
    <row r="744"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</row>
    <row r="745"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</row>
    <row r="746"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</row>
    <row r="747"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</row>
    <row r="748"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</row>
    <row r="749"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</row>
    <row r="750"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</row>
    <row r="751"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</row>
    <row r="752"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</row>
    <row r="753"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</row>
    <row r="754"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</row>
    <row r="755"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</row>
    <row r="756"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</row>
    <row r="757"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</row>
    <row r="758"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</row>
    <row r="759"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</row>
    <row r="760"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</row>
    <row r="761"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</row>
    <row r="762"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</row>
    <row r="763"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</row>
    <row r="764"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</row>
    <row r="765"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</row>
    <row r="766"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</row>
    <row r="767"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</row>
    <row r="768"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</row>
    <row r="769"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</row>
    <row r="770"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</row>
    <row r="771"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</row>
    <row r="772"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</row>
    <row r="773"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</row>
    <row r="774"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</row>
    <row r="775"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</row>
    <row r="776"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</row>
    <row r="777"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</row>
    <row r="778"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</row>
    <row r="779"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</row>
    <row r="780"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</row>
    <row r="781"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</row>
    <row r="782"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</row>
    <row r="783"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</row>
    <row r="784"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</row>
    <row r="785"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</row>
    <row r="786"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</row>
    <row r="787"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</row>
    <row r="788"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</row>
    <row r="789"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</row>
    <row r="790"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</row>
    <row r="791"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</row>
    <row r="792"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</row>
    <row r="793"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</row>
    <row r="794"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</row>
    <row r="795"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</row>
    <row r="796"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</row>
    <row r="797"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</row>
    <row r="798"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</row>
    <row r="799"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</row>
    <row r="800"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</row>
    <row r="801"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</row>
    <row r="802"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</row>
    <row r="803"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</row>
    <row r="804"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</row>
    <row r="805"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</row>
    <row r="806"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</row>
    <row r="807"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</row>
    <row r="808"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</row>
    <row r="809"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</row>
    <row r="810"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</row>
    <row r="811"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</row>
    <row r="812"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</row>
    <row r="813"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</row>
    <row r="814"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</row>
    <row r="815"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</row>
    <row r="816"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</row>
    <row r="817"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</row>
    <row r="818"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</row>
    <row r="819"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</row>
    <row r="820"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</row>
    <row r="821"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</row>
    <row r="822"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</row>
    <row r="823"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</row>
    <row r="824"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</row>
    <row r="825"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</row>
    <row r="826"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</row>
    <row r="827"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</row>
    <row r="828"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</row>
    <row r="829"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</row>
    <row r="830"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</row>
    <row r="831"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</row>
    <row r="832"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</row>
    <row r="833"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</row>
    <row r="834"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</row>
    <row r="835"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</row>
    <row r="836"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</row>
    <row r="837"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</row>
    <row r="838"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</row>
    <row r="839"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</row>
    <row r="840"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</row>
    <row r="841"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</row>
    <row r="842"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</row>
    <row r="843"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</row>
    <row r="844"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</row>
    <row r="845"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</row>
    <row r="846"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</row>
    <row r="847"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</row>
    <row r="848"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</row>
    <row r="849"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</row>
    <row r="850"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</row>
    <row r="851"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</row>
    <row r="852"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</row>
    <row r="853"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</row>
    <row r="854"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</row>
    <row r="855"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</row>
    <row r="856"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</row>
    <row r="857"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</row>
    <row r="858"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</row>
    <row r="859"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</row>
    <row r="860"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</row>
    <row r="861"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</row>
    <row r="862"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</row>
    <row r="863"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</row>
    <row r="864"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</row>
    <row r="865"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</row>
    <row r="866"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</row>
    <row r="867"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</row>
    <row r="868"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</row>
    <row r="869"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</row>
    <row r="870"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</row>
    <row r="871"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</row>
    <row r="872"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</row>
    <row r="873"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</row>
    <row r="874"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</row>
    <row r="875"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</row>
    <row r="876"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</row>
    <row r="877"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</row>
    <row r="878"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</row>
    <row r="879"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</row>
    <row r="880"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</row>
    <row r="881"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</row>
    <row r="882"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</row>
    <row r="883"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</row>
    <row r="884"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</row>
    <row r="885"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</row>
    <row r="886"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</row>
    <row r="887"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</row>
    <row r="888"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</row>
    <row r="889"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</row>
    <row r="890"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</row>
    <row r="891"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</row>
    <row r="892"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</row>
    <row r="893"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</row>
    <row r="894"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</row>
    <row r="895"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</row>
    <row r="896"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</row>
    <row r="897"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</row>
    <row r="898"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</row>
    <row r="899"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</row>
    <row r="900"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</row>
    <row r="901"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</row>
    <row r="902"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</row>
    <row r="903"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</row>
    <row r="904"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</row>
    <row r="905"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</row>
    <row r="906"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</row>
    <row r="907"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</row>
    <row r="908"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</row>
    <row r="909"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</row>
    <row r="910"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</row>
    <row r="911"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</row>
    <row r="912"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</row>
    <row r="913"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</row>
    <row r="914"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</row>
    <row r="915"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</row>
    <row r="916"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</row>
    <row r="917"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</row>
    <row r="918"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</row>
    <row r="919"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</row>
    <row r="920"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</row>
    <row r="921"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</row>
    <row r="922"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</row>
    <row r="923"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</row>
    <row r="924"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</row>
    <row r="925"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</row>
    <row r="926"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</row>
    <row r="927"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</row>
    <row r="928"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</row>
    <row r="929"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</row>
    <row r="930"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</row>
    <row r="931"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</row>
    <row r="932"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</row>
    <row r="933"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</row>
    <row r="934"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</row>
    <row r="935"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</row>
    <row r="936"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</row>
    <row r="937"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</row>
    <row r="938"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</row>
    <row r="939"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</row>
    <row r="940"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</row>
    <row r="941"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</row>
    <row r="942"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</row>
    <row r="943"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</row>
    <row r="944"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</row>
    <row r="945"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</row>
    <row r="946"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</row>
    <row r="947"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</row>
    <row r="948"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</row>
    <row r="949"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</row>
    <row r="950"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</row>
    <row r="951"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</row>
    <row r="952"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</row>
    <row r="953"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</row>
    <row r="954"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</row>
    <row r="955"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</row>
    <row r="956"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</row>
    <row r="957"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</row>
    <row r="958"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</row>
    <row r="959"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</row>
    <row r="960"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</row>
    <row r="961"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</row>
    <row r="962"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</row>
    <row r="963"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</row>
    <row r="964"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</row>
    <row r="965"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</row>
    <row r="966"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</row>
    <row r="967"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</row>
    <row r="968"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</row>
    <row r="969"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</row>
    <row r="970"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</row>
    <row r="971"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</row>
    <row r="972"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</row>
    <row r="973"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</row>
    <row r="974"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</row>
    <row r="975"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</row>
    <row r="976"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</row>
    <row r="977"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</row>
    <row r="978"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</row>
    <row r="979"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</row>
    <row r="980"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</row>
    <row r="981"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</row>
    <row r="982"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</row>
    <row r="983"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</row>
    <row r="984"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</row>
    <row r="985"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</row>
    <row r="986"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</row>
    <row r="987"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</row>
    <row r="988"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</row>
    <row r="989"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</row>
    <row r="990"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</row>
    <row r="991"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</row>
    <row r="992"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</row>
    <row r="993"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</row>
    <row r="994"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</row>
    <row r="995"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</row>
    <row r="996"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</row>
    <row r="997"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</row>
    <row r="998"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</row>
    <row r="999"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</row>
    <row r="1000"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</row>
  </sheetData>
  <conditionalFormatting sqref="A2:A32">
    <cfRule type="colorScale" priority="1">
      <colorScale>
        <cfvo type="min"/>
        <cfvo type="max"/>
        <color rgb="FF999999"/>
        <color rgb="FFFFFFFF"/>
      </colorScale>
    </cfRule>
  </conditionalFormatting>
  <conditionalFormatting sqref="C2:N32">
    <cfRule type="colorScale" priority="2">
      <colorScale>
        <cfvo type="min"/>
        <cfvo type="max"/>
        <color rgb="FF666666"/>
        <color rgb="FFFFFFFF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76.13"/>
    <col customWidth="1" min="2" max="2" width="6.0"/>
    <col customWidth="1" min="3" max="14" width="5.75"/>
  </cols>
  <sheetData>
    <row r="1">
      <c r="A1" s="106" t="s">
        <v>201</v>
      </c>
      <c r="B1" t="str">
        <f>IFERROR(__xludf.DUMMYFUNCTION("split(A1,"" "")"),"Day")</f>
        <v>Day</v>
      </c>
      <c r="C1" s="184" t="str">
        <f>IFERROR(__xludf.DUMMYFUNCTION("""COMPUTED_VALUE"""),"Jan.")</f>
        <v>Jan.</v>
      </c>
      <c r="D1" s="184" t="str">
        <f>IFERROR(__xludf.DUMMYFUNCTION("""COMPUTED_VALUE"""),"Feb.")</f>
        <v>Feb.</v>
      </c>
      <c r="E1" s="184" t="str">
        <f>IFERROR(__xludf.DUMMYFUNCTION("""COMPUTED_VALUE"""),"Mar.")</f>
        <v>Mar.</v>
      </c>
      <c r="F1" s="184" t="str">
        <f>IFERROR(__xludf.DUMMYFUNCTION("""COMPUTED_VALUE"""),"Apr.")</f>
        <v>Apr.</v>
      </c>
      <c r="G1" s="184" t="str">
        <f>IFERROR(__xludf.DUMMYFUNCTION("""COMPUTED_VALUE"""),"May")</f>
        <v>May</v>
      </c>
      <c r="H1" s="184" t="str">
        <f>IFERROR(__xludf.DUMMYFUNCTION("""COMPUTED_VALUE"""),"June")</f>
        <v>June</v>
      </c>
      <c r="I1" s="184" t="str">
        <f>IFERROR(__xludf.DUMMYFUNCTION("""COMPUTED_VALUE"""),"July")</f>
        <v>July</v>
      </c>
      <c r="J1" s="184" t="str">
        <f>IFERROR(__xludf.DUMMYFUNCTION("""COMPUTED_VALUE"""),"Aug.")</f>
        <v>Aug.</v>
      </c>
      <c r="K1" s="184" t="str">
        <f>IFERROR(__xludf.DUMMYFUNCTION("""COMPUTED_VALUE"""),"Sep.")</f>
        <v>Sep.</v>
      </c>
      <c r="L1" s="184" t="str">
        <f>IFERROR(__xludf.DUMMYFUNCTION("""COMPUTED_VALUE"""),"Oct.")</f>
        <v>Oct.</v>
      </c>
      <c r="M1" s="184" t="str">
        <f>IFERROR(__xludf.DUMMYFUNCTION("""COMPUTED_VALUE"""),"Nov.")</f>
        <v>Nov.</v>
      </c>
      <c r="N1" s="184" t="str">
        <f>IFERROR(__xludf.DUMMYFUNCTION("""COMPUTED_VALUE"""),"Dec.")</f>
        <v>Dec.</v>
      </c>
    </row>
    <row r="2">
      <c r="A2" s="106" t="s">
        <v>233</v>
      </c>
      <c r="B2" s="290">
        <v>1.0</v>
      </c>
      <c r="C2" s="184">
        <v>0.21</v>
      </c>
      <c r="D2" s="184">
        <v>0.21</v>
      </c>
      <c r="E2" s="91">
        <v>0.21</v>
      </c>
      <c r="F2" s="184">
        <v>0.15</v>
      </c>
      <c r="G2" s="184">
        <v>0.13</v>
      </c>
      <c r="H2" s="184">
        <v>0.05</v>
      </c>
      <c r="I2" s="184">
        <v>0.03</v>
      </c>
      <c r="J2" s="184">
        <v>0.0</v>
      </c>
      <c r="K2" s="184">
        <v>0.06</v>
      </c>
      <c r="L2" s="184">
        <v>0.1</v>
      </c>
      <c r="M2" s="184">
        <v>0.21</v>
      </c>
      <c r="N2" s="184">
        <v>0.23</v>
      </c>
    </row>
    <row r="3">
      <c r="A3" s="106" t="s">
        <v>234</v>
      </c>
      <c r="B3" s="290">
        <v>2.0</v>
      </c>
      <c r="C3" s="184">
        <v>0.13</v>
      </c>
      <c r="D3" s="184">
        <v>0.13</v>
      </c>
      <c r="E3" s="97">
        <v>0.13</v>
      </c>
      <c r="F3" s="184">
        <v>0.09</v>
      </c>
      <c r="G3" s="184">
        <v>0.07</v>
      </c>
      <c r="H3" s="184">
        <v>0.02</v>
      </c>
      <c r="I3" s="184">
        <v>0.0</v>
      </c>
      <c r="J3" s="184">
        <v>0.02</v>
      </c>
      <c r="K3" s="184">
        <v>0.12</v>
      </c>
      <c r="L3" s="184">
        <v>0.17</v>
      </c>
      <c r="M3" s="184">
        <v>0.3</v>
      </c>
      <c r="N3" s="184">
        <v>0.32</v>
      </c>
    </row>
    <row r="4">
      <c r="A4" s="106" t="s">
        <v>235</v>
      </c>
      <c r="B4" s="294">
        <v>3.0</v>
      </c>
      <c r="C4" s="184">
        <v>0.07</v>
      </c>
      <c r="D4" s="184">
        <v>0.07</v>
      </c>
      <c r="E4" s="100">
        <v>0.07</v>
      </c>
      <c r="F4" s="184">
        <v>0.04</v>
      </c>
      <c r="G4" s="184">
        <v>0.03</v>
      </c>
      <c r="H4" s="184">
        <v>0.0</v>
      </c>
      <c r="I4" s="184">
        <v>0.0</v>
      </c>
      <c r="J4" s="184">
        <v>0.07</v>
      </c>
      <c r="K4" s="184">
        <v>0.21</v>
      </c>
      <c r="L4" s="184">
        <v>0.26</v>
      </c>
      <c r="M4" s="184">
        <v>0.39</v>
      </c>
      <c r="N4" s="184">
        <v>0.41</v>
      </c>
    </row>
    <row r="5">
      <c r="A5" s="106" t="s">
        <v>236</v>
      </c>
      <c r="B5" s="290">
        <v>4.0</v>
      </c>
      <c r="C5" s="184">
        <v>0.03</v>
      </c>
      <c r="D5" s="184">
        <v>0.03</v>
      </c>
      <c r="E5" s="102">
        <v>0.03</v>
      </c>
      <c r="F5" s="184">
        <v>0.01</v>
      </c>
      <c r="G5" s="184">
        <v>0.01</v>
      </c>
      <c r="H5" s="184">
        <v>0.01</v>
      </c>
      <c r="I5" s="184">
        <v>0.03</v>
      </c>
      <c r="J5" s="184">
        <v>0.15</v>
      </c>
      <c r="K5" s="184">
        <v>0.31</v>
      </c>
      <c r="L5" s="184">
        <v>0.36</v>
      </c>
      <c r="M5" s="184">
        <v>0.49</v>
      </c>
      <c r="N5" s="184">
        <v>0.51</v>
      </c>
    </row>
    <row r="6">
      <c r="A6" s="106" t="s">
        <v>237</v>
      </c>
      <c r="B6" s="290">
        <v>5.0</v>
      </c>
      <c r="C6" s="184">
        <v>0.01</v>
      </c>
      <c r="D6" s="184">
        <v>0.01</v>
      </c>
      <c r="E6" s="104">
        <v>0.01</v>
      </c>
      <c r="F6" s="184">
        <v>0.0</v>
      </c>
      <c r="G6" s="184">
        <v>0.0</v>
      </c>
      <c r="H6" s="184">
        <v>0.05</v>
      </c>
      <c r="I6" s="184">
        <v>0.09</v>
      </c>
      <c r="J6" s="184">
        <v>0.24</v>
      </c>
      <c r="K6" s="184">
        <v>0.42</v>
      </c>
      <c r="L6" s="184">
        <v>0.46</v>
      </c>
      <c r="M6" s="184">
        <v>0.59</v>
      </c>
      <c r="N6" s="184">
        <v>0.6</v>
      </c>
    </row>
    <row r="7">
      <c r="A7" s="106" t="s">
        <v>238</v>
      </c>
      <c r="B7" s="290">
        <v>6.0</v>
      </c>
      <c r="C7" s="184">
        <v>0.0</v>
      </c>
      <c r="D7" s="184">
        <v>0.0</v>
      </c>
      <c r="E7" s="105">
        <v>0.0</v>
      </c>
      <c r="F7" s="184">
        <v>0.01</v>
      </c>
      <c r="G7" s="184">
        <v>0.02</v>
      </c>
      <c r="H7" s="184">
        <v>0.11</v>
      </c>
      <c r="I7" s="184">
        <v>0.17</v>
      </c>
      <c r="J7" s="184">
        <v>0.35</v>
      </c>
      <c r="K7" s="184">
        <v>0.52</v>
      </c>
      <c r="L7" s="184">
        <v>0.56</v>
      </c>
      <c r="M7" s="184">
        <v>0.68</v>
      </c>
      <c r="N7" s="184">
        <v>0.69</v>
      </c>
    </row>
    <row r="8">
      <c r="A8" s="106" t="s">
        <v>239</v>
      </c>
      <c r="B8" s="290">
        <v>7.0</v>
      </c>
      <c r="C8" s="184">
        <v>0.01</v>
      </c>
      <c r="D8" s="184">
        <v>0.01</v>
      </c>
      <c r="E8" s="104">
        <v>0.01</v>
      </c>
      <c r="F8" s="184">
        <v>0.04</v>
      </c>
      <c r="G8" s="184">
        <v>0.06</v>
      </c>
      <c r="H8" s="184">
        <v>0.19</v>
      </c>
      <c r="I8" s="184">
        <v>0.27</v>
      </c>
      <c r="J8" s="184">
        <v>0.46</v>
      </c>
      <c r="K8" s="184">
        <v>0.62</v>
      </c>
      <c r="L8" s="184">
        <v>0.66</v>
      </c>
      <c r="M8" s="184">
        <v>0.76</v>
      </c>
      <c r="N8" s="184">
        <v>0.77</v>
      </c>
    </row>
    <row r="9">
      <c r="A9" s="106" t="s">
        <v>240</v>
      </c>
      <c r="B9" s="290">
        <v>8.0</v>
      </c>
      <c r="C9" s="184">
        <v>0.05</v>
      </c>
      <c r="D9" s="184">
        <v>0.05</v>
      </c>
      <c r="E9" s="108">
        <v>0.05</v>
      </c>
      <c r="F9" s="184">
        <v>0.09</v>
      </c>
      <c r="G9" s="184">
        <v>0.13</v>
      </c>
      <c r="H9" s="184">
        <v>0.29</v>
      </c>
      <c r="I9" s="184">
        <v>0.37</v>
      </c>
      <c r="J9" s="184">
        <v>0.57</v>
      </c>
      <c r="K9" s="184">
        <v>0.72</v>
      </c>
      <c r="L9" s="184">
        <v>0.75</v>
      </c>
      <c r="M9" s="184">
        <v>0.84</v>
      </c>
      <c r="N9" s="184">
        <v>0.85</v>
      </c>
    </row>
    <row r="10">
      <c r="A10" s="106" t="s">
        <v>241</v>
      </c>
      <c r="B10" s="290">
        <v>9.0</v>
      </c>
      <c r="C10" s="184">
        <v>0.09</v>
      </c>
      <c r="D10" s="184">
        <v>0.09</v>
      </c>
      <c r="E10" s="109">
        <v>0.09</v>
      </c>
      <c r="F10" s="184">
        <v>0.16</v>
      </c>
      <c r="G10" s="184">
        <v>0.21</v>
      </c>
      <c r="H10" s="184">
        <v>0.4</v>
      </c>
      <c r="I10" s="184">
        <v>0.49</v>
      </c>
      <c r="J10" s="184">
        <v>0.67</v>
      </c>
      <c r="K10" s="184">
        <v>0.8</v>
      </c>
      <c r="L10" s="184">
        <v>0.82</v>
      </c>
      <c r="M10" s="184">
        <v>0.9</v>
      </c>
      <c r="N10" s="184">
        <v>0.91</v>
      </c>
    </row>
    <row r="11">
      <c r="A11" s="106" t="s">
        <v>242</v>
      </c>
      <c r="B11" s="290">
        <v>10.0</v>
      </c>
      <c r="C11" s="184">
        <v>0.16</v>
      </c>
      <c r="D11" s="184">
        <v>0.16</v>
      </c>
      <c r="E11" s="115">
        <v>0.16</v>
      </c>
      <c r="F11" s="184">
        <v>0.24</v>
      </c>
      <c r="G11" s="184">
        <v>0.31</v>
      </c>
      <c r="H11" s="184">
        <v>0.51</v>
      </c>
      <c r="I11" s="184">
        <v>0.6</v>
      </c>
      <c r="J11" s="184">
        <v>0.76</v>
      </c>
      <c r="K11" s="184">
        <v>0.87</v>
      </c>
      <c r="L11" s="184">
        <v>0.89</v>
      </c>
      <c r="M11" s="184">
        <v>0.95</v>
      </c>
      <c r="N11" s="184">
        <v>0.96</v>
      </c>
    </row>
    <row r="12">
      <c r="A12" s="106" t="s">
        <v>243</v>
      </c>
      <c r="B12" s="290">
        <v>11.0</v>
      </c>
      <c r="C12" s="184">
        <v>0.23</v>
      </c>
      <c r="D12" s="184">
        <v>0.23</v>
      </c>
      <c r="E12" s="118">
        <v>0.23</v>
      </c>
      <c r="F12" s="184">
        <v>0.34</v>
      </c>
      <c r="G12" s="184">
        <v>0.42</v>
      </c>
      <c r="H12" s="184">
        <v>0.62</v>
      </c>
      <c r="I12" s="184">
        <v>0.7</v>
      </c>
      <c r="J12" s="184">
        <v>0.84</v>
      </c>
      <c r="K12" s="184">
        <v>0.93</v>
      </c>
      <c r="L12" s="184">
        <v>0.94</v>
      </c>
      <c r="M12" s="184">
        <v>0.98</v>
      </c>
      <c r="N12" s="184">
        <v>0.99</v>
      </c>
    </row>
    <row r="13">
      <c r="A13" s="106" t="s">
        <v>244</v>
      </c>
      <c r="B13" s="290">
        <v>12.0</v>
      </c>
      <c r="C13" s="184">
        <v>0.31</v>
      </c>
      <c r="D13" s="184">
        <v>0.31</v>
      </c>
      <c r="E13" s="119">
        <v>0.31</v>
      </c>
      <c r="F13" s="184">
        <v>0.45</v>
      </c>
      <c r="G13" s="184">
        <v>0.53</v>
      </c>
      <c r="H13" s="184">
        <v>0.73</v>
      </c>
      <c r="I13" s="184">
        <v>0.8</v>
      </c>
      <c r="J13" s="184">
        <v>0.91</v>
      </c>
      <c r="K13" s="184">
        <v>0.97</v>
      </c>
      <c r="L13" s="184">
        <v>0.98</v>
      </c>
      <c r="M13" s="184">
        <v>1.0</v>
      </c>
      <c r="N13" s="184">
        <v>1.0</v>
      </c>
    </row>
    <row r="14">
      <c r="A14" s="106" t="s">
        <v>245</v>
      </c>
      <c r="B14" s="290">
        <v>13.0</v>
      </c>
      <c r="C14" s="184">
        <v>0.41</v>
      </c>
      <c r="D14" s="184">
        <v>0.41</v>
      </c>
      <c r="E14" s="121">
        <v>0.41</v>
      </c>
      <c r="F14" s="184">
        <v>0.56</v>
      </c>
      <c r="G14" s="184">
        <v>0.65</v>
      </c>
      <c r="H14" s="184">
        <v>0.82</v>
      </c>
      <c r="I14" s="184">
        <v>0.87</v>
      </c>
      <c r="J14" s="184">
        <v>0.96</v>
      </c>
      <c r="K14" s="184">
        <v>0.99</v>
      </c>
      <c r="L14" s="184">
        <v>1.0</v>
      </c>
      <c r="M14" s="184">
        <v>0.99</v>
      </c>
      <c r="N14" s="184">
        <v>0.99</v>
      </c>
    </row>
    <row r="15">
      <c r="A15" s="106" t="s">
        <v>246</v>
      </c>
      <c r="B15" s="290">
        <v>14.0</v>
      </c>
      <c r="C15" s="184">
        <v>0.51</v>
      </c>
      <c r="D15" s="184">
        <v>0.51</v>
      </c>
      <c r="E15" s="122">
        <v>0.51</v>
      </c>
      <c r="F15" s="184">
        <v>0.67</v>
      </c>
      <c r="G15" s="184">
        <v>0.75</v>
      </c>
      <c r="H15" s="184">
        <v>0.9</v>
      </c>
      <c r="I15" s="184">
        <v>0.93</v>
      </c>
      <c r="J15" s="184">
        <v>0.99</v>
      </c>
      <c r="K15" s="184">
        <v>1.0</v>
      </c>
      <c r="L15" s="184">
        <v>1.0</v>
      </c>
      <c r="M15" s="184">
        <v>0.97</v>
      </c>
      <c r="N15" s="184">
        <v>0.95</v>
      </c>
    </row>
    <row r="16">
      <c r="A16" s="106" t="s">
        <v>247</v>
      </c>
      <c r="B16" s="290">
        <v>15.0</v>
      </c>
      <c r="C16" s="184">
        <v>0.61</v>
      </c>
      <c r="D16" s="184">
        <v>0.61</v>
      </c>
      <c r="E16" s="124">
        <v>0.61</v>
      </c>
      <c r="F16" s="184">
        <v>0.78</v>
      </c>
      <c r="G16" s="184">
        <v>0.84</v>
      </c>
      <c r="H16" s="184">
        <v>0.95</v>
      </c>
      <c r="I16" s="184">
        <v>0.98</v>
      </c>
      <c r="J16" s="184">
        <v>1.0</v>
      </c>
      <c r="K16" s="184">
        <v>0.99</v>
      </c>
      <c r="L16" s="184">
        <v>0.98</v>
      </c>
      <c r="M16" s="184">
        <v>0.92</v>
      </c>
      <c r="N16" s="184">
        <v>0.89</v>
      </c>
    </row>
    <row r="17">
      <c r="A17" s="106" t="s">
        <v>248</v>
      </c>
      <c r="B17" s="290">
        <v>16.0</v>
      </c>
      <c r="C17" s="184">
        <v>0.71</v>
      </c>
      <c r="D17" s="184">
        <v>0.71</v>
      </c>
      <c r="E17" s="125">
        <v>0.71</v>
      </c>
      <c r="F17" s="184">
        <v>0.87</v>
      </c>
      <c r="G17" s="184">
        <v>0.92</v>
      </c>
      <c r="H17" s="184">
        <v>0.99</v>
      </c>
      <c r="I17" s="184">
        <v>1.0</v>
      </c>
      <c r="J17" s="184">
        <v>0.99</v>
      </c>
      <c r="K17" s="184">
        <v>0.96</v>
      </c>
      <c r="L17" s="184">
        <v>0.94</v>
      </c>
      <c r="M17" s="184">
        <v>0.85</v>
      </c>
      <c r="N17" s="184">
        <v>0.81</v>
      </c>
    </row>
    <row r="18">
      <c r="A18" s="106" t="s">
        <v>249</v>
      </c>
      <c r="B18" s="290">
        <v>17.0</v>
      </c>
      <c r="C18" s="184">
        <v>0.8</v>
      </c>
      <c r="D18" s="184">
        <v>0.8</v>
      </c>
      <c r="E18" s="295">
        <v>0.8</v>
      </c>
      <c r="F18" s="184">
        <v>0.94</v>
      </c>
      <c r="G18" s="184">
        <v>0.97</v>
      </c>
      <c r="H18" s="184">
        <v>1.0</v>
      </c>
      <c r="I18" s="184">
        <v>1.0</v>
      </c>
      <c r="J18" s="184">
        <v>0.97</v>
      </c>
      <c r="K18" s="184">
        <v>0.91</v>
      </c>
      <c r="L18" s="184">
        <v>0.89</v>
      </c>
      <c r="M18" s="184">
        <v>0.77</v>
      </c>
      <c r="N18" s="184">
        <v>0.71</v>
      </c>
    </row>
    <row r="19">
      <c r="A19" s="106" t="s">
        <v>250</v>
      </c>
      <c r="B19" s="290">
        <v>18.0</v>
      </c>
      <c r="C19" s="184">
        <v>0.88</v>
      </c>
      <c r="D19" s="184">
        <v>0.88</v>
      </c>
      <c r="E19" s="136">
        <v>0.88</v>
      </c>
      <c r="F19" s="184">
        <v>0.98</v>
      </c>
      <c r="G19" s="184">
        <v>0.99</v>
      </c>
      <c r="H19" s="184">
        <v>0.99</v>
      </c>
      <c r="I19" s="184">
        <v>0.98</v>
      </c>
      <c r="J19" s="184">
        <v>0.93</v>
      </c>
      <c r="K19" s="184">
        <v>0.85</v>
      </c>
      <c r="L19" s="184">
        <v>0.82</v>
      </c>
      <c r="M19" s="184">
        <v>0.67</v>
      </c>
      <c r="N19" s="184">
        <v>0.6</v>
      </c>
    </row>
    <row r="20">
      <c r="A20" s="106" t="s">
        <v>251</v>
      </c>
      <c r="B20" s="290">
        <v>19.0</v>
      </c>
      <c r="C20" s="184">
        <v>0.95</v>
      </c>
      <c r="D20" s="184">
        <v>0.95</v>
      </c>
      <c r="E20" s="137">
        <v>0.95</v>
      </c>
      <c r="F20" s="184">
        <v>1.0</v>
      </c>
      <c r="G20" s="184">
        <v>1.0</v>
      </c>
      <c r="H20" s="184">
        <v>0.96</v>
      </c>
      <c r="I20" s="184">
        <v>0.95</v>
      </c>
      <c r="J20" s="184">
        <v>0.87</v>
      </c>
      <c r="K20" s="184">
        <v>0.77</v>
      </c>
      <c r="L20" s="184">
        <v>0.73</v>
      </c>
      <c r="M20" s="184">
        <v>0.56</v>
      </c>
      <c r="N20" s="184">
        <v>0.49</v>
      </c>
    </row>
    <row r="21">
      <c r="A21" s="106" t="s">
        <v>252</v>
      </c>
      <c r="B21" s="290">
        <v>20.0</v>
      </c>
      <c r="C21" s="184">
        <v>0.99</v>
      </c>
      <c r="D21" s="184">
        <v>0.99</v>
      </c>
      <c r="E21" s="138">
        <v>0.99</v>
      </c>
      <c r="F21" s="184">
        <v>0.99</v>
      </c>
      <c r="G21" s="184">
        <v>0.98</v>
      </c>
      <c r="H21" s="184">
        <v>0.91</v>
      </c>
      <c r="I21" s="184">
        <v>0.89</v>
      </c>
      <c r="J21" s="184">
        <v>0.8</v>
      </c>
      <c r="K21" s="184">
        <v>0.68</v>
      </c>
      <c r="L21" s="184">
        <v>0.63</v>
      </c>
      <c r="M21" s="184">
        <v>0.45</v>
      </c>
      <c r="N21" s="184">
        <v>0.37</v>
      </c>
    </row>
    <row r="22">
      <c r="A22" s="106" t="s">
        <v>253</v>
      </c>
      <c r="B22" s="290">
        <v>21.0</v>
      </c>
      <c r="C22" s="184">
        <v>1.0</v>
      </c>
      <c r="D22" s="184">
        <v>1.0</v>
      </c>
      <c r="E22" s="139">
        <v>1.0</v>
      </c>
      <c r="F22" s="184">
        <v>0.95</v>
      </c>
      <c r="G22" s="184">
        <v>0.93</v>
      </c>
      <c r="H22" s="184">
        <v>0.85</v>
      </c>
      <c r="I22" s="184">
        <v>0.83</v>
      </c>
      <c r="J22" s="184">
        <v>0.72</v>
      </c>
      <c r="K22" s="184">
        <v>0.58</v>
      </c>
      <c r="L22" s="184">
        <v>0.52</v>
      </c>
      <c r="M22" s="184">
        <v>0.34</v>
      </c>
      <c r="N22" s="184">
        <v>0.27</v>
      </c>
    </row>
    <row r="23">
      <c r="A23" s="106" t="s">
        <v>254</v>
      </c>
      <c r="B23" s="290">
        <v>22.0</v>
      </c>
      <c r="C23" s="184">
        <v>0.98</v>
      </c>
      <c r="D23" s="184">
        <v>0.98</v>
      </c>
      <c r="E23" s="140">
        <v>0.98</v>
      </c>
      <c r="F23" s="184">
        <v>0.9</v>
      </c>
      <c r="G23" s="184">
        <v>0.87</v>
      </c>
      <c r="H23" s="184">
        <v>0.78</v>
      </c>
      <c r="I23" s="184">
        <v>0.75</v>
      </c>
      <c r="J23" s="184">
        <v>0.63</v>
      </c>
      <c r="K23" s="184">
        <v>0.48</v>
      </c>
      <c r="L23" s="184">
        <v>0.41</v>
      </c>
      <c r="M23" s="184">
        <v>0.23</v>
      </c>
      <c r="N23" s="184">
        <v>0.17</v>
      </c>
    </row>
    <row r="24">
      <c r="A24" s="106" t="s">
        <v>255</v>
      </c>
      <c r="B24" s="290">
        <v>23.0</v>
      </c>
      <c r="C24" s="184">
        <v>0.93</v>
      </c>
      <c r="D24" s="184">
        <v>0.93</v>
      </c>
      <c r="E24" s="141">
        <v>0.93</v>
      </c>
      <c r="F24" s="184">
        <v>0.83</v>
      </c>
      <c r="G24" s="184">
        <v>0.8</v>
      </c>
      <c r="H24" s="184">
        <v>0.69</v>
      </c>
      <c r="I24" s="184">
        <v>0.67</v>
      </c>
      <c r="J24" s="184">
        <v>0.53</v>
      </c>
      <c r="K24" s="184">
        <v>0.37</v>
      </c>
      <c r="L24" s="184">
        <v>0.3</v>
      </c>
      <c r="M24" s="184">
        <v>0.14</v>
      </c>
      <c r="N24" s="184">
        <v>0.1</v>
      </c>
    </row>
    <row r="25">
      <c r="A25" s="106" t="s">
        <v>256</v>
      </c>
      <c r="B25" s="290">
        <v>24.0</v>
      </c>
      <c r="C25" s="184">
        <v>0.86</v>
      </c>
      <c r="D25" s="184">
        <v>0.86</v>
      </c>
      <c r="E25" s="143">
        <v>0.86</v>
      </c>
      <c r="F25" s="184">
        <v>0.74</v>
      </c>
      <c r="G25" s="184">
        <v>0.72</v>
      </c>
      <c r="H25" s="184">
        <v>0.6</v>
      </c>
      <c r="I25" s="184">
        <v>0.57</v>
      </c>
      <c r="J25" s="184">
        <v>0.43</v>
      </c>
      <c r="K25" s="184">
        <v>0.26</v>
      </c>
      <c r="L25" s="184">
        <v>0.2</v>
      </c>
      <c r="M25" s="184">
        <v>0.07</v>
      </c>
      <c r="N25" s="184">
        <v>0.04</v>
      </c>
    </row>
    <row r="26">
      <c r="A26" s="106" t="s">
        <v>257</v>
      </c>
      <c r="B26" s="290">
        <v>25.0</v>
      </c>
      <c r="C26" s="184">
        <v>0.77</v>
      </c>
      <c r="D26" s="184">
        <v>0.77</v>
      </c>
      <c r="E26" s="145">
        <v>0.77</v>
      </c>
      <c r="F26" s="184">
        <v>0.65</v>
      </c>
      <c r="G26" s="184">
        <v>0.63</v>
      </c>
      <c r="H26" s="184">
        <v>0.51</v>
      </c>
      <c r="I26" s="184">
        <v>0.47</v>
      </c>
      <c r="J26" s="184">
        <v>0.32</v>
      </c>
      <c r="K26" s="184">
        <v>0.17</v>
      </c>
      <c r="L26" s="184">
        <v>0.11</v>
      </c>
      <c r="M26" s="184">
        <v>0.02</v>
      </c>
      <c r="N26" s="184">
        <v>0.01</v>
      </c>
    </row>
    <row r="27">
      <c r="A27" s="106" t="s">
        <v>258</v>
      </c>
      <c r="B27" s="290">
        <v>26.0</v>
      </c>
      <c r="C27" s="184">
        <v>0.67</v>
      </c>
      <c r="D27" s="184">
        <v>0.67</v>
      </c>
      <c r="E27" s="149">
        <v>0.67</v>
      </c>
      <c r="F27" s="184">
        <v>0.56</v>
      </c>
      <c r="G27" s="184">
        <v>0.54</v>
      </c>
      <c r="H27" s="184">
        <v>0.41</v>
      </c>
      <c r="I27" s="184">
        <v>0.37</v>
      </c>
      <c r="J27" s="184">
        <v>0.23</v>
      </c>
      <c r="K27" s="184">
        <v>0.09</v>
      </c>
      <c r="L27" s="184">
        <v>0.05</v>
      </c>
      <c r="M27" s="184">
        <v>0.0</v>
      </c>
      <c r="N27" s="184">
        <v>0.0</v>
      </c>
    </row>
    <row r="28">
      <c r="A28" s="106" t="s">
        <v>259</v>
      </c>
      <c r="B28" s="290">
        <v>27.0</v>
      </c>
      <c r="C28" s="184">
        <v>0.56</v>
      </c>
      <c r="D28" s="184">
        <v>0.56</v>
      </c>
      <c r="E28" s="151">
        <v>0.56</v>
      </c>
      <c r="F28" s="184">
        <v>0.46</v>
      </c>
      <c r="G28" s="184">
        <v>0.44</v>
      </c>
      <c r="H28" s="184">
        <v>0.32</v>
      </c>
      <c r="I28" s="184">
        <v>0.28</v>
      </c>
      <c r="J28" s="184">
        <v>0.14</v>
      </c>
      <c r="K28" s="184">
        <v>0.03</v>
      </c>
      <c r="L28" s="184">
        <v>0.01</v>
      </c>
      <c r="M28" s="184">
        <v>0.01</v>
      </c>
      <c r="N28" s="184">
        <v>0.01</v>
      </c>
    </row>
    <row r="29">
      <c r="A29" s="106" t="s">
        <v>260</v>
      </c>
      <c r="B29" s="290">
        <v>28.0</v>
      </c>
      <c r="C29" s="184">
        <v>0.45</v>
      </c>
      <c r="D29" s="184">
        <v>0.45</v>
      </c>
      <c r="E29" s="153">
        <v>0.45</v>
      </c>
      <c r="F29" s="184">
        <v>0.37</v>
      </c>
      <c r="G29" s="184">
        <v>0.35</v>
      </c>
      <c r="H29" s="184">
        <v>0.23</v>
      </c>
      <c r="I29" s="184">
        <v>0.19</v>
      </c>
      <c r="J29" s="184">
        <v>0.07</v>
      </c>
      <c r="K29" s="184">
        <v>0.0</v>
      </c>
      <c r="L29" s="184">
        <v>0.0</v>
      </c>
      <c r="M29" s="184">
        <v>0.04</v>
      </c>
      <c r="N29" s="184">
        <v>0.05</v>
      </c>
    </row>
    <row r="30">
      <c r="A30" s="106" t="s">
        <v>261</v>
      </c>
      <c r="B30" s="290">
        <v>29.0</v>
      </c>
      <c r="C30" s="184">
        <v>0.35</v>
      </c>
      <c r="D30" s="184">
        <v>0.35</v>
      </c>
      <c r="E30" s="155">
        <v>0.35</v>
      </c>
      <c r="F30" s="184">
        <v>0.28</v>
      </c>
      <c r="G30" s="184">
        <v>0.26</v>
      </c>
      <c r="H30" s="184">
        <v>0.15</v>
      </c>
      <c r="I30" s="184">
        <v>0.11</v>
      </c>
      <c r="J30" s="184">
        <v>0.02</v>
      </c>
      <c r="K30" s="184">
        <v>0.01</v>
      </c>
      <c r="L30" s="184">
        <v>0.02</v>
      </c>
      <c r="M30" s="184">
        <v>0.09</v>
      </c>
      <c r="N30" s="184">
        <v>0.1</v>
      </c>
    </row>
    <row r="31">
      <c r="A31" s="106" t="s">
        <v>262</v>
      </c>
      <c r="B31" s="290">
        <v>30.0</v>
      </c>
      <c r="C31" s="184">
        <v>0.26</v>
      </c>
      <c r="D31" s="184">
        <v>0.26</v>
      </c>
      <c r="E31" s="156">
        <v>0.26</v>
      </c>
      <c r="F31" s="184">
        <v>0.2</v>
      </c>
      <c r="G31" s="184">
        <v>0.18</v>
      </c>
      <c r="H31" s="184">
        <v>0.08</v>
      </c>
      <c r="I31" s="184">
        <v>0.05</v>
      </c>
      <c r="J31" s="184">
        <v>0.0</v>
      </c>
      <c r="K31" s="184">
        <v>0.04</v>
      </c>
      <c r="L31" s="184">
        <v>0.06</v>
      </c>
      <c r="M31" s="184">
        <v>0.15</v>
      </c>
      <c r="N31" s="184">
        <v>0.17</v>
      </c>
    </row>
    <row r="32">
      <c r="A32" s="296" t="s">
        <v>263</v>
      </c>
      <c r="B32" s="290">
        <v>31.0</v>
      </c>
      <c r="C32" s="184">
        <v>0.18</v>
      </c>
      <c r="D32" s="184">
        <v>0.18</v>
      </c>
      <c r="E32" s="157">
        <v>0.18</v>
      </c>
      <c r="F32" s="184" t="s">
        <v>107</v>
      </c>
      <c r="G32" s="184">
        <v>0.11</v>
      </c>
      <c r="H32" s="184" t="s">
        <v>107</v>
      </c>
      <c r="I32" s="184">
        <v>0.01</v>
      </c>
      <c r="J32" s="184">
        <v>0.01</v>
      </c>
      <c r="K32" s="184" t="s">
        <v>107</v>
      </c>
      <c r="L32" s="184">
        <v>0.13</v>
      </c>
      <c r="M32" s="184" t="s">
        <v>107</v>
      </c>
      <c r="N32" s="184">
        <v>0.24</v>
      </c>
    </row>
  </sheetData>
  <conditionalFormatting sqref="C2:N32">
    <cfRule type="colorScale" priority="1">
      <colorScale>
        <cfvo type="min"/>
        <cfvo type="max"/>
        <color rgb="FF666666"/>
        <color rgb="FFFFFFF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38"/>
  </cols>
  <sheetData>
    <row r="1">
      <c r="A1" s="254" t="s">
        <v>264</v>
      </c>
      <c r="B1" s="254" t="s">
        <v>265</v>
      </c>
      <c r="C1" s="297" t="s">
        <v>266</v>
      </c>
      <c r="D1" s="298" t="s">
        <v>267</v>
      </c>
      <c r="E1" s="254" t="s">
        <v>268</v>
      </c>
      <c r="F1" s="254" t="s">
        <v>269</v>
      </c>
    </row>
    <row r="2" ht="19.5" customHeight="1">
      <c r="A2" s="297" t="s">
        <v>66</v>
      </c>
      <c r="B2" s="297" t="s">
        <v>66</v>
      </c>
      <c r="C2" s="297" t="s">
        <v>66</v>
      </c>
      <c r="D2" s="299" t="s">
        <v>66</v>
      </c>
      <c r="E2" s="297" t="s">
        <v>66</v>
      </c>
      <c r="F2" s="297" t="s">
        <v>66</v>
      </c>
      <c r="G2" s="300" t="s">
        <v>66</v>
      </c>
      <c r="J2" s="254"/>
      <c r="K2" s="254"/>
      <c r="L2" s="254"/>
      <c r="M2" s="254"/>
    </row>
    <row r="3" ht="19.5" customHeight="1">
      <c r="A3" s="297" t="s">
        <v>0</v>
      </c>
      <c r="B3" s="297" t="s">
        <v>0</v>
      </c>
      <c r="C3" s="297" t="s">
        <v>0</v>
      </c>
      <c r="D3" s="299" t="s">
        <v>0</v>
      </c>
      <c r="E3" s="297" t="s">
        <v>0</v>
      </c>
      <c r="F3" s="297" t="s">
        <v>0</v>
      </c>
      <c r="G3" s="300" t="s">
        <v>0</v>
      </c>
      <c r="I3" s="301"/>
      <c r="J3" s="110"/>
      <c r="K3" s="110"/>
      <c r="L3" s="110"/>
      <c r="M3" s="110"/>
    </row>
    <row r="4" ht="18.0" customHeight="1">
      <c r="A4" s="297" t="s">
        <v>1</v>
      </c>
      <c r="B4" s="297" t="s">
        <v>1</v>
      </c>
      <c r="C4" s="302" t="s">
        <v>1</v>
      </c>
      <c r="D4" s="297" t="s">
        <v>1</v>
      </c>
      <c r="E4" s="297" t="s">
        <v>1</v>
      </c>
      <c r="F4" s="297" t="s">
        <v>1</v>
      </c>
      <c r="G4" s="300" t="s">
        <v>1</v>
      </c>
      <c r="I4" s="303"/>
    </row>
    <row r="5" ht="19.5" customHeight="1">
      <c r="A5" s="297" t="s">
        <v>2</v>
      </c>
      <c r="B5" s="297" t="s">
        <v>2</v>
      </c>
      <c r="C5" s="297" t="s">
        <v>2</v>
      </c>
      <c r="D5" s="299" t="s">
        <v>2</v>
      </c>
      <c r="E5" s="297" t="s">
        <v>2</v>
      </c>
      <c r="F5" s="297" t="s">
        <v>2</v>
      </c>
      <c r="G5" s="300" t="s">
        <v>2</v>
      </c>
      <c r="I5" s="303"/>
      <c r="J5" s="110"/>
      <c r="K5" s="110"/>
      <c r="L5" s="110"/>
      <c r="M5" s="110"/>
    </row>
    <row r="6" ht="19.5" customHeight="1">
      <c r="A6" s="297" t="s">
        <v>3</v>
      </c>
      <c r="B6" s="297" t="s">
        <v>3</v>
      </c>
      <c r="C6" s="297" t="s">
        <v>3</v>
      </c>
      <c r="D6" s="299" t="s">
        <v>3</v>
      </c>
      <c r="E6" s="297" t="s">
        <v>3</v>
      </c>
      <c r="F6" s="297" t="s">
        <v>3</v>
      </c>
      <c r="G6" s="304" t="s">
        <v>3</v>
      </c>
    </row>
    <row r="7" ht="19.5" customHeight="1">
      <c r="A7" s="305" t="s">
        <v>270</v>
      </c>
      <c r="B7" s="305" t="s">
        <v>270</v>
      </c>
      <c r="C7" s="297" t="s">
        <v>270</v>
      </c>
      <c r="D7" s="299" t="s">
        <v>270</v>
      </c>
      <c r="E7" s="297" t="s">
        <v>270</v>
      </c>
      <c r="F7" s="297" t="s">
        <v>270</v>
      </c>
      <c r="G7" s="306" t="s">
        <v>270</v>
      </c>
    </row>
    <row r="8" ht="19.5" customHeight="1">
      <c r="A8" s="305" t="s">
        <v>271</v>
      </c>
      <c r="B8" s="305" t="s">
        <v>271</v>
      </c>
      <c r="C8" s="297" t="s">
        <v>271</v>
      </c>
      <c r="D8" s="299" t="s">
        <v>271</v>
      </c>
      <c r="E8" s="297" t="s">
        <v>271</v>
      </c>
      <c r="F8" s="297" t="s">
        <v>271</v>
      </c>
      <c r="G8" s="306" t="s">
        <v>271</v>
      </c>
    </row>
    <row r="9" ht="19.5" customHeight="1">
      <c r="A9" s="297" t="s">
        <v>272</v>
      </c>
      <c r="B9" s="297" t="s">
        <v>272</v>
      </c>
      <c r="C9" s="297" t="s">
        <v>272</v>
      </c>
      <c r="D9" s="299" t="s">
        <v>7</v>
      </c>
      <c r="E9" s="297" t="s">
        <v>7</v>
      </c>
      <c r="F9" s="297" t="s">
        <v>7</v>
      </c>
      <c r="G9" s="300" t="s">
        <v>272</v>
      </c>
    </row>
    <row r="10" ht="19.5" customHeight="1">
      <c r="A10" s="297" t="s">
        <v>8</v>
      </c>
      <c r="B10" s="297" t="s">
        <v>8</v>
      </c>
      <c r="C10" s="297" t="s">
        <v>8</v>
      </c>
      <c r="D10" s="299" t="s">
        <v>8</v>
      </c>
      <c r="E10" s="297" t="s">
        <v>8</v>
      </c>
      <c r="F10" s="297" t="s">
        <v>8</v>
      </c>
      <c r="G10" s="304" t="s">
        <v>8</v>
      </c>
    </row>
    <row r="11" ht="19.5" customHeight="1">
      <c r="A11" s="297" t="s">
        <v>9</v>
      </c>
      <c r="B11" s="297" t="s">
        <v>9</v>
      </c>
      <c r="C11" s="297" t="s">
        <v>154</v>
      </c>
      <c r="D11" s="299" t="s">
        <v>9</v>
      </c>
      <c r="E11" s="297" t="s">
        <v>68</v>
      </c>
      <c r="F11" s="297" t="s">
        <v>68</v>
      </c>
      <c r="G11" s="304" t="s">
        <v>9</v>
      </c>
    </row>
    <row r="12" ht="19.5" customHeight="1">
      <c r="A12" s="297" t="s">
        <v>10</v>
      </c>
      <c r="B12" s="297" t="s">
        <v>10</v>
      </c>
      <c r="C12" s="297" t="s">
        <v>10</v>
      </c>
      <c r="D12" s="299" t="s">
        <v>10</v>
      </c>
      <c r="E12" s="297" t="s">
        <v>69</v>
      </c>
      <c r="F12" s="297" t="s">
        <v>69</v>
      </c>
      <c r="G12" s="304" t="s">
        <v>10</v>
      </c>
    </row>
    <row r="13" ht="19.5" customHeight="1">
      <c r="A13" s="297" t="s">
        <v>11</v>
      </c>
      <c r="B13" s="297" t="s">
        <v>11</v>
      </c>
      <c r="C13" s="297" t="s">
        <v>11</v>
      </c>
      <c r="D13" s="299" t="s">
        <v>11</v>
      </c>
      <c r="E13" s="297" t="s">
        <v>11</v>
      </c>
      <c r="F13" s="297" t="s">
        <v>11</v>
      </c>
      <c r="G13" s="300" t="s">
        <v>11</v>
      </c>
    </row>
    <row r="14" ht="19.5" customHeight="1">
      <c r="A14" s="297" t="s">
        <v>12</v>
      </c>
      <c r="B14" s="297" t="s">
        <v>12</v>
      </c>
      <c r="C14" s="299" t="s">
        <v>12</v>
      </c>
      <c r="D14" s="299" t="s">
        <v>12</v>
      </c>
      <c r="E14" s="299" t="s">
        <v>12</v>
      </c>
      <c r="F14" s="299" t="s">
        <v>12</v>
      </c>
      <c r="G14" s="304" t="s">
        <v>12</v>
      </c>
    </row>
    <row r="15" ht="19.5" customHeight="1">
      <c r="A15" s="297" t="s">
        <v>13</v>
      </c>
      <c r="B15" s="297" t="s">
        <v>13</v>
      </c>
      <c r="C15" s="299" t="s">
        <v>13</v>
      </c>
      <c r="D15" s="299" t="s">
        <v>13</v>
      </c>
      <c r="E15" s="299" t="s">
        <v>13</v>
      </c>
      <c r="F15" s="299" t="s">
        <v>13</v>
      </c>
      <c r="G15" s="304" t="s">
        <v>13</v>
      </c>
      <c r="H15" s="106" t="s">
        <v>273</v>
      </c>
      <c r="I15" s="106" t="s">
        <v>274</v>
      </c>
      <c r="J15" s="106" t="s">
        <v>275</v>
      </c>
      <c r="K15" s="106" t="s">
        <v>276</v>
      </c>
      <c r="L15" s="106" t="s">
        <v>277</v>
      </c>
      <c r="M15" t="str">
        <f>IFERROR(__xludf.DUMMYFUNCTION("JOIN("" + "",H15:L15)"),"NOV_F_A_DN + DEC_F_A_DN + JAN_F_A_DN + FEB_F_A_DN + MAR_F_A_DN")</f>
        <v>NOV_F_A_DN + DEC_F_A_DN + JAN_F_A_DN + FEB_F_A_DN + MAR_F_A_DN</v>
      </c>
    </row>
    <row r="16" ht="19.5" customHeight="1">
      <c r="A16" s="297" t="s">
        <v>110</v>
      </c>
      <c r="B16" s="297" t="s">
        <v>110</v>
      </c>
      <c r="C16" s="299" t="s">
        <v>14</v>
      </c>
      <c r="D16" s="299" t="s">
        <v>14</v>
      </c>
      <c r="E16" s="299" t="s">
        <v>14</v>
      </c>
      <c r="F16" s="299" t="s">
        <v>14</v>
      </c>
      <c r="G16" s="304" t="s">
        <v>110</v>
      </c>
      <c r="H16" s="106" t="s">
        <v>278</v>
      </c>
      <c r="I16" s="106" t="s">
        <v>279</v>
      </c>
      <c r="J16" s="106" t="s">
        <v>280</v>
      </c>
      <c r="K16" s="106" t="s">
        <v>281</v>
      </c>
      <c r="L16" s="106" t="s">
        <v>282</v>
      </c>
      <c r="M16" t="str">
        <f>IFERROR(__xludf.DUMMYFUNCTION("JOIN("" + "",H16:L16)"),"NOV_M_A_DN + DEC_M_A_DN + JAN_M_A_DN + FEB_M_A_DN + MAR_M_A_DN")</f>
        <v>NOV_M_A_DN + DEC_M_A_DN + JAN_M_A_DN + FEB_M_A_DN + MAR_M_A_DN</v>
      </c>
    </row>
    <row r="17" ht="19.5" customHeight="1">
      <c r="A17" s="297" t="s">
        <v>111</v>
      </c>
      <c r="B17" s="297" t="s">
        <v>111</v>
      </c>
      <c r="C17" s="299" t="s">
        <v>70</v>
      </c>
      <c r="D17" s="299" t="s">
        <v>15</v>
      </c>
      <c r="E17" s="299" t="s">
        <v>70</v>
      </c>
      <c r="F17" s="299" t="s">
        <v>70</v>
      </c>
      <c r="G17" s="304" t="s">
        <v>111</v>
      </c>
      <c r="H17" s="106" t="s">
        <v>283</v>
      </c>
      <c r="I17" s="106" t="s">
        <v>284</v>
      </c>
      <c r="J17" s="106" t="s">
        <v>285</v>
      </c>
      <c r="K17" s="106" t="s">
        <v>286</v>
      </c>
      <c r="L17" s="106" t="s">
        <v>287</v>
      </c>
      <c r="M17" t="str">
        <f>IFERROR(__xludf.DUMMYFUNCTION("JOIN("" + "",H17:L17)"),"NOV_F_U_DN + DEC_F_U_DN + JAN_F_U_DN + FEB_F_U_DN + MAR_F_U_DN")</f>
        <v>NOV_F_U_DN + DEC_F_U_DN + JAN_F_U_DN + FEB_F_U_DN + MAR_F_U_DN</v>
      </c>
    </row>
    <row r="18" ht="19.5" customHeight="1">
      <c r="A18" s="297" t="s">
        <v>129</v>
      </c>
      <c r="B18" s="297" t="s">
        <v>129</v>
      </c>
      <c r="C18" s="299" t="s">
        <v>16</v>
      </c>
      <c r="D18" s="299" t="s">
        <v>16</v>
      </c>
      <c r="E18" s="299" t="s">
        <v>71</v>
      </c>
      <c r="F18" s="299" t="s">
        <v>71</v>
      </c>
      <c r="G18" s="304" t="s">
        <v>112</v>
      </c>
      <c r="H18" s="106" t="s">
        <v>288</v>
      </c>
      <c r="I18" s="106" t="s">
        <v>289</v>
      </c>
      <c r="J18" s="106" t="s">
        <v>290</v>
      </c>
      <c r="K18" s="106" t="s">
        <v>291</v>
      </c>
      <c r="L18" s="106" t="s">
        <v>292</v>
      </c>
      <c r="M18" t="str">
        <f>IFERROR(__xludf.DUMMYFUNCTION("JOIN("" + "",H18:L18)"),"NOV_M_U_DN + DEC_M_U_DN + JAN_M_U_DN + FEB_M_U_DN + MAR_M_U_DN")</f>
        <v>NOV_M_U_DN + DEC_M_U_DN + JAN_M_U_DN + FEB_M_U_DN + MAR_M_U_DN</v>
      </c>
    </row>
    <row r="19" ht="19.5" customHeight="1">
      <c r="A19" s="297" t="s">
        <v>130</v>
      </c>
      <c r="B19" s="297" t="s">
        <v>130</v>
      </c>
      <c r="C19" s="299" t="s">
        <v>17</v>
      </c>
      <c r="D19" s="299" t="s">
        <v>17</v>
      </c>
      <c r="E19" s="299" t="s">
        <v>17</v>
      </c>
      <c r="F19" s="299" t="s">
        <v>17</v>
      </c>
      <c r="G19" s="304" t="s">
        <v>113</v>
      </c>
      <c r="H19" s="106" t="s">
        <v>293</v>
      </c>
      <c r="I19" s="106" t="s">
        <v>294</v>
      </c>
      <c r="J19" s="106" t="s">
        <v>295</v>
      </c>
      <c r="K19" s="106" t="s">
        <v>296</v>
      </c>
      <c r="L19" s="106" t="s">
        <v>297</v>
      </c>
      <c r="M19" t="str">
        <f>IFERROR(__xludf.DUMMYFUNCTION("JOIN("" + "",H19:L19)"),"NOV_F_A_UP + DEC_F_A_UP + JAN_F_A_UP + FEB_F_A_UP + MAR_F_A_UP")</f>
        <v>NOV_F_A_UP + DEC_F_A_UP + JAN_F_A_UP + FEB_F_A_UP + MAR_F_A_UP</v>
      </c>
    </row>
    <row r="20" ht="19.5" customHeight="1">
      <c r="A20" s="297" t="s">
        <v>114</v>
      </c>
      <c r="B20" s="297" t="s">
        <v>114</v>
      </c>
      <c r="C20" s="299" t="s">
        <v>18</v>
      </c>
      <c r="D20" s="299" t="s">
        <v>18</v>
      </c>
      <c r="E20" s="299" t="s">
        <v>18</v>
      </c>
      <c r="F20" s="299" t="s">
        <v>18</v>
      </c>
      <c r="G20" s="304" t="s">
        <v>114</v>
      </c>
      <c r="H20" s="106" t="s">
        <v>298</v>
      </c>
      <c r="I20" s="106" t="s">
        <v>299</v>
      </c>
      <c r="J20" s="106" t="s">
        <v>300</v>
      </c>
      <c r="K20" s="106" t="s">
        <v>301</v>
      </c>
      <c r="L20" s="106" t="s">
        <v>302</v>
      </c>
      <c r="M20" t="str">
        <f>IFERROR(__xludf.DUMMYFUNCTION("JOIN("" + "",H20:L20)"),"NOV_M_A_UP + DEC_M_A_UP + JAN_M_A_UP + FEB_M_A_UP + MAR_M_A_UP")</f>
        <v>NOV_M_A_UP + DEC_M_A_UP + JAN_M_A_UP + FEB_M_A_UP + MAR_M_A_UP</v>
      </c>
    </row>
    <row r="21" ht="19.5" customHeight="1">
      <c r="A21" s="297" t="s">
        <v>115</v>
      </c>
      <c r="B21" s="297" t="s">
        <v>115</v>
      </c>
      <c r="C21" s="299" t="s">
        <v>19</v>
      </c>
      <c r="D21" s="299" t="s">
        <v>19</v>
      </c>
      <c r="E21" s="299" t="s">
        <v>19</v>
      </c>
      <c r="F21" s="299" t="s">
        <v>19</v>
      </c>
      <c r="G21" s="304" t="s">
        <v>115</v>
      </c>
      <c r="H21" s="106" t="s">
        <v>303</v>
      </c>
      <c r="I21" s="106" t="s">
        <v>304</v>
      </c>
      <c r="J21" s="106" t="s">
        <v>305</v>
      </c>
      <c r="K21" s="106" t="s">
        <v>306</v>
      </c>
      <c r="L21" s="106" t="s">
        <v>307</v>
      </c>
      <c r="M21" t="str">
        <f>IFERROR(__xludf.DUMMYFUNCTION("JOIN("" + "",H21:L21)"),"NOV_F_U_UP + DEC_F_U_UP + JAN_F_U_UP + FEB_F_U_UP + MAR_F_U_UP")</f>
        <v>NOV_F_U_UP + DEC_F_U_UP + JAN_F_U_UP + FEB_F_U_UP + MAR_F_U_UP</v>
      </c>
    </row>
    <row r="22" ht="19.5" customHeight="1">
      <c r="A22" s="297" t="s">
        <v>116</v>
      </c>
      <c r="B22" s="297" t="s">
        <v>116</v>
      </c>
      <c r="C22" s="299" t="s">
        <v>155</v>
      </c>
      <c r="D22" s="299" t="s">
        <v>20</v>
      </c>
      <c r="E22" s="299" t="s">
        <v>20</v>
      </c>
      <c r="F22" s="299" t="s">
        <v>20</v>
      </c>
      <c r="G22" s="304" t="s">
        <v>116</v>
      </c>
      <c r="H22" s="106" t="s">
        <v>308</v>
      </c>
      <c r="I22" s="106" t="s">
        <v>309</v>
      </c>
      <c r="J22" s="106" t="s">
        <v>310</v>
      </c>
      <c r="K22" s="106" t="s">
        <v>311</v>
      </c>
      <c r="L22" s="106" t="s">
        <v>312</v>
      </c>
      <c r="M22" t="str">
        <f>IFERROR(__xludf.DUMMYFUNCTION("JOIN("" + "",H22:L22)"),"NOV_M_U_UP + DEC_M_U_UP + JAN_M_U_UP + FEB_M_U_UP + MAR_M_U_UP")</f>
        <v>NOV_M_U_UP + DEC_M_U_UP + JAN_M_U_UP + FEB_M_U_UP + MAR_M_U_UP</v>
      </c>
    </row>
    <row r="23" ht="19.5" customHeight="1">
      <c r="A23" s="297" t="s">
        <v>131</v>
      </c>
      <c r="B23" s="297" t="s">
        <v>131</v>
      </c>
      <c r="C23" s="299" t="s">
        <v>21</v>
      </c>
      <c r="D23" s="299" t="s">
        <v>21</v>
      </c>
      <c r="E23" s="299" t="s">
        <v>21</v>
      </c>
      <c r="F23" s="299" t="s">
        <v>21</v>
      </c>
      <c r="G23" s="304" t="s">
        <v>117</v>
      </c>
      <c r="H23" s="106" t="s">
        <v>313</v>
      </c>
      <c r="I23" s="106" t="s">
        <v>314</v>
      </c>
      <c r="J23" s="106" t="s">
        <v>315</v>
      </c>
      <c r="K23" s="106" t="s">
        <v>316</v>
      </c>
      <c r="L23" s="106" t="s">
        <v>317</v>
      </c>
      <c r="M23" t="str">
        <f>IFERROR(__xludf.DUMMYFUNCTION("JOIN("" + "",H23:L23)"),"NOV_JUV + DEC_JUV + JAN_JUV + FEB_JUV + MAR_JUV")</f>
        <v>NOV_JUV + DEC_JUV + JAN_JUV + FEB_JUV + MAR_JUV</v>
      </c>
    </row>
    <row r="24" ht="19.5" customHeight="1">
      <c r="A24" s="297" t="s">
        <v>132</v>
      </c>
      <c r="B24" s="297" t="s">
        <v>132</v>
      </c>
      <c r="C24" s="299" t="s">
        <v>22</v>
      </c>
      <c r="D24" s="299" t="s">
        <v>22</v>
      </c>
      <c r="E24" s="299" t="s">
        <v>72</v>
      </c>
      <c r="F24" s="299" t="s">
        <v>72</v>
      </c>
      <c r="G24" s="304" t="s">
        <v>118</v>
      </c>
      <c r="H24" s="106" t="s">
        <v>318</v>
      </c>
      <c r="I24" s="106" t="s">
        <v>319</v>
      </c>
      <c r="J24" s="106" t="s">
        <v>320</v>
      </c>
      <c r="K24" s="106" t="s">
        <v>321</v>
      </c>
      <c r="L24" s="106" t="s">
        <v>322</v>
      </c>
      <c r="M24" t="str">
        <f>IFERROR(__xludf.DUMMYFUNCTION("JOIN("" + "",H24:L24)"),"NOV_M_ROADKILL + DEC_M_ROADKILL + JAN_M_ROADKILL + FEB_M_ROADKILL + MAR_M_ROADKILL")</f>
        <v>NOV_M_ROADKILL + DEC_M_ROADKILL + JAN_M_ROADKILL + FEB_M_ROADKILL + MAR_M_ROADKILL</v>
      </c>
    </row>
    <row r="25" ht="19.5" customHeight="1">
      <c r="A25" s="297" t="s">
        <v>133</v>
      </c>
      <c r="B25" s="297" t="s">
        <v>133</v>
      </c>
      <c r="C25" s="297" t="s">
        <v>23</v>
      </c>
      <c r="D25" s="299" t="s">
        <v>23</v>
      </c>
      <c r="E25" s="299" t="s">
        <v>23</v>
      </c>
      <c r="F25" s="299" t="s">
        <v>23</v>
      </c>
      <c r="G25" s="304" t="s">
        <v>119</v>
      </c>
      <c r="H25" s="106" t="s">
        <v>323</v>
      </c>
      <c r="I25" s="106" t="s">
        <v>324</v>
      </c>
      <c r="J25" s="106" t="s">
        <v>325</v>
      </c>
      <c r="K25" s="106" t="s">
        <v>326</v>
      </c>
      <c r="L25" s="106" t="s">
        <v>327</v>
      </c>
      <c r="M25" t="str">
        <f>IFERROR(__xludf.DUMMYFUNCTION("JOIN("" + "",H25:L25)"),"NOV_F_ROADKILL + DEC_F_ROADKILL + JAN_F_ROADKILL + FEB_F_ROADKILL + MAR_F_ROADKILL")</f>
        <v>NOV_F_ROADKILL + DEC_F_ROADKILL + JAN_F_ROADKILL + FEB_F_ROADKILL + MAR_F_ROADKILL</v>
      </c>
    </row>
    <row r="26" ht="19.5" customHeight="1">
      <c r="A26" s="297" t="s">
        <v>120</v>
      </c>
      <c r="B26" s="297" t="s">
        <v>120</v>
      </c>
      <c r="C26" s="297" t="s">
        <v>156</v>
      </c>
      <c r="D26" s="299" t="s">
        <v>24</v>
      </c>
      <c r="E26" s="297" t="s">
        <v>73</v>
      </c>
      <c r="F26" s="297" t="s">
        <v>73</v>
      </c>
      <c r="G26" s="304" t="s">
        <v>120</v>
      </c>
      <c r="H26" s="106" t="s">
        <v>328</v>
      </c>
      <c r="I26" s="106" t="s">
        <v>329</v>
      </c>
      <c r="J26" s="106" t="s">
        <v>330</v>
      </c>
      <c r="K26" s="106" t="s">
        <v>331</v>
      </c>
      <c r="L26" s="106" t="s">
        <v>332</v>
      </c>
      <c r="M26" t="str">
        <f>IFERROR(__xludf.DUMMYFUNCTION("JOIN("" + "",H26:L26)"),"NOV_UNK_ROADKILL + DEC_UNK_ROADKILL + JAN_UNK_ROADKILL + FEB_UNK_ROADKILL + MAR_UNK_ROADKILL")</f>
        <v>NOV_UNK_ROADKILL + DEC_UNK_ROADKILL + JAN_UNK_ROADKILL + FEB_UNK_ROADKILL + MAR_UNK_ROADKILL</v>
      </c>
    </row>
    <row r="27" ht="19.5" customHeight="1">
      <c r="A27" s="297" t="s">
        <v>121</v>
      </c>
      <c r="B27" s="297" t="s">
        <v>121</v>
      </c>
      <c r="C27" s="297" t="s">
        <v>74</v>
      </c>
      <c r="D27" s="299" t="s">
        <v>25</v>
      </c>
      <c r="E27" s="297" t="s">
        <v>74</v>
      </c>
      <c r="F27" s="297" t="s">
        <v>74</v>
      </c>
      <c r="G27" s="304" t="s">
        <v>121</v>
      </c>
    </row>
    <row r="28" ht="19.5" customHeight="1">
      <c r="A28" s="297" t="s">
        <v>333</v>
      </c>
      <c r="B28" s="297" t="s">
        <v>333</v>
      </c>
      <c r="C28" s="297" t="s">
        <v>333</v>
      </c>
      <c r="D28" s="297" t="s">
        <v>333</v>
      </c>
      <c r="E28" s="297" t="s">
        <v>333</v>
      </c>
      <c r="F28" s="297" t="s">
        <v>333</v>
      </c>
      <c r="G28" s="304" t="s">
        <v>333</v>
      </c>
    </row>
    <row r="29" ht="19.5" customHeight="1">
      <c r="A29" s="297" t="s">
        <v>29</v>
      </c>
      <c r="B29" s="297" t="s">
        <v>29</v>
      </c>
      <c r="C29" s="297" t="s">
        <v>29</v>
      </c>
      <c r="D29" s="299" t="s">
        <v>29</v>
      </c>
      <c r="E29" s="297" t="s">
        <v>29</v>
      </c>
      <c r="F29" s="297" t="s">
        <v>29</v>
      </c>
      <c r="G29" s="300" t="s">
        <v>29</v>
      </c>
    </row>
    <row r="30" ht="52.5" customHeight="1">
      <c r="A30" s="297"/>
      <c r="B30" s="297"/>
      <c r="C30" s="272"/>
      <c r="D30" s="307"/>
      <c r="E30" s="308"/>
      <c r="F30" s="308"/>
      <c r="G30" s="86"/>
    </row>
    <row r="31" ht="52.5" customHeight="1">
      <c r="A31" s="86"/>
      <c r="B31" s="255"/>
      <c r="C31" s="272"/>
      <c r="D31" s="5"/>
      <c r="E31" s="308"/>
      <c r="F31" s="308"/>
      <c r="G31" s="86"/>
    </row>
    <row r="32" ht="52.5" customHeight="1">
      <c r="A32" s="86"/>
      <c r="B32" s="255"/>
      <c r="C32" s="272"/>
      <c r="D32" s="5"/>
      <c r="E32" s="308"/>
      <c r="F32" s="308"/>
      <c r="G32" s="86"/>
    </row>
    <row r="33" ht="52.5" customHeight="1">
      <c r="A33" s="86"/>
      <c r="B33" s="255"/>
      <c r="C33" s="272"/>
      <c r="D33" s="5"/>
      <c r="E33" s="308"/>
      <c r="F33" s="308"/>
      <c r="G33" s="86"/>
    </row>
    <row r="34" ht="52.5" customHeight="1">
      <c r="A34" s="86"/>
      <c r="B34" s="255"/>
      <c r="C34" s="272"/>
      <c r="D34" s="5"/>
      <c r="E34" s="308"/>
      <c r="F34" s="308"/>
      <c r="G34" s="86"/>
    </row>
    <row r="35" ht="52.5" customHeight="1">
      <c r="A35" s="86"/>
      <c r="B35" s="255"/>
      <c r="C35" s="272"/>
      <c r="D35" s="5"/>
      <c r="E35" s="308"/>
      <c r="F35" s="308"/>
      <c r="G35" s="86"/>
    </row>
    <row r="36" ht="52.5" customHeight="1">
      <c r="A36" s="86"/>
      <c r="B36" s="255"/>
      <c r="C36" s="272"/>
      <c r="D36" s="5"/>
      <c r="E36" s="309"/>
      <c r="F36" s="309"/>
      <c r="G36" s="86"/>
    </row>
    <row r="37" ht="52.5" customHeight="1">
      <c r="A37" s="86"/>
      <c r="B37" s="255"/>
      <c r="C37" s="272"/>
      <c r="D37" s="5"/>
      <c r="E37" s="309"/>
      <c r="F37" s="309"/>
      <c r="G37" s="86"/>
    </row>
    <row r="38" ht="52.5" customHeight="1">
      <c r="A38" s="86"/>
      <c r="B38" s="255"/>
      <c r="C38" s="272"/>
      <c r="D38" s="5"/>
      <c r="E38" s="309"/>
      <c r="F38" s="309"/>
      <c r="G38" s="86"/>
    </row>
    <row r="39" ht="52.5" customHeight="1">
      <c r="A39" s="86"/>
      <c r="B39" s="255"/>
      <c r="C39" s="272"/>
      <c r="D39" s="5"/>
      <c r="E39" s="309"/>
      <c r="F39" s="309"/>
      <c r="G39" s="86"/>
    </row>
    <row r="40" ht="52.5" customHeight="1">
      <c r="A40" s="86"/>
      <c r="B40" s="255"/>
      <c r="C40" s="272"/>
      <c r="D40" s="5"/>
      <c r="E40" s="309"/>
      <c r="F40" s="309"/>
      <c r="G40" s="86"/>
    </row>
    <row r="41" ht="52.5" customHeight="1">
      <c r="A41" s="86"/>
      <c r="B41" s="255"/>
      <c r="C41" s="272"/>
      <c r="D41" s="5"/>
      <c r="E41" s="309"/>
      <c r="F41" s="309"/>
      <c r="G41" s="86"/>
    </row>
    <row r="42" ht="52.5" customHeight="1">
      <c r="A42" s="86"/>
      <c r="B42" s="255"/>
      <c r="C42" s="272"/>
      <c r="D42" s="5"/>
      <c r="E42" s="86"/>
      <c r="F42" s="86"/>
      <c r="G42" s="86"/>
    </row>
    <row r="43" ht="52.5" customHeight="1">
      <c r="A43" s="86"/>
      <c r="B43" s="255"/>
      <c r="C43" s="272"/>
      <c r="D43" s="5"/>
      <c r="E43" s="86"/>
      <c r="F43" s="86"/>
      <c r="G43" s="86"/>
    </row>
    <row r="44" ht="52.5" customHeight="1">
      <c r="A44" s="86"/>
      <c r="B44" s="255"/>
      <c r="C44" s="272"/>
      <c r="D44" s="5"/>
      <c r="E44" s="86"/>
      <c r="F44" s="86"/>
      <c r="G44" s="86"/>
    </row>
    <row r="45" ht="52.5" customHeight="1">
      <c r="A45" s="86"/>
      <c r="B45" s="255"/>
      <c r="C45" s="272"/>
      <c r="D45" s="5"/>
      <c r="E45" s="86"/>
      <c r="F45" s="86"/>
      <c r="G45" s="86"/>
    </row>
    <row r="46" ht="52.5" customHeight="1">
      <c r="A46" s="86"/>
      <c r="B46" s="255"/>
      <c r="C46" s="272"/>
      <c r="D46" s="5"/>
      <c r="E46" s="86"/>
      <c r="F46" s="86"/>
      <c r="G46" s="86"/>
    </row>
    <row r="47" ht="52.5" customHeight="1">
      <c r="A47" s="86"/>
      <c r="B47" s="255"/>
      <c r="C47" s="272"/>
      <c r="D47" s="5"/>
      <c r="E47" s="86"/>
      <c r="F47" s="86"/>
      <c r="G47" s="86"/>
    </row>
    <row r="48" ht="52.5" customHeight="1">
      <c r="A48" s="86"/>
      <c r="B48" s="255"/>
      <c r="C48" s="272"/>
      <c r="D48" s="5"/>
      <c r="E48" s="86"/>
      <c r="F48" s="86"/>
      <c r="G48" s="86"/>
    </row>
    <row r="49" ht="52.5" customHeight="1">
      <c r="A49" s="86"/>
      <c r="B49" s="255"/>
      <c r="C49" s="272"/>
      <c r="D49" s="5"/>
      <c r="E49" s="86"/>
      <c r="F49" s="86"/>
      <c r="G49" s="86"/>
    </row>
    <row r="50" ht="52.5" customHeight="1">
      <c r="A50" s="86"/>
      <c r="B50" s="255"/>
      <c r="C50" s="272"/>
      <c r="D50" s="5"/>
      <c r="E50" s="86"/>
      <c r="F50" s="86"/>
      <c r="G50" s="86"/>
    </row>
    <row r="51" ht="52.5" customHeight="1">
      <c r="A51" s="86"/>
      <c r="B51" s="255"/>
      <c r="C51" s="272"/>
      <c r="D51" s="5"/>
      <c r="E51" s="86"/>
      <c r="F51" s="86"/>
      <c r="G51" s="86"/>
    </row>
    <row r="52" ht="52.5" customHeight="1">
      <c r="A52" s="86"/>
      <c r="B52" s="255"/>
      <c r="C52" s="297" t="s">
        <v>66</v>
      </c>
      <c r="D52" s="5"/>
      <c r="E52" s="86"/>
      <c r="F52" s="86"/>
      <c r="G52" s="86"/>
    </row>
    <row r="53" ht="52.5" customHeight="1">
      <c r="A53" s="86"/>
      <c r="B53" s="255"/>
      <c r="C53" s="297" t="s">
        <v>0</v>
      </c>
      <c r="D53" s="5"/>
      <c r="E53" s="86"/>
      <c r="F53" s="86"/>
      <c r="G53" s="86"/>
    </row>
    <row r="54" ht="52.5" customHeight="1">
      <c r="A54" s="86"/>
      <c r="B54" s="255"/>
      <c r="C54" s="247" t="s">
        <v>1</v>
      </c>
      <c r="D54" s="5"/>
      <c r="E54" s="86"/>
      <c r="F54" s="86"/>
      <c r="G54" s="86"/>
    </row>
    <row r="55" ht="52.5" customHeight="1">
      <c r="A55" s="86"/>
      <c r="B55" s="255"/>
      <c r="C55" s="297" t="s">
        <v>2</v>
      </c>
      <c r="D55" s="5"/>
      <c r="E55" s="86"/>
      <c r="F55" s="86"/>
      <c r="G55" s="86"/>
    </row>
    <row r="56" ht="52.5" customHeight="1">
      <c r="A56" s="86"/>
      <c r="B56" s="255"/>
      <c r="C56" s="297" t="s">
        <v>3</v>
      </c>
      <c r="D56" s="5"/>
      <c r="E56" s="86"/>
      <c r="F56" s="86"/>
      <c r="G56" s="86"/>
    </row>
    <row r="57" ht="52.5" customHeight="1">
      <c r="A57" s="86"/>
      <c r="B57" s="255"/>
      <c r="C57" s="297" t="s">
        <v>270</v>
      </c>
      <c r="D57" s="5"/>
      <c r="E57" s="86"/>
      <c r="F57" s="86"/>
      <c r="G57" s="86"/>
    </row>
    <row r="58" ht="52.5" customHeight="1">
      <c r="A58" s="86"/>
      <c r="B58" s="255"/>
      <c r="C58" s="297" t="s">
        <v>271</v>
      </c>
      <c r="D58" s="5"/>
      <c r="E58" s="86"/>
      <c r="F58" s="86"/>
      <c r="G58" s="86"/>
    </row>
    <row r="59" ht="52.5" customHeight="1">
      <c r="A59" s="86"/>
      <c r="B59" s="255"/>
      <c r="C59" s="297" t="s">
        <v>272</v>
      </c>
      <c r="D59" s="5"/>
      <c r="E59" s="86"/>
      <c r="F59" s="86"/>
      <c r="G59" s="86"/>
    </row>
    <row r="60" ht="52.5" customHeight="1">
      <c r="A60" s="86"/>
      <c r="B60" s="255"/>
      <c r="C60" s="297" t="s">
        <v>8</v>
      </c>
      <c r="D60" s="5"/>
      <c r="E60" s="86"/>
      <c r="F60" s="86"/>
      <c r="G60" s="86"/>
    </row>
    <row r="61" ht="52.5" customHeight="1">
      <c r="A61" s="86"/>
      <c r="B61" s="255"/>
      <c r="C61" s="297" t="s">
        <v>154</v>
      </c>
      <c r="D61" s="5"/>
      <c r="E61" s="86"/>
      <c r="F61" s="86"/>
      <c r="G61" s="86"/>
    </row>
    <row r="62">
      <c r="A62" s="86"/>
      <c r="B62" s="255"/>
      <c r="C62" s="297" t="s">
        <v>10</v>
      </c>
      <c r="D62" s="5"/>
      <c r="E62" s="86"/>
      <c r="G62" s="86"/>
    </row>
    <row r="63">
      <c r="A63" s="86"/>
      <c r="B63" s="255"/>
      <c r="C63" s="297" t="s">
        <v>11</v>
      </c>
      <c r="D63" s="5"/>
      <c r="E63" s="86"/>
      <c r="G63" s="86"/>
    </row>
    <row r="64">
      <c r="A64" s="86"/>
      <c r="B64" s="255"/>
      <c r="C64" s="299" t="s">
        <v>12</v>
      </c>
      <c r="D64" s="298" t="s">
        <v>334</v>
      </c>
      <c r="E64" s="254" t="s">
        <v>66</v>
      </c>
      <c r="G64" s="86"/>
    </row>
    <row r="65">
      <c r="A65" s="86"/>
      <c r="B65" s="255"/>
      <c r="C65" s="299" t="s">
        <v>13</v>
      </c>
      <c r="D65" s="298" t="s">
        <v>0</v>
      </c>
      <c r="E65" s="254" t="s">
        <v>0</v>
      </c>
    </row>
    <row r="66">
      <c r="A66" s="86"/>
      <c r="B66" s="255"/>
      <c r="C66" s="299" t="s">
        <v>14</v>
      </c>
      <c r="D66" s="254" t="s">
        <v>1</v>
      </c>
      <c r="E66" s="254" t="s">
        <v>1</v>
      </c>
    </row>
    <row r="67">
      <c r="A67" s="254" t="s">
        <v>335</v>
      </c>
      <c r="B67" s="254" t="s">
        <v>66</v>
      </c>
      <c r="C67" s="299" t="s">
        <v>70</v>
      </c>
      <c r="D67" s="298" t="s">
        <v>2</v>
      </c>
      <c r="E67" s="254" t="s">
        <v>2</v>
      </c>
    </row>
    <row r="68">
      <c r="A68" s="254" t="s">
        <v>0</v>
      </c>
      <c r="B68" s="254" t="s">
        <v>0</v>
      </c>
      <c r="C68" s="299" t="s">
        <v>112</v>
      </c>
      <c r="D68" s="299" t="s">
        <v>3</v>
      </c>
      <c r="E68" s="297" t="s">
        <v>3</v>
      </c>
    </row>
    <row r="69">
      <c r="A69" s="254" t="s">
        <v>1</v>
      </c>
      <c r="B69" s="254" t="s">
        <v>1</v>
      </c>
      <c r="C69" s="299" t="s">
        <v>113</v>
      </c>
      <c r="D69" s="299" t="s">
        <v>270</v>
      </c>
      <c r="E69" s="297" t="s">
        <v>270</v>
      </c>
    </row>
    <row r="70">
      <c r="A70" s="254" t="s">
        <v>336</v>
      </c>
      <c r="B70" s="254" t="s">
        <v>2</v>
      </c>
      <c r="C70" s="299" t="s">
        <v>337</v>
      </c>
      <c r="D70" s="299" t="s">
        <v>271</v>
      </c>
      <c r="E70" s="297" t="s">
        <v>271</v>
      </c>
    </row>
    <row r="71">
      <c r="A71" s="254" t="s">
        <v>2</v>
      </c>
      <c r="B71" s="297" t="s">
        <v>3</v>
      </c>
      <c r="C71" s="299" t="s">
        <v>338</v>
      </c>
      <c r="D71" s="299" t="s">
        <v>7</v>
      </c>
      <c r="E71" s="297" t="s">
        <v>7</v>
      </c>
    </row>
    <row r="72">
      <c r="A72" s="297" t="s">
        <v>3</v>
      </c>
      <c r="B72" s="310" t="s">
        <v>270</v>
      </c>
      <c r="C72" s="299" t="s">
        <v>155</v>
      </c>
      <c r="D72" s="299" t="s">
        <v>8</v>
      </c>
      <c r="E72" s="297" t="s">
        <v>8</v>
      </c>
    </row>
    <row r="73">
      <c r="A73" s="310" t="s">
        <v>270</v>
      </c>
      <c r="B73" s="310" t="s">
        <v>271</v>
      </c>
      <c r="C73" s="299" t="s">
        <v>21</v>
      </c>
      <c r="D73" s="299" t="s">
        <v>9</v>
      </c>
      <c r="E73" s="297" t="s">
        <v>68</v>
      </c>
    </row>
    <row r="74">
      <c r="A74" s="310" t="s">
        <v>271</v>
      </c>
      <c r="B74" s="254" t="s">
        <v>272</v>
      </c>
      <c r="C74" s="299" t="s">
        <v>22</v>
      </c>
      <c r="D74" s="299" t="s">
        <v>10</v>
      </c>
      <c r="E74" s="297" t="s">
        <v>69</v>
      </c>
    </row>
    <row r="75">
      <c r="A75" s="254" t="s">
        <v>272</v>
      </c>
      <c r="B75" s="297" t="s">
        <v>8</v>
      </c>
      <c r="C75" s="297" t="s">
        <v>23</v>
      </c>
      <c r="D75" s="298" t="s">
        <v>11</v>
      </c>
      <c r="E75" s="254" t="s">
        <v>11</v>
      </c>
    </row>
    <row r="76">
      <c r="A76" s="297" t="s">
        <v>8</v>
      </c>
      <c r="B76" s="297" t="s">
        <v>9</v>
      </c>
      <c r="C76" s="297" t="s">
        <v>339</v>
      </c>
      <c r="D76" s="299" t="s">
        <v>12</v>
      </c>
      <c r="E76" s="299" t="s">
        <v>12</v>
      </c>
    </row>
    <row r="77">
      <c r="A77" s="297" t="s">
        <v>9</v>
      </c>
      <c r="B77" s="297" t="s">
        <v>10</v>
      </c>
      <c r="C77" s="297" t="s">
        <v>340</v>
      </c>
      <c r="D77" s="299" t="s">
        <v>13</v>
      </c>
      <c r="E77" s="299" t="s">
        <v>13</v>
      </c>
    </row>
    <row r="78">
      <c r="A78" s="297" t="s">
        <v>10</v>
      </c>
      <c r="B78" s="254" t="s">
        <v>11</v>
      </c>
      <c r="C78" s="297" t="s">
        <v>341</v>
      </c>
      <c r="D78" s="299" t="s">
        <v>14</v>
      </c>
      <c r="E78" s="299" t="s">
        <v>14</v>
      </c>
    </row>
    <row r="79">
      <c r="A79" s="254" t="s">
        <v>11</v>
      </c>
      <c r="B79" s="297" t="s">
        <v>12</v>
      </c>
      <c r="C79" s="297" t="s">
        <v>29</v>
      </c>
      <c r="D79" s="299" t="s">
        <v>70</v>
      </c>
      <c r="E79" s="299" t="s">
        <v>70</v>
      </c>
    </row>
    <row r="80">
      <c r="A80" s="297" t="s">
        <v>12</v>
      </c>
      <c r="B80" s="297" t="s">
        <v>13</v>
      </c>
      <c r="C80" s="272"/>
      <c r="D80" s="299" t="s">
        <v>112</v>
      </c>
      <c r="E80" s="299" t="s">
        <v>112</v>
      </c>
    </row>
    <row r="81">
      <c r="A81" s="297" t="s">
        <v>13</v>
      </c>
      <c r="B81" s="297" t="s">
        <v>110</v>
      </c>
      <c r="C81" s="272"/>
      <c r="D81" s="299" t="s">
        <v>113</v>
      </c>
      <c r="E81" s="299" t="s">
        <v>113</v>
      </c>
    </row>
    <row r="82">
      <c r="A82" s="297" t="s">
        <v>110</v>
      </c>
      <c r="B82" s="297" t="s">
        <v>111</v>
      </c>
      <c r="C82" s="272"/>
      <c r="D82" s="299" t="s">
        <v>337</v>
      </c>
      <c r="E82" s="299" t="s">
        <v>337</v>
      </c>
    </row>
    <row r="83">
      <c r="A83" s="297" t="s">
        <v>111</v>
      </c>
      <c r="B83" s="297" t="s">
        <v>129</v>
      </c>
      <c r="C83" s="272"/>
      <c r="D83" s="299" t="s">
        <v>338</v>
      </c>
      <c r="E83" s="299" t="s">
        <v>338</v>
      </c>
    </row>
    <row r="84">
      <c r="A84" s="297" t="s">
        <v>129</v>
      </c>
      <c r="B84" s="297" t="s">
        <v>130</v>
      </c>
      <c r="C84" s="272"/>
      <c r="D84" s="299" t="s">
        <v>155</v>
      </c>
      <c r="E84" s="299" t="s">
        <v>155</v>
      </c>
    </row>
    <row r="85">
      <c r="A85" s="297" t="s">
        <v>130</v>
      </c>
      <c r="B85" s="297" t="s">
        <v>114</v>
      </c>
      <c r="C85" s="272"/>
      <c r="D85" s="299" t="s">
        <v>21</v>
      </c>
      <c r="E85" s="299" t="s">
        <v>21</v>
      </c>
    </row>
    <row r="86">
      <c r="A86" s="297" t="s">
        <v>114</v>
      </c>
      <c r="B86" s="297" t="s">
        <v>115</v>
      </c>
      <c r="C86" s="272"/>
      <c r="D86" s="299" t="s">
        <v>22</v>
      </c>
      <c r="E86" s="299" t="s">
        <v>72</v>
      </c>
    </row>
    <row r="87">
      <c r="A87" s="297" t="s">
        <v>115</v>
      </c>
      <c r="B87" s="297" t="s">
        <v>116</v>
      </c>
      <c r="C87" s="272"/>
      <c r="D87" s="299" t="s">
        <v>23</v>
      </c>
      <c r="E87" s="299" t="s">
        <v>23</v>
      </c>
    </row>
    <row r="88">
      <c r="A88" s="297" t="s">
        <v>116</v>
      </c>
      <c r="B88" s="297" t="s">
        <v>131</v>
      </c>
      <c r="C88" s="272"/>
      <c r="D88" s="299" t="s">
        <v>120</v>
      </c>
      <c r="E88" s="297" t="s">
        <v>339</v>
      </c>
    </row>
    <row r="89">
      <c r="A89" s="297" t="s">
        <v>131</v>
      </c>
      <c r="B89" s="297" t="s">
        <v>132</v>
      </c>
      <c r="C89" s="272"/>
      <c r="D89" s="299" t="s">
        <v>121</v>
      </c>
      <c r="E89" s="297" t="s">
        <v>340</v>
      </c>
    </row>
    <row r="90">
      <c r="A90" s="297" t="s">
        <v>132</v>
      </c>
      <c r="B90" s="297" t="s">
        <v>120</v>
      </c>
      <c r="C90" s="272"/>
      <c r="D90" s="299" t="s">
        <v>333</v>
      </c>
      <c r="E90" s="299" t="s">
        <v>333</v>
      </c>
    </row>
    <row r="91">
      <c r="A91" s="297" t="s">
        <v>120</v>
      </c>
      <c r="B91" s="297" t="s">
        <v>121</v>
      </c>
      <c r="C91" s="272"/>
      <c r="D91" s="298" t="s">
        <v>29</v>
      </c>
      <c r="E91" s="297" t="s">
        <v>29</v>
      </c>
    </row>
    <row r="92">
      <c r="A92" s="297" t="s">
        <v>121</v>
      </c>
      <c r="B92" s="254" t="s">
        <v>29</v>
      </c>
      <c r="C92" s="272"/>
      <c r="D92" s="5"/>
      <c r="E92" s="86"/>
    </row>
    <row r="93">
      <c r="A93" s="254" t="s">
        <v>29</v>
      </c>
      <c r="B93" s="254"/>
      <c r="C93" s="272"/>
      <c r="D93" s="5"/>
      <c r="E93" s="86"/>
    </row>
    <row r="94">
      <c r="A94" s="254" t="s">
        <v>342</v>
      </c>
      <c r="B94" s="255"/>
      <c r="C94" s="272"/>
      <c r="D94" s="5"/>
      <c r="E94" s="86"/>
    </row>
    <row r="95">
      <c r="A95" s="86"/>
      <c r="B95" s="255"/>
      <c r="C95" s="272"/>
      <c r="D95" s="5"/>
      <c r="E95" s="86"/>
    </row>
    <row r="96">
      <c r="A96" s="86"/>
      <c r="B96" s="255"/>
      <c r="C96" s="272"/>
      <c r="D96" s="5"/>
      <c r="E96" s="86"/>
    </row>
    <row r="97">
      <c r="A97" s="86"/>
      <c r="B97" s="255"/>
      <c r="C97" s="272"/>
      <c r="D97" s="5"/>
      <c r="E97" s="86"/>
    </row>
    <row r="98">
      <c r="A98" s="86"/>
      <c r="B98" s="255"/>
      <c r="C98" s="272"/>
      <c r="D98" s="5"/>
      <c r="E98" s="86"/>
    </row>
    <row r="99">
      <c r="A99" s="86"/>
      <c r="B99" s="255"/>
      <c r="C99" s="272"/>
      <c r="D99" s="5"/>
      <c r="E99" s="86"/>
    </row>
    <row r="100">
      <c r="A100" s="86"/>
      <c r="B100" s="255"/>
      <c r="C100" s="297" t="s">
        <v>66</v>
      </c>
      <c r="D100" s="5"/>
      <c r="E100" s="86"/>
    </row>
    <row r="101">
      <c r="A101" s="86"/>
      <c r="B101" s="255"/>
      <c r="C101" s="297" t="s">
        <v>0</v>
      </c>
      <c r="D101" s="5"/>
      <c r="E101" s="86"/>
    </row>
    <row r="102">
      <c r="A102" s="86"/>
      <c r="B102" s="255"/>
      <c r="C102" s="247" t="s">
        <v>1</v>
      </c>
      <c r="D102" s="5"/>
      <c r="E102" s="86"/>
    </row>
    <row r="103">
      <c r="A103" s="86"/>
      <c r="B103" s="255"/>
      <c r="C103" s="297" t="s">
        <v>2</v>
      </c>
      <c r="D103" s="5"/>
      <c r="E103" s="86"/>
    </row>
    <row r="104">
      <c r="A104" s="86"/>
      <c r="B104" s="255"/>
      <c r="C104" s="297" t="s">
        <v>3</v>
      </c>
      <c r="D104" s="5"/>
      <c r="E104" s="86"/>
    </row>
    <row r="105">
      <c r="A105" s="86"/>
      <c r="B105" s="255"/>
      <c r="C105" s="297" t="s">
        <v>270</v>
      </c>
      <c r="D105" s="5"/>
      <c r="E105" s="86"/>
    </row>
    <row r="106">
      <c r="A106" s="86"/>
      <c r="B106" s="255"/>
      <c r="C106" s="297" t="s">
        <v>271</v>
      </c>
      <c r="D106" s="5"/>
      <c r="E106" s="86"/>
    </row>
    <row r="107">
      <c r="A107" s="86"/>
      <c r="B107" s="255"/>
      <c r="C107" s="297" t="s">
        <v>272</v>
      </c>
      <c r="D107" s="5"/>
      <c r="E107" s="86"/>
    </row>
    <row r="108">
      <c r="A108" s="86"/>
      <c r="B108" s="255"/>
      <c r="C108" s="297" t="s">
        <v>8</v>
      </c>
      <c r="D108" s="5"/>
      <c r="E108" s="86"/>
    </row>
    <row r="109">
      <c r="A109" s="86"/>
      <c r="B109" s="255"/>
      <c r="C109" s="297" t="s">
        <v>154</v>
      </c>
      <c r="D109" s="5"/>
      <c r="E109" s="86"/>
    </row>
    <row r="110">
      <c r="A110" s="86"/>
      <c r="B110" s="255"/>
      <c r="C110" s="297" t="s">
        <v>10</v>
      </c>
      <c r="D110" s="5"/>
      <c r="E110" s="86"/>
    </row>
    <row r="111">
      <c r="A111" s="86"/>
      <c r="B111" s="255"/>
      <c r="C111" s="297" t="s">
        <v>11</v>
      </c>
      <c r="D111" s="5"/>
      <c r="E111" s="86"/>
    </row>
    <row r="112">
      <c r="A112" s="86"/>
      <c r="B112" s="255"/>
      <c r="C112" s="299" t="s">
        <v>12</v>
      </c>
      <c r="D112" s="5"/>
      <c r="E112" s="86"/>
    </row>
    <row r="113">
      <c r="A113" s="86"/>
      <c r="B113" s="255"/>
      <c r="C113" s="299" t="s">
        <v>13</v>
      </c>
      <c r="D113" s="5"/>
      <c r="E113" s="86"/>
    </row>
    <row r="114">
      <c r="A114" s="86"/>
      <c r="B114" s="255"/>
      <c r="C114" s="299" t="s">
        <v>14</v>
      </c>
      <c r="D114" s="5"/>
      <c r="E114" s="86"/>
    </row>
    <row r="115">
      <c r="A115" s="86"/>
      <c r="B115" s="255"/>
      <c r="C115" s="299" t="s">
        <v>70</v>
      </c>
      <c r="D115" s="5"/>
      <c r="E115" s="86"/>
    </row>
    <row r="116">
      <c r="A116" s="86"/>
      <c r="B116" s="255"/>
      <c r="C116" s="299" t="s">
        <v>112</v>
      </c>
      <c r="D116" s="5"/>
      <c r="E116" s="86"/>
    </row>
    <row r="117">
      <c r="A117" s="86"/>
      <c r="B117" s="255"/>
      <c r="C117" s="299" t="s">
        <v>113</v>
      </c>
      <c r="D117" s="5"/>
      <c r="E117" s="86"/>
    </row>
    <row r="118">
      <c r="A118" s="86"/>
      <c r="B118" s="255"/>
      <c r="C118" s="299" t="s">
        <v>337</v>
      </c>
      <c r="D118" s="5"/>
      <c r="E118" s="86"/>
    </row>
    <row r="119">
      <c r="A119" s="86"/>
      <c r="B119" s="255"/>
      <c r="C119" s="299" t="s">
        <v>338</v>
      </c>
      <c r="D119" s="5"/>
      <c r="E119" s="86"/>
    </row>
    <row r="120">
      <c r="A120" s="86"/>
      <c r="B120" s="255"/>
      <c r="C120" s="299" t="s">
        <v>155</v>
      </c>
      <c r="D120" s="5"/>
      <c r="E120" s="86"/>
    </row>
    <row r="121">
      <c r="A121" s="86"/>
      <c r="B121" s="255"/>
      <c r="C121" s="299" t="s">
        <v>21</v>
      </c>
      <c r="D121" s="5"/>
      <c r="E121" s="86"/>
    </row>
    <row r="122">
      <c r="A122" s="86"/>
      <c r="B122" s="255"/>
      <c r="C122" s="299" t="s">
        <v>22</v>
      </c>
      <c r="D122" s="5"/>
      <c r="E122" s="86"/>
    </row>
    <row r="123">
      <c r="A123" s="86"/>
      <c r="B123" s="255"/>
      <c r="C123" s="297" t="s">
        <v>23</v>
      </c>
      <c r="D123" s="5"/>
      <c r="E123" s="86"/>
    </row>
    <row r="124">
      <c r="A124" s="86"/>
      <c r="B124" s="255"/>
      <c r="C124" s="297" t="s">
        <v>339</v>
      </c>
      <c r="D124" s="298" t="s">
        <v>334</v>
      </c>
      <c r="E124" s="254" t="s">
        <v>66</v>
      </c>
    </row>
    <row r="125">
      <c r="A125" s="86"/>
      <c r="B125" s="255"/>
      <c r="C125" s="297" t="s">
        <v>340</v>
      </c>
      <c r="D125" s="298" t="s">
        <v>0</v>
      </c>
      <c r="E125" s="254" t="s">
        <v>0</v>
      </c>
    </row>
    <row r="126">
      <c r="A126" s="86"/>
      <c r="B126" s="255"/>
      <c r="C126" s="297" t="s">
        <v>341</v>
      </c>
      <c r="D126" s="254" t="s">
        <v>1</v>
      </c>
      <c r="E126" s="254" t="s">
        <v>1</v>
      </c>
    </row>
    <row r="127">
      <c r="A127" s="86"/>
      <c r="B127" s="255"/>
      <c r="C127" s="297" t="s">
        <v>29</v>
      </c>
      <c r="D127" s="298" t="s">
        <v>2</v>
      </c>
      <c r="E127" s="254" t="s">
        <v>2</v>
      </c>
    </row>
    <row r="128">
      <c r="A128" s="86"/>
      <c r="B128" s="255"/>
      <c r="C128" s="272"/>
      <c r="D128" s="299" t="s">
        <v>3</v>
      </c>
      <c r="E128" s="297" t="s">
        <v>3</v>
      </c>
    </row>
    <row r="129">
      <c r="A129" s="86"/>
      <c r="B129" s="254" t="s">
        <v>66</v>
      </c>
      <c r="C129" s="272"/>
      <c r="D129" s="299" t="s">
        <v>270</v>
      </c>
      <c r="E129" s="297" t="s">
        <v>270</v>
      </c>
    </row>
    <row r="130">
      <c r="A130" s="254" t="s">
        <v>335</v>
      </c>
      <c r="B130" s="254" t="s">
        <v>0</v>
      </c>
      <c r="C130" s="272"/>
      <c r="D130" s="299" t="s">
        <v>271</v>
      </c>
      <c r="E130" s="297" t="s">
        <v>271</v>
      </c>
    </row>
    <row r="131">
      <c r="A131" s="254" t="s">
        <v>0</v>
      </c>
      <c r="B131" s="254" t="s">
        <v>1</v>
      </c>
      <c r="C131" s="272"/>
      <c r="D131" s="299" t="s">
        <v>7</v>
      </c>
      <c r="E131" s="297" t="s">
        <v>7</v>
      </c>
    </row>
    <row r="132">
      <c r="A132" s="254" t="s">
        <v>1</v>
      </c>
      <c r="B132" s="254" t="s">
        <v>2</v>
      </c>
      <c r="C132" s="272"/>
      <c r="D132" s="299" t="s">
        <v>8</v>
      </c>
      <c r="E132" s="297" t="s">
        <v>8</v>
      </c>
    </row>
    <row r="133">
      <c r="A133" s="254" t="s">
        <v>336</v>
      </c>
      <c r="B133" s="297" t="s">
        <v>3</v>
      </c>
      <c r="C133" s="272"/>
      <c r="D133" s="299" t="s">
        <v>9</v>
      </c>
      <c r="E133" s="297" t="s">
        <v>68</v>
      </c>
    </row>
    <row r="134">
      <c r="A134" s="254" t="s">
        <v>2</v>
      </c>
      <c r="B134" s="310" t="s">
        <v>270</v>
      </c>
      <c r="C134" s="272"/>
      <c r="D134" s="299" t="s">
        <v>10</v>
      </c>
      <c r="E134" s="297" t="s">
        <v>69</v>
      </c>
    </row>
    <row r="135">
      <c r="A135" s="297" t="s">
        <v>3</v>
      </c>
      <c r="B135" s="310" t="s">
        <v>271</v>
      </c>
      <c r="C135" s="272"/>
      <c r="D135" s="298" t="s">
        <v>11</v>
      </c>
      <c r="E135" s="254" t="s">
        <v>11</v>
      </c>
    </row>
    <row r="136">
      <c r="A136" s="310" t="s">
        <v>270</v>
      </c>
      <c r="B136" s="254" t="s">
        <v>272</v>
      </c>
      <c r="C136" s="272"/>
      <c r="D136" s="299" t="s">
        <v>12</v>
      </c>
      <c r="E136" s="299" t="s">
        <v>12</v>
      </c>
    </row>
    <row r="137">
      <c r="A137" s="310" t="s">
        <v>271</v>
      </c>
      <c r="B137" s="297" t="s">
        <v>8</v>
      </c>
      <c r="C137" s="272"/>
      <c r="D137" s="299" t="s">
        <v>13</v>
      </c>
      <c r="E137" s="299" t="s">
        <v>13</v>
      </c>
    </row>
    <row r="138">
      <c r="A138" s="254" t="s">
        <v>272</v>
      </c>
      <c r="B138" s="297" t="s">
        <v>9</v>
      </c>
      <c r="C138" s="272"/>
      <c r="D138" s="299" t="s">
        <v>14</v>
      </c>
      <c r="E138" s="299" t="s">
        <v>14</v>
      </c>
    </row>
    <row r="139">
      <c r="A139" s="297" t="s">
        <v>8</v>
      </c>
      <c r="B139" s="297" t="s">
        <v>10</v>
      </c>
      <c r="C139" s="272"/>
      <c r="D139" s="299" t="s">
        <v>70</v>
      </c>
      <c r="E139" s="299" t="s">
        <v>70</v>
      </c>
    </row>
    <row r="140">
      <c r="A140" s="297" t="s">
        <v>9</v>
      </c>
      <c r="B140" s="254" t="s">
        <v>11</v>
      </c>
      <c r="C140" s="272"/>
      <c r="D140" s="299" t="s">
        <v>112</v>
      </c>
      <c r="E140" s="299" t="s">
        <v>112</v>
      </c>
    </row>
    <row r="141">
      <c r="A141" s="297" t="s">
        <v>10</v>
      </c>
      <c r="B141" s="297" t="s">
        <v>12</v>
      </c>
      <c r="C141" s="272"/>
      <c r="D141" s="299" t="s">
        <v>113</v>
      </c>
      <c r="E141" s="299" t="s">
        <v>113</v>
      </c>
    </row>
    <row r="142">
      <c r="A142" s="254" t="s">
        <v>11</v>
      </c>
      <c r="B142" s="297" t="s">
        <v>13</v>
      </c>
      <c r="C142" s="272"/>
      <c r="D142" s="299" t="s">
        <v>337</v>
      </c>
      <c r="E142" s="299" t="s">
        <v>337</v>
      </c>
    </row>
    <row r="143">
      <c r="A143" s="297" t="s">
        <v>12</v>
      </c>
      <c r="B143" s="297" t="s">
        <v>110</v>
      </c>
      <c r="C143" s="272"/>
      <c r="D143" s="299" t="s">
        <v>338</v>
      </c>
      <c r="E143" s="299" t="s">
        <v>338</v>
      </c>
    </row>
    <row r="144">
      <c r="A144" s="297" t="s">
        <v>13</v>
      </c>
      <c r="B144" s="297" t="s">
        <v>111</v>
      </c>
      <c r="C144" s="272"/>
      <c r="D144" s="299" t="s">
        <v>155</v>
      </c>
      <c r="E144" s="299" t="s">
        <v>155</v>
      </c>
    </row>
    <row r="145">
      <c r="A145" s="297" t="s">
        <v>110</v>
      </c>
      <c r="B145" s="297" t="s">
        <v>129</v>
      </c>
      <c r="C145" s="272"/>
      <c r="D145" s="299" t="s">
        <v>21</v>
      </c>
      <c r="E145" s="299" t="s">
        <v>21</v>
      </c>
    </row>
    <row r="146">
      <c r="A146" s="297" t="s">
        <v>111</v>
      </c>
      <c r="B146" s="297" t="s">
        <v>130</v>
      </c>
      <c r="C146" s="272"/>
      <c r="D146" s="299" t="s">
        <v>22</v>
      </c>
      <c r="E146" s="299" t="s">
        <v>72</v>
      </c>
    </row>
    <row r="147">
      <c r="A147" s="297" t="s">
        <v>129</v>
      </c>
      <c r="B147" s="297" t="s">
        <v>114</v>
      </c>
      <c r="C147" s="272"/>
      <c r="D147" s="299" t="s">
        <v>23</v>
      </c>
      <c r="E147" s="299" t="s">
        <v>23</v>
      </c>
    </row>
    <row r="148">
      <c r="A148" s="297" t="s">
        <v>130</v>
      </c>
      <c r="B148" s="297" t="s">
        <v>115</v>
      </c>
      <c r="C148" s="297" t="s">
        <v>66</v>
      </c>
      <c r="D148" s="299" t="s">
        <v>120</v>
      </c>
      <c r="E148" s="297" t="s">
        <v>339</v>
      </c>
    </row>
    <row r="149">
      <c r="A149" s="297" t="s">
        <v>114</v>
      </c>
      <c r="B149" s="297" t="s">
        <v>116</v>
      </c>
      <c r="C149" s="297" t="s">
        <v>0</v>
      </c>
      <c r="D149" s="299" t="s">
        <v>121</v>
      </c>
      <c r="E149" s="297" t="s">
        <v>340</v>
      </c>
    </row>
    <row r="150">
      <c r="A150" s="297" t="s">
        <v>115</v>
      </c>
      <c r="B150" s="297" t="s">
        <v>131</v>
      </c>
      <c r="C150" s="247" t="s">
        <v>1</v>
      </c>
      <c r="D150" s="299" t="s">
        <v>333</v>
      </c>
      <c r="E150" s="299" t="s">
        <v>333</v>
      </c>
    </row>
    <row r="151">
      <c r="A151" s="297" t="s">
        <v>116</v>
      </c>
      <c r="B151" s="297" t="s">
        <v>132</v>
      </c>
      <c r="C151" s="297" t="s">
        <v>2</v>
      </c>
      <c r="D151" s="298" t="s">
        <v>29</v>
      </c>
      <c r="E151" s="297" t="s">
        <v>29</v>
      </c>
    </row>
    <row r="152">
      <c r="A152" s="297" t="s">
        <v>131</v>
      </c>
      <c r="B152" s="297" t="s">
        <v>120</v>
      </c>
      <c r="C152" s="297" t="s">
        <v>3</v>
      </c>
      <c r="D152" s="5"/>
      <c r="E152" s="86"/>
    </row>
    <row r="153">
      <c r="A153" s="297" t="s">
        <v>132</v>
      </c>
      <c r="B153" s="297" t="s">
        <v>121</v>
      </c>
      <c r="C153" s="297" t="s">
        <v>270</v>
      </c>
      <c r="D153" s="5"/>
      <c r="E153" s="86"/>
    </row>
    <row r="154">
      <c r="A154" s="297" t="s">
        <v>120</v>
      </c>
      <c r="B154" s="254" t="s">
        <v>29</v>
      </c>
      <c r="C154" s="297" t="s">
        <v>271</v>
      </c>
      <c r="D154" s="5"/>
      <c r="E154" s="86"/>
    </row>
    <row r="155">
      <c r="A155" s="297" t="s">
        <v>121</v>
      </c>
      <c r="B155" s="254"/>
      <c r="C155" s="297" t="s">
        <v>272</v>
      </c>
      <c r="D155" s="5"/>
      <c r="E155" s="86"/>
    </row>
    <row r="156">
      <c r="A156" s="254" t="s">
        <v>29</v>
      </c>
      <c r="B156" s="255"/>
      <c r="C156" s="297" t="s">
        <v>8</v>
      </c>
      <c r="D156" s="5"/>
      <c r="E156" s="86"/>
    </row>
    <row r="157">
      <c r="A157" s="254" t="s">
        <v>342</v>
      </c>
      <c r="B157" s="255"/>
      <c r="C157" s="297" t="s">
        <v>154</v>
      </c>
      <c r="D157" s="5"/>
      <c r="E157" s="86"/>
    </row>
    <row r="158">
      <c r="A158" s="86"/>
      <c r="B158" s="255"/>
      <c r="C158" s="297" t="s">
        <v>10</v>
      </c>
      <c r="D158" s="5"/>
      <c r="E158" s="86"/>
    </row>
    <row r="159">
      <c r="A159" s="86"/>
      <c r="B159" s="255"/>
      <c r="C159" s="297" t="s">
        <v>11</v>
      </c>
      <c r="D159" s="5"/>
      <c r="E159" s="86"/>
    </row>
    <row r="160">
      <c r="A160" s="86"/>
      <c r="B160" s="255"/>
      <c r="C160" s="299" t="s">
        <v>12</v>
      </c>
      <c r="D160" s="5"/>
      <c r="E160" s="86"/>
    </row>
    <row r="161">
      <c r="A161" s="86"/>
      <c r="B161" s="255"/>
      <c r="C161" s="299" t="s">
        <v>13</v>
      </c>
      <c r="D161" s="5"/>
      <c r="E161" s="86"/>
    </row>
    <row r="162">
      <c r="A162" s="86"/>
      <c r="B162" s="255"/>
      <c r="C162" s="299" t="s">
        <v>14</v>
      </c>
      <c r="D162" s="5"/>
      <c r="E162" s="86"/>
    </row>
    <row r="163">
      <c r="A163" s="86"/>
      <c r="B163" s="255"/>
      <c r="C163" s="299" t="s">
        <v>70</v>
      </c>
      <c r="D163" s="5"/>
      <c r="E163" s="86"/>
    </row>
    <row r="164">
      <c r="A164" s="86"/>
      <c r="B164" s="255"/>
      <c r="C164" s="299" t="s">
        <v>112</v>
      </c>
      <c r="D164" s="5"/>
      <c r="E164" s="86"/>
    </row>
    <row r="165">
      <c r="A165" s="86"/>
      <c r="B165" s="255"/>
      <c r="C165" s="299" t="s">
        <v>113</v>
      </c>
      <c r="D165" s="5"/>
      <c r="E165" s="86"/>
    </row>
    <row r="166">
      <c r="A166" s="86"/>
      <c r="B166" s="255"/>
      <c r="C166" s="299" t="s">
        <v>337</v>
      </c>
      <c r="D166" s="5"/>
      <c r="E166" s="86"/>
    </row>
    <row r="167">
      <c r="A167" s="86"/>
      <c r="B167" s="255"/>
      <c r="C167" s="299" t="s">
        <v>338</v>
      </c>
      <c r="D167" s="5"/>
      <c r="E167" s="86"/>
    </row>
    <row r="168">
      <c r="A168" s="86"/>
      <c r="B168" s="255"/>
      <c r="C168" s="299" t="s">
        <v>155</v>
      </c>
      <c r="D168" s="5"/>
      <c r="E168" s="86"/>
    </row>
    <row r="169">
      <c r="A169" s="86"/>
      <c r="B169" s="255"/>
      <c r="C169" s="299" t="s">
        <v>21</v>
      </c>
      <c r="D169" s="5"/>
      <c r="E169" s="86"/>
    </row>
    <row r="170">
      <c r="A170" s="86"/>
      <c r="B170" s="255"/>
      <c r="C170" s="299" t="s">
        <v>22</v>
      </c>
      <c r="D170" s="5"/>
      <c r="E170" s="86"/>
    </row>
    <row r="171">
      <c r="A171" s="86"/>
      <c r="B171" s="255"/>
      <c r="C171" s="297" t="s">
        <v>23</v>
      </c>
      <c r="D171" s="5"/>
      <c r="E171" s="86"/>
    </row>
    <row r="172">
      <c r="A172" s="86"/>
      <c r="B172" s="255"/>
      <c r="C172" s="297" t="s">
        <v>339</v>
      </c>
      <c r="D172" s="5"/>
      <c r="E172" s="86"/>
    </row>
    <row r="173">
      <c r="A173" s="86"/>
      <c r="B173" s="255"/>
      <c r="C173" s="297" t="s">
        <v>340</v>
      </c>
      <c r="D173" s="5"/>
      <c r="E173" s="86"/>
    </row>
    <row r="174">
      <c r="A174" s="86"/>
      <c r="B174" s="255"/>
      <c r="C174" s="297" t="s">
        <v>341</v>
      </c>
      <c r="D174" s="5"/>
      <c r="E174" s="86"/>
    </row>
    <row r="175">
      <c r="A175" s="86"/>
      <c r="B175" s="255"/>
      <c r="C175" s="297" t="s">
        <v>29</v>
      </c>
      <c r="D175" s="5"/>
      <c r="E175" s="86"/>
    </row>
    <row r="176">
      <c r="A176" s="86"/>
      <c r="B176" s="255"/>
      <c r="C176" s="272"/>
      <c r="D176" s="5"/>
      <c r="E176" s="86"/>
    </row>
    <row r="177">
      <c r="A177" s="86"/>
      <c r="B177" s="255"/>
      <c r="C177" s="272"/>
      <c r="D177" s="5"/>
      <c r="E177" s="86"/>
    </row>
    <row r="178">
      <c r="A178" s="86"/>
      <c r="B178" s="255"/>
      <c r="C178" s="272"/>
      <c r="D178" s="5"/>
      <c r="E178" s="86"/>
    </row>
    <row r="179">
      <c r="A179" s="86"/>
      <c r="B179" s="255"/>
      <c r="C179" s="272"/>
      <c r="D179" s="5"/>
      <c r="E179" s="86"/>
    </row>
    <row r="180">
      <c r="A180" s="86"/>
      <c r="B180" s="255"/>
      <c r="C180" s="272"/>
      <c r="D180" s="5"/>
      <c r="E180" s="86"/>
    </row>
    <row r="181">
      <c r="A181" s="86"/>
      <c r="B181" s="255"/>
      <c r="C181" s="272"/>
      <c r="D181" s="5"/>
      <c r="E181" s="86"/>
    </row>
    <row r="182">
      <c r="A182" s="86"/>
      <c r="B182" s="255"/>
      <c r="C182" s="272"/>
      <c r="D182" s="5"/>
      <c r="E182" s="86"/>
    </row>
    <row r="183">
      <c r="A183" s="86"/>
      <c r="B183" s="255"/>
      <c r="C183" s="272"/>
      <c r="D183" s="5"/>
      <c r="E183" s="86"/>
    </row>
    <row r="184">
      <c r="A184" s="86"/>
      <c r="B184" s="255"/>
      <c r="C184" s="272"/>
      <c r="D184" s="298" t="s">
        <v>334</v>
      </c>
      <c r="E184" s="254" t="s">
        <v>66</v>
      </c>
    </row>
    <row r="185">
      <c r="A185" s="86"/>
      <c r="B185" s="255"/>
      <c r="C185" s="272"/>
      <c r="D185" s="298" t="s">
        <v>0</v>
      </c>
      <c r="E185" s="254" t="s">
        <v>0</v>
      </c>
    </row>
    <row r="186">
      <c r="A186" s="86"/>
      <c r="B186" s="255"/>
      <c r="C186" s="272"/>
      <c r="D186" s="254" t="s">
        <v>1</v>
      </c>
      <c r="E186" s="254" t="s">
        <v>1</v>
      </c>
    </row>
    <row r="187">
      <c r="A187" s="86"/>
      <c r="B187" s="255"/>
      <c r="C187" s="272"/>
      <c r="D187" s="298" t="s">
        <v>2</v>
      </c>
      <c r="E187" s="254" t="s">
        <v>2</v>
      </c>
    </row>
    <row r="188">
      <c r="A188" s="86"/>
      <c r="B188" s="255"/>
      <c r="C188" s="272"/>
      <c r="D188" s="299" t="s">
        <v>3</v>
      </c>
      <c r="E188" s="297" t="s">
        <v>3</v>
      </c>
    </row>
    <row r="189">
      <c r="A189" s="86"/>
      <c r="B189" s="255"/>
      <c r="C189" s="272"/>
      <c r="D189" s="299" t="s">
        <v>270</v>
      </c>
      <c r="E189" s="297" t="s">
        <v>270</v>
      </c>
    </row>
    <row r="190">
      <c r="A190" s="86"/>
      <c r="B190" s="255"/>
      <c r="C190" s="272"/>
      <c r="D190" s="299" t="s">
        <v>271</v>
      </c>
      <c r="E190" s="297" t="s">
        <v>271</v>
      </c>
    </row>
    <row r="191">
      <c r="A191" s="86"/>
      <c r="B191" s="254" t="s">
        <v>66</v>
      </c>
      <c r="C191" s="272"/>
      <c r="D191" s="299" t="s">
        <v>7</v>
      </c>
      <c r="E191" s="297" t="s">
        <v>7</v>
      </c>
    </row>
    <row r="192">
      <c r="A192" s="86"/>
      <c r="B192" s="254" t="s">
        <v>0</v>
      </c>
      <c r="C192" s="272"/>
      <c r="D192" s="299" t="s">
        <v>8</v>
      </c>
      <c r="E192" s="297" t="s">
        <v>8</v>
      </c>
    </row>
    <row r="193">
      <c r="A193" s="254" t="s">
        <v>335</v>
      </c>
      <c r="B193" s="254" t="s">
        <v>1</v>
      </c>
      <c r="C193" s="272"/>
      <c r="D193" s="299" t="s">
        <v>9</v>
      </c>
      <c r="E193" s="297" t="s">
        <v>68</v>
      </c>
    </row>
    <row r="194">
      <c r="A194" s="254" t="s">
        <v>0</v>
      </c>
      <c r="B194" s="254" t="s">
        <v>2</v>
      </c>
      <c r="C194" s="272"/>
      <c r="D194" s="299" t="s">
        <v>10</v>
      </c>
      <c r="E194" s="297" t="s">
        <v>69</v>
      </c>
    </row>
    <row r="195">
      <c r="A195" s="254" t="s">
        <v>1</v>
      </c>
      <c r="B195" s="297" t="s">
        <v>3</v>
      </c>
      <c r="C195" s="272"/>
      <c r="D195" s="298" t="s">
        <v>11</v>
      </c>
      <c r="E195" s="254" t="s">
        <v>11</v>
      </c>
    </row>
    <row r="196">
      <c r="A196" s="254" t="s">
        <v>336</v>
      </c>
      <c r="B196" s="310" t="s">
        <v>270</v>
      </c>
      <c r="C196" s="297" t="s">
        <v>66</v>
      </c>
      <c r="D196" s="299" t="s">
        <v>12</v>
      </c>
      <c r="E196" s="299" t="s">
        <v>12</v>
      </c>
    </row>
    <row r="197">
      <c r="A197" s="254" t="s">
        <v>2</v>
      </c>
      <c r="B197" s="310" t="s">
        <v>271</v>
      </c>
      <c r="C197" s="297" t="s">
        <v>0</v>
      </c>
      <c r="D197" s="299" t="s">
        <v>13</v>
      </c>
      <c r="E197" s="299" t="s">
        <v>13</v>
      </c>
    </row>
    <row r="198">
      <c r="A198" s="297" t="s">
        <v>3</v>
      </c>
      <c r="B198" s="254" t="s">
        <v>272</v>
      </c>
      <c r="C198" s="247" t="s">
        <v>1</v>
      </c>
      <c r="D198" s="299" t="s">
        <v>14</v>
      </c>
      <c r="E198" s="299" t="s">
        <v>14</v>
      </c>
    </row>
    <row r="199">
      <c r="A199" s="310" t="s">
        <v>270</v>
      </c>
      <c r="B199" s="297" t="s">
        <v>8</v>
      </c>
      <c r="C199" s="297" t="s">
        <v>2</v>
      </c>
      <c r="D199" s="299" t="s">
        <v>70</v>
      </c>
      <c r="E199" s="299" t="s">
        <v>70</v>
      </c>
    </row>
    <row r="200">
      <c r="A200" s="310" t="s">
        <v>271</v>
      </c>
      <c r="B200" s="297" t="s">
        <v>9</v>
      </c>
      <c r="C200" s="297" t="s">
        <v>3</v>
      </c>
      <c r="D200" s="299" t="s">
        <v>112</v>
      </c>
      <c r="E200" s="299" t="s">
        <v>112</v>
      </c>
    </row>
    <row r="201">
      <c r="A201" s="254" t="s">
        <v>272</v>
      </c>
      <c r="B201" s="297" t="s">
        <v>10</v>
      </c>
      <c r="C201" s="297" t="s">
        <v>270</v>
      </c>
      <c r="D201" s="299" t="s">
        <v>113</v>
      </c>
      <c r="E201" s="299" t="s">
        <v>113</v>
      </c>
    </row>
    <row r="202">
      <c r="A202" s="297" t="s">
        <v>8</v>
      </c>
      <c r="B202" s="254" t="s">
        <v>11</v>
      </c>
      <c r="C202" s="297" t="s">
        <v>271</v>
      </c>
      <c r="D202" s="299" t="s">
        <v>337</v>
      </c>
      <c r="E202" s="299" t="s">
        <v>337</v>
      </c>
    </row>
    <row r="203">
      <c r="A203" s="297" t="s">
        <v>9</v>
      </c>
      <c r="B203" s="297" t="s">
        <v>12</v>
      </c>
      <c r="C203" s="297" t="s">
        <v>272</v>
      </c>
      <c r="D203" s="299" t="s">
        <v>338</v>
      </c>
      <c r="E203" s="299" t="s">
        <v>338</v>
      </c>
    </row>
    <row r="204">
      <c r="A204" s="297" t="s">
        <v>10</v>
      </c>
      <c r="B204" s="297" t="s">
        <v>13</v>
      </c>
      <c r="C204" s="297" t="s">
        <v>8</v>
      </c>
      <c r="D204" s="299" t="s">
        <v>155</v>
      </c>
      <c r="E204" s="299" t="s">
        <v>155</v>
      </c>
    </row>
    <row r="205">
      <c r="A205" s="254" t="s">
        <v>11</v>
      </c>
      <c r="B205" s="297" t="s">
        <v>110</v>
      </c>
      <c r="C205" s="297" t="s">
        <v>154</v>
      </c>
      <c r="D205" s="299" t="s">
        <v>21</v>
      </c>
      <c r="E205" s="299" t="s">
        <v>21</v>
      </c>
    </row>
    <row r="206">
      <c r="A206" s="297" t="s">
        <v>12</v>
      </c>
      <c r="B206" s="297" t="s">
        <v>111</v>
      </c>
      <c r="C206" s="297" t="s">
        <v>10</v>
      </c>
      <c r="D206" s="299" t="s">
        <v>22</v>
      </c>
      <c r="E206" s="299" t="s">
        <v>72</v>
      </c>
    </row>
    <row r="207">
      <c r="A207" s="297" t="s">
        <v>13</v>
      </c>
      <c r="B207" s="297" t="s">
        <v>129</v>
      </c>
      <c r="C207" s="297" t="s">
        <v>11</v>
      </c>
      <c r="D207" s="299" t="s">
        <v>23</v>
      </c>
      <c r="E207" s="299" t="s">
        <v>23</v>
      </c>
    </row>
    <row r="208">
      <c r="A208" s="297" t="s">
        <v>110</v>
      </c>
      <c r="B208" s="297" t="s">
        <v>130</v>
      </c>
      <c r="C208" s="299" t="s">
        <v>12</v>
      </c>
      <c r="D208" s="299" t="s">
        <v>120</v>
      </c>
      <c r="E208" s="297" t="s">
        <v>339</v>
      </c>
    </row>
    <row r="209">
      <c r="A209" s="297" t="s">
        <v>111</v>
      </c>
      <c r="B209" s="297" t="s">
        <v>114</v>
      </c>
      <c r="C209" s="299" t="s">
        <v>13</v>
      </c>
      <c r="D209" s="299" t="s">
        <v>121</v>
      </c>
      <c r="E209" s="297" t="s">
        <v>340</v>
      </c>
    </row>
    <row r="210">
      <c r="A210" s="297" t="s">
        <v>129</v>
      </c>
      <c r="B210" s="297" t="s">
        <v>115</v>
      </c>
      <c r="C210" s="299" t="s">
        <v>14</v>
      </c>
      <c r="D210" s="299" t="s">
        <v>333</v>
      </c>
      <c r="E210" s="299" t="s">
        <v>333</v>
      </c>
    </row>
    <row r="211">
      <c r="A211" s="297" t="s">
        <v>130</v>
      </c>
      <c r="B211" s="297" t="s">
        <v>116</v>
      </c>
      <c r="C211" s="299" t="s">
        <v>70</v>
      </c>
      <c r="D211" s="298" t="s">
        <v>29</v>
      </c>
      <c r="E211" s="297" t="s">
        <v>29</v>
      </c>
    </row>
    <row r="212">
      <c r="A212" s="297" t="s">
        <v>114</v>
      </c>
      <c r="B212" s="297" t="s">
        <v>131</v>
      </c>
      <c r="C212" s="299" t="s">
        <v>112</v>
      </c>
      <c r="D212" s="5"/>
      <c r="E212" s="86"/>
    </row>
    <row r="213">
      <c r="A213" s="297" t="s">
        <v>115</v>
      </c>
      <c r="B213" s="297" t="s">
        <v>132</v>
      </c>
      <c r="C213" s="299" t="s">
        <v>113</v>
      </c>
      <c r="D213" s="5"/>
      <c r="E213" s="86"/>
    </row>
    <row r="214">
      <c r="A214" s="297" t="s">
        <v>116</v>
      </c>
      <c r="B214" s="297" t="s">
        <v>120</v>
      </c>
      <c r="C214" s="299" t="s">
        <v>337</v>
      </c>
      <c r="D214" s="5"/>
      <c r="E214" s="86"/>
    </row>
    <row r="215">
      <c r="A215" s="297" t="s">
        <v>131</v>
      </c>
      <c r="B215" s="297" t="s">
        <v>121</v>
      </c>
      <c r="C215" s="299" t="s">
        <v>338</v>
      </c>
      <c r="D215" s="5"/>
      <c r="E215" s="86"/>
    </row>
    <row r="216">
      <c r="A216" s="297" t="s">
        <v>132</v>
      </c>
      <c r="B216" s="254" t="s">
        <v>29</v>
      </c>
      <c r="C216" s="299" t="s">
        <v>155</v>
      </c>
      <c r="D216" s="5"/>
      <c r="E216" s="86"/>
    </row>
    <row r="217">
      <c r="A217" s="297" t="s">
        <v>120</v>
      </c>
      <c r="B217" s="254"/>
      <c r="C217" s="299" t="s">
        <v>21</v>
      </c>
      <c r="D217" s="5"/>
      <c r="E217" s="86"/>
    </row>
    <row r="218">
      <c r="A218" s="297" t="s">
        <v>121</v>
      </c>
      <c r="B218" s="255"/>
      <c r="C218" s="299" t="s">
        <v>22</v>
      </c>
      <c r="D218" s="5"/>
      <c r="E218" s="86"/>
    </row>
    <row r="219">
      <c r="A219" s="254" t="s">
        <v>29</v>
      </c>
      <c r="B219" s="255"/>
      <c r="C219" s="297" t="s">
        <v>23</v>
      </c>
      <c r="D219" s="5"/>
      <c r="E219" s="86"/>
    </row>
    <row r="220">
      <c r="A220" s="254" t="s">
        <v>342</v>
      </c>
      <c r="B220" s="255"/>
      <c r="C220" s="297" t="s">
        <v>339</v>
      </c>
      <c r="D220" s="5"/>
      <c r="E220" s="86"/>
    </row>
    <row r="221">
      <c r="A221" s="86"/>
      <c r="B221" s="255"/>
      <c r="C221" s="297" t="s">
        <v>340</v>
      </c>
      <c r="D221" s="5"/>
      <c r="E221" s="86"/>
    </row>
    <row r="222">
      <c r="A222" s="86"/>
      <c r="B222" s="255"/>
      <c r="C222" s="297" t="s">
        <v>341</v>
      </c>
      <c r="D222" s="5"/>
      <c r="E222" s="86"/>
    </row>
    <row r="223">
      <c r="A223" s="86"/>
      <c r="B223" s="255"/>
      <c r="C223" s="297" t="s">
        <v>29</v>
      </c>
      <c r="D223" s="5"/>
      <c r="E223" s="86"/>
    </row>
    <row r="224">
      <c r="A224" s="86"/>
      <c r="B224" s="255"/>
      <c r="C224" s="272"/>
      <c r="D224" s="5"/>
      <c r="E224" s="86"/>
    </row>
    <row r="225">
      <c r="A225" s="86"/>
      <c r="B225" s="255"/>
      <c r="C225" s="272"/>
      <c r="D225" s="5"/>
      <c r="E225" s="86"/>
    </row>
    <row r="226">
      <c r="A226" s="86"/>
      <c r="B226" s="255"/>
      <c r="C226" s="272"/>
      <c r="D226" s="5"/>
      <c r="E226" s="86"/>
    </row>
    <row r="227">
      <c r="A227" s="86"/>
      <c r="B227" s="255"/>
      <c r="C227" s="272"/>
      <c r="D227" s="5"/>
      <c r="E227" s="86"/>
    </row>
    <row r="228">
      <c r="A228" s="86"/>
      <c r="B228" s="255"/>
      <c r="C228" s="272"/>
      <c r="D228" s="5"/>
      <c r="E228" s="86"/>
    </row>
    <row r="229">
      <c r="A229" s="86"/>
      <c r="B229" s="255"/>
      <c r="C229" s="272"/>
      <c r="D229" s="5"/>
      <c r="E229" s="86"/>
    </row>
    <row r="230">
      <c r="A230" s="86"/>
      <c r="B230" s="255"/>
      <c r="C230" s="272"/>
      <c r="D230" s="5"/>
      <c r="E230" s="86"/>
    </row>
    <row r="231">
      <c r="A231" s="86"/>
      <c r="B231" s="255"/>
      <c r="C231" s="272"/>
      <c r="D231" s="5"/>
      <c r="E231" s="86"/>
    </row>
    <row r="232">
      <c r="A232" s="86"/>
      <c r="B232" s="255"/>
      <c r="C232" s="272"/>
      <c r="D232" s="5"/>
      <c r="E232" s="86"/>
    </row>
    <row r="233">
      <c r="A233" s="86"/>
      <c r="B233" s="255"/>
      <c r="C233" s="272"/>
      <c r="D233" s="5"/>
      <c r="E233" s="86"/>
    </row>
    <row r="234">
      <c r="A234" s="86"/>
      <c r="B234" s="255"/>
      <c r="C234" s="272"/>
      <c r="D234" s="5"/>
      <c r="E234" s="86"/>
    </row>
    <row r="235">
      <c r="A235" s="86"/>
      <c r="B235" s="255"/>
      <c r="C235" s="272"/>
      <c r="D235" s="5"/>
      <c r="E235" s="86"/>
    </row>
    <row r="236">
      <c r="A236" s="86"/>
      <c r="B236" s="255"/>
      <c r="C236" s="272"/>
      <c r="D236" s="5"/>
      <c r="E236" s="86"/>
    </row>
    <row r="237">
      <c r="A237" s="86"/>
      <c r="B237" s="255"/>
      <c r="C237" s="272"/>
      <c r="D237" s="5"/>
      <c r="E237" s="86"/>
    </row>
    <row r="238">
      <c r="A238" s="86"/>
      <c r="B238" s="255"/>
      <c r="C238" s="272"/>
      <c r="D238" s="5"/>
      <c r="E238" s="86"/>
    </row>
    <row r="239">
      <c r="A239" s="86"/>
      <c r="B239" s="255"/>
      <c r="C239" s="272"/>
      <c r="D239" s="5"/>
      <c r="E239" s="86"/>
    </row>
    <row r="240">
      <c r="A240" s="86"/>
      <c r="B240" s="255"/>
      <c r="C240" s="272"/>
      <c r="D240" s="5"/>
      <c r="E240" s="86"/>
    </row>
    <row r="241">
      <c r="A241" s="86"/>
      <c r="B241" s="255"/>
      <c r="C241" s="272"/>
      <c r="D241" s="5"/>
      <c r="E241" s="86"/>
    </row>
    <row r="242">
      <c r="A242" s="86"/>
      <c r="B242" s="255"/>
      <c r="C242" s="272"/>
      <c r="D242" s="5"/>
      <c r="E242" s="86"/>
    </row>
    <row r="243">
      <c r="A243" s="86"/>
      <c r="B243" s="255"/>
      <c r="C243" s="272"/>
      <c r="D243" s="5"/>
      <c r="E243" s="86"/>
    </row>
    <row r="244">
      <c r="A244" s="86"/>
      <c r="B244" s="255"/>
      <c r="C244" s="297" t="s">
        <v>66</v>
      </c>
      <c r="D244" s="298" t="s">
        <v>334</v>
      </c>
      <c r="E244" s="254" t="s">
        <v>66</v>
      </c>
    </row>
    <row r="245">
      <c r="A245" s="86"/>
      <c r="B245" s="255"/>
      <c r="C245" s="297" t="s">
        <v>0</v>
      </c>
      <c r="D245" s="298" t="s">
        <v>0</v>
      </c>
      <c r="E245" s="254" t="s">
        <v>0</v>
      </c>
    </row>
    <row r="246">
      <c r="A246" s="86"/>
      <c r="B246" s="255"/>
      <c r="C246" s="247" t="s">
        <v>1</v>
      </c>
      <c r="D246" s="254" t="s">
        <v>1</v>
      </c>
      <c r="E246" s="254" t="s">
        <v>1</v>
      </c>
    </row>
    <row r="247">
      <c r="A247" s="86"/>
      <c r="B247" s="255"/>
      <c r="C247" s="297" t="s">
        <v>2</v>
      </c>
      <c r="D247" s="298" t="s">
        <v>2</v>
      </c>
      <c r="E247" s="254" t="s">
        <v>2</v>
      </c>
    </row>
    <row r="248">
      <c r="A248" s="86"/>
      <c r="B248" s="255"/>
      <c r="C248" s="297" t="s">
        <v>3</v>
      </c>
      <c r="D248" s="299" t="s">
        <v>3</v>
      </c>
      <c r="E248" s="297" t="s">
        <v>3</v>
      </c>
    </row>
    <row r="249">
      <c r="A249" s="86"/>
      <c r="B249" s="255"/>
      <c r="C249" s="297" t="s">
        <v>270</v>
      </c>
      <c r="D249" s="299" t="s">
        <v>270</v>
      </c>
      <c r="E249" s="297" t="s">
        <v>270</v>
      </c>
    </row>
    <row r="250">
      <c r="A250" s="86"/>
      <c r="B250" s="255"/>
      <c r="C250" s="297" t="s">
        <v>271</v>
      </c>
      <c r="D250" s="299" t="s">
        <v>271</v>
      </c>
      <c r="E250" s="297" t="s">
        <v>271</v>
      </c>
    </row>
    <row r="251">
      <c r="A251" s="86"/>
      <c r="B251" s="255"/>
      <c r="C251" s="297" t="s">
        <v>272</v>
      </c>
      <c r="D251" s="299" t="s">
        <v>7</v>
      </c>
      <c r="E251" s="297" t="s">
        <v>7</v>
      </c>
    </row>
    <row r="252">
      <c r="A252" s="86"/>
      <c r="B252" s="255"/>
      <c r="C252" s="297" t="s">
        <v>8</v>
      </c>
      <c r="D252" s="299" t="s">
        <v>8</v>
      </c>
      <c r="E252" s="297" t="s">
        <v>8</v>
      </c>
    </row>
    <row r="253">
      <c r="A253" s="86"/>
      <c r="B253" s="254" t="s">
        <v>66</v>
      </c>
      <c r="C253" s="297" t="s">
        <v>154</v>
      </c>
      <c r="D253" s="299" t="s">
        <v>9</v>
      </c>
      <c r="E253" s="297" t="s">
        <v>68</v>
      </c>
    </row>
    <row r="254">
      <c r="A254" s="86"/>
      <c r="B254" s="254" t="s">
        <v>0</v>
      </c>
      <c r="C254" s="297" t="s">
        <v>10</v>
      </c>
      <c r="D254" s="299" t="s">
        <v>10</v>
      </c>
      <c r="E254" s="297" t="s">
        <v>69</v>
      </c>
    </row>
    <row r="255">
      <c r="A255" s="86"/>
      <c r="B255" s="254" t="s">
        <v>1</v>
      </c>
      <c r="C255" s="297" t="s">
        <v>11</v>
      </c>
      <c r="D255" s="298" t="s">
        <v>11</v>
      </c>
      <c r="E255" s="254" t="s">
        <v>11</v>
      </c>
    </row>
    <row r="256">
      <c r="A256" s="254" t="s">
        <v>335</v>
      </c>
      <c r="B256" s="254" t="s">
        <v>2</v>
      </c>
      <c r="C256" s="299" t="s">
        <v>12</v>
      </c>
      <c r="D256" s="299" t="s">
        <v>12</v>
      </c>
      <c r="E256" s="299" t="s">
        <v>12</v>
      </c>
    </row>
    <row r="257">
      <c r="A257" s="254" t="s">
        <v>0</v>
      </c>
      <c r="B257" s="297" t="s">
        <v>3</v>
      </c>
      <c r="C257" s="299" t="s">
        <v>13</v>
      </c>
      <c r="D257" s="299" t="s">
        <v>13</v>
      </c>
      <c r="E257" s="299" t="s">
        <v>13</v>
      </c>
    </row>
    <row r="258">
      <c r="A258" s="254" t="s">
        <v>1</v>
      </c>
      <c r="B258" s="310" t="s">
        <v>270</v>
      </c>
      <c r="C258" s="299" t="s">
        <v>14</v>
      </c>
      <c r="D258" s="299" t="s">
        <v>14</v>
      </c>
      <c r="E258" s="299" t="s">
        <v>14</v>
      </c>
    </row>
    <row r="259">
      <c r="A259" s="254" t="s">
        <v>336</v>
      </c>
      <c r="B259" s="310" t="s">
        <v>271</v>
      </c>
      <c r="C259" s="299" t="s">
        <v>70</v>
      </c>
      <c r="D259" s="299" t="s">
        <v>70</v>
      </c>
      <c r="E259" s="299" t="s">
        <v>70</v>
      </c>
    </row>
    <row r="260">
      <c r="A260" s="254" t="s">
        <v>2</v>
      </c>
      <c r="B260" s="254" t="s">
        <v>272</v>
      </c>
      <c r="C260" s="299" t="s">
        <v>112</v>
      </c>
      <c r="D260" s="299" t="s">
        <v>112</v>
      </c>
      <c r="E260" s="299" t="s">
        <v>112</v>
      </c>
    </row>
    <row r="261">
      <c r="A261" s="297" t="s">
        <v>3</v>
      </c>
      <c r="B261" s="297" t="s">
        <v>8</v>
      </c>
      <c r="C261" s="299" t="s">
        <v>113</v>
      </c>
      <c r="D261" s="299" t="s">
        <v>113</v>
      </c>
      <c r="E261" s="299" t="s">
        <v>113</v>
      </c>
    </row>
    <row r="262">
      <c r="A262" s="310" t="s">
        <v>270</v>
      </c>
      <c r="B262" s="297" t="s">
        <v>9</v>
      </c>
      <c r="C262" s="299" t="s">
        <v>337</v>
      </c>
      <c r="D262" s="299" t="s">
        <v>337</v>
      </c>
      <c r="E262" s="299" t="s">
        <v>337</v>
      </c>
    </row>
    <row r="263">
      <c r="A263" s="310" t="s">
        <v>271</v>
      </c>
      <c r="B263" s="297" t="s">
        <v>10</v>
      </c>
      <c r="C263" s="299" t="s">
        <v>338</v>
      </c>
      <c r="D263" s="299" t="s">
        <v>338</v>
      </c>
      <c r="E263" s="299" t="s">
        <v>338</v>
      </c>
    </row>
    <row r="264">
      <c r="A264" s="254" t="s">
        <v>272</v>
      </c>
      <c r="B264" s="254" t="s">
        <v>11</v>
      </c>
      <c r="C264" s="299" t="s">
        <v>155</v>
      </c>
      <c r="D264" s="299" t="s">
        <v>155</v>
      </c>
      <c r="E264" s="299" t="s">
        <v>155</v>
      </c>
    </row>
    <row r="265">
      <c r="A265" s="297" t="s">
        <v>8</v>
      </c>
      <c r="B265" s="297" t="s">
        <v>12</v>
      </c>
      <c r="C265" s="299" t="s">
        <v>21</v>
      </c>
      <c r="D265" s="299" t="s">
        <v>21</v>
      </c>
      <c r="E265" s="299" t="s">
        <v>21</v>
      </c>
    </row>
    <row r="266">
      <c r="A266" s="297" t="s">
        <v>9</v>
      </c>
      <c r="B266" s="297" t="s">
        <v>13</v>
      </c>
      <c r="C266" s="299" t="s">
        <v>22</v>
      </c>
      <c r="D266" s="299" t="s">
        <v>22</v>
      </c>
      <c r="E266" s="299" t="s">
        <v>72</v>
      </c>
    </row>
    <row r="267">
      <c r="A267" s="297" t="s">
        <v>10</v>
      </c>
      <c r="B267" s="297" t="s">
        <v>110</v>
      </c>
      <c r="C267" s="297" t="s">
        <v>23</v>
      </c>
      <c r="D267" s="299" t="s">
        <v>23</v>
      </c>
      <c r="E267" s="299" t="s">
        <v>23</v>
      </c>
    </row>
    <row r="268">
      <c r="A268" s="254" t="s">
        <v>11</v>
      </c>
      <c r="B268" s="297" t="s">
        <v>111</v>
      </c>
      <c r="C268" s="297" t="s">
        <v>339</v>
      </c>
      <c r="D268" s="299" t="s">
        <v>120</v>
      </c>
      <c r="E268" s="297" t="s">
        <v>339</v>
      </c>
    </row>
    <row r="269">
      <c r="A269" s="297" t="s">
        <v>12</v>
      </c>
      <c r="B269" s="297" t="s">
        <v>129</v>
      </c>
      <c r="C269" s="297" t="s">
        <v>340</v>
      </c>
      <c r="D269" s="299" t="s">
        <v>121</v>
      </c>
      <c r="E269" s="297" t="s">
        <v>340</v>
      </c>
    </row>
    <row r="270">
      <c r="A270" s="297" t="s">
        <v>13</v>
      </c>
      <c r="B270" s="297" t="s">
        <v>130</v>
      </c>
      <c r="C270" s="297" t="s">
        <v>341</v>
      </c>
      <c r="D270" s="299" t="s">
        <v>333</v>
      </c>
      <c r="E270" s="299" t="s">
        <v>333</v>
      </c>
    </row>
    <row r="271">
      <c r="A271" s="297" t="s">
        <v>110</v>
      </c>
      <c r="B271" s="297" t="s">
        <v>114</v>
      </c>
      <c r="C271" s="297" t="s">
        <v>29</v>
      </c>
      <c r="D271" s="298" t="s">
        <v>29</v>
      </c>
      <c r="E271" s="297" t="s">
        <v>29</v>
      </c>
    </row>
    <row r="272">
      <c r="A272" s="297" t="s">
        <v>111</v>
      </c>
      <c r="B272" s="297" t="s">
        <v>115</v>
      </c>
      <c r="C272" s="272"/>
      <c r="D272" s="5"/>
      <c r="E272" s="86"/>
    </row>
    <row r="273">
      <c r="A273" s="297" t="s">
        <v>129</v>
      </c>
      <c r="B273" s="297" t="s">
        <v>116</v>
      </c>
      <c r="C273" s="272"/>
      <c r="D273" s="5"/>
      <c r="E273" s="86"/>
    </row>
    <row r="274">
      <c r="A274" s="297" t="s">
        <v>130</v>
      </c>
      <c r="B274" s="297" t="s">
        <v>131</v>
      </c>
      <c r="C274" s="272"/>
      <c r="D274" s="5"/>
      <c r="E274" s="86"/>
    </row>
    <row r="275">
      <c r="A275" s="297" t="s">
        <v>114</v>
      </c>
      <c r="B275" s="297" t="s">
        <v>132</v>
      </c>
      <c r="C275" s="272"/>
      <c r="D275" s="5"/>
      <c r="E275" s="86"/>
    </row>
    <row r="276">
      <c r="A276" s="297" t="s">
        <v>115</v>
      </c>
      <c r="B276" s="297" t="s">
        <v>120</v>
      </c>
      <c r="C276" s="272"/>
      <c r="D276" s="5"/>
      <c r="E276" s="86"/>
    </row>
    <row r="277">
      <c r="A277" s="297" t="s">
        <v>116</v>
      </c>
      <c r="B277" s="297" t="s">
        <v>121</v>
      </c>
      <c r="C277" s="272"/>
      <c r="D277" s="5"/>
      <c r="E277" s="86"/>
    </row>
    <row r="278">
      <c r="A278" s="297" t="s">
        <v>131</v>
      </c>
      <c r="B278" s="254" t="s">
        <v>29</v>
      </c>
      <c r="C278" s="272"/>
      <c r="D278" s="5"/>
      <c r="E278" s="86"/>
    </row>
    <row r="279">
      <c r="A279" s="297" t="s">
        <v>132</v>
      </c>
      <c r="B279" s="254"/>
      <c r="C279" s="272"/>
      <c r="D279" s="5"/>
      <c r="E279" s="86"/>
    </row>
    <row r="280">
      <c r="A280" s="297" t="s">
        <v>120</v>
      </c>
      <c r="B280" s="255"/>
      <c r="C280" s="272"/>
      <c r="D280" s="5"/>
      <c r="E280" s="86"/>
    </row>
    <row r="281">
      <c r="A281" s="297" t="s">
        <v>121</v>
      </c>
      <c r="B281" s="255"/>
      <c r="C281" s="272"/>
      <c r="D281" s="5"/>
      <c r="E281" s="86"/>
    </row>
    <row r="282">
      <c r="A282" s="254" t="s">
        <v>29</v>
      </c>
      <c r="B282" s="255"/>
      <c r="C282" s="272"/>
      <c r="D282" s="5"/>
      <c r="E282" s="86"/>
    </row>
    <row r="283">
      <c r="A283" s="254" t="s">
        <v>342</v>
      </c>
      <c r="B283" s="255"/>
      <c r="C283" s="272"/>
      <c r="D283" s="5"/>
      <c r="E283" s="86"/>
    </row>
    <row r="284">
      <c r="A284" s="86"/>
      <c r="B284" s="255"/>
      <c r="C284" s="272"/>
      <c r="D284" s="5"/>
      <c r="E284" s="86"/>
    </row>
    <row r="285">
      <c r="A285" s="86"/>
      <c r="B285" s="255"/>
      <c r="C285" s="272"/>
      <c r="D285" s="5"/>
      <c r="E285" s="86"/>
    </row>
    <row r="286">
      <c r="A286" s="86"/>
      <c r="B286" s="255"/>
      <c r="C286" s="272"/>
      <c r="D286" s="5"/>
      <c r="E286" s="86"/>
    </row>
    <row r="287">
      <c r="A287" s="86"/>
      <c r="B287" s="255"/>
      <c r="C287" s="272"/>
      <c r="D287" s="5"/>
      <c r="E287" s="86"/>
    </row>
    <row r="288">
      <c r="A288" s="86"/>
      <c r="B288" s="255"/>
      <c r="C288" s="272"/>
      <c r="D288" s="5"/>
      <c r="E288" s="86"/>
    </row>
    <row r="289">
      <c r="A289" s="86"/>
      <c r="B289" s="255"/>
      <c r="C289" s="272"/>
      <c r="D289" s="5"/>
      <c r="E289" s="86"/>
    </row>
    <row r="290">
      <c r="A290" s="86"/>
      <c r="B290" s="255"/>
      <c r="C290" s="272"/>
      <c r="D290" s="5"/>
      <c r="E290" s="86"/>
    </row>
    <row r="291">
      <c r="A291" s="86"/>
      <c r="B291" s="255"/>
      <c r="C291" s="272"/>
      <c r="D291" s="5"/>
      <c r="E291" s="86"/>
    </row>
    <row r="292">
      <c r="A292" s="86"/>
      <c r="B292" s="255"/>
      <c r="C292" s="297" t="s">
        <v>66</v>
      </c>
      <c r="D292" s="5"/>
      <c r="E292" s="86"/>
    </row>
    <row r="293">
      <c r="A293" s="86"/>
      <c r="B293" s="255"/>
      <c r="C293" s="297" t="s">
        <v>0</v>
      </c>
      <c r="D293" s="5"/>
      <c r="E293" s="86"/>
    </row>
    <row r="294">
      <c r="A294" s="86"/>
      <c r="B294" s="255"/>
      <c r="C294" s="247" t="s">
        <v>1</v>
      </c>
      <c r="D294" s="5"/>
      <c r="E294" s="86"/>
    </row>
    <row r="295">
      <c r="A295" s="86"/>
      <c r="B295" s="255"/>
      <c r="C295" s="297" t="s">
        <v>2</v>
      </c>
      <c r="D295" s="5"/>
      <c r="E295" s="86"/>
    </row>
    <row r="296">
      <c r="A296" s="86"/>
      <c r="B296" s="255"/>
      <c r="C296" s="297" t="s">
        <v>3</v>
      </c>
      <c r="D296" s="5"/>
      <c r="E296" s="86"/>
    </row>
    <row r="297">
      <c r="A297" s="86"/>
      <c r="B297" s="255"/>
      <c r="C297" s="297" t="s">
        <v>270</v>
      </c>
      <c r="D297" s="5"/>
      <c r="E297" s="86"/>
    </row>
    <row r="298">
      <c r="A298" s="86"/>
      <c r="B298" s="255"/>
      <c r="C298" s="297" t="s">
        <v>271</v>
      </c>
      <c r="D298" s="5"/>
      <c r="E298" s="86"/>
    </row>
    <row r="299">
      <c r="A299" s="86"/>
      <c r="B299" s="255"/>
      <c r="C299" s="297" t="s">
        <v>272</v>
      </c>
      <c r="D299" s="5"/>
      <c r="E299" s="86"/>
    </row>
    <row r="300">
      <c r="A300" s="86"/>
      <c r="B300" s="255"/>
      <c r="C300" s="297" t="s">
        <v>8</v>
      </c>
      <c r="D300" s="5"/>
      <c r="E300" s="86"/>
    </row>
    <row r="301">
      <c r="A301" s="86"/>
      <c r="B301" s="255"/>
      <c r="C301" s="297" t="s">
        <v>154</v>
      </c>
      <c r="D301" s="5"/>
      <c r="E301" s="86"/>
    </row>
    <row r="302">
      <c r="A302" s="86"/>
      <c r="B302" s="255"/>
      <c r="C302" s="297" t="s">
        <v>10</v>
      </c>
      <c r="D302" s="5"/>
      <c r="E302" s="86"/>
    </row>
    <row r="303">
      <c r="A303" s="86"/>
      <c r="B303" s="255"/>
      <c r="C303" s="297" t="s">
        <v>11</v>
      </c>
      <c r="D303" s="5"/>
      <c r="E303" s="86"/>
    </row>
    <row r="304">
      <c r="A304" s="86"/>
      <c r="B304" s="255"/>
      <c r="C304" s="299" t="s">
        <v>12</v>
      </c>
      <c r="D304" s="298" t="s">
        <v>334</v>
      </c>
      <c r="E304" s="254" t="s">
        <v>66</v>
      </c>
    </row>
    <row r="305">
      <c r="A305" s="86"/>
      <c r="B305" s="255"/>
      <c r="C305" s="299" t="s">
        <v>13</v>
      </c>
      <c r="D305" s="298" t="s">
        <v>0</v>
      </c>
      <c r="E305" s="254" t="s">
        <v>0</v>
      </c>
    </row>
    <row r="306">
      <c r="A306" s="86"/>
      <c r="B306" s="255"/>
      <c r="C306" s="299" t="s">
        <v>14</v>
      </c>
      <c r="D306" s="254" t="s">
        <v>1</v>
      </c>
      <c r="E306" s="254" t="s">
        <v>1</v>
      </c>
    </row>
    <row r="307">
      <c r="A307" s="86"/>
      <c r="B307" s="255"/>
      <c r="C307" s="299" t="s">
        <v>70</v>
      </c>
      <c r="D307" s="298" t="s">
        <v>2</v>
      </c>
      <c r="E307" s="254" t="s">
        <v>2</v>
      </c>
    </row>
    <row r="308">
      <c r="A308" s="86"/>
      <c r="B308" s="255"/>
      <c r="C308" s="299" t="s">
        <v>112</v>
      </c>
      <c r="D308" s="299" t="s">
        <v>3</v>
      </c>
      <c r="E308" s="297" t="s">
        <v>3</v>
      </c>
    </row>
    <row r="309">
      <c r="A309" s="86"/>
      <c r="B309" s="255"/>
      <c r="C309" s="299" t="s">
        <v>113</v>
      </c>
      <c r="D309" s="299" t="s">
        <v>270</v>
      </c>
      <c r="E309" s="297" t="s">
        <v>270</v>
      </c>
    </row>
    <row r="310">
      <c r="A310" s="86"/>
      <c r="B310" s="255"/>
      <c r="C310" s="299" t="s">
        <v>337</v>
      </c>
      <c r="D310" s="299" t="s">
        <v>271</v>
      </c>
      <c r="E310" s="297" t="s">
        <v>271</v>
      </c>
    </row>
    <row r="311">
      <c r="A311" s="86"/>
      <c r="B311" s="255"/>
      <c r="C311" s="299" t="s">
        <v>338</v>
      </c>
      <c r="D311" s="299" t="s">
        <v>7</v>
      </c>
      <c r="E311" s="297" t="s">
        <v>7</v>
      </c>
    </row>
    <row r="312">
      <c r="A312" s="86"/>
      <c r="B312" s="255"/>
      <c r="C312" s="299" t="s">
        <v>155</v>
      </c>
      <c r="D312" s="299" t="s">
        <v>8</v>
      </c>
      <c r="E312" s="297" t="s">
        <v>8</v>
      </c>
    </row>
    <row r="313">
      <c r="A313" s="86"/>
      <c r="B313" s="255"/>
      <c r="C313" s="299" t="s">
        <v>21</v>
      </c>
      <c r="D313" s="299" t="s">
        <v>9</v>
      </c>
      <c r="E313" s="297" t="s">
        <v>68</v>
      </c>
    </row>
    <row r="314">
      <c r="A314" s="86"/>
      <c r="B314" s="255"/>
      <c r="C314" s="299" t="s">
        <v>22</v>
      </c>
      <c r="D314" s="299" t="s">
        <v>10</v>
      </c>
      <c r="E314" s="297" t="s">
        <v>69</v>
      </c>
    </row>
    <row r="315">
      <c r="A315" s="86"/>
      <c r="B315" s="254" t="s">
        <v>66</v>
      </c>
      <c r="C315" s="297" t="s">
        <v>23</v>
      </c>
      <c r="D315" s="298" t="s">
        <v>11</v>
      </c>
      <c r="E315" s="254" t="s">
        <v>11</v>
      </c>
    </row>
    <row r="316">
      <c r="A316" s="86"/>
      <c r="B316" s="254" t="s">
        <v>0</v>
      </c>
      <c r="C316" s="297" t="s">
        <v>339</v>
      </c>
      <c r="D316" s="299" t="s">
        <v>12</v>
      </c>
      <c r="E316" s="299" t="s">
        <v>12</v>
      </c>
    </row>
    <row r="317">
      <c r="A317" s="86"/>
      <c r="B317" s="254" t="s">
        <v>1</v>
      </c>
      <c r="C317" s="297" t="s">
        <v>340</v>
      </c>
      <c r="D317" s="299" t="s">
        <v>13</v>
      </c>
      <c r="E317" s="299" t="s">
        <v>13</v>
      </c>
    </row>
    <row r="318">
      <c r="A318" s="86"/>
      <c r="B318" s="254" t="s">
        <v>2</v>
      </c>
      <c r="C318" s="297" t="s">
        <v>341</v>
      </c>
      <c r="D318" s="299" t="s">
        <v>14</v>
      </c>
      <c r="E318" s="299" t="s">
        <v>14</v>
      </c>
    </row>
    <row r="319">
      <c r="A319" s="254" t="s">
        <v>335</v>
      </c>
      <c r="B319" s="297" t="s">
        <v>3</v>
      </c>
      <c r="C319" s="297" t="s">
        <v>29</v>
      </c>
      <c r="D319" s="299" t="s">
        <v>70</v>
      </c>
      <c r="E319" s="299" t="s">
        <v>70</v>
      </c>
    </row>
    <row r="320">
      <c r="A320" s="254" t="s">
        <v>0</v>
      </c>
      <c r="B320" s="310" t="s">
        <v>270</v>
      </c>
      <c r="C320" s="272"/>
      <c r="D320" s="299" t="s">
        <v>112</v>
      </c>
      <c r="E320" s="299" t="s">
        <v>112</v>
      </c>
    </row>
    <row r="321">
      <c r="A321" s="254" t="s">
        <v>1</v>
      </c>
      <c r="B321" s="310" t="s">
        <v>271</v>
      </c>
      <c r="C321" s="272"/>
      <c r="D321" s="299" t="s">
        <v>113</v>
      </c>
      <c r="E321" s="299" t="s">
        <v>113</v>
      </c>
    </row>
    <row r="322">
      <c r="A322" s="254" t="s">
        <v>336</v>
      </c>
      <c r="B322" s="254" t="s">
        <v>272</v>
      </c>
      <c r="C322" s="272"/>
      <c r="D322" s="299" t="s">
        <v>337</v>
      </c>
      <c r="E322" s="299" t="s">
        <v>337</v>
      </c>
    </row>
    <row r="323">
      <c r="A323" s="254" t="s">
        <v>2</v>
      </c>
      <c r="B323" s="297" t="s">
        <v>8</v>
      </c>
      <c r="C323" s="272"/>
      <c r="D323" s="299" t="s">
        <v>338</v>
      </c>
      <c r="E323" s="299" t="s">
        <v>338</v>
      </c>
    </row>
    <row r="324">
      <c r="A324" s="297" t="s">
        <v>3</v>
      </c>
      <c r="B324" s="297" t="s">
        <v>9</v>
      </c>
      <c r="C324" s="272"/>
      <c r="D324" s="299" t="s">
        <v>155</v>
      </c>
      <c r="E324" s="299" t="s">
        <v>155</v>
      </c>
    </row>
    <row r="325">
      <c r="A325" s="310" t="s">
        <v>270</v>
      </c>
      <c r="B325" s="297" t="s">
        <v>10</v>
      </c>
      <c r="C325" s="272"/>
      <c r="D325" s="299" t="s">
        <v>21</v>
      </c>
      <c r="E325" s="299" t="s">
        <v>21</v>
      </c>
    </row>
    <row r="326">
      <c r="A326" s="310" t="s">
        <v>271</v>
      </c>
      <c r="B326" s="254" t="s">
        <v>11</v>
      </c>
      <c r="C326" s="272"/>
      <c r="D326" s="299" t="s">
        <v>22</v>
      </c>
      <c r="E326" s="299" t="s">
        <v>72</v>
      </c>
    </row>
    <row r="327">
      <c r="A327" s="254" t="s">
        <v>272</v>
      </c>
      <c r="B327" s="297" t="s">
        <v>12</v>
      </c>
      <c r="C327" s="272"/>
      <c r="D327" s="299" t="s">
        <v>23</v>
      </c>
      <c r="E327" s="299" t="s">
        <v>23</v>
      </c>
    </row>
    <row r="328">
      <c r="A328" s="297" t="s">
        <v>8</v>
      </c>
      <c r="B328" s="297" t="s">
        <v>13</v>
      </c>
      <c r="C328" s="272"/>
      <c r="D328" s="299" t="s">
        <v>120</v>
      </c>
      <c r="E328" s="297" t="s">
        <v>339</v>
      </c>
    </row>
    <row r="329">
      <c r="A329" s="297" t="s">
        <v>9</v>
      </c>
      <c r="B329" s="297" t="s">
        <v>110</v>
      </c>
      <c r="C329" s="272"/>
      <c r="D329" s="299" t="s">
        <v>121</v>
      </c>
      <c r="E329" s="297" t="s">
        <v>340</v>
      </c>
    </row>
    <row r="330">
      <c r="A330" s="297" t="s">
        <v>10</v>
      </c>
      <c r="B330" s="297" t="s">
        <v>111</v>
      </c>
      <c r="C330" s="272"/>
      <c r="D330" s="299" t="s">
        <v>333</v>
      </c>
      <c r="E330" s="299" t="s">
        <v>333</v>
      </c>
    </row>
    <row r="331">
      <c r="A331" s="254" t="s">
        <v>11</v>
      </c>
      <c r="B331" s="297" t="s">
        <v>129</v>
      </c>
      <c r="C331" s="272"/>
      <c r="D331" s="298" t="s">
        <v>29</v>
      </c>
      <c r="E331" s="297" t="s">
        <v>29</v>
      </c>
    </row>
    <row r="332">
      <c r="A332" s="297" t="s">
        <v>12</v>
      </c>
      <c r="B332" s="297" t="s">
        <v>130</v>
      </c>
      <c r="C332" s="272"/>
      <c r="D332" s="5"/>
      <c r="E332" s="86"/>
    </row>
    <row r="333">
      <c r="A333" s="297" t="s">
        <v>13</v>
      </c>
      <c r="B333" s="297" t="s">
        <v>114</v>
      </c>
      <c r="C333" s="272"/>
      <c r="D333" s="5"/>
      <c r="E333" s="86"/>
    </row>
    <row r="334">
      <c r="A334" s="297" t="s">
        <v>110</v>
      </c>
      <c r="B334" s="297" t="s">
        <v>115</v>
      </c>
      <c r="C334" s="272"/>
      <c r="D334" s="5"/>
      <c r="E334" s="86"/>
    </row>
    <row r="335">
      <c r="A335" s="297" t="s">
        <v>111</v>
      </c>
      <c r="B335" s="297" t="s">
        <v>116</v>
      </c>
      <c r="C335" s="272"/>
      <c r="D335" s="5"/>
      <c r="E335" s="86"/>
    </row>
    <row r="336">
      <c r="A336" s="297" t="s">
        <v>129</v>
      </c>
      <c r="B336" s="297" t="s">
        <v>131</v>
      </c>
      <c r="C336" s="272"/>
      <c r="D336" s="5"/>
      <c r="E336" s="86"/>
    </row>
    <row r="337">
      <c r="A337" s="297" t="s">
        <v>130</v>
      </c>
      <c r="B337" s="297" t="s">
        <v>132</v>
      </c>
      <c r="C337" s="272"/>
      <c r="D337" s="5"/>
      <c r="E337" s="86"/>
    </row>
    <row r="338">
      <c r="A338" s="297" t="s">
        <v>114</v>
      </c>
      <c r="B338" s="297" t="s">
        <v>120</v>
      </c>
      <c r="C338" s="272"/>
      <c r="D338" s="5"/>
      <c r="E338" s="86"/>
    </row>
    <row r="339">
      <c r="A339" s="297" t="s">
        <v>115</v>
      </c>
      <c r="B339" s="297" t="s">
        <v>121</v>
      </c>
      <c r="C339" s="272"/>
      <c r="D339" s="5"/>
      <c r="E339" s="86"/>
    </row>
    <row r="340">
      <c r="A340" s="297" t="s">
        <v>116</v>
      </c>
      <c r="B340" s="254" t="s">
        <v>29</v>
      </c>
      <c r="C340" s="297" t="s">
        <v>66</v>
      </c>
      <c r="D340" s="5"/>
      <c r="E340" s="86"/>
    </row>
    <row r="341">
      <c r="A341" s="297" t="s">
        <v>131</v>
      </c>
      <c r="B341" s="254"/>
      <c r="C341" s="297" t="s">
        <v>0</v>
      </c>
      <c r="D341" s="5"/>
      <c r="E341" s="86"/>
    </row>
    <row r="342">
      <c r="A342" s="297" t="s">
        <v>132</v>
      </c>
      <c r="B342" s="255"/>
      <c r="C342" s="247" t="s">
        <v>1</v>
      </c>
      <c r="D342" s="5"/>
      <c r="E342" s="86"/>
    </row>
    <row r="343">
      <c r="A343" s="297" t="s">
        <v>120</v>
      </c>
      <c r="B343" s="255"/>
      <c r="C343" s="297" t="s">
        <v>2</v>
      </c>
      <c r="D343" s="5"/>
      <c r="E343" s="86"/>
    </row>
    <row r="344">
      <c r="A344" s="297" t="s">
        <v>121</v>
      </c>
      <c r="B344" s="255"/>
      <c r="C344" s="297" t="s">
        <v>3</v>
      </c>
      <c r="D344" s="5"/>
      <c r="E344" s="86"/>
    </row>
    <row r="345">
      <c r="A345" s="254" t="s">
        <v>29</v>
      </c>
      <c r="B345" s="255"/>
      <c r="C345" s="297" t="s">
        <v>270</v>
      </c>
      <c r="D345" s="5"/>
      <c r="E345" s="86"/>
    </row>
    <row r="346">
      <c r="A346" s="254" t="s">
        <v>342</v>
      </c>
      <c r="B346" s="255"/>
      <c r="C346" s="297" t="s">
        <v>271</v>
      </c>
      <c r="D346" s="5"/>
      <c r="E346" s="86"/>
    </row>
    <row r="347">
      <c r="A347" s="86"/>
      <c r="B347" s="255"/>
      <c r="C347" s="297" t="s">
        <v>272</v>
      </c>
      <c r="D347" s="5"/>
      <c r="E347" s="86"/>
    </row>
    <row r="348">
      <c r="A348" s="86"/>
      <c r="B348" s="255"/>
      <c r="C348" s="297" t="s">
        <v>8</v>
      </c>
      <c r="D348" s="5"/>
      <c r="E348" s="86"/>
    </row>
    <row r="349">
      <c r="A349" s="86"/>
      <c r="B349" s="255"/>
      <c r="C349" s="297" t="s">
        <v>154</v>
      </c>
      <c r="D349" s="5"/>
      <c r="E349" s="86"/>
    </row>
    <row r="350">
      <c r="A350" s="86"/>
      <c r="B350" s="255"/>
      <c r="C350" s="297" t="s">
        <v>10</v>
      </c>
      <c r="D350" s="5"/>
      <c r="E350" s="86"/>
    </row>
    <row r="351">
      <c r="A351" s="86"/>
      <c r="B351" s="255"/>
      <c r="C351" s="297" t="s">
        <v>11</v>
      </c>
      <c r="D351" s="5"/>
      <c r="E351" s="86"/>
    </row>
    <row r="352">
      <c r="A352" s="86"/>
      <c r="B352" s="255"/>
      <c r="C352" s="299" t="s">
        <v>12</v>
      </c>
      <c r="D352" s="5"/>
      <c r="E352" s="86"/>
    </row>
    <row r="353">
      <c r="A353" s="86"/>
      <c r="B353" s="255"/>
      <c r="C353" s="299" t="s">
        <v>13</v>
      </c>
      <c r="D353" s="5"/>
      <c r="E353" s="86"/>
    </row>
    <row r="354">
      <c r="A354" s="86"/>
      <c r="B354" s="255"/>
      <c r="C354" s="299" t="s">
        <v>14</v>
      </c>
      <c r="D354" s="5"/>
      <c r="E354" s="86"/>
    </row>
    <row r="355">
      <c r="A355" s="86"/>
      <c r="B355" s="255"/>
      <c r="C355" s="299" t="s">
        <v>70</v>
      </c>
      <c r="D355" s="5"/>
      <c r="E355" s="86"/>
    </row>
    <row r="356">
      <c r="A356" s="86"/>
      <c r="B356" s="255"/>
      <c r="C356" s="299" t="s">
        <v>112</v>
      </c>
      <c r="D356" s="5"/>
      <c r="E356" s="86"/>
    </row>
    <row r="357">
      <c r="A357" s="86"/>
      <c r="B357" s="255"/>
      <c r="C357" s="299" t="s">
        <v>113</v>
      </c>
      <c r="D357" s="5"/>
      <c r="E357" s="86"/>
    </row>
    <row r="358">
      <c r="A358" s="86"/>
      <c r="B358" s="255"/>
      <c r="C358" s="299" t="s">
        <v>337</v>
      </c>
      <c r="D358" s="5"/>
      <c r="E358" s="86"/>
    </row>
    <row r="359">
      <c r="A359" s="86"/>
      <c r="B359" s="255"/>
      <c r="C359" s="299" t="s">
        <v>338</v>
      </c>
      <c r="D359" s="5"/>
      <c r="E359" s="86"/>
    </row>
    <row r="360">
      <c r="A360" s="86"/>
      <c r="B360" s="255"/>
      <c r="C360" s="299" t="s">
        <v>155</v>
      </c>
      <c r="D360" s="5"/>
      <c r="E360" s="86"/>
    </row>
    <row r="361">
      <c r="A361" s="86"/>
      <c r="B361" s="255"/>
      <c r="C361" s="299" t="s">
        <v>21</v>
      </c>
      <c r="D361" s="5"/>
      <c r="E361" s="86"/>
    </row>
    <row r="362">
      <c r="A362" s="86"/>
      <c r="B362" s="255"/>
      <c r="C362" s="299" t="s">
        <v>22</v>
      </c>
      <c r="D362" s="5"/>
      <c r="E362" s="86"/>
    </row>
    <row r="363">
      <c r="A363" s="86"/>
      <c r="B363" s="255"/>
      <c r="C363" s="297" t="s">
        <v>23</v>
      </c>
      <c r="D363" s="5"/>
      <c r="E363" s="86"/>
    </row>
    <row r="364">
      <c r="A364" s="86"/>
      <c r="B364" s="255"/>
      <c r="C364" s="297" t="s">
        <v>339</v>
      </c>
      <c r="D364" s="298" t="s">
        <v>334</v>
      </c>
      <c r="E364" s="254" t="s">
        <v>66</v>
      </c>
    </row>
    <row r="365">
      <c r="A365" s="86"/>
      <c r="B365" s="255"/>
      <c r="C365" s="297" t="s">
        <v>340</v>
      </c>
      <c r="D365" s="298" t="s">
        <v>0</v>
      </c>
      <c r="E365" s="254" t="s">
        <v>0</v>
      </c>
    </row>
    <row r="366">
      <c r="A366" s="86"/>
      <c r="B366" s="255"/>
      <c r="C366" s="297" t="s">
        <v>341</v>
      </c>
      <c r="D366" s="254" t="s">
        <v>1</v>
      </c>
      <c r="E366" s="254" t="s">
        <v>1</v>
      </c>
    </row>
    <row r="367">
      <c r="A367" s="86"/>
      <c r="B367" s="255"/>
      <c r="C367" s="297" t="s">
        <v>29</v>
      </c>
      <c r="D367" s="298" t="s">
        <v>2</v>
      </c>
      <c r="E367" s="254" t="s">
        <v>2</v>
      </c>
    </row>
    <row r="368">
      <c r="A368" s="86"/>
      <c r="B368" s="255"/>
      <c r="C368" s="272"/>
      <c r="D368" s="299" t="s">
        <v>3</v>
      </c>
      <c r="E368" s="297" t="s">
        <v>3</v>
      </c>
    </row>
    <row r="369">
      <c r="A369" s="86"/>
      <c r="B369" s="255"/>
      <c r="C369" s="272"/>
      <c r="D369" s="299" t="s">
        <v>270</v>
      </c>
      <c r="E369" s="297" t="s">
        <v>270</v>
      </c>
    </row>
    <row r="370">
      <c r="A370" s="86"/>
      <c r="B370" s="255"/>
      <c r="C370" s="272"/>
      <c r="D370" s="299" t="s">
        <v>271</v>
      </c>
      <c r="E370" s="297" t="s">
        <v>271</v>
      </c>
    </row>
    <row r="371">
      <c r="A371" s="86"/>
      <c r="B371" s="255"/>
      <c r="C371" s="272"/>
      <c r="D371" s="299" t="s">
        <v>7</v>
      </c>
      <c r="E371" s="297" t="s">
        <v>7</v>
      </c>
    </row>
    <row r="372">
      <c r="A372" s="86"/>
      <c r="B372" s="255"/>
      <c r="C372" s="272"/>
      <c r="D372" s="299" t="s">
        <v>8</v>
      </c>
      <c r="E372" s="297" t="s">
        <v>8</v>
      </c>
    </row>
    <row r="373">
      <c r="A373" s="86"/>
      <c r="B373" s="255"/>
      <c r="C373" s="272"/>
      <c r="D373" s="299" t="s">
        <v>9</v>
      </c>
      <c r="E373" s="297" t="s">
        <v>68</v>
      </c>
    </row>
    <row r="374">
      <c r="A374" s="86"/>
      <c r="B374" s="255"/>
      <c r="C374" s="272"/>
      <c r="D374" s="299" t="s">
        <v>10</v>
      </c>
      <c r="E374" s="297" t="s">
        <v>69</v>
      </c>
    </row>
    <row r="375">
      <c r="A375" s="86"/>
      <c r="B375" s="255"/>
      <c r="C375" s="272"/>
      <c r="D375" s="298" t="s">
        <v>11</v>
      </c>
      <c r="E375" s="254" t="s">
        <v>11</v>
      </c>
    </row>
    <row r="376">
      <c r="A376" s="86"/>
      <c r="B376" s="255"/>
      <c r="C376" s="272"/>
      <c r="D376" s="299" t="s">
        <v>12</v>
      </c>
      <c r="E376" s="299" t="s">
        <v>12</v>
      </c>
    </row>
    <row r="377">
      <c r="A377" s="86"/>
      <c r="B377" s="254" t="s">
        <v>66</v>
      </c>
      <c r="C377" s="272"/>
      <c r="D377" s="299" t="s">
        <v>13</v>
      </c>
      <c r="E377" s="299" t="s">
        <v>13</v>
      </c>
    </row>
    <row r="378">
      <c r="A378" s="86"/>
      <c r="B378" s="254" t="s">
        <v>0</v>
      </c>
      <c r="C378" s="272"/>
      <c r="D378" s="299" t="s">
        <v>14</v>
      </c>
      <c r="E378" s="299" t="s">
        <v>14</v>
      </c>
    </row>
    <row r="379">
      <c r="A379" s="86"/>
      <c r="B379" s="254" t="s">
        <v>1</v>
      </c>
      <c r="C379" s="272"/>
      <c r="D379" s="299" t="s">
        <v>70</v>
      </c>
      <c r="E379" s="299" t="s">
        <v>70</v>
      </c>
    </row>
    <row r="380">
      <c r="A380" s="86"/>
      <c r="B380" s="254" t="s">
        <v>2</v>
      </c>
      <c r="C380" s="272"/>
      <c r="D380" s="299" t="s">
        <v>112</v>
      </c>
      <c r="E380" s="299" t="s">
        <v>112</v>
      </c>
    </row>
    <row r="381">
      <c r="A381" s="86"/>
      <c r="B381" s="297" t="s">
        <v>3</v>
      </c>
      <c r="C381" s="272"/>
      <c r="D381" s="299" t="s">
        <v>113</v>
      </c>
      <c r="E381" s="299" t="s">
        <v>113</v>
      </c>
    </row>
    <row r="382">
      <c r="A382" s="254" t="s">
        <v>335</v>
      </c>
      <c r="B382" s="310" t="s">
        <v>270</v>
      </c>
      <c r="C382" s="272"/>
      <c r="D382" s="299" t="s">
        <v>337</v>
      </c>
      <c r="E382" s="299" t="s">
        <v>337</v>
      </c>
    </row>
    <row r="383">
      <c r="A383" s="254" t="s">
        <v>0</v>
      </c>
      <c r="B383" s="310" t="s">
        <v>271</v>
      </c>
      <c r="C383" s="272"/>
      <c r="D383" s="299" t="s">
        <v>338</v>
      </c>
      <c r="E383" s="299" t="s">
        <v>338</v>
      </c>
    </row>
    <row r="384">
      <c r="A384" s="254" t="s">
        <v>1</v>
      </c>
      <c r="B384" s="254" t="s">
        <v>272</v>
      </c>
      <c r="C384" s="272"/>
      <c r="D384" s="299" t="s">
        <v>155</v>
      </c>
      <c r="E384" s="299" t="s">
        <v>155</v>
      </c>
    </row>
    <row r="385">
      <c r="A385" s="254" t="s">
        <v>336</v>
      </c>
      <c r="B385" s="297" t="s">
        <v>8</v>
      </c>
      <c r="C385" s="272"/>
      <c r="D385" s="299" t="s">
        <v>21</v>
      </c>
      <c r="E385" s="299" t="s">
        <v>21</v>
      </c>
    </row>
    <row r="386">
      <c r="A386" s="254" t="s">
        <v>2</v>
      </c>
      <c r="B386" s="297" t="s">
        <v>9</v>
      </c>
      <c r="C386" s="272"/>
      <c r="D386" s="299" t="s">
        <v>22</v>
      </c>
      <c r="E386" s="299" t="s">
        <v>72</v>
      </c>
    </row>
    <row r="387">
      <c r="A387" s="297" t="s">
        <v>3</v>
      </c>
      <c r="B387" s="297" t="s">
        <v>10</v>
      </c>
      <c r="C387" s="272"/>
      <c r="D387" s="299" t="s">
        <v>23</v>
      </c>
      <c r="E387" s="299" t="s">
        <v>23</v>
      </c>
    </row>
    <row r="388">
      <c r="A388" s="310" t="s">
        <v>270</v>
      </c>
      <c r="B388" s="254" t="s">
        <v>11</v>
      </c>
      <c r="C388" s="297" t="s">
        <v>66</v>
      </c>
      <c r="D388" s="299" t="s">
        <v>120</v>
      </c>
      <c r="E388" s="297" t="s">
        <v>339</v>
      </c>
    </row>
    <row r="389">
      <c r="A389" s="310" t="s">
        <v>271</v>
      </c>
      <c r="B389" s="297" t="s">
        <v>12</v>
      </c>
      <c r="C389" s="297" t="s">
        <v>0</v>
      </c>
      <c r="D389" s="299" t="s">
        <v>121</v>
      </c>
      <c r="E389" s="297" t="s">
        <v>340</v>
      </c>
    </row>
    <row r="390">
      <c r="A390" s="254" t="s">
        <v>272</v>
      </c>
      <c r="B390" s="297" t="s">
        <v>13</v>
      </c>
      <c r="C390" s="247" t="s">
        <v>1</v>
      </c>
      <c r="D390" s="299" t="s">
        <v>333</v>
      </c>
      <c r="E390" s="299" t="s">
        <v>333</v>
      </c>
    </row>
    <row r="391">
      <c r="A391" s="297" t="s">
        <v>8</v>
      </c>
      <c r="B391" s="297" t="s">
        <v>110</v>
      </c>
      <c r="C391" s="297" t="s">
        <v>2</v>
      </c>
      <c r="D391" s="298" t="s">
        <v>29</v>
      </c>
      <c r="E391" s="297" t="s">
        <v>29</v>
      </c>
    </row>
    <row r="392">
      <c r="A392" s="297" t="s">
        <v>9</v>
      </c>
      <c r="B392" s="297" t="s">
        <v>111</v>
      </c>
      <c r="C392" s="297" t="s">
        <v>3</v>
      </c>
      <c r="D392" s="5"/>
      <c r="E392" s="86"/>
    </row>
    <row r="393">
      <c r="A393" s="297" t="s">
        <v>10</v>
      </c>
      <c r="B393" s="297" t="s">
        <v>129</v>
      </c>
      <c r="C393" s="297" t="s">
        <v>270</v>
      </c>
      <c r="D393" s="5"/>
      <c r="E393" s="86"/>
    </row>
    <row r="394">
      <c r="A394" s="254" t="s">
        <v>11</v>
      </c>
      <c r="B394" s="297" t="s">
        <v>130</v>
      </c>
      <c r="C394" s="297" t="s">
        <v>271</v>
      </c>
      <c r="D394" s="5"/>
      <c r="E394" s="86"/>
    </row>
    <row r="395">
      <c r="A395" s="297" t="s">
        <v>12</v>
      </c>
      <c r="B395" s="297" t="s">
        <v>114</v>
      </c>
      <c r="C395" s="297" t="s">
        <v>272</v>
      </c>
      <c r="D395" s="5"/>
      <c r="E395" s="86"/>
    </row>
    <row r="396">
      <c r="A396" s="297" t="s">
        <v>13</v>
      </c>
      <c r="B396" s="297" t="s">
        <v>115</v>
      </c>
      <c r="C396" s="297" t="s">
        <v>8</v>
      </c>
      <c r="D396" s="5"/>
      <c r="E396" s="86"/>
    </row>
    <row r="397">
      <c r="A397" s="297" t="s">
        <v>110</v>
      </c>
      <c r="B397" s="297" t="s">
        <v>116</v>
      </c>
      <c r="C397" s="297" t="s">
        <v>154</v>
      </c>
      <c r="D397" s="5"/>
      <c r="E397" s="86"/>
    </row>
    <row r="398">
      <c r="A398" s="297" t="s">
        <v>111</v>
      </c>
      <c r="B398" s="297" t="s">
        <v>131</v>
      </c>
      <c r="C398" s="297" t="s">
        <v>10</v>
      </c>
      <c r="D398" s="5"/>
      <c r="E398" s="86"/>
    </row>
    <row r="399">
      <c r="A399" s="297" t="s">
        <v>129</v>
      </c>
      <c r="B399" s="297" t="s">
        <v>132</v>
      </c>
      <c r="C399" s="297" t="s">
        <v>11</v>
      </c>
      <c r="D399" s="5"/>
      <c r="E399" s="86"/>
    </row>
    <row r="400">
      <c r="A400" s="297" t="s">
        <v>130</v>
      </c>
      <c r="B400" s="297" t="s">
        <v>120</v>
      </c>
      <c r="C400" s="299" t="s">
        <v>12</v>
      </c>
      <c r="D400" s="5"/>
      <c r="E400" s="86"/>
    </row>
    <row r="401">
      <c r="A401" s="297" t="s">
        <v>114</v>
      </c>
      <c r="B401" s="297" t="s">
        <v>121</v>
      </c>
      <c r="C401" s="299" t="s">
        <v>13</v>
      </c>
      <c r="D401" s="5"/>
      <c r="E401" s="86"/>
    </row>
    <row r="402">
      <c r="A402" s="297" t="s">
        <v>115</v>
      </c>
      <c r="B402" s="254" t="s">
        <v>29</v>
      </c>
      <c r="C402" s="299" t="s">
        <v>14</v>
      </c>
      <c r="D402" s="5"/>
      <c r="E402" s="86"/>
    </row>
    <row r="403">
      <c r="A403" s="297" t="s">
        <v>116</v>
      </c>
      <c r="B403" s="254"/>
      <c r="C403" s="299" t="s">
        <v>70</v>
      </c>
      <c r="D403" s="5"/>
      <c r="E403" s="86"/>
    </row>
    <row r="404">
      <c r="A404" s="297" t="s">
        <v>131</v>
      </c>
      <c r="B404" s="255"/>
      <c r="C404" s="299" t="s">
        <v>112</v>
      </c>
      <c r="D404" s="5"/>
      <c r="E404" s="86"/>
    </row>
    <row r="405">
      <c r="A405" s="297" t="s">
        <v>132</v>
      </c>
      <c r="B405" s="255"/>
      <c r="C405" s="299" t="s">
        <v>113</v>
      </c>
      <c r="D405" s="5"/>
      <c r="E405" s="86"/>
    </row>
    <row r="406">
      <c r="A406" s="297" t="s">
        <v>120</v>
      </c>
      <c r="B406" s="255"/>
      <c r="C406" s="299" t="s">
        <v>337</v>
      </c>
      <c r="D406" s="5"/>
      <c r="E406" s="86"/>
    </row>
    <row r="407">
      <c r="A407" s="297" t="s">
        <v>121</v>
      </c>
      <c r="B407" s="255"/>
      <c r="C407" s="299" t="s">
        <v>338</v>
      </c>
      <c r="D407" s="5"/>
      <c r="E407" s="86"/>
    </row>
    <row r="408">
      <c r="A408" s="254" t="s">
        <v>29</v>
      </c>
      <c r="B408" s="255"/>
      <c r="C408" s="299" t="s">
        <v>155</v>
      </c>
      <c r="D408" s="5"/>
      <c r="E408" s="86"/>
    </row>
    <row r="409">
      <c r="A409" s="254" t="s">
        <v>342</v>
      </c>
      <c r="B409" s="255"/>
      <c r="C409" s="299" t="s">
        <v>21</v>
      </c>
      <c r="D409" s="5"/>
      <c r="E409" s="86"/>
    </row>
    <row r="410">
      <c r="A410" s="86"/>
      <c r="B410" s="255"/>
      <c r="C410" s="299" t="s">
        <v>22</v>
      </c>
      <c r="D410" s="5"/>
      <c r="E410" s="86"/>
    </row>
    <row r="411">
      <c r="A411" s="86"/>
      <c r="B411" s="255"/>
      <c r="C411" s="297" t="s">
        <v>23</v>
      </c>
      <c r="D411" s="5"/>
      <c r="E411" s="86"/>
    </row>
    <row r="412">
      <c r="A412" s="86"/>
      <c r="B412" s="255"/>
      <c r="C412" s="297" t="s">
        <v>339</v>
      </c>
      <c r="D412" s="5"/>
      <c r="E412" s="86"/>
    </row>
    <row r="413">
      <c r="A413" s="86"/>
      <c r="B413" s="255"/>
      <c r="C413" s="297" t="s">
        <v>340</v>
      </c>
      <c r="D413" s="5"/>
      <c r="E413" s="86"/>
    </row>
    <row r="414">
      <c r="A414" s="86"/>
      <c r="B414" s="255"/>
      <c r="C414" s="297" t="s">
        <v>341</v>
      </c>
      <c r="D414" s="5"/>
      <c r="E414" s="86"/>
    </row>
    <row r="415">
      <c r="A415" s="86"/>
      <c r="B415" s="255"/>
      <c r="C415" s="297" t="s">
        <v>29</v>
      </c>
      <c r="D415" s="5"/>
      <c r="E415" s="86"/>
    </row>
    <row r="416">
      <c r="A416" s="86"/>
      <c r="B416" s="255"/>
      <c r="C416" s="272"/>
      <c r="D416" s="5"/>
      <c r="E416" s="86"/>
    </row>
    <row r="417">
      <c r="A417" s="86"/>
      <c r="B417" s="255"/>
      <c r="C417" s="272"/>
      <c r="D417" s="5"/>
      <c r="E417" s="86"/>
    </row>
    <row r="418">
      <c r="A418" s="86"/>
      <c r="B418" s="255"/>
      <c r="C418" s="272"/>
      <c r="D418" s="5"/>
      <c r="E418" s="86"/>
    </row>
    <row r="419">
      <c r="A419" s="86"/>
      <c r="B419" s="255"/>
      <c r="C419" s="272"/>
      <c r="D419" s="5"/>
      <c r="E419" s="86"/>
    </row>
    <row r="420">
      <c r="A420" s="86"/>
      <c r="B420" s="255"/>
      <c r="C420" s="272"/>
      <c r="D420" s="5"/>
      <c r="E420" s="86"/>
    </row>
    <row r="421">
      <c r="A421" s="86"/>
      <c r="B421" s="255"/>
      <c r="C421" s="272"/>
      <c r="D421" s="5"/>
      <c r="E421" s="86"/>
    </row>
    <row r="422">
      <c r="A422" s="86"/>
      <c r="B422" s="255"/>
      <c r="C422" s="272"/>
      <c r="D422" s="5"/>
      <c r="E422" s="86"/>
    </row>
    <row r="423">
      <c r="A423" s="86"/>
      <c r="B423" s="255"/>
      <c r="C423" s="272"/>
      <c r="D423" s="5"/>
      <c r="E423" s="86"/>
    </row>
    <row r="424">
      <c r="A424" s="86"/>
      <c r="B424" s="255"/>
      <c r="C424" s="272"/>
      <c r="D424" s="298" t="s">
        <v>334</v>
      </c>
      <c r="E424" s="254" t="s">
        <v>66</v>
      </c>
    </row>
    <row r="425">
      <c r="A425" s="86"/>
      <c r="B425" s="255"/>
      <c r="C425" s="272"/>
      <c r="D425" s="298" t="s">
        <v>0</v>
      </c>
      <c r="E425" s="254" t="s">
        <v>0</v>
      </c>
    </row>
    <row r="426">
      <c r="A426" s="86"/>
      <c r="B426" s="255"/>
      <c r="C426" s="272"/>
      <c r="D426" s="254" t="s">
        <v>1</v>
      </c>
      <c r="E426" s="254" t="s">
        <v>1</v>
      </c>
    </row>
    <row r="427">
      <c r="A427" s="86"/>
      <c r="B427" s="255"/>
      <c r="C427" s="272"/>
      <c r="D427" s="298" t="s">
        <v>2</v>
      </c>
      <c r="E427" s="254" t="s">
        <v>2</v>
      </c>
    </row>
    <row r="428">
      <c r="A428" s="86"/>
      <c r="B428" s="255"/>
      <c r="C428" s="272"/>
      <c r="D428" s="299" t="s">
        <v>3</v>
      </c>
      <c r="E428" s="297" t="s">
        <v>3</v>
      </c>
    </row>
    <row r="429">
      <c r="A429" s="86"/>
      <c r="B429" s="255"/>
      <c r="C429" s="272"/>
      <c r="D429" s="299" t="s">
        <v>270</v>
      </c>
      <c r="E429" s="297" t="s">
        <v>270</v>
      </c>
    </row>
    <row r="430">
      <c r="A430" s="86"/>
      <c r="B430" s="255"/>
      <c r="C430" s="272"/>
      <c r="D430" s="299" t="s">
        <v>271</v>
      </c>
      <c r="E430" s="297" t="s">
        <v>271</v>
      </c>
    </row>
    <row r="431">
      <c r="A431" s="86"/>
      <c r="B431" s="255"/>
      <c r="C431" s="272"/>
      <c r="D431" s="299" t="s">
        <v>7</v>
      </c>
      <c r="E431" s="297" t="s">
        <v>7</v>
      </c>
    </row>
    <row r="432">
      <c r="A432" s="86"/>
      <c r="B432" s="255"/>
      <c r="C432" s="272"/>
      <c r="D432" s="299" t="s">
        <v>8</v>
      </c>
      <c r="E432" s="297" t="s">
        <v>8</v>
      </c>
    </row>
    <row r="433">
      <c r="A433" s="86"/>
      <c r="B433" s="255"/>
      <c r="C433" s="272"/>
      <c r="D433" s="299" t="s">
        <v>9</v>
      </c>
      <c r="E433" s="297" t="s">
        <v>68</v>
      </c>
    </row>
    <row r="434">
      <c r="A434" s="86"/>
      <c r="B434" s="255"/>
      <c r="C434" s="272"/>
      <c r="D434" s="299" t="s">
        <v>10</v>
      </c>
      <c r="E434" s="297" t="s">
        <v>69</v>
      </c>
    </row>
    <row r="435">
      <c r="A435" s="86"/>
      <c r="B435" s="255"/>
      <c r="C435" s="272"/>
      <c r="D435" s="298" t="s">
        <v>11</v>
      </c>
      <c r="E435" s="254" t="s">
        <v>11</v>
      </c>
    </row>
    <row r="436">
      <c r="A436" s="86"/>
      <c r="B436" s="255"/>
      <c r="C436" s="297" t="s">
        <v>66</v>
      </c>
      <c r="D436" s="299" t="s">
        <v>12</v>
      </c>
      <c r="E436" s="299" t="s">
        <v>12</v>
      </c>
    </row>
    <row r="437">
      <c r="A437" s="86"/>
      <c r="B437" s="255"/>
      <c r="C437" s="297" t="s">
        <v>0</v>
      </c>
      <c r="D437" s="299" t="s">
        <v>13</v>
      </c>
      <c r="E437" s="299" t="s">
        <v>13</v>
      </c>
    </row>
    <row r="438">
      <c r="A438" s="86"/>
      <c r="B438" s="255"/>
      <c r="C438" s="247" t="s">
        <v>1</v>
      </c>
      <c r="D438" s="299" t="s">
        <v>14</v>
      </c>
      <c r="E438" s="299" t="s">
        <v>14</v>
      </c>
    </row>
    <row r="439">
      <c r="A439" s="86"/>
      <c r="B439" s="254" t="s">
        <v>66</v>
      </c>
      <c r="C439" s="297" t="s">
        <v>2</v>
      </c>
      <c r="D439" s="299" t="s">
        <v>70</v>
      </c>
      <c r="E439" s="299" t="s">
        <v>70</v>
      </c>
    </row>
    <row r="440">
      <c r="A440" s="86"/>
      <c r="B440" s="254" t="s">
        <v>0</v>
      </c>
      <c r="C440" s="297" t="s">
        <v>3</v>
      </c>
      <c r="D440" s="299" t="s">
        <v>112</v>
      </c>
      <c r="E440" s="299" t="s">
        <v>112</v>
      </c>
    </row>
    <row r="441">
      <c r="A441" s="86"/>
      <c r="B441" s="254" t="s">
        <v>1</v>
      </c>
      <c r="C441" s="297" t="s">
        <v>270</v>
      </c>
      <c r="D441" s="299" t="s">
        <v>113</v>
      </c>
      <c r="E441" s="299" t="s">
        <v>113</v>
      </c>
    </row>
    <row r="442">
      <c r="A442" s="86"/>
      <c r="B442" s="254" t="s">
        <v>2</v>
      </c>
      <c r="C442" s="297" t="s">
        <v>271</v>
      </c>
      <c r="D442" s="299" t="s">
        <v>337</v>
      </c>
      <c r="E442" s="299" t="s">
        <v>337</v>
      </c>
    </row>
    <row r="443">
      <c r="A443" s="86"/>
      <c r="B443" s="297" t="s">
        <v>3</v>
      </c>
      <c r="C443" s="297" t="s">
        <v>272</v>
      </c>
      <c r="D443" s="299" t="s">
        <v>338</v>
      </c>
      <c r="E443" s="299" t="s">
        <v>338</v>
      </c>
    </row>
    <row r="444">
      <c r="A444" s="86"/>
      <c r="B444" s="310" t="s">
        <v>270</v>
      </c>
      <c r="C444" s="297" t="s">
        <v>8</v>
      </c>
      <c r="D444" s="299" t="s">
        <v>155</v>
      </c>
      <c r="E444" s="299" t="s">
        <v>155</v>
      </c>
    </row>
    <row r="445">
      <c r="A445" s="254" t="s">
        <v>335</v>
      </c>
      <c r="B445" s="310" t="s">
        <v>271</v>
      </c>
      <c r="C445" s="297" t="s">
        <v>154</v>
      </c>
      <c r="D445" s="299" t="s">
        <v>21</v>
      </c>
      <c r="E445" s="299" t="s">
        <v>21</v>
      </c>
    </row>
    <row r="446">
      <c r="A446" s="254" t="s">
        <v>0</v>
      </c>
      <c r="B446" s="254" t="s">
        <v>272</v>
      </c>
      <c r="C446" s="297" t="s">
        <v>10</v>
      </c>
      <c r="D446" s="299" t="s">
        <v>22</v>
      </c>
      <c r="E446" s="299" t="s">
        <v>72</v>
      </c>
    </row>
    <row r="447">
      <c r="A447" s="254" t="s">
        <v>1</v>
      </c>
      <c r="B447" s="297" t="s">
        <v>8</v>
      </c>
      <c r="C447" s="297" t="s">
        <v>11</v>
      </c>
      <c r="D447" s="299" t="s">
        <v>23</v>
      </c>
      <c r="E447" s="299" t="s">
        <v>23</v>
      </c>
    </row>
    <row r="448">
      <c r="A448" s="254" t="s">
        <v>336</v>
      </c>
      <c r="B448" s="297" t="s">
        <v>9</v>
      </c>
      <c r="C448" s="299" t="s">
        <v>12</v>
      </c>
      <c r="D448" s="299" t="s">
        <v>120</v>
      </c>
      <c r="E448" s="297" t="s">
        <v>339</v>
      </c>
    </row>
    <row r="449">
      <c r="A449" s="254" t="s">
        <v>2</v>
      </c>
      <c r="B449" s="297" t="s">
        <v>10</v>
      </c>
      <c r="C449" s="299" t="s">
        <v>13</v>
      </c>
      <c r="D449" s="299" t="s">
        <v>121</v>
      </c>
      <c r="E449" s="297" t="s">
        <v>340</v>
      </c>
    </row>
    <row r="450">
      <c r="A450" s="297" t="s">
        <v>3</v>
      </c>
      <c r="B450" s="254" t="s">
        <v>11</v>
      </c>
      <c r="C450" s="299" t="s">
        <v>14</v>
      </c>
      <c r="D450" s="299" t="s">
        <v>333</v>
      </c>
      <c r="E450" s="299" t="s">
        <v>333</v>
      </c>
    </row>
    <row r="451">
      <c r="A451" s="310" t="s">
        <v>270</v>
      </c>
      <c r="B451" s="297" t="s">
        <v>12</v>
      </c>
      <c r="C451" s="299" t="s">
        <v>70</v>
      </c>
      <c r="D451" s="298" t="s">
        <v>29</v>
      </c>
      <c r="E451" s="297" t="s">
        <v>29</v>
      </c>
    </row>
    <row r="452">
      <c r="A452" s="310" t="s">
        <v>271</v>
      </c>
      <c r="B452" s="297" t="s">
        <v>13</v>
      </c>
      <c r="C452" s="299" t="s">
        <v>112</v>
      </c>
      <c r="D452" s="5"/>
      <c r="E452" s="86"/>
    </row>
    <row r="453">
      <c r="A453" s="254" t="s">
        <v>272</v>
      </c>
      <c r="B453" s="297" t="s">
        <v>110</v>
      </c>
      <c r="C453" s="299" t="s">
        <v>113</v>
      </c>
      <c r="D453" s="5"/>
      <c r="E453" s="86"/>
    </row>
    <row r="454">
      <c r="A454" s="297" t="s">
        <v>8</v>
      </c>
      <c r="B454" s="297" t="s">
        <v>111</v>
      </c>
      <c r="C454" s="299" t="s">
        <v>337</v>
      </c>
      <c r="D454" s="5"/>
      <c r="E454" s="86"/>
    </row>
    <row r="455">
      <c r="A455" s="297" t="s">
        <v>9</v>
      </c>
      <c r="B455" s="297" t="s">
        <v>129</v>
      </c>
      <c r="C455" s="299" t="s">
        <v>338</v>
      </c>
      <c r="D455" s="5"/>
      <c r="E455" s="86"/>
    </row>
    <row r="456">
      <c r="A456" s="297" t="s">
        <v>10</v>
      </c>
      <c r="B456" s="297" t="s">
        <v>130</v>
      </c>
      <c r="C456" s="299" t="s">
        <v>155</v>
      </c>
      <c r="D456" s="5"/>
      <c r="E456" s="86"/>
    </row>
    <row r="457">
      <c r="A457" s="254" t="s">
        <v>11</v>
      </c>
      <c r="B457" s="297" t="s">
        <v>114</v>
      </c>
      <c r="C457" s="299" t="s">
        <v>21</v>
      </c>
      <c r="D457" s="5"/>
      <c r="E457" s="86"/>
    </row>
    <row r="458">
      <c r="A458" s="297" t="s">
        <v>12</v>
      </c>
      <c r="B458" s="297" t="s">
        <v>115</v>
      </c>
      <c r="C458" s="299" t="s">
        <v>22</v>
      </c>
      <c r="D458" s="5"/>
      <c r="E458" s="86"/>
    </row>
    <row r="459">
      <c r="A459" s="297" t="s">
        <v>13</v>
      </c>
      <c r="B459" s="297" t="s">
        <v>116</v>
      </c>
      <c r="C459" s="297" t="s">
        <v>23</v>
      </c>
      <c r="D459" s="5"/>
      <c r="E459" s="86"/>
    </row>
    <row r="460">
      <c r="A460" s="297" t="s">
        <v>110</v>
      </c>
      <c r="B460" s="297" t="s">
        <v>131</v>
      </c>
      <c r="C460" s="297" t="s">
        <v>339</v>
      </c>
      <c r="D460" s="5"/>
      <c r="E460" s="86"/>
    </row>
    <row r="461">
      <c r="A461" s="297" t="s">
        <v>111</v>
      </c>
      <c r="B461" s="297" t="s">
        <v>132</v>
      </c>
      <c r="C461" s="297" t="s">
        <v>340</v>
      </c>
      <c r="D461" s="5"/>
      <c r="E461" s="86"/>
    </row>
    <row r="462">
      <c r="A462" s="297" t="s">
        <v>129</v>
      </c>
      <c r="B462" s="297" t="s">
        <v>120</v>
      </c>
      <c r="C462" s="297" t="s">
        <v>341</v>
      </c>
      <c r="D462" s="5"/>
      <c r="E462" s="86"/>
    </row>
    <row r="463">
      <c r="A463" s="297" t="s">
        <v>130</v>
      </c>
      <c r="B463" s="297" t="s">
        <v>121</v>
      </c>
      <c r="C463" s="297" t="s">
        <v>29</v>
      </c>
      <c r="D463" s="5"/>
      <c r="E463" s="86"/>
    </row>
    <row r="464">
      <c r="A464" s="297" t="s">
        <v>114</v>
      </c>
      <c r="B464" s="254" t="s">
        <v>29</v>
      </c>
      <c r="C464" s="272"/>
      <c r="D464" s="5"/>
      <c r="E464" s="86"/>
    </row>
    <row r="465">
      <c r="A465" s="297" t="s">
        <v>115</v>
      </c>
      <c r="B465" s="254"/>
      <c r="C465" s="272"/>
      <c r="D465" s="5"/>
      <c r="E465" s="86"/>
    </row>
    <row r="466">
      <c r="A466" s="297" t="s">
        <v>116</v>
      </c>
      <c r="B466" s="255"/>
      <c r="C466" s="272"/>
      <c r="D466" s="5"/>
      <c r="E466" s="86"/>
    </row>
    <row r="467">
      <c r="A467" s="297" t="s">
        <v>131</v>
      </c>
      <c r="B467" s="255"/>
      <c r="C467" s="272"/>
      <c r="D467" s="5"/>
      <c r="E467" s="86"/>
    </row>
    <row r="468">
      <c r="A468" s="297" t="s">
        <v>132</v>
      </c>
      <c r="B468" s="255"/>
      <c r="C468" s="272"/>
      <c r="D468" s="5"/>
      <c r="E468" s="86"/>
    </row>
    <row r="469">
      <c r="A469" s="297" t="s">
        <v>120</v>
      </c>
      <c r="B469" s="255"/>
      <c r="C469" s="272"/>
      <c r="D469" s="5"/>
      <c r="E469" s="86"/>
    </row>
    <row r="470">
      <c r="A470" s="297" t="s">
        <v>121</v>
      </c>
      <c r="B470" s="255"/>
      <c r="C470" s="272"/>
      <c r="D470" s="5"/>
      <c r="E470" s="86"/>
    </row>
    <row r="471">
      <c r="A471" s="254" t="s">
        <v>29</v>
      </c>
      <c r="B471" s="255"/>
      <c r="C471" s="272"/>
      <c r="D471" s="5"/>
      <c r="E471" s="86"/>
    </row>
    <row r="472">
      <c r="A472" s="254" t="s">
        <v>342</v>
      </c>
      <c r="B472" s="255"/>
      <c r="C472" s="272"/>
      <c r="D472" s="5"/>
      <c r="E472" s="86"/>
    </row>
    <row r="473">
      <c r="A473" s="86"/>
      <c r="B473" s="255"/>
      <c r="C473" s="272"/>
      <c r="D473" s="5"/>
      <c r="E473" s="86"/>
    </row>
    <row r="474">
      <c r="A474" s="86"/>
      <c r="B474" s="255"/>
      <c r="C474" s="272"/>
      <c r="D474" s="5"/>
      <c r="E474" s="86"/>
    </row>
    <row r="475">
      <c r="A475" s="86"/>
      <c r="B475" s="255"/>
      <c r="C475" s="272"/>
      <c r="D475" s="5"/>
      <c r="E475" s="86"/>
    </row>
    <row r="476">
      <c r="A476" s="86"/>
      <c r="B476" s="255"/>
      <c r="C476" s="272"/>
      <c r="D476" s="5"/>
      <c r="E476" s="86"/>
    </row>
    <row r="477">
      <c r="A477" s="86"/>
      <c r="B477" s="255"/>
      <c r="C477" s="272"/>
      <c r="D477" s="5"/>
      <c r="E477" s="86"/>
    </row>
    <row r="478">
      <c r="A478" s="86"/>
      <c r="B478" s="255"/>
      <c r="C478" s="272"/>
      <c r="D478" s="5"/>
      <c r="E478" s="86"/>
    </row>
    <row r="479">
      <c r="A479" s="86"/>
      <c r="B479" s="255"/>
      <c r="C479" s="272"/>
      <c r="D479" s="5"/>
      <c r="E479" s="86"/>
    </row>
    <row r="480">
      <c r="A480" s="86"/>
      <c r="B480" s="255"/>
      <c r="C480" s="272"/>
      <c r="D480" s="5"/>
      <c r="E480" s="86"/>
    </row>
    <row r="481">
      <c r="A481" s="86"/>
      <c r="B481" s="255"/>
      <c r="C481" s="272"/>
      <c r="D481" s="5"/>
      <c r="E481" s="86"/>
    </row>
    <row r="482">
      <c r="A482" s="86"/>
      <c r="B482" s="255"/>
      <c r="C482" s="272"/>
      <c r="D482" s="5"/>
      <c r="E482" s="86"/>
    </row>
    <row r="483">
      <c r="A483" s="86"/>
      <c r="B483" s="255"/>
      <c r="C483" s="272"/>
      <c r="D483" s="5"/>
      <c r="E483" s="86"/>
    </row>
    <row r="484">
      <c r="A484" s="86"/>
      <c r="B484" s="255"/>
      <c r="C484" s="297" t="s">
        <v>66</v>
      </c>
      <c r="D484" s="298" t="s">
        <v>334</v>
      </c>
      <c r="E484" s="254" t="s">
        <v>66</v>
      </c>
    </row>
    <row r="485">
      <c r="A485" s="86"/>
      <c r="B485" s="255"/>
      <c r="C485" s="297" t="s">
        <v>0</v>
      </c>
      <c r="D485" s="298" t="s">
        <v>0</v>
      </c>
      <c r="E485" s="254" t="s">
        <v>0</v>
      </c>
    </row>
    <row r="486">
      <c r="A486" s="86"/>
      <c r="B486" s="255"/>
      <c r="C486" s="247" t="s">
        <v>1</v>
      </c>
      <c r="D486" s="254" t="s">
        <v>1</v>
      </c>
      <c r="E486" s="254" t="s">
        <v>1</v>
      </c>
    </row>
    <row r="487">
      <c r="A487" s="86"/>
      <c r="B487" s="255"/>
      <c r="C487" s="297" t="s">
        <v>2</v>
      </c>
      <c r="D487" s="298" t="s">
        <v>2</v>
      </c>
      <c r="E487" s="254" t="s">
        <v>2</v>
      </c>
    </row>
    <row r="488">
      <c r="A488" s="86"/>
      <c r="B488" s="255"/>
      <c r="C488" s="297" t="s">
        <v>3</v>
      </c>
      <c r="D488" s="299" t="s">
        <v>3</v>
      </c>
      <c r="E488" s="297" t="s">
        <v>3</v>
      </c>
    </row>
    <row r="489">
      <c r="A489" s="86"/>
      <c r="B489" s="255"/>
      <c r="C489" s="297" t="s">
        <v>270</v>
      </c>
      <c r="D489" s="299" t="s">
        <v>270</v>
      </c>
      <c r="E489" s="297" t="s">
        <v>270</v>
      </c>
    </row>
    <row r="490">
      <c r="A490" s="86"/>
      <c r="B490" s="255"/>
      <c r="C490" s="297" t="s">
        <v>271</v>
      </c>
      <c r="D490" s="299" t="s">
        <v>271</v>
      </c>
      <c r="E490" s="297" t="s">
        <v>271</v>
      </c>
    </row>
    <row r="491">
      <c r="A491" s="86"/>
      <c r="B491" s="255"/>
      <c r="C491" s="297" t="s">
        <v>272</v>
      </c>
      <c r="D491" s="299" t="s">
        <v>7</v>
      </c>
      <c r="E491" s="297" t="s">
        <v>7</v>
      </c>
    </row>
    <row r="492">
      <c r="A492" s="86"/>
      <c r="B492" s="255"/>
      <c r="C492" s="297" t="s">
        <v>8</v>
      </c>
      <c r="D492" s="299" t="s">
        <v>8</v>
      </c>
      <c r="E492" s="297" t="s">
        <v>8</v>
      </c>
    </row>
    <row r="493">
      <c r="A493" s="86"/>
      <c r="B493" s="255"/>
      <c r="C493" s="297" t="s">
        <v>154</v>
      </c>
      <c r="D493" s="299" t="s">
        <v>9</v>
      </c>
      <c r="E493" s="297" t="s">
        <v>68</v>
      </c>
    </row>
    <row r="494">
      <c r="A494" s="86"/>
      <c r="B494" s="255"/>
      <c r="C494" s="297" t="s">
        <v>10</v>
      </c>
      <c r="D494" s="299" t="s">
        <v>10</v>
      </c>
      <c r="E494" s="297" t="s">
        <v>69</v>
      </c>
    </row>
    <row r="495">
      <c r="A495" s="86"/>
      <c r="B495" s="255"/>
      <c r="C495" s="297" t="s">
        <v>11</v>
      </c>
      <c r="D495" s="298" t="s">
        <v>11</v>
      </c>
      <c r="E495" s="254" t="s">
        <v>11</v>
      </c>
    </row>
    <row r="496">
      <c r="A496" s="86"/>
      <c r="B496" s="255"/>
      <c r="C496" s="299" t="s">
        <v>12</v>
      </c>
      <c r="D496" s="299" t="s">
        <v>12</v>
      </c>
      <c r="E496" s="299" t="s">
        <v>12</v>
      </c>
    </row>
    <row r="497">
      <c r="A497" s="86"/>
      <c r="B497" s="255"/>
      <c r="C497" s="299" t="s">
        <v>13</v>
      </c>
      <c r="D497" s="299" t="s">
        <v>13</v>
      </c>
      <c r="E497" s="299" t="s">
        <v>13</v>
      </c>
    </row>
    <row r="498">
      <c r="A498" s="86"/>
      <c r="B498" s="255"/>
      <c r="C498" s="299" t="s">
        <v>14</v>
      </c>
      <c r="D498" s="299" t="s">
        <v>14</v>
      </c>
      <c r="E498" s="299" t="s">
        <v>14</v>
      </c>
    </row>
    <row r="499">
      <c r="A499" s="86"/>
      <c r="B499" s="255"/>
      <c r="C499" s="299" t="s">
        <v>70</v>
      </c>
      <c r="D499" s="299" t="s">
        <v>70</v>
      </c>
      <c r="E499" s="299" t="s">
        <v>70</v>
      </c>
    </row>
    <row r="500">
      <c r="A500" s="86"/>
      <c r="B500" s="255"/>
      <c r="C500" s="299" t="s">
        <v>112</v>
      </c>
      <c r="D500" s="299" t="s">
        <v>112</v>
      </c>
      <c r="E500" s="299" t="s">
        <v>112</v>
      </c>
    </row>
    <row r="501">
      <c r="A501" s="86"/>
      <c r="B501" s="254" t="s">
        <v>66</v>
      </c>
      <c r="C501" s="299" t="s">
        <v>113</v>
      </c>
      <c r="D501" s="299" t="s">
        <v>113</v>
      </c>
      <c r="E501" s="299" t="s">
        <v>113</v>
      </c>
    </row>
    <row r="502">
      <c r="A502" s="86"/>
      <c r="B502" s="254" t="s">
        <v>0</v>
      </c>
      <c r="C502" s="299" t="s">
        <v>337</v>
      </c>
      <c r="D502" s="299" t="s">
        <v>337</v>
      </c>
      <c r="E502" s="299" t="s">
        <v>337</v>
      </c>
    </row>
    <row r="503">
      <c r="A503" s="86"/>
      <c r="B503" s="254" t="s">
        <v>1</v>
      </c>
      <c r="C503" s="299" t="s">
        <v>338</v>
      </c>
      <c r="D503" s="299" t="s">
        <v>338</v>
      </c>
      <c r="E503" s="299" t="s">
        <v>338</v>
      </c>
    </row>
    <row r="504">
      <c r="A504" s="86"/>
      <c r="B504" s="254" t="s">
        <v>2</v>
      </c>
      <c r="C504" s="299" t="s">
        <v>155</v>
      </c>
      <c r="D504" s="299" t="s">
        <v>155</v>
      </c>
      <c r="E504" s="299" t="s">
        <v>155</v>
      </c>
    </row>
    <row r="505">
      <c r="A505" s="86"/>
      <c r="B505" s="297" t="s">
        <v>3</v>
      </c>
      <c r="C505" s="299" t="s">
        <v>21</v>
      </c>
      <c r="D505" s="299" t="s">
        <v>21</v>
      </c>
      <c r="E505" s="299" t="s">
        <v>21</v>
      </c>
    </row>
    <row r="506">
      <c r="A506" s="86"/>
      <c r="B506" s="310" t="s">
        <v>270</v>
      </c>
      <c r="C506" s="299" t="s">
        <v>22</v>
      </c>
      <c r="D506" s="299" t="s">
        <v>22</v>
      </c>
      <c r="E506" s="299" t="s">
        <v>72</v>
      </c>
    </row>
    <row r="507">
      <c r="A507" s="86"/>
      <c r="B507" s="310" t="s">
        <v>271</v>
      </c>
      <c r="C507" s="297" t="s">
        <v>23</v>
      </c>
      <c r="D507" s="299" t="s">
        <v>23</v>
      </c>
      <c r="E507" s="299" t="s">
        <v>23</v>
      </c>
    </row>
    <row r="508">
      <c r="A508" s="254" t="s">
        <v>335</v>
      </c>
      <c r="B508" s="254" t="s">
        <v>272</v>
      </c>
      <c r="C508" s="297" t="s">
        <v>339</v>
      </c>
      <c r="D508" s="299" t="s">
        <v>120</v>
      </c>
      <c r="E508" s="297" t="s">
        <v>339</v>
      </c>
    </row>
    <row r="509">
      <c r="A509" s="254" t="s">
        <v>0</v>
      </c>
      <c r="B509" s="297" t="s">
        <v>8</v>
      </c>
      <c r="C509" s="297" t="s">
        <v>340</v>
      </c>
      <c r="D509" s="299" t="s">
        <v>121</v>
      </c>
      <c r="E509" s="297" t="s">
        <v>340</v>
      </c>
    </row>
    <row r="510">
      <c r="A510" s="254" t="s">
        <v>1</v>
      </c>
      <c r="B510" s="297" t="s">
        <v>9</v>
      </c>
      <c r="C510" s="297" t="s">
        <v>341</v>
      </c>
      <c r="D510" s="299" t="s">
        <v>333</v>
      </c>
      <c r="E510" s="299" t="s">
        <v>333</v>
      </c>
    </row>
    <row r="511">
      <c r="A511" s="254" t="s">
        <v>336</v>
      </c>
      <c r="B511" s="297" t="s">
        <v>10</v>
      </c>
      <c r="C511" s="297" t="s">
        <v>29</v>
      </c>
      <c r="D511" s="298" t="s">
        <v>29</v>
      </c>
      <c r="E511" s="297" t="s">
        <v>29</v>
      </c>
    </row>
    <row r="512">
      <c r="A512" s="254" t="s">
        <v>2</v>
      </c>
      <c r="B512" s="254" t="s">
        <v>11</v>
      </c>
      <c r="C512" s="272"/>
      <c r="D512" s="5"/>
      <c r="E512" s="86"/>
    </row>
    <row r="513">
      <c r="A513" s="297" t="s">
        <v>3</v>
      </c>
      <c r="B513" s="297" t="s">
        <v>12</v>
      </c>
      <c r="C513" s="272"/>
      <c r="D513" s="5"/>
      <c r="E513" s="86"/>
    </row>
    <row r="514">
      <c r="A514" s="310" t="s">
        <v>270</v>
      </c>
      <c r="B514" s="297" t="s">
        <v>13</v>
      </c>
      <c r="C514" s="272"/>
      <c r="D514" s="5"/>
      <c r="E514" s="86"/>
    </row>
    <row r="515">
      <c r="A515" s="310" t="s">
        <v>271</v>
      </c>
      <c r="B515" s="297" t="s">
        <v>110</v>
      </c>
      <c r="C515" s="272"/>
      <c r="D515" s="5"/>
      <c r="E515" s="86"/>
    </row>
    <row r="516">
      <c r="A516" s="254" t="s">
        <v>272</v>
      </c>
      <c r="B516" s="297" t="s">
        <v>111</v>
      </c>
      <c r="C516" s="272"/>
      <c r="D516" s="5"/>
      <c r="E516" s="86"/>
    </row>
    <row r="517">
      <c r="A517" s="297" t="s">
        <v>8</v>
      </c>
      <c r="B517" s="297" t="s">
        <v>129</v>
      </c>
      <c r="C517" s="272"/>
      <c r="D517" s="5"/>
      <c r="E517" s="86"/>
    </row>
    <row r="518">
      <c r="A518" s="297" t="s">
        <v>9</v>
      </c>
      <c r="B518" s="297" t="s">
        <v>130</v>
      </c>
      <c r="C518" s="272"/>
      <c r="D518" s="5"/>
      <c r="E518" s="86"/>
    </row>
    <row r="519">
      <c r="A519" s="297" t="s">
        <v>10</v>
      </c>
      <c r="B519" s="297" t="s">
        <v>114</v>
      </c>
      <c r="C519" s="272"/>
      <c r="D519" s="5"/>
      <c r="E519" s="86"/>
    </row>
    <row r="520">
      <c r="A520" s="254" t="s">
        <v>11</v>
      </c>
      <c r="B520" s="297" t="s">
        <v>115</v>
      </c>
      <c r="C520" s="272"/>
      <c r="D520" s="5"/>
      <c r="E520" s="86"/>
    </row>
    <row r="521">
      <c r="A521" s="297" t="s">
        <v>12</v>
      </c>
      <c r="B521" s="297" t="s">
        <v>116</v>
      </c>
      <c r="C521" s="272"/>
      <c r="D521" s="5"/>
      <c r="E521" s="86"/>
    </row>
    <row r="522">
      <c r="A522" s="297" t="s">
        <v>13</v>
      </c>
      <c r="B522" s="297" t="s">
        <v>131</v>
      </c>
      <c r="C522" s="272"/>
      <c r="D522" s="5"/>
      <c r="E522" s="86"/>
    </row>
    <row r="523">
      <c r="A523" s="297" t="s">
        <v>110</v>
      </c>
      <c r="B523" s="297" t="s">
        <v>132</v>
      </c>
      <c r="C523" s="272"/>
      <c r="D523" s="5"/>
      <c r="E523" s="86"/>
    </row>
    <row r="524">
      <c r="A524" s="297" t="s">
        <v>111</v>
      </c>
      <c r="B524" s="297" t="s">
        <v>120</v>
      </c>
      <c r="C524" s="272"/>
      <c r="D524" s="5"/>
      <c r="E524" s="86"/>
    </row>
    <row r="525">
      <c r="A525" s="297" t="s">
        <v>129</v>
      </c>
      <c r="B525" s="297" t="s">
        <v>121</v>
      </c>
      <c r="C525" s="272"/>
      <c r="D525" s="5"/>
      <c r="E525" s="86"/>
    </row>
    <row r="526">
      <c r="A526" s="297" t="s">
        <v>130</v>
      </c>
      <c r="B526" s="254" t="s">
        <v>29</v>
      </c>
      <c r="C526" s="272"/>
      <c r="D526" s="5"/>
      <c r="E526" s="86"/>
    </row>
    <row r="527">
      <c r="A527" s="297" t="s">
        <v>114</v>
      </c>
      <c r="B527" s="254"/>
      <c r="C527" s="272"/>
      <c r="D527" s="5"/>
      <c r="E527" s="86"/>
    </row>
    <row r="528">
      <c r="A528" s="297" t="s">
        <v>115</v>
      </c>
      <c r="B528" s="255"/>
      <c r="C528" s="272"/>
      <c r="D528" s="5"/>
      <c r="E528" s="86"/>
    </row>
    <row r="529">
      <c r="A529" s="297" t="s">
        <v>116</v>
      </c>
      <c r="B529" s="255"/>
      <c r="C529" s="272"/>
      <c r="D529" s="5"/>
      <c r="E529" s="86"/>
    </row>
    <row r="530">
      <c r="A530" s="297" t="s">
        <v>131</v>
      </c>
      <c r="B530" s="255"/>
      <c r="C530" s="272"/>
      <c r="D530" s="5"/>
      <c r="E530" s="86"/>
    </row>
    <row r="531">
      <c r="A531" s="297" t="s">
        <v>132</v>
      </c>
      <c r="B531" s="255"/>
      <c r="C531" s="272"/>
      <c r="D531" s="5"/>
      <c r="E531" s="86"/>
    </row>
    <row r="532">
      <c r="A532" s="297" t="s">
        <v>120</v>
      </c>
      <c r="B532" s="255"/>
      <c r="C532" s="297" t="s">
        <v>66</v>
      </c>
      <c r="D532" s="5"/>
      <c r="E532" s="86"/>
    </row>
    <row r="533">
      <c r="A533" s="297" t="s">
        <v>121</v>
      </c>
      <c r="B533" s="255"/>
      <c r="C533" s="297" t="s">
        <v>0</v>
      </c>
      <c r="D533" s="5"/>
      <c r="E533" s="86"/>
    </row>
    <row r="534">
      <c r="A534" s="254" t="s">
        <v>29</v>
      </c>
      <c r="B534" s="255"/>
      <c r="C534" s="247" t="s">
        <v>1</v>
      </c>
      <c r="D534" s="5"/>
      <c r="E534" s="86"/>
    </row>
    <row r="535">
      <c r="A535" s="254" t="s">
        <v>342</v>
      </c>
      <c r="B535" s="255"/>
      <c r="C535" s="297" t="s">
        <v>2</v>
      </c>
      <c r="D535" s="5"/>
      <c r="E535" s="86"/>
    </row>
    <row r="536">
      <c r="A536" s="86"/>
      <c r="B536" s="255"/>
      <c r="C536" s="297" t="s">
        <v>3</v>
      </c>
      <c r="D536" s="5"/>
      <c r="E536" s="86"/>
    </row>
    <row r="537">
      <c r="A537" s="86"/>
      <c r="B537" s="255"/>
      <c r="C537" s="297" t="s">
        <v>270</v>
      </c>
      <c r="D537" s="5"/>
      <c r="E537" s="86"/>
    </row>
    <row r="538">
      <c r="A538" s="86"/>
      <c r="B538" s="255"/>
      <c r="C538" s="297" t="s">
        <v>271</v>
      </c>
      <c r="D538" s="5"/>
      <c r="E538" s="86"/>
    </row>
    <row r="539">
      <c r="A539" s="86"/>
      <c r="B539" s="255"/>
      <c r="C539" s="297" t="s">
        <v>272</v>
      </c>
      <c r="D539" s="5"/>
      <c r="E539" s="86"/>
    </row>
    <row r="540">
      <c r="A540" s="86"/>
      <c r="B540" s="255"/>
      <c r="C540" s="297" t="s">
        <v>8</v>
      </c>
      <c r="D540" s="5"/>
      <c r="E540" s="86"/>
    </row>
    <row r="541">
      <c r="A541" s="86"/>
      <c r="B541" s="255"/>
      <c r="C541" s="297" t="s">
        <v>154</v>
      </c>
      <c r="D541" s="5"/>
      <c r="E541" s="86"/>
    </row>
    <row r="542">
      <c r="A542" s="86"/>
      <c r="B542" s="255"/>
      <c r="C542" s="297" t="s">
        <v>10</v>
      </c>
      <c r="D542" s="5"/>
      <c r="E542" s="86"/>
    </row>
    <row r="543">
      <c r="A543" s="86"/>
      <c r="B543" s="255"/>
      <c r="C543" s="297" t="s">
        <v>11</v>
      </c>
      <c r="D543" s="5"/>
      <c r="E543" s="86"/>
    </row>
    <row r="544">
      <c r="A544" s="86"/>
      <c r="B544" s="255"/>
      <c r="C544" s="299" t="s">
        <v>12</v>
      </c>
      <c r="D544" s="298" t="s">
        <v>334</v>
      </c>
      <c r="E544" s="254" t="s">
        <v>66</v>
      </c>
    </row>
    <row r="545">
      <c r="A545" s="86"/>
      <c r="B545" s="255"/>
      <c r="C545" s="299" t="s">
        <v>13</v>
      </c>
      <c r="D545" s="298" t="s">
        <v>0</v>
      </c>
      <c r="E545" s="254" t="s">
        <v>0</v>
      </c>
    </row>
    <row r="546">
      <c r="A546" s="86"/>
      <c r="B546" s="255"/>
      <c r="C546" s="299" t="s">
        <v>14</v>
      </c>
      <c r="D546" s="254" t="s">
        <v>1</v>
      </c>
      <c r="E546" s="254" t="s">
        <v>1</v>
      </c>
    </row>
    <row r="547">
      <c r="A547" s="86"/>
      <c r="B547" s="255"/>
      <c r="C547" s="299" t="s">
        <v>70</v>
      </c>
      <c r="D547" s="298" t="s">
        <v>2</v>
      </c>
      <c r="E547" s="254" t="s">
        <v>2</v>
      </c>
    </row>
    <row r="548">
      <c r="A548" s="86"/>
      <c r="B548" s="255"/>
      <c r="C548" s="299" t="s">
        <v>112</v>
      </c>
      <c r="D548" s="299" t="s">
        <v>3</v>
      </c>
      <c r="E548" s="297" t="s">
        <v>3</v>
      </c>
    </row>
    <row r="549">
      <c r="A549" s="86"/>
      <c r="B549" s="255"/>
      <c r="C549" s="299" t="s">
        <v>113</v>
      </c>
      <c r="D549" s="299" t="s">
        <v>270</v>
      </c>
      <c r="E549" s="297" t="s">
        <v>270</v>
      </c>
    </row>
    <row r="550">
      <c r="A550" s="86"/>
      <c r="B550" s="255"/>
      <c r="C550" s="299" t="s">
        <v>337</v>
      </c>
      <c r="D550" s="299" t="s">
        <v>271</v>
      </c>
      <c r="E550" s="297" t="s">
        <v>271</v>
      </c>
    </row>
    <row r="551">
      <c r="A551" s="86"/>
      <c r="B551" s="255"/>
      <c r="C551" s="299" t="s">
        <v>338</v>
      </c>
      <c r="D551" s="299" t="s">
        <v>7</v>
      </c>
      <c r="E551" s="297" t="s">
        <v>7</v>
      </c>
    </row>
    <row r="552">
      <c r="A552" s="86"/>
      <c r="B552" s="255"/>
      <c r="C552" s="299" t="s">
        <v>155</v>
      </c>
      <c r="D552" s="299" t="s">
        <v>8</v>
      </c>
      <c r="E552" s="297" t="s">
        <v>8</v>
      </c>
    </row>
    <row r="553">
      <c r="A553" s="86"/>
      <c r="B553" s="255"/>
      <c r="C553" s="299" t="s">
        <v>21</v>
      </c>
      <c r="D553" s="299" t="s">
        <v>9</v>
      </c>
      <c r="E553" s="297" t="s">
        <v>68</v>
      </c>
    </row>
    <row r="554">
      <c r="A554" s="86"/>
      <c r="B554" s="255"/>
      <c r="C554" s="299" t="s">
        <v>22</v>
      </c>
      <c r="D554" s="299" t="s">
        <v>10</v>
      </c>
      <c r="E554" s="297" t="s">
        <v>69</v>
      </c>
    </row>
    <row r="555">
      <c r="A555" s="86"/>
      <c r="B555" s="255"/>
      <c r="C555" s="297" t="s">
        <v>23</v>
      </c>
      <c r="D555" s="298" t="s">
        <v>11</v>
      </c>
      <c r="E555" s="254" t="s">
        <v>11</v>
      </c>
    </row>
    <row r="556">
      <c r="A556" s="86"/>
      <c r="B556" s="255"/>
      <c r="C556" s="297" t="s">
        <v>339</v>
      </c>
      <c r="D556" s="299" t="s">
        <v>12</v>
      </c>
      <c r="E556" s="299" t="s">
        <v>12</v>
      </c>
    </row>
    <row r="557">
      <c r="A557" s="86"/>
      <c r="B557" s="255"/>
      <c r="C557" s="297" t="s">
        <v>340</v>
      </c>
      <c r="D557" s="299" t="s">
        <v>13</v>
      </c>
      <c r="E557" s="299" t="s">
        <v>13</v>
      </c>
    </row>
    <row r="558">
      <c r="A558" s="86"/>
      <c r="B558" s="255"/>
      <c r="C558" s="297" t="s">
        <v>341</v>
      </c>
      <c r="D558" s="299" t="s">
        <v>14</v>
      </c>
      <c r="E558" s="299" t="s">
        <v>14</v>
      </c>
    </row>
    <row r="559">
      <c r="A559" s="86"/>
      <c r="B559" s="255"/>
      <c r="C559" s="297" t="s">
        <v>29</v>
      </c>
      <c r="D559" s="299" t="s">
        <v>70</v>
      </c>
      <c r="E559" s="299" t="s">
        <v>70</v>
      </c>
    </row>
    <row r="560">
      <c r="A560" s="86"/>
      <c r="B560" s="255"/>
      <c r="C560" s="272"/>
      <c r="D560" s="299" t="s">
        <v>112</v>
      </c>
      <c r="E560" s="299" t="s">
        <v>112</v>
      </c>
    </row>
    <row r="561">
      <c r="A561" s="86"/>
      <c r="B561" s="255"/>
      <c r="C561" s="272"/>
      <c r="D561" s="299" t="s">
        <v>113</v>
      </c>
      <c r="E561" s="299" t="s">
        <v>113</v>
      </c>
    </row>
    <row r="562">
      <c r="A562" s="86"/>
      <c r="B562" s="255"/>
      <c r="C562" s="272"/>
      <c r="D562" s="299" t="s">
        <v>337</v>
      </c>
      <c r="E562" s="299" t="s">
        <v>337</v>
      </c>
    </row>
    <row r="563">
      <c r="A563" s="86"/>
      <c r="B563" s="254" t="s">
        <v>66</v>
      </c>
      <c r="C563" s="272"/>
      <c r="D563" s="299" t="s">
        <v>338</v>
      </c>
      <c r="E563" s="299" t="s">
        <v>338</v>
      </c>
    </row>
    <row r="564">
      <c r="A564" s="86"/>
      <c r="B564" s="254" t="s">
        <v>0</v>
      </c>
      <c r="C564" s="272"/>
      <c r="D564" s="299" t="s">
        <v>155</v>
      </c>
      <c r="E564" s="299" t="s">
        <v>155</v>
      </c>
    </row>
    <row r="565">
      <c r="A565" s="86"/>
      <c r="B565" s="254" t="s">
        <v>1</v>
      </c>
      <c r="C565" s="272"/>
      <c r="D565" s="299" t="s">
        <v>21</v>
      </c>
      <c r="E565" s="299" t="s">
        <v>21</v>
      </c>
    </row>
    <row r="566">
      <c r="A566" s="86"/>
      <c r="B566" s="254" t="s">
        <v>2</v>
      </c>
      <c r="C566" s="272"/>
      <c r="D566" s="299" t="s">
        <v>22</v>
      </c>
      <c r="E566" s="299" t="s">
        <v>72</v>
      </c>
    </row>
    <row r="567">
      <c r="A567" s="86"/>
      <c r="B567" s="297" t="s">
        <v>3</v>
      </c>
      <c r="C567" s="272"/>
      <c r="D567" s="299" t="s">
        <v>23</v>
      </c>
      <c r="E567" s="299" t="s">
        <v>23</v>
      </c>
    </row>
    <row r="568">
      <c r="A568" s="86"/>
      <c r="B568" s="310" t="s">
        <v>270</v>
      </c>
      <c r="C568" s="272"/>
      <c r="D568" s="299" t="s">
        <v>120</v>
      </c>
      <c r="E568" s="297" t="s">
        <v>339</v>
      </c>
    </row>
    <row r="569">
      <c r="A569" s="86"/>
      <c r="B569" s="310" t="s">
        <v>271</v>
      </c>
      <c r="C569" s="272"/>
      <c r="D569" s="299" t="s">
        <v>121</v>
      </c>
      <c r="E569" s="297" t="s">
        <v>340</v>
      </c>
    </row>
    <row r="570">
      <c r="A570" s="86"/>
      <c r="B570" s="254" t="s">
        <v>272</v>
      </c>
      <c r="C570" s="272"/>
      <c r="D570" s="299" t="s">
        <v>333</v>
      </c>
      <c r="E570" s="299" t="s">
        <v>333</v>
      </c>
    </row>
    <row r="571">
      <c r="A571" s="254" t="s">
        <v>335</v>
      </c>
      <c r="B571" s="297" t="s">
        <v>8</v>
      </c>
      <c r="C571" s="272"/>
      <c r="D571" s="298" t="s">
        <v>29</v>
      </c>
      <c r="E571" s="297" t="s">
        <v>29</v>
      </c>
    </row>
    <row r="572">
      <c r="A572" s="254" t="s">
        <v>0</v>
      </c>
      <c r="B572" s="297" t="s">
        <v>9</v>
      </c>
      <c r="C572" s="272"/>
      <c r="D572" s="5"/>
      <c r="E572" s="86"/>
    </row>
    <row r="573">
      <c r="A573" s="254" t="s">
        <v>1</v>
      </c>
      <c r="B573" s="297" t="s">
        <v>10</v>
      </c>
      <c r="C573" s="272"/>
      <c r="D573" s="5"/>
      <c r="E573" s="86"/>
    </row>
    <row r="574">
      <c r="A574" s="254" t="s">
        <v>336</v>
      </c>
      <c r="B574" s="254" t="s">
        <v>11</v>
      </c>
      <c r="C574" s="272"/>
      <c r="D574" s="5"/>
      <c r="E574" s="86"/>
    </row>
    <row r="575">
      <c r="A575" s="254" t="s">
        <v>2</v>
      </c>
      <c r="B575" s="297" t="s">
        <v>12</v>
      </c>
      <c r="C575" s="272"/>
      <c r="D575" s="5"/>
      <c r="E575" s="86"/>
    </row>
    <row r="576">
      <c r="A576" s="297" t="s">
        <v>3</v>
      </c>
      <c r="B576" s="297" t="s">
        <v>13</v>
      </c>
      <c r="C576" s="272"/>
      <c r="D576" s="5"/>
      <c r="E576" s="86"/>
    </row>
    <row r="577">
      <c r="A577" s="310" t="s">
        <v>270</v>
      </c>
      <c r="B577" s="297" t="s">
        <v>110</v>
      </c>
      <c r="C577" s="272"/>
      <c r="D577" s="5"/>
      <c r="E577" s="86"/>
    </row>
    <row r="578">
      <c r="A578" s="310" t="s">
        <v>271</v>
      </c>
      <c r="B578" s="297" t="s">
        <v>111</v>
      </c>
      <c r="C578" s="272"/>
      <c r="D578" s="5"/>
      <c r="E578" s="86"/>
    </row>
    <row r="579">
      <c r="A579" s="254" t="s">
        <v>272</v>
      </c>
      <c r="B579" s="297" t="s">
        <v>129</v>
      </c>
      <c r="C579" s="272"/>
      <c r="D579" s="5"/>
      <c r="E579" s="86"/>
    </row>
    <row r="580">
      <c r="A580" s="297" t="s">
        <v>8</v>
      </c>
      <c r="B580" s="297" t="s">
        <v>130</v>
      </c>
      <c r="C580" s="297" t="s">
        <v>66</v>
      </c>
      <c r="D580" s="5"/>
      <c r="E580" s="86"/>
    </row>
    <row r="581">
      <c r="A581" s="297" t="s">
        <v>9</v>
      </c>
      <c r="B581" s="297" t="s">
        <v>114</v>
      </c>
      <c r="C581" s="297" t="s">
        <v>0</v>
      </c>
      <c r="D581" s="5"/>
      <c r="E581" s="86"/>
    </row>
    <row r="582">
      <c r="A582" s="297" t="s">
        <v>10</v>
      </c>
      <c r="B582" s="297" t="s">
        <v>115</v>
      </c>
      <c r="C582" s="247" t="s">
        <v>1</v>
      </c>
      <c r="D582" s="5"/>
      <c r="E582" s="86"/>
    </row>
    <row r="583">
      <c r="A583" s="254" t="s">
        <v>11</v>
      </c>
      <c r="B583" s="297" t="s">
        <v>116</v>
      </c>
      <c r="C583" s="297" t="s">
        <v>2</v>
      </c>
      <c r="D583" s="5"/>
      <c r="E583" s="86"/>
    </row>
    <row r="584">
      <c r="A584" s="297" t="s">
        <v>12</v>
      </c>
      <c r="B584" s="297" t="s">
        <v>131</v>
      </c>
      <c r="C584" s="297" t="s">
        <v>3</v>
      </c>
      <c r="D584" s="5"/>
      <c r="E584" s="86"/>
    </row>
    <row r="585">
      <c r="A585" s="297" t="s">
        <v>13</v>
      </c>
      <c r="B585" s="297" t="s">
        <v>132</v>
      </c>
      <c r="C585" s="297" t="s">
        <v>270</v>
      </c>
      <c r="D585" s="5"/>
      <c r="E585" s="86"/>
    </row>
    <row r="586">
      <c r="A586" s="297" t="s">
        <v>110</v>
      </c>
      <c r="B586" s="297" t="s">
        <v>120</v>
      </c>
      <c r="C586" s="297" t="s">
        <v>271</v>
      </c>
      <c r="D586" s="5"/>
      <c r="E586" s="86"/>
    </row>
    <row r="587">
      <c r="A587" s="297" t="s">
        <v>111</v>
      </c>
      <c r="B587" s="297" t="s">
        <v>121</v>
      </c>
      <c r="C587" s="297" t="s">
        <v>272</v>
      </c>
      <c r="D587" s="5"/>
      <c r="E587" s="86"/>
    </row>
    <row r="588">
      <c r="A588" s="297" t="s">
        <v>129</v>
      </c>
      <c r="B588" s="254" t="s">
        <v>29</v>
      </c>
      <c r="C588" s="297" t="s">
        <v>8</v>
      </c>
      <c r="D588" s="5"/>
      <c r="E588" s="86"/>
    </row>
    <row r="589">
      <c r="A589" s="297" t="s">
        <v>130</v>
      </c>
      <c r="B589" s="254"/>
      <c r="C589" s="297" t="s">
        <v>154</v>
      </c>
      <c r="D589" s="5"/>
      <c r="E589" s="86"/>
    </row>
    <row r="590">
      <c r="A590" s="297" t="s">
        <v>114</v>
      </c>
      <c r="B590" s="255"/>
      <c r="C590" s="297" t="s">
        <v>10</v>
      </c>
      <c r="D590" s="5"/>
      <c r="E590" s="86"/>
    </row>
    <row r="591">
      <c r="A591" s="297" t="s">
        <v>115</v>
      </c>
      <c r="B591" s="255"/>
      <c r="C591" s="297" t="s">
        <v>11</v>
      </c>
      <c r="D591" s="5"/>
      <c r="E591" s="86"/>
    </row>
    <row r="592">
      <c r="A592" s="297" t="s">
        <v>116</v>
      </c>
      <c r="B592" s="255"/>
      <c r="C592" s="299" t="s">
        <v>12</v>
      </c>
      <c r="D592" s="5"/>
      <c r="E592" s="86"/>
    </row>
    <row r="593">
      <c r="A593" s="297" t="s">
        <v>131</v>
      </c>
      <c r="B593" s="255"/>
      <c r="C593" s="299" t="s">
        <v>13</v>
      </c>
      <c r="D593" s="5"/>
      <c r="E593" s="86"/>
    </row>
    <row r="594">
      <c r="A594" s="297" t="s">
        <v>132</v>
      </c>
      <c r="B594" s="255"/>
      <c r="C594" s="299" t="s">
        <v>14</v>
      </c>
      <c r="D594" s="5"/>
      <c r="E594" s="86"/>
    </row>
    <row r="595">
      <c r="A595" s="297" t="s">
        <v>120</v>
      </c>
      <c r="B595" s="255"/>
      <c r="C595" s="299" t="s">
        <v>70</v>
      </c>
      <c r="D595" s="5"/>
      <c r="E595" s="86"/>
    </row>
    <row r="596">
      <c r="A596" s="297" t="s">
        <v>121</v>
      </c>
      <c r="B596" s="255"/>
      <c r="C596" s="299" t="s">
        <v>112</v>
      </c>
      <c r="D596" s="5"/>
      <c r="E596" s="86"/>
    </row>
    <row r="597">
      <c r="A597" s="254" t="s">
        <v>29</v>
      </c>
      <c r="B597" s="255"/>
      <c r="C597" s="299" t="s">
        <v>113</v>
      </c>
      <c r="D597" s="5"/>
      <c r="E597" s="86"/>
    </row>
    <row r="598">
      <c r="A598" s="254" t="s">
        <v>342</v>
      </c>
      <c r="B598" s="255"/>
      <c r="C598" s="299" t="s">
        <v>337</v>
      </c>
      <c r="D598" s="5"/>
      <c r="E598" s="86"/>
    </row>
    <row r="599">
      <c r="A599" s="86"/>
      <c r="B599" s="255"/>
      <c r="C599" s="299" t="s">
        <v>338</v>
      </c>
      <c r="D599" s="5"/>
      <c r="E599" s="86"/>
    </row>
    <row r="600">
      <c r="A600" s="86"/>
      <c r="B600" s="255"/>
      <c r="C600" s="299" t="s">
        <v>155</v>
      </c>
      <c r="D600" s="5"/>
      <c r="E600" s="86"/>
    </row>
    <row r="601">
      <c r="A601" s="86"/>
      <c r="B601" s="255"/>
      <c r="C601" s="299" t="s">
        <v>21</v>
      </c>
      <c r="D601" s="5"/>
      <c r="E601" s="86"/>
    </row>
    <row r="602">
      <c r="A602" s="86"/>
      <c r="B602" s="255"/>
      <c r="C602" s="299" t="s">
        <v>22</v>
      </c>
      <c r="D602" s="5"/>
      <c r="E602" s="86"/>
    </row>
    <row r="603">
      <c r="A603" s="86"/>
      <c r="B603" s="255"/>
      <c r="C603" s="297" t="s">
        <v>23</v>
      </c>
      <c r="D603" s="5"/>
      <c r="E603" s="86"/>
    </row>
    <row r="604">
      <c r="A604" s="86"/>
      <c r="B604" s="255"/>
      <c r="C604" s="297" t="s">
        <v>339</v>
      </c>
      <c r="D604" s="298" t="s">
        <v>334</v>
      </c>
      <c r="E604" s="254" t="s">
        <v>66</v>
      </c>
    </row>
    <row r="605">
      <c r="A605" s="86"/>
      <c r="B605" s="255"/>
      <c r="C605" s="297" t="s">
        <v>340</v>
      </c>
      <c r="D605" s="298" t="s">
        <v>0</v>
      </c>
      <c r="E605" s="254" t="s">
        <v>0</v>
      </c>
    </row>
    <row r="606">
      <c r="A606" s="86"/>
      <c r="B606" s="255"/>
      <c r="C606" s="297" t="s">
        <v>341</v>
      </c>
      <c r="D606" s="254" t="s">
        <v>1</v>
      </c>
      <c r="E606" s="254" t="s">
        <v>1</v>
      </c>
    </row>
    <row r="607">
      <c r="A607" s="86"/>
      <c r="B607" s="255"/>
      <c r="C607" s="297" t="s">
        <v>29</v>
      </c>
      <c r="D607" s="298" t="s">
        <v>2</v>
      </c>
      <c r="E607" s="254" t="s">
        <v>2</v>
      </c>
    </row>
    <row r="608">
      <c r="A608" s="86"/>
      <c r="B608" s="255"/>
      <c r="C608" s="272"/>
      <c r="D608" s="299" t="s">
        <v>3</v>
      </c>
      <c r="E608" s="297" t="s">
        <v>3</v>
      </c>
    </row>
    <row r="609">
      <c r="A609" s="86"/>
      <c r="B609" s="255"/>
      <c r="C609" s="272"/>
      <c r="D609" s="299" t="s">
        <v>270</v>
      </c>
      <c r="E609" s="297" t="s">
        <v>270</v>
      </c>
    </row>
    <row r="610">
      <c r="A610" s="86"/>
      <c r="B610" s="255"/>
      <c r="C610" s="272"/>
      <c r="D610" s="299" t="s">
        <v>271</v>
      </c>
      <c r="E610" s="297" t="s">
        <v>271</v>
      </c>
    </row>
    <row r="611">
      <c r="A611" s="86"/>
      <c r="B611" s="255"/>
      <c r="C611" s="272"/>
      <c r="D611" s="299" t="s">
        <v>7</v>
      </c>
      <c r="E611" s="297" t="s">
        <v>7</v>
      </c>
    </row>
    <row r="612">
      <c r="A612" s="86"/>
      <c r="B612" s="255"/>
      <c r="C612" s="272"/>
      <c r="D612" s="299" t="s">
        <v>8</v>
      </c>
      <c r="E612" s="297" t="s">
        <v>8</v>
      </c>
    </row>
    <row r="613">
      <c r="A613" s="86"/>
      <c r="B613" s="255"/>
      <c r="C613" s="272"/>
      <c r="D613" s="299" t="s">
        <v>9</v>
      </c>
      <c r="E613" s="297" t="s">
        <v>68</v>
      </c>
    </row>
    <row r="614">
      <c r="A614" s="86"/>
      <c r="B614" s="255"/>
      <c r="C614" s="272"/>
      <c r="D614" s="299" t="s">
        <v>10</v>
      </c>
      <c r="E614" s="297" t="s">
        <v>69</v>
      </c>
    </row>
    <row r="615">
      <c r="A615" s="86"/>
      <c r="B615" s="255"/>
      <c r="C615" s="272"/>
      <c r="D615" s="298" t="s">
        <v>11</v>
      </c>
      <c r="E615" s="254" t="s">
        <v>11</v>
      </c>
    </row>
    <row r="616">
      <c r="A616" s="86"/>
      <c r="B616" s="255"/>
      <c r="C616" s="272"/>
      <c r="D616" s="299" t="s">
        <v>12</v>
      </c>
      <c r="E616" s="299" t="s">
        <v>12</v>
      </c>
    </row>
    <row r="617">
      <c r="A617" s="86"/>
      <c r="B617" s="255"/>
      <c r="C617" s="272"/>
      <c r="D617" s="299" t="s">
        <v>13</v>
      </c>
      <c r="E617" s="299" t="s">
        <v>13</v>
      </c>
    </row>
    <row r="618">
      <c r="A618" s="86"/>
      <c r="B618" s="255"/>
      <c r="C618" s="272"/>
      <c r="D618" s="299" t="s">
        <v>14</v>
      </c>
      <c r="E618" s="299" t="s">
        <v>14</v>
      </c>
    </row>
    <row r="619">
      <c r="A619" s="86"/>
      <c r="B619" s="255"/>
      <c r="C619" s="272"/>
      <c r="D619" s="299" t="s">
        <v>70</v>
      </c>
      <c r="E619" s="299" t="s">
        <v>70</v>
      </c>
    </row>
    <row r="620">
      <c r="A620" s="86"/>
      <c r="B620" s="255"/>
      <c r="C620" s="272"/>
      <c r="D620" s="299" t="s">
        <v>112</v>
      </c>
      <c r="E620" s="299" t="s">
        <v>112</v>
      </c>
    </row>
    <row r="621">
      <c r="A621" s="86"/>
      <c r="B621" s="255"/>
      <c r="C621" s="272"/>
      <c r="D621" s="299" t="s">
        <v>113</v>
      </c>
      <c r="E621" s="299" t="s">
        <v>113</v>
      </c>
    </row>
    <row r="622">
      <c r="A622" s="86"/>
      <c r="B622" s="255"/>
      <c r="C622" s="272"/>
      <c r="D622" s="299" t="s">
        <v>337</v>
      </c>
      <c r="E622" s="299" t="s">
        <v>337</v>
      </c>
    </row>
    <row r="623">
      <c r="A623" s="86"/>
      <c r="B623" s="255"/>
      <c r="C623" s="272"/>
      <c r="D623" s="299" t="s">
        <v>338</v>
      </c>
      <c r="E623" s="299" t="s">
        <v>338</v>
      </c>
    </row>
    <row r="624">
      <c r="A624" s="86"/>
      <c r="B624" s="255"/>
      <c r="C624" s="272"/>
      <c r="D624" s="299" t="s">
        <v>155</v>
      </c>
      <c r="E624" s="299" t="s">
        <v>155</v>
      </c>
    </row>
    <row r="625">
      <c r="A625" s="86"/>
      <c r="B625" s="254" t="s">
        <v>66</v>
      </c>
      <c r="C625" s="272"/>
      <c r="D625" s="299" t="s">
        <v>21</v>
      </c>
      <c r="E625" s="299" t="s">
        <v>21</v>
      </c>
    </row>
    <row r="626">
      <c r="A626" s="86"/>
      <c r="B626" s="254" t="s">
        <v>0</v>
      </c>
      <c r="C626" s="272"/>
      <c r="D626" s="299" t="s">
        <v>22</v>
      </c>
      <c r="E626" s="299" t="s">
        <v>72</v>
      </c>
    </row>
    <row r="627">
      <c r="A627" s="86"/>
      <c r="B627" s="254" t="s">
        <v>1</v>
      </c>
      <c r="C627" s="272"/>
      <c r="D627" s="299" t="s">
        <v>23</v>
      </c>
      <c r="E627" s="299" t="s">
        <v>23</v>
      </c>
    </row>
    <row r="628">
      <c r="A628" s="86"/>
      <c r="B628" s="254" t="s">
        <v>2</v>
      </c>
      <c r="C628" s="297" t="s">
        <v>66</v>
      </c>
      <c r="D628" s="299" t="s">
        <v>120</v>
      </c>
      <c r="E628" s="297" t="s">
        <v>339</v>
      </c>
    </row>
    <row r="629">
      <c r="A629" s="86"/>
      <c r="B629" s="297" t="s">
        <v>3</v>
      </c>
      <c r="C629" s="297" t="s">
        <v>0</v>
      </c>
      <c r="D629" s="299" t="s">
        <v>121</v>
      </c>
      <c r="E629" s="297" t="s">
        <v>340</v>
      </c>
    </row>
    <row r="630">
      <c r="A630" s="86"/>
      <c r="B630" s="310" t="s">
        <v>270</v>
      </c>
      <c r="C630" s="247" t="s">
        <v>1</v>
      </c>
      <c r="D630" s="299" t="s">
        <v>333</v>
      </c>
      <c r="E630" s="299" t="s">
        <v>333</v>
      </c>
    </row>
    <row r="631">
      <c r="A631" s="86"/>
      <c r="B631" s="310" t="s">
        <v>271</v>
      </c>
      <c r="C631" s="297" t="s">
        <v>2</v>
      </c>
      <c r="D631" s="298" t="s">
        <v>29</v>
      </c>
      <c r="E631" s="297" t="s">
        <v>29</v>
      </c>
    </row>
    <row r="632">
      <c r="A632" s="86"/>
      <c r="B632" s="254" t="s">
        <v>272</v>
      </c>
      <c r="C632" s="297" t="s">
        <v>3</v>
      </c>
      <c r="D632" s="5"/>
      <c r="E632" s="86"/>
    </row>
    <row r="633">
      <c r="A633" s="86"/>
      <c r="B633" s="297" t="s">
        <v>8</v>
      </c>
      <c r="C633" s="297" t="s">
        <v>270</v>
      </c>
      <c r="D633" s="5"/>
      <c r="E633" s="86"/>
    </row>
    <row r="634">
      <c r="A634" s="254" t="s">
        <v>335</v>
      </c>
      <c r="B634" s="297" t="s">
        <v>9</v>
      </c>
      <c r="C634" s="297" t="s">
        <v>271</v>
      </c>
      <c r="D634" s="5"/>
      <c r="E634" s="86"/>
    </row>
    <row r="635">
      <c r="A635" s="254" t="s">
        <v>0</v>
      </c>
      <c r="B635" s="297" t="s">
        <v>10</v>
      </c>
      <c r="C635" s="297" t="s">
        <v>272</v>
      </c>
      <c r="D635" s="5"/>
      <c r="E635" s="86"/>
    </row>
    <row r="636">
      <c r="A636" s="254" t="s">
        <v>1</v>
      </c>
      <c r="B636" s="254" t="s">
        <v>11</v>
      </c>
      <c r="C636" s="297" t="s">
        <v>8</v>
      </c>
      <c r="D636" s="5"/>
      <c r="E636" s="86"/>
    </row>
    <row r="637">
      <c r="A637" s="254" t="s">
        <v>336</v>
      </c>
      <c r="B637" s="297" t="s">
        <v>12</v>
      </c>
      <c r="C637" s="297" t="s">
        <v>154</v>
      </c>
      <c r="D637" s="5"/>
      <c r="E637" s="86"/>
    </row>
    <row r="638">
      <c r="A638" s="254" t="s">
        <v>2</v>
      </c>
      <c r="B638" s="297" t="s">
        <v>13</v>
      </c>
      <c r="C638" s="297" t="s">
        <v>10</v>
      </c>
      <c r="D638" s="5"/>
      <c r="E638" s="86"/>
    </row>
    <row r="639">
      <c r="A639" s="297" t="s">
        <v>3</v>
      </c>
      <c r="B639" s="297" t="s">
        <v>110</v>
      </c>
      <c r="C639" s="297" t="s">
        <v>11</v>
      </c>
      <c r="D639" s="5"/>
      <c r="E639" s="86"/>
    </row>
    <row r="640">
      <c r="A640" s="310" t="s">
        <v>270</v>
      </c>
      <c r="B640" s="297" t="s">
        <v>111</v>
      </c>
      <c r="C640" s="299" t="s">
        <v>12</v>
      </c>
      <c r="D640" s="5"/>
      <c r="E640" s="86"/>
    </row>
    <row r="641">
      <c r="A641" s="310" t="s">
        <v>271</v>
      </c>
      <c r="B641" s="297" t="s">
        <v>129</v>
      </c>
      <c r="C641" s="299" t="s">
        <v>13</v>
      </c>
      <c r="D641" s="5"/>
      <c r="E641" s="86"/>
    </row>
    <row r="642">
      <c r="A642" s="254" t="s">
        <v>272</v>
      </c>
      <c r="B642" s="297" t="s">
        <v>130</v>
      </c>
      <c r="C642" s="299" t="s">
        <v>14</v>
      </c>
      <c r="D642" s="5"/>
      <c r="E642" s="86"/>
    </row>
    <row r="643">
      <c r="A643" s="297" t="s">
        <v>8</v>
      </c>
      <c r="B643" s="297" t="s">
        <v>114</v>
      </c>
      <c r="C643" s="299" t="s">
        <v>70</v>
      </c>
      <c r="D643" s="5"/>
      <c r="E643" s="86"/>
    </row>
    <row r="644">
      <c r="A644" s="297" t="s">
        <v>9</v>
      </c>
      <c r="B644" s="297" t="s">
        <v>115</v>
      </c>
      <c r="C644" s="299" t="s">
        <v>112</v>
      </c>
      <c r="D644" s="5"/>
      <c r="E644" s="86"/>
    </row>
    <row r="645">
      <c r="A645" s="297" t="s">
        <v>10</v>
      </c>
      <c r="B645" s="297" t="s">
        <v>116</v>
      </c>
      <c r="C645" s="299" t="s">
        <v>113</v>
      </c>
      <c r="D645" s="5"/>
      <c r="E645" s="86"/>
    </row>
    <row r="646">
      <c r="A646" s="254" t="s">
        <v>11</v>
      </c>
      <c r="B646" s="297" t="s">
        <v>131</v>
      </c>
      <c r="C646" s="299" t="s">
        <v>337</v>
      </c>
      <c r="D646" s="5"/>
      <c r="E646" s="86"/>
    </row>
    <row r="647">
      <c r="A647" s="297" t="s">
        <v>12</v>
      </c>
      <c r="B647" s="297" t="s">
        <v>132</v>
      </c>
      <c r="C647" s="299" t="s">
        <v>338</v>
      </c>
      <c r="D647" s="5"/>
      <c r="E647" s="86"/>
    </row>
    <row r="648">
      <c r="A648" s="297" t="s">
        <v>13</v>
      </c>
      <c r="B648" s="297" t="s">
        <v>120</v>
      </c>
      <c r="C648" s="299" t="s">
        <v>155</v>
      </c>
      <c r="D648" s="5"/>
      <c r="E648" s="86"/>
    </row>
    <row r="649">
      <c r="A649" s="297" t="s">
        <v>110</v>
      </c>
      <c r="B649" s="297" t="s">
        <v>121</v>
      </c>
      <c r="C649" s="299" t="s">
        <v>21</v>
      </c>
      <c r="D649" s="5"/>
      <c r="E649" s="86"/>
    </row>
    <row r="650">
      <c r="A650" s="297" t="s">
        <v>111</v>
      </c>
      <c r="B650" s="254" t="s">
        <v>29</v>
      </c>
      <c r="C650" s="299" t="s">
        <v>22</v>
      </c>
      <c r="D650" s="5"/>
      <c r="E650" s="86"/>
    </row>
    <row r="651">
      <c r="A651" s="297" t="s">
        <v>129</v>
      </c>
      <c r="B651" s="254"/>
      <c r="C651" s="297" t="s">
        <v>23</v>
      </c>
      <c r="D651" s="5"/>
      <c r="E651" s="86"/>
    </row>
    <row r="652">
      <c r="A652" s="297" t="s">
        <v>130</v>
      </c>
      <c r="B652" s="255"/>
      <c r="C652" s="297" t="s">
        <v>339</v>
      </c>
      <c r="D652" s="5"/>
      <c r="E652" s="86"/>
    </row>
    <row r="653">
      <c r="A653" s="297" t="s">
        <v>114</v>
      </c>
      <c r="B653" s="255"/>
      <c r="C653" s="297" t="s">
        <v>340</v>
      </c>
      <c r="D653" s="5"/>
      <c r="E653" s="86"/>
    </row>
    <row r="654">
      <c r="A654" s="297" t="s">
        <v>115</v>
      </c>
      <c r="B654" s="255"/>
      <c r="C654" s="297" t="s">
        <v>341</v>
      </c>
      <c r="D654" s="5"/>
      <c r="E654" s="86"/>
    </row>
    <row r="655">
      <c r="A655" s="297" t="s">
        <v>116</v>
      </c>
      <c r="B655" s="255"/>
      <c r="C655" s="297" t="s">
        <v>29</v>
      </c>
      <c r="D655" s="5"/>
      <c r="E655" s="86"/>
    </row>
    <row r="656">
      <c r="A656" s="297" t="s">
        <v>131</v>
      </c>
      <c r="B656" s="255"/>
      <c r="C656" s="272"/>
      <c r="D656" s="5"/>
      <c r="E656" s="86"/>
    </row>
    <row r="657">
      <c r="A657" s="297" t="s">
        <v>132</v>
      </c>
      <c r="B657" s="255"/>
      <c r="C657" s="272"/>
      <c r="D657" s="5"/>
      <c r="E657" s="86"/>
    </row>
    <row r="658">
      <c r="A658" s="297" t="s">
        <v>120</v>
      </c>
      <c r="B658" s="255"/>
      <c r="C658" s="272"/>
      <c r="D658" s="5"/>
      <c r="E658" s="86"/>
    </row>
    <row r="659">
      <c r="A659" s="297" t="s">
        <v>121</v>
      </c>
      <c r="B659" s="255"/>
      <c r="C659" s="272"/>
      <c r="D659" s="5"/>
      <c r="E659" s="86"/>
    </row>
    <row r="660">
      <c r="A660" s="254" t="s">
        <v>29</v>
      </c>
      <c r="B660" s="255"/>
      <c r="C660" s="272"/>
      <c r="D660" s="5"/>
      <c r="E660" s="86"/>
    </row>
    <row r="661">
      <c r="A661" s="254" t="s">
        <v>342</v>
      </c>
      <c r="B661" s="255"/>
      <c r="C661" s="272"/>
      <c r="D661" s="5"/>
      <c r="E661" s="86"/>
    </row>
    <row r="662">
      <c r="A662" s="86"/>
      <c r="B662" s="255"/>
      <c r="C662" s="272"/>
      <c r="D662" s="5"/>
      <c r="E662" s="86"/>
    </row>
    <row r="663">
      <c r="A663" s="86"/>
      <c r="B663" s="255"/>
      <c r="C663" s="272"/>
      <c r="D663" s="5"/>
      <c r="E663" s="86"/>
    </row>
    <row r="664">
      <c r="A664" s="86"/>
      <c r="B664" s="255"/>
      <c r="C664" s="272"/>
      <c r="D664" s="298" t="s">
        <v>334</v>
      </c>
      <c r="E664" s="254" t="s">
        <v>66</v>
      </c>
    </row>
    <row r="665">
      <c r="A665" s="86"/>
      <c r="B665" s="255"/>
      <c r="C665" s="272"/>
      <c r="D665" s="298" t="s">
        <v>0</v>
      </c>
      <c r="E665" s="254" t="s">
        <v>0</v>
      </c>
    </row>
    <row r="666">
      <c r="A666" s="86"/>
      <c r="B666" s="255"/>
      <c r="C666" s="272"/>
      <c r="D666" s="254" t="s">
        <v>1</v>
      </c>
      <c r="E666" s="254" t="s">
        <v>1</v>
      </c>
    </row>
    <row r="667">
      <c r="A667" s="86"/>
      <c r="B667" s="255"/>
      <c r="C667" s="272"/>
      <c r="D667" s="298" t="s">
        <v>2</v>
      </c>
      <c r="E667" s="254" t="s">
        <v>2</v>
      </c>
    </row>
    <row r="668">
      <c r="A668" s="86"/>
      <c r="B668" s="255"/>
      <c r="C668" s="272"/>
      <c r="D668" s="299" t="s">
        <v>3</v>
      </c>
      <c r="E668" s="297" t="s">
        <v>3</v>
      </c>
    </row>
    <row r="669">
      <c r="A669" s="86"/>
      <c r="B669" s="255"/>
      <c r="C669" s="272"/>
      <c r="D669" s="299" t="s">
        <v>270</v>
      </c>
      <c r="E669" s="297" t="s">
        <v>270</v>
      </c>
    </row>
    <row r="670">
      <c r="A670" s="86"/>
      <c r="B670" s="255"/>
      <c r="C670" s="272"/>
      <c r="D670" s="299" t="s">
        <v>271</v>
      </c>
      <c r="E670" s="297" t="s">
        <v>271</v>
      </c>
    </row>
    <row r="671">
      <c r="A671" s="86"/>
      <c r="B671" s="255"/>
      <c r="C671" s="272"/>
      <c r="D671" s="299" t="s">
        <v>7</v>
      </c>
      <c r="E671" s="297" t="s">
        <v>7</v>
      </c>
    </row>
    <row r="672">
      <c r="A672" s="86"/>
      <c r="B672" s="255"/>
      <c r="C672" s="272"/>
      <c r="D672" s="299" t="s">
        <v>8</v>
      </c>
      <c r="E672" s="297" t="s">
        <v>8</v>
      </c>
    </row>
    <row r="673">
      <c r="A673" s="86"/>
      <c r="B673" s="255"/>
      <c r="C673" s="272"/>
      <c r="D673" s="299" t="s">
        <v>9</v>
      </c>
      <c r="E673" s="297" t="s">
        <v>68</v>
      </c>
    </row>
    <row r="674">
      <c r="A674" s="86"/>
      <c r="B674" s="255"/>
      <c r="C674" s="272"/>
      <c r="D674" s="299" t="s">
        <v>10</v>
      </c>
      <c r="E674" s="297" t="s">
        <v>69</v>
      </c>
    </row>
    <row r="675">
      <c r="A675" s="86"/>
      <c r="B675" s="255"/>
      <c r="C675" s="272"/>
      <c r="D675" s="298" t="s">
        <v>11</v>
      </c>
      <c r="E675" s="254" t="s">
        <v>11</v>
      </c>
    </row>
    <row r="676">
      <c r="A676" s="86"/>
      <c r="B676" s="255"/>
      <c r="C676" s="297" t="s">
        <v>66</v>
      </c>
      <c r="D676" s="299" t="s">
        <v>12</v>
      </c>
      <c r="E676" s="299" t="s">
        <v>12</v>
      </c>
    </row>
    <row r="677">
      <c r="A677" s="86"/>
      <c r="B677" s="255"/>
      <c r="C677" s="297" t="s">
        <v>0</v>
      </c>
      <c r="D677" s="299" t="s">
        <v>13</v>
      </c>
      <c r="E677" s="299" t="s">
        <v>13</v>
      </c>
    </row>
    <row r="678">
      <c r="A678" s="86"/>
      <c r="B678" s="255"/>
      <c r="C678" s="247" t="s">
        <v>1</v>
      </c>
      <c r="D678" s="299" t="s">
        <v>14</v>
      </c>
      <c r="E678" s="299" t="s">
        <v>14</v>
      </c>
    </row>
    <row r="679">
      <c r="A679" s="86"/>
      <c r="B679" s="255"/>
      <c r="C679" s="297" t="s">
        <v>2</v>
      </c>
      <c r="D679" s="299" t="s">
        <v>70</v>
      </c>
      <c r="E679" s="299" t="s">
        <v>70</v>
      </c>
    </row>
    <row r="680">
      <c r="A680" s="86"/>
      <c r="B680" s="255"/>
      <c r="C680" s="297" t="s">
        <v>3</v>
      </c>
      <c r="D680" s="299" t="s">
        <v>112</v>
      </c>
      <c r="E680" s="299" t="s">
        <v>112</v>
      </c>
    </row>
    <row r="681">
      <c r="A681" s="86"/>
      <c r="B681" s="255"/>
      <c r="C681" s="297" t="s">
        <v>270</v>
      </c>
      <c r="D681" s="299" t="s">
        <v>113</v>
      </c>
      <c r="E681" s="299" t="s">
        <v>113</v>
      </c>
    </row>
    <row r="682">
      <c r="A682" s="86"/>
      <c r="B682" s="255"/>
      <c r="C682" s="297" t="s">
        <v>271</v>
      </c>
      <c r="D682" s="299" t="s">
        <v>337</v>
      </c>
      <c r="E682" s="299" t="s">
        <v>337</v>
      </c>
    </row>
    <row r="683">
      <c r="A683" s="86"/>
      <c r="B683" s="255"/>
      <c r="C683" s="297" t="s">
        <v>272</v>
      </c>
      <c r="D683" s="299" t="s">
        <v>338</v>
      </c>
      <c r="E683" s="299" t="s">
        <v>338</v>
      </c>
    </row>
    <row r="684">
      <c r="A684" s="86"/>
      <c r="B684" s="255"/>
      <c r="C684" s="297" t="s">
        <v>8</v>
      </c>
      <c r="D684" s="299" t="s">
        <v>155</v>
      </c>
      <c r="E684" s="299" t="s">
        <v>155</v>
      </c>
    </row>
    <row r="685">
      <c r="A685" s="86"/>
      <c r="B685" s="255"/>
      <c r="C685" s="297" t="s">
        <v>154</v>
      </c>
      <c r="D685" s="299" t="s">
        <v>21</v>
      </c>
      <c r="E685" s="299" t="s">
        <v>21</v>
      </c>
    </row>
    <row r="686">
      <c r="A686" s="86"/>
      <c r="B686" s="255"/>
      <c r="C686" s="297" t="s">
        <v>10</v>
      </c>
      <c r="D686" s="299" t="s">
        <v>22</v>
      </c>
      <c r="E686" s="299" t="s">
        <v>72</v>
      </c>
    </row>
    <row r="687">
      <c r="A687" s="86"/>
      <c r="B687" s="254" t="s">
        <v>66</v>
      </c>
      <c r="C687" s="297" t="s">
        <v>11</v>
      </c>
      <c r="D687" s="299" t="s">
        <v>23</v>
      </c>
      <c r="E687" s="299" t="s">
        <v>23</v>
      </c>
    </row>
    <row r="688">
      <c r="A688" s="86"/>
      <c r="B688" s="254" t="s">
        <v>0</v>
      </c>
      <c r="C688" s="299" t="s">
        <v>12</v>
      </c>
      <c r="D688" s="299" t="s">
        <v>120</v>
      </c>
      <c r="E688" s="297" t="s">
        <v>339</v>
      </c>
    </row>
    <row r="689">
      <c r="A689" s="86"/>
      <c r="B689" s="254" t="s">
        <v>1</v>
      </c>
      <c r="C689" s="299" t="s">
        <v>13</v>
      </c>
      <c r="D689" s="299" t="s">
        <v>121</v>
      </c>
      <c r="E689" s="297" t="s">
        <v>340</v>
      </c>
    </row>
    <row r="690">
      <c r="A690" s="86"/>
      <c r="B690" s="254" t="s">
        <v>2</v>
      </c>
      <c r="C690" s="299" t="s">
        <v>14</v>
      </c>
      <c r="D690" s="299" t="s">
        <v>333</v>
      </c>
      <c r="E690" s="299" t="s">
        <v>333</v>
      </c>
    </row>
    <row r="691">
      <c r="A691" s="86"/>
      <c r="B691" s="297" t="s">
        <v>3</v>
      </c>
      <c r="C691" s="299" t="s">
        <v>70</v>
      </c>
      <c r="D691" s="298" t="s">
        <v>29</v>
      </c>
      <c r="E691" s="297" t="s">
        <v>29</v>
      </c>
    </row>
    <row r="692">
      <c r="A692" s="86"/>
      <c r="B692" s="310" t="s">
        <v>270</v>
      </c>
      <c r="C692" s="299" t="s">
        <v>112</v>
      </c>
      <c r="D692" s="5"/>
      <c r="E692" s="86"/>
    </row>
    <row r="693">
      <c r="A693" s="86"/>
      <c r="B693" s="310" t="s">
        <v>271</v>
      </c>
      <c r="C693" s="299" t="s">
        <v>113</v>
      </c>
      <c r="D693" s="5"/>
      <c r="E693" s="86"/>
    </row>
    <row r="694">
      <c r="A694" s="86"/>
      <c r="B694" s="254" t="s">
        <v>272</v>
      </c>
      <c r="C694" s="299" t="s">
        <v>337</v>
      </c>
      <c r="D694" s="5"/>
      <c r="E694" s="86"/>
    </row>
    <row r="695">
      <c r="A695" s="86"/>
      <c r="B695" s="297" t="s">
        <v>8</v>
      </c>
      <c r="C695" s="299" t="s">
        <v>338</v>
      </c>
      <c r="D695" s="5"/>
      <c r="E695" s="86"/>
    </row>
    <row r="696">
      <c r="A696" s="86"/>
      <c r="B696" s="297" t="s">
        <v>9</v>
      </c>
      <c r="C696" s="299" t="s">
        <v>155</v>
      </c>
      <c r="D696" s="5"/>
      <c r="E696" s="86"/>
    </row>
    <row r="697">
      <c r="A697" s="254" t="s">
        <v>335</v>
      </c>
      <c r="B697" s="297" t="s">
        <v>10</v>
      </c>
      <c r="C697" s="299" t="s">
        <v>21</v>
      </c>
      <c r="D697" s="5"/>
      <c r="E697" s="86"/>
    </row>
    <row r="698">
      <c r="A698" s="254" t="s">
        <v>0</v>
      </c>
      <c r="B698" s="254" t="s">
        <v>11</v>
      </c>
      <c r="C698" s="299" t="s">
        <v>22</v>
      </c>
      <c r="D698" s="5"/>
      <c r="E698" s="86"/>
    </row>
    <row r="699">
      <c r="A699" s="254" t="s">
        <v>1</v>
      </c>
      <c r="B699" s="297" t="s">
        <v>12</v>
      </c>
      <c r="C699" s="297" t="s">
        <v>23</v>
      </c>
      <c r="D699" s="5"/>
      <c r="E699" s="86"/>
    </row>
    <row r="700">
      <c r="A700" s="254" t="s">
        <v>336</v>
      </c>
      <c r="B700" s="297" t="s">
        <v>13</v>
      </c>
      <c r="C700" s="297" t="s">
        <v>339</v>
      </c>
      <c r="D700" s="5"/>
      <c r="E700" s="86"/>
    </row>
    <row r="701">
      <c r="A701" s="254" t="s">
        <v>2</v>
      </c>
      <c r="B701" s="297" t="s">
        <v>110</v>
      </c>
      <c r="C701" s="297" t="s">
        <v>340</v>
      </c>
      <c r="D701" s="5"/>
      <c r="E701" s="86"/>
    </row>
    <row r="702">
      <c r="A702" s="297" t="s">
        <v>3</v>
      </c>
      <c r="B702" s="297" t="s">
        <v>111</v>
      </c>
      <c r="C702" s="297" t="s">
        <v>341</v>
      </c>
      <c r="D702" s="5"/>
      <c r="E702" s="86"/>
    </row>
    <row r="703">
      <c r="A703" s="310" t="s">
        <v>270</v>
      </c>
      <c r="B703" s="297" t="s">
        <v>129</v>
      </c>
      <c r="C703" s="297" t="s">
        <v>29</v>
      </c>
      <c r="D703" s="5"/>
      <c r="E703" s="86"/>
    </row>
    <row r="704">
      <c r="A704" s="310" t="s">
        <v>271</v>
      </c>
      <c r="B704" s="297" t="s">
        <v>130</v>
      </c>
      <c r="C704" s="272"/>
      <c r="D704" s="5"/>
      <c r="E704" s="86"/>
    </row>
    <row r="705">
      <c r="A705" s="254" t="s">
        <v>272</v>
      </c>
      <c r="B705" s="297" t="s">
        <v>114</v>
      </c>
      <c r="C705" s="272"/>
      <c r="D705" s="5"/>
      <c r="E705" s="86"/>
    </row>
    <row r="706">
      <c r="A706" s="297" t="s">
        <v>8</v>
      </c>
      <c r="B706" s="297" t="s">
        <v>115</v>
      </c>
      <c r="C706" s="272"/>
      <c r="D706" s="5"/>
      <c r="E706" s="86"/>
    </row>
    <row r="707">
      <c r="A707" s="297" t="s">
        <v>9</v>
      </c>
      <c r="B707" s="297" t="s">
        <v>116</v>
      </c>
      <c r="C707" s="272"/>
      <c r="D707" s="5"/>
      <c r="E707" s="86"/>
    </row>
    <row r="708">
      <c r="A708" s="297" t="s">
        <v>10</v>
      </c>
      <c r="B708" s="297" t="s">
        <v>131</v>
      </c>
      <c r="C708" s="272"/>
      <c r="D708" s="5"/>
      <c r="E708" s="86"/>
    </row>
    <row r="709">
      <c r="A709" s="254" t="s">
        <v>11</v>
      </c>
      <c r="B709" s="297" t="s">
        <v>132</v>
      </c>
      <c r="C709" s="272"/>
      <c r="D709" s="5"/>
      <c r="E709" s="86"/>
    </row>
    <row r="710">
      <c r="A710" s="297" t="s">
        <v>12</v>
      </c>
      <c r="B710" s="297" t="s">
        <v>120</v>
      </c>
      <c r="C710" s="272"/>
      <c r="D710" s="5"/>
      <c r="E710" s="86"/>
    </row>
    <row r="711">
      <c r="A711" s="297" t="s">
        <v>13</v>
      </c>
      <c r="B711" s="297" t="s">
        <v>121</v>
      </c>
      <c r="C711" s="272"/>
      <c r="D711" s="5"/>
      <c r="E711" s="86"/>
    </row>
    <row r="712">
      <c r="A712" s="297" t="s">
        <v>110</v>
      </c>
      <c r="B712" s="254" t="s">
        <v>29</v>
      </c>
      <c r="C712" s="272"/>
      <c r="D712" s="5"/>
      <c r="E712" s="86"/>
    </row>
    <row r="713">
      <c r="A713" s="297" t="s">
        <v>111</v>
      </c>
      <c r="B713" s="254"/>
      <c r="C713" s="272"/>
      <c r="D713" s="5"/>
      <c r="E713" s="86"/>
    </row>
    <row r="714">
      <c r="A714" s="297" t="s">
        <v>129</v>
      </c>
      <c r="B714" s="255"/>
      <c r="C714" s="272"/>
      <c r="D714" s="5"/>
      <c r="E714" s="86"/>
    </row>
    <row r="715">
      <c r="A715" s="297" t="s">
        <v>130</v>
      </c>
      <c r="B715" s="255"/>
      <c r="C715" s="272"/>
      <c r="D715" s="5"/>
      <c r="E715" s="86"/>
    </row>
    <row r="716">
      <c r="A716" s="297" t="s">
        <v>114</v>
      </c>
      <c r="B716" s="255"/>
      <c r="C716" s="272"/>
      <c r="D716" s="5"/>
      <c r="E716" s="86"/>
    </row>
    <row r="717">
      <c r="A717" s="297" t="s">
        <v>115</v>
      </c>
      <c r="B717" s="255"/>
      <c r="C717" s="272"/>
      <c r="D717" s="5"/>
      <c r="E717" s="86"/>
    </row>
    <row r="718">
      <c r="A718" s="297" t="s">
        <v>116</v>
      </c>
      <c r="B718" s="255"/>
      <c r="C718" s="272"/>
      <c r="D718" s="5"/>
      <c r="E718" s="86"/>
    </row>
    <row r="719">
      <c r="A719" s="297" t="s">
        <v>131</v>
      </c>
      <c r="B719" s="255"/>
      <c r="C719" s="272"/>
      <c r="D719" s="5"/>
      <c r="E719" s="86"/>
    </row>
    <row r="720">
      <c r="A720" s="297" t="s">
        <v>132</v>
      </c>
      <c r="B720" s="255"/>
      <c r="C720" s="272"/>
      <c r="D720" s="5"/>
      <c r="E720" s="86"/>
    </row>
    <row r="721">
      <c r="A721" s="297" t="s">
        <v>120</v>
      </c>
      <c r="B721" s="255"/>
      <c r="C721" s="272"/>
      <c r="D721" s="5"/>
      <c r="E721" s="86"/>
    </row>
    <row r="722">
      <c r="A722" s="297" t="s">
        <v>121</v>
      </c>
      <c r="B722" s="255"/>
      <c r="C722" s="272"/>
      <c r="D722" s="5"/>
      <c r="E722" s="86"/>
    </row>
    <row r="723">
      <c r="A723" s="254" t="s">
        <v>29</v>
      </c>
      <c r="B723" s="255"/>
      <c r="C723" s="272"/>
      <c r="D723" s="5"/>
      <c r="E723" s="86"/>
    </row>
    <row r="724">
      <c r="A724" s="254" t="s">
        <v>342</v>
      </c>
      <c r="B724" s="255"/>
      <c r="C724" s="297" t="s">
        <v>66</v>
      </c>
      <c r="D724" s="298" t="s">
        <v>334</v>
      </c>
      <c r="E724" s="254" t="s">
        <v>66</v>
      </c>
    </row>
    <row r="725">
      <c r="A725" s="86"/>
      <c r="B725" s="255"/>
      <c r="C725" s="297" t="s">
        <v>0</v>
      </c>
      <c r="D725" s="298" t="s">
        <v>0</v>
      </c>
      <c r="E725" s="254" t="s">
        <v>0</v>
      </c>
    </row>
    <row r="726">
      <c r="A726" s="86"/>
      <c r="B726" s="255"/>
      <c r="C726" s="247" t="s">
        <v>1</v>
      </c>
      <c r="D726" s="254" t="s">
        <v>1</v>
      </c>
      <c r="E726" s="254" t="s">
        <v>1</v>
      </c>
    </row>
    <row r="727">
      <c r="A727" s="86"/>
      <c r="B727" s="255"/>
      <c r="C727" s="297" t="s">
        <v>2</v>
      </c>
      <c r="D727" s="298" t="s">
        <v>2</v>
      </c>
      <c r="E727" s="254" t="s">
        <v>2</v>
      </c>
    </row>
    <row r="728">
      <c r="A728" s="86"/>
      <c r="B728" s="255"/>
      <c r="C728" s="297" t="s">
        <v>3</v>
      </c>
      <c r="D728" s="299" t="s">
        <v>3</v>
      </c>
      <c r="E728" s="297" t="s">
        <v>3</v>
      </c>
    </row>
    <row r="729">
      <c r="A729" s="86"/>
      <c r="B729" s="255"/>
      <c r="C729" s="297" t="s">
        <v>270</v>
      </c>
      <c r="D729" s="299" t="s">
        <v>270</v>
      </c>
      <c r="E729" s="297" t="s">
        <v>270</v>
      </c>
    </row>
    <row r="730">
      <c r="A730" s="86"/>
      <c r="B730" s="255"/>
      <c r="C730" s="297" t="s">
        <v>271</v>
      </c>
      <c r="D730" s="299" t="s">
        <v>271</v>
      </c>
      <c r="E730" s="297" t="s">
        <v>271</v>
      </c>
    </row>
    <row r="731">
      <c r="A731" s="86"/>
      <c r="B731" s="255"/>
      <c r="C731" s="297" t="s">
        <v>272</v>
      </c>
      <c r="D731" s="299" t="s">
        <v>7</v>
      </c>
      <c r="E731" s="297" t="s">
        <v>7</v>
      </c>
    </row>
    <row r="732">
      <c r="A732" s="86"/>
      <c r="B732" s="255"/>
      <c r="C732" s="297" t="s">
        <v>8</v>
      </c>
      <c r="D732" s="299" t="s">
        <v>8</v>
      </c>
      <c r="E732" s="297" t="s">
        <v>8</v>
      </c>
    </row>
    <row r="733">
      <c r="A733" s="86"/>
      <c r="B733" s="255"/>
      <c r="C733" s="297" t="s">
        <v>154</v>
      </c>
      <c r="D733" s="299" t="s">
        <v>9</v>
      </c>
      <c r="E733" s="297" t="s">
        <v>68</v>
      </c>
    </row>
    <row r="734">
      <c r="A734" s="86"/>
      <c r="B734" s="255"/>
      <c r="C734" s="297" t="s">
        <v>10</v>
      </c>
      <c r="D734" s="299" t="s">
        <v>10</v>
      </c>
      <c r="E734" s="297" t="s">
        <v>69</v>
      </c>
    </row>
    <row r="735">
      <c r="A735" s="86"/>
      <c r="B735" s="255"/>
      <c r="C735" s="297" t="s">
        <v>11</v>
      </c>
      <c r="D735" s="298" t="s">
        <v>11</v>
      </c>
      <c r="E735" s="254" t="s">
        <v>11</v>
      </c>
    </row>
    <row r="736">
      <c r="A736" s="86"/>
      <c r="B736" s="255"/>
      <c r="C736" s="299" t="s">
        <v>12</v>
      </c>
      <c r="D736" s="299" t="s">
        <v>12</v>
      </c>
      <c r="E736" s="299" t="s">
        <v>12</v>
      </c>
    </row>
    <row r="737">
      <c r="A737" s="86"/>
      <c r="B737" s="255"/>
      <c r="C737" s="299" t="s">
        <v>13</v>
      </c>
      <c r="D737" s="299" t="s">
        <v>13</v>
      </c>
      <c r="E737" s="299" t="s">
        <v>13</v>
      </c>
    </row>
    <row r="738">
      <c r="A738" s="86"/>
      <c r="B738" s="255"/>
      <c r="C738" s="299" t="s">
        <v>14</v>
      </c>
      <c r="D738" s="299" t="s">
        <v>14</v>
      </c>
      <c r="E738" s="299" t="s">
        <v>14</v>
      </c>
    </row>
    <row r="739">
      <c r="A739" s="86"/>
      <c r="B739" s="255"/>
      <c r="C739" s="299" t="s">
        <v>70</v>
      </c>
      <c r="D739" s="299" t="s">
        <v>70</v>
      </c>
      <c r="E739" s="299" t="s">
        <v>70</v>
      </c>
    </row>
    <row r="740">
      <c r="A740" s="86"/>
      <c r="B740" s="255"/>
      <c r="C740" s="299" t="s">
        <v>112</v>
      </c>
      <c r="D740" s="299" t="s">
        <v>112</v>
      </c>
      <c r="E740" s="299" t="s">
        <v>112</v>
      </c>
    </row>
    <row r="741">
      <c r="A741" s="86"/>
      <c r="B741" s="255"/>
      <c r="C741" s="299" t="s">
        <v>113</v>
      </c>
      <c r="D741" s="299" t="s">
        <v>113</v>
      </c>
      <c r="E741" s="299" t="s">
        <v>113</v>
      </c>
    </row>
    <row r="742">
      <c r="A742" s="86"/>
      <c r="B742" s="255"/>
      <c r="C742" s="299" t="s">
        <v>337</v>
      </c>
      <c r="D742" s="299" t="s">
        <v>337</v>
      </c>
      <c r="E742" s="299" t="s">
        <v>337</v>
      </c>
    </row>
    <row r="743">
      <c r="A743" s="86"/>
      <c r="B743" s="255"/>
      <c r="C743" s="299" t="s">
        <v>338</v>
      </c>
      <c r="D743" s="299" t="s">
        <v>338</v>
      </c>
      <c r="E743" s="299" t="s">
        <v>338</v>
      </c>
    </row>
    <row r="744">
      <c r="A744" s="86"/>
      <c r="B744" s="255"/>
      <c r="C744" s="299" t="s">
        <v>155</v>
      </c>
      <c r="D744" s="299" t="s">
        <v>155</v>
      </c>
      <c r="E744" s="299" t="s">
        <v>155</v>
      </c>
    </row>
    <row r="745">
      <c r="A745" s="86"/>
      <c r="B745" s="255"/>
      <c r="C745" s="299" t="s">
        <v>21</v>
      </c>
      <c r="D745" s="299" t="s">
        <v>21</v>
      </c>
      <c r="E745" s="299" t="s">
        <v>21</v>
      </c>
    </row>
    <row r="746">
      <c r="A746" s="86"/>
      <c r="B746" s="255"/>
      <c r="C746" s="299" t="s">
        <v>22</v>
      </c>
      <c r="D746" s="299" t="s">
        <v>22</v>
      </c>
      <c r="E746" s="299" t="s">
        <v>72</v>
      </c>
    </row>
    <row r="747">
      <c r="A747" s="86"/>
      <c r="B747" s="255"/>
      <c r="C747" s="297" t="s">
        <v>23</v>
      </c>
      <c r="D747" s="299" t="s">
        <v>23</v>
      </c>
      <c r="E747" s="299" t="s">
        <v>23</v>
      </c>
    </row>
    <row r="748">
      <c r="A748" s="86"/>
      <c r="B748" s="255"/>
      <c r="C748" s="297" t="s">
        <v>339</v>
      </c>
      <c r="D748" s="299" t="s">
        <v>120</v>
      </c>
      <c r="E748" s="297" t="s">
        <v>339</v>
      </c>
    </row>
    <row r="749">
      <c r="A749" s="86"/>
      <c r="B749" s="254" t="s">
        <v>66</v>
      </c>
      <c r="C749" s="297" t="s">
        <v>340</v>
      </c>
      <c r="D749" s="299" t="s">
        <v>121</v>
      </c>
      <c r="E749" s="297" t="s">
        <v>340</v>
      </c>
    </row>
    <row r="750">
      <c r="A750" s="86"/>
      <c r="B750" s="254" t="s">
        <v>0</v>
      </c>
      <c r="C750" s="297" t="s">
        <v>341</v>
      </c>
      <c r="D750" s="299" t="s">
        <v>333</v>
      </c>
      <c r="E750" s="299" t="s">
        <v>333</v>
      </c>
    </row>
    <row r="751">
      <c r="A751" s="86"/>
      <c r="B751" s="254" t="s">
        <v>1</v>
      </c>
      <c r="C751" s="297" t="s">
        <v>29</v>
      </c>
      <c r="D751" s="298" t="s">
        <v>29</v>
      </c>
      <c r="E751" s="297" t="s">
        <v>29</v>
      </c>
    </row>
    <row r="752">
      <c r="A752" s="86"/>
      <c r="B752" s="254" t="s">
        <v>2</v>
      </c>
      <c r="C752" s="272"/>
      <c r="D752" s="5"/>
      <c r="E752" s="86"/>
    </row>
    <row r="753">
      <c r="A753" s="86"/>
      <c r="B753" s="297" t="s">
        <v>3</v>
      </c>
      <c r="C753" s="272"/>
      <c r="D753" s="5"/>
      <c r="E753" s="86"/>
    </row>
    <row r="754">
      <c r="A754" s="86"/>
      <c r="B754" s="310" t="s">
        <v>270</v>
      </c>
      <c r="C754" s="272"/>
      <c r="D754" s="5"/>
      <c r="E754" s="86"/>
    </row>
    <row r="755">
      <c r="A755" s="86"/>
      <c r="B755" s="310" t="s">
        <v>271</v>
      </c>
      <c r="C755" s="272"/>
      <c r="D755" s="5"/>
      <c r="E755" s="86"/>
    </row>
    <row r="756">
      <c r="A756" s="86"/>
      <c r="B756" s="254" t="s">
        <v>272</v>
      </c>
      <c r="C756" s="272"/>
      <c r="D756" s="5"/>
      <c r="E756" s="86"/>
    </row>
    <row r="757">
      <c r="A757" s="86"/>
      <c r="B757" s="297" t="s">
        <v>8</v>
      </c>
      <c r="C757" s="272"/>
      <c r="D757" s="5"/>
      <c r="E757" s="86"/>
    </row>
    <row r="758">
      <c r="A758" s="86"/>
      <c r="B758" s="297" t="s">
        <v>9</v>
      </c>
      <c r="C758" s="272"/>
      <c r="D758" s="5"/>
      <c r="E758" s="86"/>
    </row>
    <row r="759">
      <c r="A759" s="86"/>
      <c r="B759" s="297" t="s">
        <v>10</v>
      </c>
      <c r="C759" s="272"/>
      <c r="D759" s="5"/>
      <c r="E759" s="86"/>
    </row>
    <row r="760">
      <c r="A760" s="254" t="s">
        <v>335</v>
      </c>
      <c r="B760" s="254" t="s">
        <v>11</v>
      </c>
      <c r="C760" s="272"/>
      <c r="D760" s="5"/>
      <c r="E760" s="86"/>
    </row>
    <row r="761">
      <c r="A761" s="254" t="s">
        <v>0</v>
      </c>
      <c r="B761" s="297" t="s">
        <v>12</v>
      </c>
      <c r="C761" s="272"/>
      <c r="D761" s="5"/>
      <c r="E761" s="86"/>
    </row>
    <row r="762">
      <c r="A762" s="254" t="s">
        <v>1</v>
      </c>
      <c r="B762" s="297" t="s">
        <v>13</v>
      </c>
      <c r="C762" s="272"/>
      <c r="D762" s="5"/>
      <c r="E762" s="86"/>
    </row>
    <row r="763">
      <c r="A763" s="254" t="s">
        <v>336</v>
      </c>
      <c r="B763" s="297" t="s">
        <v>110</v>
      </c>
      <c r="C763" s="272"/>
      <c r="D763" s="5"/>
      <c r="E763" s="86"/>
    </row>
    <row r="764">
      <c r="A764" s="254" t="s">
        <v>2</v>
      </c>
      <c r="B764" s="297" t="s">
        <v>111</v>
      </c>
      <c r="C764" s="272"/>
      <c r="D764" s="5"/>
      <c r="E764" s="86"/>
    </row>
    <row r="765">
      <c r="A765" s="297" t="s">
        <v>3</v>
      </c>
      <c r="B765" s="297" t="s">
        <v>129</v>
      </c>
      <c r="C765" s="272"/>
      <c r="D765" s="5"/>
      <c r="E765" s="86"/>
    </row>
    <row r="766">
      <c r="A766" s="310" t="s">
        <v>270</v>
      </c>
      <c r="B766" s="297" t="s">
        <v>130</v>
      </c>
      <c r="C766" s="272"/>
      <c r="D766" s="5"/>
      <c r="E766" s="86"/>
    </row>
    <row r="767">
      <c r="A767" s="310" t="s">
        <v>271</v>
      </c>
      <c r="B767" s="297" t="s">
        <v>114</v>
      </c>
      <c r="C767" s="272"/>
      <c r="D767" s="5"/>
      <c r="E767" s="86"/>
    </row>
    <row r="768">
      <c r="A768" s="254" t="s">
        <v>272</v>
      </c>
      <c r="B768" s="297" t="s">
        <v>115</v>
      </c>
      <c r="C768" s="272"/>
      <c r="D768" s="5"/>
      <c r="E768" s="86"/>
    </row>
    <row r="769">
      <c r="A769" s="297" t="s">
        <v>8</v>
      </c>
      <c r="B769" s="297" t="s">
        <v>116</v>
      </c>
      <c r="C769" s="272"/>
      <c r="D769" s="5"/>
      <c r="E769" s="86"/>
    </row>
    <row r="770">
      <c r="A770" s="297" t="s">
        <v>9</v>
      </c>
      <c r="B770" s="297" t="s">
        <v>131</v>
      </c>
      <c r="C770" s="272"/>
      <c r="D770" s="5"/>
      <c r="E770" s="86"/>
    </row>
    <row r="771">
      <c r="A771" s="297" t="s">
        <v>10</v>
      </c>
      <c r="B771" s="297" t="s">
        <v>132</v>
      </c>
      <c r="C771" s="272"/>
      <c r="D771" s="5"/>
      <c r="E771" s="86"/>
    </row>
    <row r="772">
      <c r="A772" s="254" t="s">
        <v>11</v>
      </c>
      <c r="B772" s="297" t="s">
        <v>120</v>
      </c>
      <c r="C772" s="297" t="s">
        <v>66</v>
      </c>
      <c r="D772" s="5"/>
      <c r="E772" s="86"/>
    </row>
    <row r="773">
      <c r="A773" s="297" t="s">
        <v>12</v>
      </c>
      <c r="B773" s="297" t="s">
        <v>121</v>
      </c>
      <c r="C773" s="297" t="s">
        <v>0</v>
      </c>
      <c r="D773" s="5"/>
      <c r="E773" s="86"/>
    </row>
    <row r="774">
      <c r="A774" s="297" t="s">
        <v>13</v>
      </c>
      <c r="B774" s="254" t="s">
        <v>29</v>
      </c>
      <c r="C774" s="247" t="s">
        <v>1</v>
      </c>
      <c r="D774" s="5"/>
      <c r="E774" s="86"/>
    </row>
    <row r="775">
      <c r="A775" s="297" t="s">
        <v>110</v>
      </c>
      <c r="B775" s="254"/>
      <c r="C775" s="297" t="s">
        <v>2</v>
      </c>
      <c r="D775" s="5"/>
      <c r="E775" s="86"/>
    </row>
    <row r="776">
      <c r="A776" s="297" t="s">
        <v>111</v>
      </c>
      <c r="B776" s="255"/>
      <c r="C776" s="297" t="s">
        <v>3</v>
      </c>
      <c r="D776" s="5"/>
      <c r="E776" s="86"/>
    </row>
    <row r="777">
      <c r="A777" s="297" t="s">
        <v>129</v>
      </c>
      <c r="B777" s="255"/>
      <c r="C777" s="297" t="s">
        <v>270</v>
      </c>
      <c r="D777" s="5"/>
      <c r="E777" s="86"/>
    </row>
    <row r="778">
      <c r="A778" s="297" t="s">
        <v>130</v>
      </c>
      <c r="B778" s="255"/>
      <c r="C778" s="297" t="s">
        <v>271</v>
      </c>
      <c r="D778" s="5"/>
      <c r="E778" s="86"/>
    </row>
    <row r="779">
      <c r="A779" s="297" t="s">
        <v>114</v>
      </c>
      <c r="B779" s="255"/>
      <c r="C779" s="297" t="s">
        <v>272</v>
      </c>
      <c r="D779" s="5"/>
      <c r="E779" s="86"/>
    </row>
    <row r="780">
      <c r="A780" s="297" t="s">
        <v>115</v>
      </c>
      <c r="B780" s="255"/>
      <c r="C780" s="297" t="s">
        <v>8</v>
      </c>
      <c r="D780" s="5"/>
      <c r="E780" s="86"/>
    </row>
    <row r="781">
      <c r="A781" s="297" t="s">
        <v>116</v>
      </c>
      <c r="B781" s="255"/>
      <c r="C781" s="297" t="s">
        <v>154</v>
      </c>
      <c r="D781" s="5"/>
      <c r="E781" s="86"/>
    </row>
    <row r="782">
      <c r="A782" s="297" t="s">
        <v>131</v>
      </c>
      <c r="B782" s="255"/>
      <c r="C782" s="297" t="s">
        <v>10</v>
      </c>
      <c r="D782" s="5"/>
      <c r="E782" s="86"/>
    </row>
    <row r="783">
      <c r="A783" s="297" t="s">
        <v>132</v>
      </c>
      <c r="B783" s="255"/>
      <c r="C783" s="297" t="s">
        <v>11</v>
      </c>
      <c r="D783" s="5"/>
      <c r="E783" s="86"/>
    </row>
    <row r="784">
      <c r="A784" s="297" t="s">
        <v>120</v>
      </c>
      <c r="B784" s="255"/>
      <c r="C784" s="299" t="s">
        <v>12</v>
      </c>
      <c r="D784" s="298" t="s">
        <v>334</v>
      </c>
      <c r="E784" s="254" t="s">
        <v>66</v>
      </c>
    </row>
    <row r="785">
      <c r="A785" s="297" t="s">
        <v>121</v>
      </c>
      <c r="B785" s="255"/>
      <c r="C785" s="299" t="s">
        <v>13</v>
      </c>
      <c r="D785" s="298" t="s">
        <v>0</v>
      </c>
      <c r="E785" s="254" t="s">
        <v>0</v>
      </c>
    </row>
    <row r="786">
      <c r="A786" s="254" t="s">
        <v>29</v>
      </c>
      <c r="B786" s="255"/>
      <c r="C786" s="299" t="s">
        <v>14</v>
      </c>
      <c r="D786" s="254" t="s">
        <v>1</v>
      </c>
      <c r="E786" s="254" t="s">
        <v>1</v>
      </c>
    </row>
    <row r="787">
      <c r="A787" s="254" t="s">
        <v>342</v>
      </c>
      <c r="B787" s="255"/>
      <c r="C787" s="299" t="s">
        <v>70</v>
      </c>
      <c r="D787" s="298" t="s">
        <v>2</v>
      </c>
      <c r="E787" s="254" t="s">
        <v>2</v>
      </c>
    </row>
    <row r="788">
      <c r="A788" s="86"/>
      <c r="B788" s="255"/>
      <c r="C788" s="299" t="s">
        <v>112</v>
      </c>
      <c r="D788" s="299" t="s">
        <v>3</v>
      </c>
      <c r="E788" s="297" t="s">
        <v>3</v>
      </c>
    </row>
    <row r="789">
      <c r="A789" s="86"/>
      <c r="B789" s="255"/>
      <c r="C789" s="299" t="s">
        <v>113</v>
      </c>
      <c r="D789" s="299" t="s">
        <v>270</v>
      </c>
      <c r="E789" s="297" t="s">
        <v>270</v>
      </c>
    </row>
    <row r="790">
      <c r="A790" s="86"/>
      <c r="B790" s="255"/>
      <c r="C790" s="299" t="s">
        <v>337</v>
      </c>
      <c r="D790" s="299" t="s">
        <v>271</v>
      </c>
      <c r="E790" s="297" t="s">
        <v>271</v>
      </c>
    </row>
    <row r="791">
      <c r="A791" s="86"/>
      <c r="B791" s="255"/>
      <c r="C791" s="299" t="s">
        <v>338</v>
      </c>
      <c r="D791" s="299" t="s">
        <v>7</v>
      </c>
      <c r="E791" s="297" t="s">
        <v>7</v>
      </c>
    </row>
    <row r="792">
      <c r="A792" s="86"/>
      <c r="B792" s="255"/>
      <c r="C792" s="299" t="s">
        <v>155</v>
      </c>
      <c r="D792" s="299" t="s">
        <v>8</v>
      </c>
      <c r="E792" s="297" t="s">
        <v>8</v>
      </c>
    </row>
    <row r="793">
      <c r="A793" s="86"/>
      <c r="B793" s="255"/>
      <c r="C793" s="299" t="s">
        <v>21</v>
      </c>
      <c r="D793" s="299" t="s">
        <v>9</v>
      </c>
      <c r="E793" s="297" t="s">
        <v>68</v>
      </c>
    </row>
    <row r="794">
      <c r="A794" s="86"/>
      <c r="B794" s="255"/>
      <c r="C794" s="299" t="s">
        <v>22</v>
      </c>
      <c r="D794" s="299" t="s">
        <v>10</v>
      </c>
      <c r="E794" s="297" t="s">
        <v>69</v>
      </c>
    </row>
    <row r="795">
      <c r="A795" s="86"/>
      <c r="B795" s="255"/>
      <c r="C795" s="297" t="s">
        <v>23</v>
      </c>
      <c r="D795" s="298" t="s">
        <v>11</v>
      </c>
      <c r="E795" s="254" t="s">
        <v>11</v>
      </c>
    </row>
    <row r="796">
      <c r="A796" s="86"/>
      <c r="B796" s="255"/>
      <c r="C796" s="297" t="s">
        <v>339</v>
      </c>
      <c r="D796" s="299" t="s">
        <v>12</v>
      </c>
      <c r="E796" s="299" t="s">
        <v>12</v>
      </c>
    </row>
    <row r="797">
      <c r="A797" s="86"/>
      <c r="B797" s="255"/>
      <c r="C797" s="297" t="s">
        <v>340</v>
      </c>
      <c r="D797" s="299" t="s">
        <v>13</v>
      </c>
      <c r="E797" s="299" t="s">
        <v>13</v>
      </c>
    </row>
    <row r="798">
      <c r="A798" s="86"/>
      <c r="B798" s="255"/>
      <c r="C798" s="297" t="s">
        <v>341</v>
      </c>
      <c r="D798" s="299" t="s">
        <v>14</v>
      </c>
      <c r="E798" s="299" t="s">
        <v>14</v>
      </c>
    </row>
    <row r="799">
      <c r="A799" s="86"/>
      <c r="B799" s="255"/>
      <c r="C799" s="297" t="s">
        <v>29</v>
      </c>
      <c r="D799" s="299" t="s">
        <v>70</v>
      </c>
      <c r="E799" s="299" t="s">
        <v>70</v>
      </c>
    </row>
    <row r="800">
      <c r="A800" s="86"/>
      <c r="B800" s="255"/>
      <c r="C800" s="272"/>
      <c r="D800" s="299" t="s">
        <v>112</v>
      </c>
      <c r="E800" s="299" t="s">
        <v>112</v>
      </c>
    </row>
    <row r="801">
      <c r="A801" s="86"/>
      <c r="B801" s="255"/>
      <c r="C801" s="272"/>
      <c r="D801" s="299" t="s">
        <v>113</v>
      </c>
      <c r="E801" s="299" t="s">
        <v>113</v>
      </c>
    </row>
    <row r="802">
      <c r="A802" s="86"/>
      <c r="B802" s="255"/>
      <c r="C802" s="272"/>
      <c r="D802" s="299" t="s">
        <v>337</v>
      </c>
      <c r="E802" s="299" t="s">
        <v>337</v>
      </c>
    </row>
    <row r="803">
      <c r="A803" s="86"/>
      <c r="B803" s="255"/>
      <c r="C803" s="272"/>
      <c r="D803" s="299" t="s">
        <v>338</v>
      </c>
      <c r="E803" s="299" t="s">
        <v>338</v>
      </c>
    </row>
    <row r="804">
      <c r="A804" s="86"/>
      <c r="B804" s="255"/>
      <c r="C804" s="272"/>
      <c r="D804" s="299" t="s">
        <v>155</v>
      </c>
      <c r="E804" s="299" t="s">
        <v>155</v>
      </c>
    </row>
    <row r="805">
      <c r="A805" s="86"/>
      <c r="B805" s="255"/>
      <c r="C805" s="272"/>
      <c r="D805" s="299" t="s">
        <v>21</v>
      </c>
      <c r="E805" s="299" t="s">
        <v>21</v>
      </c>
    </row>
    <row r="806">
      <c r="A806" s="86"/>
      <c r="B806" s="255"/>
      <c r="C806" s="272"/>
      <c r="D806" s="299" t="s">
        <v>22</v>
      </c>
      <c r="E806" s="299" t="s">
        <v>72</v>
      </c>
    </row>
    <row r="807">
      <c r="A807" s="86"/>
      <c r="B807" s="255"/>
      <c r="C807" s="272"/>
      <c r="D807" s="299" t="s">
        <v>23</v>
      </c>
      <c r="E807" s="299" t="s">
        <v>23</v>
      </c>
    </row>
    <row r="808">
      <c r="A808" s="86"/>
      <c r="B808" s="255"/>
      <c r="C808" s="272"/>
      <c r="D808" s="299" t="s">
        <v>120</v>
      </c>
      <c r="E808" s="297" t="s">
        <v>339</v>
      </c>
    </row>
    <row r="809">
      <c r="A809" s="86"/>
      <c r="B809" s="255"/>
      <c r="C809" s="272"/>
      <c r="D809" s="299" t="s">
        <v>121</v>
      </c>
      <c r="E809" s="297" t="s">
        <v>340</v>
      </c>
    </row>
    <row r="810">
      <c r="A810" s="86"/>
      <c r="B810" s="255"/>
      <c r="C810" s="272"/>
      <c r="D810" s="299" t="s">
        <v>333</v>
      </c>
      <c r="E810" s="299" t="s">
        <v>333</v>
      </c>
    </row>
    <row r="811">
      <c r="A811" s="86"/>
      <c r="B811" s="254" t="s">
        <v>66</v>
      </c>
      <c r="C811" s="272"/>
      <c r="D811" s="298" t="s">
        <v>29</v>
      </c>
      <c r="E811" s="297" t="s">
        <v>29</v>
      </c>
    </row>
    <row r="812">
      <c r="A812" s="86"/>
      <c r="B812" s="254" t="s">
        <v>0</v>
      </c>
      <c r="C812" s="272"/>
      <c r="D812" s="5"/>
      <c r="E812" s="86"/>
    </row>
    <row r="813">
      <c r="A813" s="86"/>
      <c r="B813" s="254" t="s">
        <v>1</v>
      </c>
      <c r="C813" s="272"/>
      <c r="D813" s="5"/>
      <c r="E813" s="86"/>
    </row>
    <row r="814">
      <c r="A814" s="86"/>
      <c r="B814" s="254" t="s">
        <v>2</v>
      </c>
      <c r="C814" s="272"/>
      <c r="D814" s="5"/>
      <c r="E814" s="86"/>
    </row>
    <row r="815">
      <c r="A815" s="86"/>
      <c r="B815" s="297" t="s">
        <v>3</v>
      </c>
      <c r="C815" s="272"/>
      <c r="D815" s="5"/>
      <c r="E815" s="86"/>
    </row>
    <row r="816">
      <c r="A816" s="86"/>
      <c r="B816" s="310" t="s">
        <v>270</v>
      </c>
      <c r="C816" s="272"/>
      <c r="D816" s="5"/>
      <c r="E816" s="86"/>
    </row>
    <row r="817">
      <c r="A817" s="86"/>
      <c r="B817" s="310" t="s">
        <v>271</v>
      </c>
      <c r="C817" s="272"/>
      <c r="D817" s="5"/>
      <c r="E817" s="86"/>
    </row>
    <row r="818">
      <c r="A818" s="86"/>
      <c r="B818" s="254" t="s">
        <v>272</v>
      </c>
      <c r="C818" s="272"/>
      <c r="D818" s="5"/>
      <c r="E818" s="86"/>
    </row>
    <row r="819">
      <c r="A819" s="86"/>
      <c r="B819" s="297" t="s">
        <v>8</v>
      </c>
      <c r="C819" s="272"/>
      <c r="D819" s="5"/>
      <c r="E819" s="86"/>
    </row>
    <row r="820">
      <c r="A820" s="86"/>
      <c r="B820" s="297" t="s">
        <v>9</v>
      </c>
      <c r="C820" s="297" t="s">
        <v>66</v>
      </c>
      <c r="D820" s="5"/>
      <c r="E820" s="86"/>
    </row>
    <row r="821">
      <c r="A821" s="86"/>
      <c r="B821" s="297" t="s">
        <v>10</v>
      </c>
      <c r="C821" s="297" t="s">
        <v>0</v>
      </c>
      <c r="D821" s="5"/>
      <c r="E821" s="86"/>
    </row>
    <row r="822">
      <c r="A822" s="86"/>
      <c r="B822" s="254" t="s">
        <v>11</v>
      </c>
      <c r="C822" s="247" t="s">
        <v>1</v>
      </c>
      <c r="D822" s="5"/>
      <c r="E822" s="86"/>
    </row>
    <row r="823">
      <c r="A823" s="254" t="s">
        <v>335</v>
      </c>
      <c r="B823" s="297" t="s">
        <v>12</v>
      </c>
      <c r="C823" s="297" t="s">
        <v>2</v>
      </c>
      <c r="D823" s="5"/>
      <c r="E823" s="86"/>
    </row>
    <row r="824">
      <c r="A824" s="254" t="s">
        <v>0</v>
      </c>
      <c r="B824" s="297" t="s">
        <v>13</v>
      </c>
      <c r="C824" s="297" t="s">
        <v>3</v>
      </c>
      <c r="D824" s="5"/>
      <c r="E824" s="86"/>
    </row>
    <row r="825">
      <c r="A825" s="254" t="s">
        <v>1</v>
      </c>
      <c r="B825" s="297" t="s">
        <v>110</v>
      </c>
      <c r="C825" s="297" t="s">
        <v>270</v>
      </c>
      <c r="D825" s="5"/>
      <c r="E825" s="86"/>
    </row>
    <row r="826">
      <c r="A826" s="254" t="s">
        <v>336</v>
      </c>
      <c r="B826" s="297" t="s">
        <v>111</v>
      </c>
      <c r="C826" s="297" t="s">
        <v>271</v>
      </c>
      <c r="D826" s="5"/>
      <c r="E826" s="86"/>
    </row>
    <row r="827">
      <c r="A827" s="254" t="s">
        <v>2</v>
      </c>
      <c r="B827" s="297" t="s">
        <v>129</v>
      </c>
      <c r="C827" s="297" t="s">
        <v>272</v>
      </c>
      <c r="D827" s="5"/>
      <c r="E827" s="86"/>
    </row>
    <row r="828">
      <c r="A828" s="297" t="s">
        <v>3</v>
      </c>
      <c r="B828" s="297" t="s">
        <v>130</v>
      </c>
      <c r="C828" s="297" t="s">
        <v>8</v>
      </c>
      <c r="D828" s="5"/>
      <c r="E828" s="86"/>
    </row>
    <row r="829">
      <c r="A829" s="310" t="s">
        <v>270</v>
      </c>
      <c r="B829" s="297" t="s">
        <v>114</v>
      </c>
      <c r="C829" s="297" t="s">
        <v>154</v>
      </c>
      <c r="D829" s="5"/>
      <c r="E829" s="86"/>
    </row>
    <row r="830">
      <c r="A830" s="310" t="s">
        <v>271</v>
      </c>
      <c r="B830" s="297" t="s">
        <v>115</v>
      </c>
      <c r="C830" s="297" t="s">
        <v>10</v>
      </c>
      <c r="D830" s="5"/>
      <c r="E830" s="86"/>
    </row>
    <row r="831">
      <c r="A831" s="254" t="s">
        <v>272</v>
      </c>
      <c r="B831" s="297" t="s">
        <v>116</v>
      </c>
      <c r="C831" s="297" t="s">
        <v>11</v>
      </c>
      <c r="D831" s="5"/>
      <c r="E831" s="86"/>
    </row>
    <row r="832">
      <c r="A832" s="297" t="s">
        <v>8</v>
      </c>
      <c r="B832" s="297" t="s">
        <v>131</v>
      </c>
      <c r="C832" s="299" t="s">
        <v>12</v>
      </c>
      <c r="D832" s="5"/>
      <c r="E832" s="86"/>
    </row>
    <row r="833">
      <c r="A833" s="297" t="s">
        <v>9</v>
      </c>
      <c r="B833" s="297" t="s">
        <v>132</v>
      </c>
      <c r="C833" s="299" t="s">
        <v>13</v>
      </c>
      <c r="D833" s="5"/>
      <c r="E833" s="86"/>
    </row>
    <row r="834">
      <c r="A834" s="297" t="s">
        <v>10</v>
      </c>
      <c r="B834" s="297" t="s">
        <v>120</v>
      </c>
      <c r="C834" s="299" t="s">
        <v>14</v>
      </c>
      <c r="D834" s="5"/>
      <c r="E834" s="86"/>
    </row>
    <row r="835">
      <c r="A835" s="254" t="s">
        <v>11</v>
      </c>
      <c r="B835" s="297" t="s">
        <v>121</v>
      </c>
      <c r="C835" s="299" t="s">
        <v>70</v>
      </c>
      <c r="D835" s="5"/>
      <c r="E835" s="86"/>
    </row>
    <row r="836">
      <c r="A836" s="297" t="s">
        <v>12</v>
      </c>
      <c r="B836" s="254" t="s">
        <v>29</v>
      </c>
      <c r="C836" s="299" t="s">
        <v>112</v>
      </c>
      <c r="D836" s="5"/>
      <c r="E836" s="86"/>
    </row>
    <row r="837">
      <c r="A837" s="297" t="s">
        <v>13</v>
      </c>
      <c r="B837" s="254"/>
      <c r="C837" s="299" t="s">
        <v>113</v>
      </c>
      <c r="D837" s="5"/>
      <c r="E837" s="86"/>
    </row>
    <row r="838">
      <c r="A838" s="297" t="s">
        <v>110</v>
      </c>
      <c r="B838" s="255"/>
      <c r="C838" s="299" t="s">
        <v>337</v>
      </c>
      <c r="D838" s="5"/>
      <c r="E838" s="86"/>
    </row>
    <row r="839">
      <c r="A839" s="297" t="s">
        <v>111</v>
      </c>
      <c r="B839" s="255"/>
      <c r="C839" s="299" t="s">
        <v>338</v>
      </c>
      <c r="D839" s="5"/>
      <c r="E839" s="86"/>
    </row>
    <row r="840">
      <c r="A840" s="297" t="s">
        <v>129</v>
      </c>
      <c r="B840" s="255"/>
      <c r="C840" s="299" t="s">
        <v>155</v>
      </c>
      <c r="D840" s="5"/>
      <c r="E840" s="86"/>
    </row>
    <row r="841">
      <c r="A841" s="297" t="s">
        <v>130</v>
      </c>
      <c r="B841" s="255"/>
      <c r="C841" s="299" t="s">
        <v>21</v>
      </c>
      <c r="D841" s="5"/>
      <c r="E841" s="86"/>
    </row>
    <row r="842">
      <c r="A842" s="297" t="s">
        <v>114</v>
      </c>
      <c r="B842" s="255"/>
      <c r="C842" s="299" t="s">
        <v>22</v>
      </c>
      <c r="D842" s="5"/>
      <c r="E842" s="86"/>
    </row>
    <row r="843">
      <c r="A843" s="297" t="s">
        <v>115</v>
      </c>
      <c r="B843" s="255"/>
      <c r="C843" s="297" t="s">
        <v>23</v>
      </c>
      <c r="D843" s="5"/>
      <c r="E843" s="86"/>
    </row>
    <row r="844">
      <c r="A844" s="297" t="s">
        <v>116</v>
      </c>
      <c r="B844" s="255"/>
      <c r="C844" s="297" t="s">
        <v>339</v>
      </c>
      <c r="D844" s="298" t="s">
        <v>334</v>
      </c>
      <c r="E844" s="254" t="s">
        <v>66</v>
      </c>
    </row>
    <row r="845">
      <c r="A845" s="297" t="s">
        <v>131</v>
      </c>
      <c r="B845" s="255"/>
      <c r="C845" s="297" t="s">
        <v>340</v>
      </c>
      <c r="D845" s="298" t="s">
        <v>0</v>
      </c>
      <c r="E845" s="254" t="s">
        <v>0</v>
      </c>
    </row>
    <row r="846">
      <c r="A846" s="297" t="s">
        <v>132</v>
      </c>
      <c r="B846" s="255"/>
      <c r="C846" s="297" t="s">
        <v>341</v>
      </c>
      <c r="D846" s="254" t="s">
        <v>1</v>
      </c>
      <c r="E846" s="254" t="s">
        <v>1</v>
      </c>
    </row>
    <row r="847">
      <c r="A847" s="297" t="s">
        <v>120</v>
      </c>
      <c r="B847" s="255"/>
      <c r="C847" s="297" t="s">
        <v>29</v>
      </c>
      <c r="D847" s="298" t="s">
        <v>2</v>
      </c>
      <c r="E847" s="254" t="s">
        <v>2</v>
      </c>
    </row>
    <row r="848">
      <c r="A848" s="297" t="s">
        <v>121</v>
      </c>
      <c r="B848" s="255"/>
      <c r="C848" s="272"/>
      <c r="D848" s="299" t="s">
        <v>3</v>
      </c>
      <c r="E848" s="297" t="s">
        <v>3</v>
      </c>
    </row>
    <row r="849">
      <c r="A849" s="254" t="s">
        <v>29</v>
      </c>
      <c r="B849" s="255"/>
      <c r="C849" s="272"/>
      <c r="D849" s="299" t="s">
        <v>270</v>
      </c>
      <c r="E849" s="297" t="s">
        <v>270</v>
      </c>
    </row>
    <row r="850">
      <c r="A850" s="254" t="s">
        <v>342</v>
      </c>
      <c r="B850" s="255"/>
      <c r="C850" s="272"/>
      <c r="D850" s="299" t="s">
        <v>271</v>
      </c>
      <c r="E850" s="297" t="s">
        <v>271</v>
      </c>
    </row>
    <row r="851">
      <c r="A851" s="86"/>
      <c r="B851" s="255"/>
      <c r="C851" s="272"/>
      <c r="D851" s="299" t="s">
        <v>7</v>
      </c>
      <c r="E851" s="297" t="s">
        <v>7</v>
      </c>
    </row>
    <row r="852">
      <c r="A852" s="86"/>
      <c r="B852" s="255"/>
      <c r="C852" s="272"/>
      <c r="D852" s="299" t="s">
        <v>8</v>
      </c>
      <c r="E852" s="297" t="s">
        <v>8</v>
      </c>
    </row>
    <row r="853">
      <c r="A853" s="86"/>
      <c r="B853" s="255"/>
      <c r="C853" s="272"/>
      <c r="D853" s="299" t="s">
        <v>9</v>
      </c>
      <c r="E853" s="297" t="s">
        <v>68</v>
      </c>
    </row>
    <row r="854">
      <c r="A854" s="86"/>
      <c r="B854" s="255"/>
      <c r="C854" s="272"/>
      <c r="D854" s="299" t="s">
        <v>10</v>
      </c>
      <c r="E854" s="297" t="s">
        <v>69</v>
      </c>
    </row>
    <row r="855">
      <c r="A855" s="86"/>
      <c r="B855" s="255"/>
      <c r="C855" s="272"/>
      <c r="D855" s="298" t="s">
        <v>11</v>
      </c>
      <c r="E855" s="254" t="s">
        <v>11</v>
      </c>
    </row>
    <row r="856">
      <c r="A856" s="86"/>
      <c r="B856" s="255"/>
      <c r="C856" s="272"/>
      <c r="D856" s="299" t="s">
        <v>12</v>
      </c>
      <c r="E856" s="299" t="s">
        <v>12</v>
      </c>
    </row>
    <row r="857">
      <c r="A857" s="86"/>
      <c r="B857" s="255"/>
      <c r="C857" s="272"/>
      <c r="D857" s="299" t="s">
        <v>13</v>
      </c>
      <c r="E857" s="299" t="s">
        <v>13</v>
      </c>
    </row>
    <row r="858">
      <c r="A858" s="86"/>
      <c r="B858" s="255"/>
      <c r="C858" s="272"/>
      <c r="D858" s="299" t="s">
        <v>14</v>
      </c>
      <c r="E858" s="299" t="s">
        <v>14</v>
      </c>
    </row>
    <row r="859">
      <c r="A859" s="86"/>
      <c r="B859" s="255"/>
      <c r="C859" s="272"/>
      <c r="D859" s="299" t="s">
        <v>70</v>
      </c>
      <c r="E859" s="299" t="s">
        <v>70</v>
      </c>
    </row>
    <row r="860">
      <c r="A860" s="86"/>
      <c r="B860" s="255"/>
      <c r="C860" s="272"/>
      <c r="D860" s="299" t="s">
        <v>112</v>
      </c>
      <c r="E860" s="299" t="s">
        <v>112</v>
      </c>
    </row>
    <row r="861">
      <c r="A861" s="86"/>
      <c r="B861" s="255"/>
      <c r="C861" s="272"/>
      <c r="D861" s="299" t="s">
        <v>113</v>
      </c>
      <c r="E861" s="299" t="s">
        <v>113</v>
      </c>
    </row>
    <row r="862">
      <c r="A862" s="86"/>
      <c r="B862" s="255"/>
      <c r="C862" s="272"/>
      <c r="D862" s="299" t="s">
        <v>337</v>
      </c>
      <c r="E862" s="299" t="s">
        <v>337</v>
      </c>
    </row>
    <row r="863">
      <c r="A863" s="86"/>
      <c r="B863" s="255"/>
      <c r="C863" s="272"/>
      <c r="D863" s="299" t="s">
        <v>338</v>
      </c>
      <c r="E863" s="299" t="s">
        <v>338</v>
      </c>
    </row>
    <row r="864">
      <c r="A864" s="86"/>
      <c r="B864" s="255"/>
      <c r="C864" s="272"/>
      <c r="D864" s="299" t="s">
        <v>155</v>
      </c>
      <c r="E864" s="299" t="s">
        <v>155</v>
      </c>
    </row>
    <row r="865">
      <c r="A865" s="86"/>
      <c r="B865" s="255"/>
      <c r="C865" s="272"/>
      <c r="D865" s="299" t="s">
        <v>21</v>
      </c>
      <c r="E865" s="299" t="s">
        <v>21</v>
      </c>
    </row>
    <row r="866">
      <c r="A866" s="86"/>
      <c r="B866" s="255"/>
      <c r="C866" s="272"/>
      <c r="D866" s="299" t="s">
        <v>22</v>
      </c>
      <c r="E866" s="299" t="s">
        <v>72</v>
      </c>
    </row>
    <row r="867">
      <c r="A867" s="86"/>
      <c r="B867" s="255"/>
      <c r="C867" s="272"/>
      <c r="D867" s="299" t="s">
        <v>23</v>
      </c>
      <c r="E867" s="299" t="s">
        <v>23</v>
      </c>
    </row>
    <row r="868">
      <c r="A868" s="86"/>
      <c r="B868" s="255"/>
      <c r="C868" s="297" t="s">
        <v>66</v>
      </c>
      <c r="D868" s="299" t="s">
        <v>120</v>
      </c>
      <c r="E868" s="297" t="s">
        <v>339</v>
      </c>
    </row>
    <row r="869">
      <c r="A869" s="86"/>
      <c r="B869" s="255"/>
      <c r="C869" s="297" t="s">
        <v>0</v>
      </c>
      <c r="D869" s="299" t="s">
        <v>121</v>
      </c>
      <c r="E869" s="297" t="s">
        <v>340</v>
      </c>
    </row>
    <row r="870">
      <c r="A870" s="86"/>
      <c r="B870" s="255"/>
      <c r="C870" s="247" t="s">
        <v>1</v>
      </c>
      <c r="D870" s="299" t="s">
        <v>333</v>
      </c>
      <c r="E870" s="299" t="s">
        <v>333</v>
      </c>
    </row>
    <row r="871">
      <c r="A871" s="86"/>
      <c r="B871" s="255"/>
      <c r="C871" s="297" t="s">
        <v>2</v>
      </c>
      <c r="D871" s="298" t="s">
        <v>29</v>
      </c>
      <c r="E871" s="297" t="s">
        <v>29</v>
      </c>
    </row>
    <row r="872">
      <c r="A872" s="86"/>
      <c r="B872" s="255"/>
      <c r="C872" s="297" t="s">
        <v>3</v>
      </c>
      <c r="D872" s="5"/>
      <c r="E872" s="86"/>
    </row>
    <row r="873">
      <c r="A873" s="86"/>
      <c r="B873" s="254" t="s">
        <v>66</v>
      </c>
      <c r="C873" s="297" t="s">
        <v>270</v>
      </c>
      <c r="D873" s="5"/>
      <c r="E873" s="86"/>
    </row>
    <row r="874">
      <c r="A874" s="86"/>
      <c r="B874" s="254" t="s">
        <v>0</v>
      </c>
      <c r="C874" s="297" t="s">
        <v>271</v>
      </c>
      <c r="D874" s="5"/>
      <c r="E874" s="86"/>
    </row>
    <row r="875">
      <c r="A875" s="86"/>
      <c r="B875" s="254" t="s">
        <v>1</v>
      </c>
      <c r="C875" s="297" t="s">
        <v>272</v>
      </c>
      <c r="D875" s="5"/>
      <c r="E875" s="86"/>
    </row>
    <row r="876">
      <c r="A876" s="86"/>
      <c r="B876" s="254" t="s">
        <v>2</v>
      </c>
      <c r="C876" s="297" t="s">
        <v>8</v>
      </c>
      <c r="D876" s="5"/>
      <c r="E876" s="86"/>
    </row>
    <row r="877">
      <c r="A877" s="86"/>
      <c r="B877" s="297" t="s">
        <v>3</v>
      </c>
      <c r="C877" s="297" t="s">
        <v>154</v>
      </c>
      <c r="D877" s="5"/>
      <c r="E877" s="86"/>
    </row>
    <row r="878">
      <c r="A878" s="86"/>
      <c r="B878" s="310" t="s">
        <v>270</v>
      </c>
      <c r="C878" s="297" t="s">
        <v>10</v>
      </c>
      <c r="D878" s="5"/>
      <c r="E878" s="86"/>
    </row>
    <row r="879">
      <c r="A879" s="86"/>
      <c r="B879" s="310" t="s">
        <v>271</v>
      </c>
      <c r="C879" s="297" t="s">
        <v>11</v>
      </c>
      <c r="D879" s="5"/>
      <c r="E879" s="86"/>
    </row>
    <row r="880">
      <c r="A880" s="86"/>
      <c r="B880" s="254" t="s">
        <v>272</v>
      </c>
      <c r="C880" s="299" t="s">
        <v>12</v>
      </c>
      <c r="D880" s="5"/>
      <c r="E880" s="86"/>
    </row>
    <row r="881">
      <c r="A881" s="86"/>
      <c r="B881" s="297" t="s">
        <v>8</v>
      </c>
      <c r="C881" s="299" t="s">
        <v>13</v>
      </c>
      <c r="D881" s="5"/>
      <c r="E881" s="86"/>
    </row>
    <row r="882">
      <c r="A882" s="86"/>
      <c r="B882" s="297" t="s">
        <v>9</v>
      </c>
      <c r="C882" s="299" t="s">
        <v>14</v>
      </c>
      <c r="D882" s="5"/>
      <c r="E882" s="86"/>
    </row>
    <row r="883">
      <c r="A883" s="86"/>
      <c r="B883" s="297" t="s">
        <v>10</v>
      </c>
      <c r="C883" s="299" t="s">
        <v>70</v>
      </c>
      <c r="D883" s="5"/>
      <c r="E883" s="86"/>
    </row>
    <row r="884">
      <c r="A884" s="86"/>
      <c r="B884" s="254" t="s">
        <v>11</v>
      </c>
      <c r="C884" s="299" t="s">
        <v>112</v>
      </c>
      <c r="D884" s="5"/>
      <c r="E884" s="86"/>
    </row>
    <row r="885">
      <c r="A885" s="86"/>
      <c r="B885" s="297" t="s">
        <v>12</v>
      </c>
      <c r="C885" s="299" t="s">
        <v>113</v>
      </c>
      <c r="D885" s="5"/>
      <c r="E885" s="86"/>
    </row>
    <row r="886">
      <c r="A886" s="254" t="s">
        <v>335</v>
      </c>
      <c r="B886" s="297" t="s">
        <v>13</v>
      </c>
      <c r="C886" s="299" t="s">
        <v>337</v>
      </c>
      <c r="D886" s="5"/>
      <c r="E886" s="86"/>
    </row>
    <row r="887">
      <c r="A887" s="254" t="s">
        <v>0</v>
      </c>
      <c r="B887" s="297" t="s">
        <v>110</v>
      </c>
      <c r="C887" s="299" t="s">
        <v>338</v>
      </c>
      <c r="D887" s="5"/>
      <c r="E887" s="86"/>
    </row>
    <row r="888">
      <c r="A888" s="254" t="s">
        <v>1</v>
      </c>
      <c r="B888" s="297" t="s">
        <v>111</v>
      </c>
      <c r="C888" s="299" t="s">
        <v>155</v>
      </c>
      <c r="D888" s="5"/>
      <c r="E888" s="86"/>
    </row>
    <row r="889">
      <c r="A889" s="254" t="s">
        <v>336</v>
      </c>
      <c r="B889" s="297" t="s">
        <v>129</v>
      </c>
      <c r="C889" s="299" t="s">
        <v>21</v>
      </c>
      <c r="D889" s="5"/>
      <c r="E889" s="86"/>
    </row>
    <row r="890">
      <c r="A890" s="254" t="s">
        <v>2</v>
      </c>
      <c r="B890" s="297" t="s">
        <v>130</v>
      </c>
      <c r="C890" s="299" t="s">
        <v>22</v>
      </c>
      <c r="D890" s="5"/>
      <c r="E890" s="86"/>
    </row>
    <row r="891">
      <c r="A891" s="297" t="s">
        <v>3</v>
      </c>
      <c r="B891" s="297" t="s">
        <v>114</v>
      </c>
      <c r="C891" s="297" t="s">
        <v>23</v>
      </c>
      <c r="D891" s="5"/>
      <c r="E891" s="86"/>
    </row>
    <row r="892">
      <c r="A892" s="310" t="s">
        <v>270</v>
      </c>
      <c r="B892" s="297" t="s">
        <v>115</v>
      </c>
      <c r="C892" s="297" t="s">
        <v>339</v>
      </c>
      <c r="D892" s="5"/>
      <c r="E892" s="86"/>
    </row>
    <row r="893">
      <c r="A893" s="310" t="s">
        <v>271</v>
      </c>
      <c r="B893" s="297" t="s">
        <v>116</v>
      </c>
      <c r="C893" s="297" t="s">
        <v>340</v>
      </c>
      <c r="D893" s="5"/>
      <c r="E893" s="86"/>
    </row>
    <row r="894">
      <c r="A894" s="254" t="s">
        <v>272</v>
      </c>
      <c r="B894" s="297" t="s">
        <v>131</v>
      </c>
      <c r="C894" s="297" t="s">
        <v>341</v>
      </c>
      <c r="D894" s="5"/>
      <c r="E894" s="86"/>
    </row>
    <row r="895">
      <c r="A895" s="297" t="s">
        <v>8</v>
      </c>
      <c r="B895" s="297" t="s">
        <v>132</v>
      </c>
      <c r="C895" s="297" t="s">
        <v>29</v>
      </c>
      <c r="D895" s="5"/>
      <c r="E895" s="86"/>
    </row>
    <row r="896">
      <c r="A896" s="297" t="s">
        <v>9</v>
      </c>
      <c r="B896" s="297" t="s">
        <v>120</v>
      </c>
      <c r="C896" s="272"/>
      <c r="D896" s="5"/>
      <c r="E896" s="86"/>
    </row>
    <row r="897">
      <c r="A897" s="297" t="s">
        <v>10</v>
      </c>
      <c r="B897" s="297" t="s">
        <v>121</v>
      </c>
      <c r="C897" s="272"/>
      <c r="D897" s="5"/>
      <c r="E897" s="86"/>
    </row>
    <row r="898">
      <c r="A898" s="254" t="s">
        <v>11</v>
      </c>
      <c r="B898" s="254" t="s">
        <v>29</v>
      </c>
      <c r="C898" s="272"/>
      <c r="D898" s="5"/>
      <c r="E898" s="86"/>
    </row>
    <row r="899">
      <c r="A899" s="297" t="s">
        <v>12</v>
      </c>
      <c r="B899" s="254"/>
      <c r="C899" s="272"/>
      <c r="D899" s="5"/>
      <c r="E899" s="86"/>
    </row>
    <row r="900">
      <c r="A900" s="297" t="s">
        <v>13</v>
      </c>
      <c r="B900" s="255"/>
      <c r="C900" s="272"/>
      <c r="D900" s="5"/>
      <c r="E900" s="86"/>
    </row>
    <row r="901">
      <c r="A901" s="297" t="s">
        <v>110</v>
      </c>
      <c r="B901" s="255"/>
      <c r="C901" s="272"/>
      <c r="D901" s="5"/>
      <c r="E901" s="86"/>
    </row>
    <row r="902">
      <c r="A902" s="297" t="s">
        <v>111</v>
      </c>
      <c r="B902" s="255"/>
      <c r="C902" s="272"/>
      <c r="D902" s="5"/>
      <c r="E902" s="86"/>
    </row>
    <row r="903">
      <c r="A903" s="297" t="s">
        <v>129</v>
      </c>
      <c r="B903" s="255"/>
      <c r="C903" s="272"/>
      <c r="D903" s="5"/>
      <c r="E903" s="86"/>
    </row>
    <row r="904">
      <c r="A904" s="297" t="s">
        <v>130</v>
      </c>
      <c r="B904" s="255"/>
      <c r="C904" s="272"/>
      <c r="D904" s="298" t="s">
        <v>334</v>
      </c>
      <c r="E904" s="254" t="s">
        <v>66</v>
      </c>
    </row>
    <row r="905">
      <c r="A905" s="297" t="s">
        <v>114</v>
      </c>
      <c r="B905" s="255"/>
      <c r="C905" s="272"/>
      <c r="D905" s="298" t="s">
        <v>0</v>
      </c>
      <c r="E905" s="254" t="s">
        <v>0</v>
      </c>
    </row>
    <row r="906">
      <c r="A906" s="297" t="s">
        <v>115</v>
      </c>
      <c r="B906" s="255"/>
      <c r="C906" s="272"/>
      <c r="D906" s="254" t="s">
        <v>1</v>
      </c>
      <c r="E906" s="254" t="s">
        <v>1</v>
      </c>
    </row>
    <row r="907">
      <c r="A907" s="297" t="s">
        <v>116</v>
      </c>
      <c r="B907" s="255"/>
      <c r="C907" s="272"/>
      <c r="D907" s="298" t="s">
        <v>2</v>
      </c>
      <c r="E907" s="254" t="s">
        <v>2</v>
      </c>
    </row>
    <row r="908">
      <c r="A908" s="297" t="s">
        <v>131</v>
      </c>
      <c r="B908" s="255"/>
      <c r="C908" s="272"/>
      <c r="D908" s="299" t="s">
        <v>3</v>
      </c>
      <c r="E908" s="297" t="s">
        <v>3</v>
      </c>
    </row>
    <row r="909">
      <c r="A909" s="297" t="s">
        <v>132</v>
      </c>
      <c r="B909" s="255"/>
      <c r="C909" s="272"/>
      <c r="D909" s="299" t="s">
        <v>270</v>
      </c>
      <c r="E909" s="297" t="s">
        <v>270</v>
      </c>
    </row>
    <row r="910">
      <c r="A910" s="297" t="s">
        <v>120</v>
      </c>
      <c r="B910" s="255"/>
      <c r="C910" s="272"/>
      <c r="D910" s="299" t="s">
        <v>271</v>
      </c>
      <c r="E910" s="297" t="s">
        <v>271</v>
      </c>
    </row>
    <row r="911">
      <c r="A911" s="297" t="s">
        <v>121</v>
      </c>
      <c r="B911" s="255"/>
      <c r="C911" s="272"/>
      <c r="D911" s="299" t="s">
        <v>7</v>
      </c>
      <c r="E911" s="297" t="s">
        <v>7</v>
      </c>
    </row>
    <row r="912">
      <c r="A912" s="254" t="s">
        <v>29</v>
      </c>
      <c r="B912" s="255"/>
      <c r="C912" s="272"/>
      <c r="D912" s="299" t="s">
        <v>8</v>
      </c>
      <c r="E912" s="297" t="s">
        <v>8</v>
      </c>
    </row>
    <row r="913">
      <c r="A913" s="254" t="s">
        <v>342</v>
      </c>
      <c r="B913" s="255"/>
      <c r="C913" s="272"/>
      <c r="D913" s="299" t="s">
        <v>9</v>
      </c>
      <c r="E913" s="297" t="s">
        <v>68</v>
      </c>
    </row>
    <row r="914">
      <c r="A914" s="86"/>
      <c r="B914" s="255"/>
      <c r="C914" s="272"/>
      <c r="D914" s="299" t="s">
        <v>10</v>
      </c>
      <c r="E914" s="297" t="s">
        <v>69</v>
      </c>
    </row>
    <row r="915">
      <c r="A915" s="86"/>
      <c r="B915" s="255"/>
      <c r="C915" s="272"/>
      <c r="D915" s="298" t="s">
        <v>11</v>
      </c>
      <c r="E915" s="254" t="s">
        <v>11</v>
      </c>
    </row>
    <row r="916">
      <c r="A916" s="86"/>
      <c r="B916" s="255"/>
      <c r="C916" s="297" t="s">
        <v>66</v>
      </c>
      <c r="D916" s="299" t="s">
        <v>12</v>
      </c>
      <c r="E916" s="299" t="s">
        <v>12</v>
      </c>
    </row>
    <row r="917">
      <c r="A917" s="86"/>
      <c r="B917" s="255"/>
      <c r="C917" s="297" t="s">
        <v>0</v>
      </c>
      <c r="D917" s="299" t="s">
        <v>13</v>
      </c>
      <c r="E917" s="299" t="s">
        <v>13</v>
      </c>
    </row>
    <row r="918">
      <c r="A918" s="86"/>
      <c r="B918" s="255"/>
      <c r="C918" s="247" t="s">
        <v>1</v>
      </c>
      <c r="D918" s="299" t="s">
        <v>14</v>
      </c>
      <c r="E918" s="299" t="s">
        <v>14</v>
      </c>
    </row>
    <row r="919">
      <c r="A919" s="86"/>
      <c r="B919" s="255"/>
      <c r="C919" s="297" t="s">
        <v>2</v>
      </c>
      <c r="D919" s="299" t="s">
        <v>70</v>
      </c>
      <c r="E919" s="299" t="s">
        <v>70</v>
      </c>
    </row>
    <row r="920">
      <c r="A920" s="86"/>
      <c r="B920" s="255"/>
      <c r="C920" s="297" t="s">
        <v>3</v>
      </c>
      <c r="D920" s="299" t="s">
        <v>112</v>
      </c>
      <c r="E920" s="299" t="s">
        <v>112</v>
      </c>
    </row>
    <row r="921">
      <c r="A921" s="86"/>
      <c r="B921" s="255"/>
      <c r="C921" s="297" t="s">
        <v>270</v>
      </c>
      <c r="D921" s="299" t="s">
        <v>113</v>
      </c>
      <c r="E921" s="299" t="s">
        <v>113</v>
      </c>
    </row>
    <row r="922">
      <c r="A922" s="86"/>
      <c r="B922" s="255"/>
      <c r="C922" s="297" t="s">
        <v>271</v>
      </c>
      <c r="D922" s="299" t="s">
        <v>337</v>
      </c>
      <c r="E922" s="299" t="s">
        <v>337</v>
      </c>
    </row>
    <row r="923">
      <c r="A923" s="86"/>
      <c r="B923" s="255"/>
      <c r="C923" s="297" t="s">
        <v>272</v>
      </c>
      <c r="D923" s="299" t="s">
        <v>338</v>
      </c>
      <c r="E923" s="299" t="s">
        <v>338</v>
      </c>
    </row>
    <row r="924">
      <c r="A924" s="86"/>
      <c r="B924" s="255"/>
      <c r="C924" s="297" t="s">
        <v>8</v>
      </c>
      <c r="D924" s="299" t="s">
        <v>155</v>
      </c>
      <c r="E924" s="299" t="s">
        <v>155</v>
      </c>
    </row>
    <row r="925">
      <c r="A925" s="86"/>
      <c r="B925" s="255"/>
      <c r="C925" s="297" t="s">
        <v>154</v>
      </c>
      <c r="D925" s="299" t="s">
        <v>21</v>
      </c>
      <c r="E925" s="299" t="s">
        <v>21</v>
      </c>
    </row>
    <row r="926">
      <c r="A926" s="86"/>
      <c r="B926" s="255"/>
      <c r="C926" s="297" t="s">
        <v>10</v>
      </c>
      <c r="D926" s="299" t="s">
        <v>22</v>
      </c>
      <c r="E926" s="299" t="s">
        <v>72</v>
      </c>
    </row>
    <row r="927">
      <c r="A927" s="86"/>
      <c r="B927" s="255"/>
      <c r="C927" s="297" t="s">
        <v>11</v>
      </c>
      <c r="D927" s="299" t="s">
        <v>23</v>
      </c>
      <c r="E927" s="299" t="s">
        <v>23</v>
      </c>
    </row>
    <row r="928">
      <c r="A928" s="86"/>
      <c r="B928" s="255"/>
      <c r="C928" s="299" t="s">
        <v>12</v>
      </c>
      <c r="D928" s="299" t="s">
        <v>120</v>
      </c>
      <c r="E928" s="297" t="s">
        <v>339</v>
      </c>
    </row>
    <row r="929">
      <c r="A929" s="86"/>
      <c r="B929" s="255"/>
      <c r="C929" s="299" t="s">
        <v>13</v>
      </c>
      <c r="D929" s="299" t="s">
        <v>121</v>
      </c>
      <c r="E929" s="297" t="s">
        <v>340</v>
      </c>
    </row>
    <row r="930">
      <c r="A930" s="86"/>
      <c r="B930" s="255"/>
      <c r="C930" s="299" t="s">
        <v>14</v>
      </c>
      <c r="D930" s="299" t="s">
        <v>333</v>
      </c>
      <c r="E930" s="299" t="s">
        <v>333</v>
      </c>
    </row>
    <row r="931">
      <c r="A931" s="86"/>
      <c r="B931" s="255"/>
      <c r="C931" s="299" t="s">
        <v>70</v>
      </c>
      <c r="D931" s="298" t="s">
        <v>29</v>
      </c>
      <c r="E931" s="297" t="s">
        <v>29</v>
      </c>
    </row>
    <row r="932">
      <c r="A932" s="86"/>
      <c r="B932" s="255"/>
      <c r="C932" s="299" t="s">
        <v>112</v>
      </c>
      <c r="D932" s="5"/>
      <c r="E932" s="86"/>
    </row>
    <row r="933">
      <c r="A933" s="86"/>
      <c r="B933" s="255"/>
      <c r="C933" s="299" t="s">
        <v>113</v>
      </c>
      <c r="D933" s="5"/>
      <c r="E933" s="86"/>
    </row>
    <row r="934">
      <c r="A934" s="86"/>
      <c r="B934" s="255"/>
      <c r="C934" s="299" t="s">
        <v>337</v>
      </c>
      <c r="D934" s="5"/>
      <c r="E934" s="86"/>
    </row>
    <row r="935">
      <c r="A935" s="86"/>
      <c r="B935" s="254" t="s">
        <v>66</v>
      </c>
      <c r="C935" s="299" t="s">
        <v>338</v>
      </c>
      <c r="D935" s="5"/>
      <c r="E935" s="86"/>
    </row>
    <row r="936">
      <c r="A936" s="86"/>
      <c r="B936" s="254" t="s">
        <v>0</v>
      </c>
      <c r="C936" s="299" t="s">
        <v>155</v>
      </c>
      <c r="D936" s="5"/>
      <c r="E936" s="86"/>
    </row>
    <row r="937">
      <c r="A937" s="86"/>
      <c r="B937" s="254" t="s">
        <v>1</v>
      </c>
      <c r="C937" s="299" t="s">
        <v>21</v>
      </c>
      <c r="D937" s="5"/>
      <c r="E937" s="86"/>
    </row>
    <row r="938">
      <c r="A938" s="86"/>
      <c r="B938" s="254" t="s">
        <v>2</v>
      </c>
      <c r="C938" s="299" t="s">
        <v>22</v>
      </c>
      <c r="D938" s="5"/>
      <c r="E938" s="86"/>
    </row>
    <row r="939">
      <c r="A939" s="86"/>
      <c r="B939" s="297" t="s">
        <v>3</v>
      </c>
      <c r="C939" s="297" t="s">
        <v>23</v>
      </c>
      <c r="D939" s="5"/>
      <c r="E939" s="86"/>
    </row>
    <row r="940">
      <c r="A940" s="86"/>
      <c r="B940" s="310" t="s">
        <v>270</v>
      </c>
      <c r="C940" s="297" t="s">
        <v>339</v>
      </c>
      <c r="D940" s="5"/>
      <c r="E940" s="86"/>
    </row>
    <row r="941">
      <c r="A941" s="86"/>
      <c r="B941" s="310" t="s">
        <v>271</v>
      </c>
      <c r="C941" s="297" t="s">
        <v>340</v>
      </c>
      <c r="D941" s="5"/>
      <c r="E941" s="86"/>
    </row>
    <row r="942">
      <c r="A942" s="86"/>
      <c r="B942" s="254" t="s">
        <v>272</v>
      </c>
      <c r="C942" s="297" t="s">
        <v>341</v>
      </c>
      <c r="D942" s="5"/>
      <c r="E942" s="86"/>
    </row>
    <row r="943">
      <c r="A943" s="86"/>
      <c r="B943" s="297" t="s">
        <v>8</v>
      </c>
      <c r="C943" s="297" t="s">
        <v>29</v>
      </c>
      <c r="D943" s="5"/>
      <c r="E943" s="86"/>
    </row>
    <row r="944">
      <c r="A944" s="86"/>
      <c r="B944" s="297" t="s">
        <v>9</v>
      </c>
      <c r="C944" s="272"/>
      <c r="D944" s="5"/>
      <c r="E944" s="86"/>
    </row>
    <row r="945">
      <c r="A945" s="86"/>
      <c r="B945" s="297" t="s">
        <v>10</v>
      </c>
      <c r="C945" s="272"/>
      <c r="D945" s="5"/>
      <c r="E945" s="86"/>
    </row>
    <row r="946">
      <c r="A946" s="86"/>
      <c r="B946" s="254" t="s">
        <v>11</v>
      </c>
      <c r="C946" s="272"/>
      <c r="D946" s="5"/>
      <c r="E946" s="86"/>
    </row>
    <row r="947">
      <c r="A947" s="86"/>
      <c r="B947" s="297" t="s">
        <v>12</v>
      </c>
      <c r="C947" s="272"/>
      <c r="D947" s="5"/>
      <c r="E947" s="86"/>
    </row>
    <row r="948">
      <c r="A948" s="86"/>
      <c r="B948" s="297" t="s">
        <v>13</v>
      </c>
      <c r="C948" s="272"/>
      <c r="D948" s="5"/>
      <c r="E948" s="86"/>
    </row>
    <row r="949">
      <c r="B949" s="297" t="s">
        <v>110</v>
      </c>
      <c r="C949" s="272"/>
      <c r="D949" s="5"/>
      <c r="E949" s="86"/>
    </row>
    <row r="950">
      <c r="B950" s="297" t="s">
        <v>111</v>
      </c>
      <c r="C950" s="272"/>
      <c r="D950" s="5"/>
      <c r="E950" s="86"/>
    </row>
    <row r="951">
      <c r="B951" s="297" t="s">
        <v>129</v>
      </c>
      <c r="C951" s="272"/>
      <c r="D951" s="5"/>
      <c r="E951" s="86"/>
    </row>
    <row r="952">
      <c r="B952" s="297" t="s">
        <v>130</v>
      </c>
      <c r="C952" s="272"/>
      <c r="D952" s="5"/>
      <c r="E952" s="86"/>
    </row>
    <row r="953">
      <c r="B953" s="297" t="s">
        <v>114</v>
      </c>
      <c r="C953" s="272"/>
      <c r="D953" s="5"/>
      <c r="E953" s="86"/>
    </row>
    <row r="954">
      <c r="B954" s="297" t="s">
        <v>115</v>
      </c>
      <c r="C954" s="272"/>
      <c r="D954" s="5"/>
      <c r="E954" s="86"/>
    </row>
    <row r="955">
      <c r="B955" s="297" t="s">
        <v>116</v>
      </c>
      <c r="C955" s="272"/>
      <c r="D955" s="5"/>
      <c r="E955" s="86"/>
    </row>
    <row r="956">
      <c r="B956" s="297" t="s">
        <v>131</v>
      </c>
      <c r="C956" s="272"/>
      <c r="D956" s="5"/>
      <c r="E956" s="86"/>
    </row>
    <row r="957">
      <c r="B957" s="297" t="s">
        <v>132</v>
      </c>
      <c r="C957" s="272"/>
      <c r="D957" s="5"/>
      <c r="E957" s="86"/>
    </row>
    <row r="958">
      <c r="B958" s="297" t="s">
        <v>120</v>
      </c>
      <c r="C958" s="272"/>
      <c r="D958" s="5"/>
      <c r="E958" s="86"/>
    </row>
    <row r="959">
      <c r="B959" s="297" t="s">
        <v>121</v>
      </c>
      <c r="C959" s="272"/>
      <c r="D959" s="5"/>
      <c r="E959" s="86"/>
    </row>
    <row r="960">
      <c r="B960" s="254" t="s">
        <v>29</v>
      </c>
      <c r="C960" s="272"/>
      <c r="D960" s="5"/>
      <c r="E960" s="86"/>
    </row>
    <row r="961">
      <c r="B961" s="254"/>
      <c r="C961" s="272"/>
      <c r="D961" s="5"/>
      <c r="E961" s="86"/>
    </row>
    <row r="962">
      <c r="B962" s="255"/>
      <c r="C962" s="272"/>
      <c r="D962" s="5"/>
      <c r="E962" s="86"/>
    </row>
    <row r="963">
      <c r="B963" s="255"/>
      <c r="C963" s="272"/>
      <c r="D963" s="5"/>
      <c r="E963" s="86"/>
    </row>
    <row r="964">
      <c r="B964" s="255"/>
    </row>
    <row r="965">
      <c r="B965" s="255"/>
    </row>
    <row r="966">
      <c r="B966" s="255"/>
    </row>
    <row r="967">
      <c r="B967" s="255"/>
    </row>
    <row r="968">
      <c r="B968" s="255"/>
    </row>
    <row r="969">
      <c r="B969" s="255"/>
    </row>
    <row r="970">
      <c r="B970" s="255"/>
    </row>
    <row r="971">
      <c r="B971" s="255"/>
    </row>
    <row r="972">
      <c r="B972" s="255"/>
    </row>
    <row r="973">
      <c r="B973" s="255"/>
    </row>
    <row r="974">
      <c r="B974" s="255"/>
    </row>
    <row r="975">
      <c r="B975" s="255"/>
    </row>
    <row r="976">
      <c r="B976" s="255"/>
    </row>
    <row r="977">
      <c r="B977" s="255"/>
    </row>
    <row r="978">
      <c r="B978" s="255"/>
    </row>
    <row r="979">
      <c r="B979" s="255"/>
    </row>
    <row r="980">
      <c r="B980" s="255"/>
    </row>
    <row r="981">
      <c r="B981" s="255"/>
    </row>
    <row r="982">
      <c r="B982" s="255"/>
    </row>
    <row r="983">
      <c r="B983" s="255"/>
    </row>
    <row r="984">
      <c r="B984" s="255"/>
    </row>
    <row r="985">
      <c r="B985" s="255"/>
    </row>
    <row r="986">
      <c r="B986" s="255"/>
    </row>
    <row r="987">
      <c r="B987" s="255"/>
    </row>
    <row r="988">
      <c r="B988" s="255"/>
    </row>
    <row r="989">
      <c r="B989" s="255"/>
    </row>
    <row r="990">
      <c r="B990" s="255"/>
    </row>
    <row r="991">
      <c r="B991" s="255"/>
    </row>
    <row r="992">
      <c r="B992" s="255"/>
    </row>
    <row r="993">
      <c r="B993" s="255"/>
    </row>
    <row r="994">
      <c r="B994" s="255"/>
    </row>
    <row r="995">
      <c r="B995" s="255"/>
    </row>
    <row r="996">
      <c r="B996" s="25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76" t="s">
        <v>343</v>
      </c>
      <c r="B1" s="106" t="s">
        <v>344</v>
      </c>
      <c r="D1" s="106"/>
    </row>
    <row r="2">
      <c r="A2" s="76" t="s">
        <v>66</v>
      </c>
      <c r="B2" s="106" t="s">
        <v>345</v>
      </c>
      <c r="D2" s="106"/>
    </row>
    <row r="3">
      <c r="A3" s="76" t="s">
        <v>346</v>
      </c>
      <c r="B3" s="106" t="s">
        <v>347</v>
      </c>
      <c r="D3" s="106"/>
    </row>
    <row r="4">
      <c r="A4" s="76" t="s">
        <v>348</v>
      </c>
      <c r="B4" s="106" t="s">
        <v>349</v>
      </c>
      <c r="D4" s="106"/>
    </row>
    <row r="5">
      <c r="A5" s="76" t="s">
        <v>336</v>
      </c>
      <c r="B5" s="311" t="s">
        <v>350</v>
      </c>
      <c r="D5" s="106"/>
    </row>
    <row r="6">
      <c r="A6" s="76" t="s">
        <v>2</v>
      </c>
      <c r="B6" s="106" t="s">
        <v>351</v>
      </c>
      <c r="D6" s="106"/>
    </row>
    <row r="7">
      <c r="A7" s="312" t="s">
        <v>3</v>
      </c>
      <c r="B7" s="106" t="s">
        <v>352</v>
      </c>
      <c r="D7" s="106"/>
    </row>
    <row r="8">
      <c r="A8" s="312" t="s">
        <v>270</v>
      </c>
      <c r="B8" s="106" t="s">
        <v>353</v>
      </c>
      <c r="D8" s="106"/>
    </row>
    <row r="9">
      <c r="A9" s="312" t="s">
        <v>271</v>
      </c>
      <c r="B9" s="106" t="s">
        <v>354</v>
      </c>
      <c r="D9" s="106"/>
    </row>
    <row r="10">
      <c r="A10" s="312" t="s">
        <v>68</v>
      </c>
      <c r="B10" s="106" t="s">
        <v>355</v>
      </c>
      <c r="D10" s="106"/>
    </row>
    <row r="11">
      <c r="A11" s="312" t="s">
        <v>69</v>
      </c>
      <c r="B11" s="106" t="s">
        <v>356</v>
      </c>
      <c r="D11" s="106"/>
    </row>
    <row r="12">
      <c r="A12" s="312" t="s">
        <v>11</v>
      </c>
      <c r="B12" s="106" t="s">
        <v>357</v>
      </c>
      <c r="D12" s="106"/>
    </row>
    <row r="13">
      <c r="A13" s="312" t="s">
        <v>272</v>
      </c>
      <c r="B13" s="106" t="s">
        <v>358</v>
      </c>
      <c r="D13" s="106"/>
    </row>
    <row r="14">
      <c r="A14" s="312" t="s">
        <v>8</v>
      </c>
      <c r="B14" s="106" t="s">
        <v>359</v>
      </c>
      <c r="D14" s="106"/>
    </row>
    <row r="15">
      <c r="A15" s="312" t="s">
        <v>339</v>
      </c>
      <c r="B15" s="106" t="s">
        <v>360</v>
      </c>
      <c r="D15" s="106"/>
    </row>
    <row r="16">
      <c r="A16" s="312" t="s">
        <v>340</v>
      </c>
      <c r="B16" s="106" t="s">
        <v>361</v>
      </c>
      <c r="D16" s="106"/>
    </row>
    <row r="17">
      <c r="A17" s="312" t="s">
        <v>29</v>
      </c>
      <c r="B17" s="106" t="s">
        <v>362</v>
      </c>
      <c r="D17" s="106"/>
    </row>
    <row r="18">
      <c r="A18" s="76" t="s">
        <v>363</v>
      </c>
      <c r="B18" s="106" t="s">
        <v>364</v>
      </c>
      <c r="D18" s="106"/>
    </row>
    <row r="19">
      <c r="A19" s="106"/>
      <c r="D19" s="106"/>
    </row>
    <row r="20">
      <c r="A20" s="106"/>
      <c r="D20" s="106"/>
    </row>
    <row r="21">
      <c r="A21" s="106"/>
      <c r="D21" s="106"/>
    </row>
    <row r="22">
      <c r="A22" s="106"/>
      <c r="D22" s="106"/>
    </row>
    <row r="23">
      <c r="A23" s="106"/>
      <c r="D23" s="106"/>
    </row>
    <row r="24">
      <c r="A24" s="106"/>
      <c r="D24" s="106"/>
    </row>
    <row r="25">
      <c r="A25" s="106"/>
      <c r="D25" s="106"/>
    </row>
    <row r="26">
      <c r="A26" s="106"/>
      <c r="D26" s="106"/>
    </row>
    <row r="27">
      <c r="A27" s="106"/>
      <c r="D27" s="106"/>
    </row>
    <row r="28">
      <c r="A28" s="106"/>
      <c r="D28" s="106"/>
    </row>
    <row r="29">
      <c r="A29" s="106"/>
      <c r="D29" s="106"/>
    </row>
    <row r="30">
      <c r="A30" s="106"/>
      <c r="D30" s="106"/>
    </row>
    <row r="31">
      <c r="A31" s="106"/>
      <c r="D31" s="106"/>
    </row>
    <row r="32">
      <c r="A32" s="106"/>
      <c r="D32" s="106"/>
    </row>
    <row r="33">
      <c r="A33" s="106"/>
      <c r="D33" s="106"/>
    </row>
    <row r="34">
      <c r="A34" s="106"/>
      <c r="D34" s="106"/>
    </row>
    <row r="35">
      <c r="A35" s="106"/>
      <c r="D35" s="106"/>
    </row>
    <row r="36">
      <c r="A36" s="106"/>
      <c r="D36" s="106"/>
    </row>
    <row r="37">
      <c r="A37" s="106"/>
      <c r="D37" s="106"/>
    </row>
    <row r="38">
      <c r="A38" s="106"/>
      <c r="D38" s="106"/>
    </row>
    <row r="39">
      <c r="A39" s="106"/>
      <c r="D39" s="106"/>
    </row>
    <row r="40">
      <c r="A40" s="106"/>
      <c r="D40" s="106"/>
    </row>
    <row r="41">
      <c r="A41" s="106"/>
      <c r="D41" s="106"/>
    </row>
    <row r="42">
      <c r="A42" s="106"/>
      <c r="D42" s="106"/>
    </row>
    <row r="43">
      <c r="A43" s="106"/>
      <c r="D43" s="106"/>
    </row>
    <row r="44">
      <c r="A44" s="106"/>
      <c r="D44" s="106"/>
    </row>
    <row r="45">
      <c r="A45" s="106"/>
      <c r="D45" s="106"/>
    </row>
    <row r="47">
      <c r="A47" s="106"/>
      <c r="D47" s="106"/>
    </row>
  </sheetData>
  <drawing r:id="rId1"/>
</worksheet>
</file>