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akirkpatrick/Documents/Willamette_Courses/Spring_Semester/DS_505_Applied_Machine_Learning/Final Project/frog_data/"/>
    </mc:Choice>
  </mc:AlternateContent>
  <xr:revisionPtr revIDLastSave="0" documentId="13_ncr:1_{E7171CCD-3A54-6542-8DB3-DFFFCCD5675E}" xr6:coauthVersionLast="36" xr6:coauthVersionMax="36" xr10:uidLastSave="{00000000-0000-0000-0000-000000000000}"/>
  <bookViews>
    <workbookView xWindow="0" yWindow="0" windowWidth="28800" windowHeight="18000" activeTab="5" xr2:uid="{00000000-000D-0000-FFFF-FFFF00000000}"/>
  </bookViews>
  <sheets>
    <sheet name="November 2016" sheetId="1" r:id="rId1"/>
    <sheet name="December 2016" sheetId="2" r:id="rId2"/>
    <sheet name="January 2017" sheetId="3" r:id="rId3"/>
    <sheet name="February 2017" sheetId="4" r:id="rId4"/>
    <sheet name="March 2017" sheetId="5" r:id="rId5"/>
    <sheet name="April 2017" sheetId="6" r:id="rId6"/>
    <sheet name="Legend" sheetId="7" r:id="rId7"/>
    <sheet name="totals" sheetId="8" r:id="rId8"/>
    <sheet name="column labels" sheetId="9" r:id="rId9"/>
    <sheet name="Moon phases 2017" sheetId="10" r:id="rId10"/>
    <sheet name="Moon phases 2016" sheetId="11" r:id="rId11"/>
  </sheets>
  <definedNames>
    <definedName name="apr_tot_down">#REF!</definedName>
    <definedName name="apr_tot_up">#REF!</definedName>
    <definedName name="dec_tot_down">'December 2016'!$X$35</definedName>
    <definedName name="dec_tot_hrs">'December 2016'!$I$35</definedName>
    <definedName name="dec_tot_up">'December 2016'!$Y$35</definedName>
    <definedName name="feb_tot_down">'February 2017'!$Y$31</definedName>
    <definedName name="feb_tot_hrs">'February 2017'!$I$31</definedName>
    <definedName name="feb_tot_up">'February 2017'!$Z$31</definedName>
    <definedName name="jan_tot_down">'January 2017'!$Y$34</definedName>
    <definedName name="jan_tot_hrs">'January 2017'!$I$34</definedName>
    <definedName name="jan_tot_up">'January 2017'!$Z$34</definedName>
    <definedName name="MAR_F_A_DN" localSheetId="5">'April 2017'!$M$34</definedName>
    <definedName name="MAR_F_A_DN">'March 2017'!$M$34</definedName>
    <definedName name="mar_tot_down" localSheetId="5">'April 2017'!$Y$34</definedName>
    <definedName name="mar_tot_down">'March 2017'!$Y$34</definedName>
    <definedName name="mar_tot_hrs" localSheetId="5">'April 2017'!$I$34</definedName>
    <definedName name="mar_tot_hrs">'March 2017'!$I$34</definedName>
    <definedName name="mar_tot_up" localSheetId="5">'April 2017'!$Z$34</definedName>
    <definedName name="mar_tot_up">'March 2017'!$Z$34</definedName>
    <definedName name="nov_tot_down">'November 2016'!$Y$33</definedName>
    <definedName name="nov_tot_hrs">'November 2016'!$J$33</definedName>
    <definedName name="nov_tot_up">'November 2016'!$Z$33</definedName>
  </definedNames>
  <calcPr calcId="181029"/>
</workbook>
</file>

<file path=xl/calcChain.xml><?xml version="1.0" encoding="utf-8"?>
<calcChain xmlns="http://schemas.openxmlformats.org/spreadsheetml/2006/main">
  <c r="N32" i="10" l="1"/>
  <c r="M32" i="10"/>
  <c r="L32" i="10"/>
  <c r="K32" i="10"/>
  <c r="J32" i="10"/>
  <c r="I32" i="10"/>
  <c r="H32" i="10"/>
  <c r="G32" i="10"/>
  <c r="F32" i="10"/>
  <c r="E32" i="10"/>
  <c r="D32" i="10"/>
  <c r="C32" i="10"/>
  <c r="B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L26" i="9"/>
  <c r="L25" i="9"/>
  <c r="L24" i="9"/>
  <c r="L23" i="9"/>
  <c r="L22" i="9"/>
  <c r="L21" i="9"/>
  <c r="L20" i="9"/>
  <c r="L19" i="9"/>
  <c r="L18" i="9"/>
  <c r="L17" i="9"/>
  <c r="L16" i="9"/>
  <c r="L15" i="9"/>
  <c r="I8" i="8"/>
  <c r="H8" i="8"/>
  <c r="G8" i="8"/>
  <c r="F8" i="8"/>
  <c r="N8" i="8" s="1"/>
  <c r="E8" i="8"/>
  <c r="D8" i="8"/>
  <c r="C8" i="8"/>
  <c r="B8" i="8"/>
  <c r="M8" i="8" s="1"/>
  <c r="N7" i="8"/>
  <c r="M7" i="8"/>
  <c r="L7" i="8"/>
  <c r="K7" i="8"/>
  <c r="N6" i="8"/>
  <c r="M6" i="8"/>
  <c r="L6" i="8"/>
  <c r="K6" i="8"/>
  <c r="N5" i="8"/>
  <c r="M5" i="8"/>
  <c r="L5" i="8"/>
  <c r="K5" i="8"/>
  <c r="N4" i="8"/>
  <c r="M4" i="8"/>
  <c r="L4" i="8"/>
  <c r="K4" i="8"/>
  <c r="N3" i="8"/>
  <c r="M3" i="8"/>
  <c r="L3" i="8"/>
  <c r="K3" i="8"/>
  <c r="N2" i="8"/>
  <c r="M2" i="8"/>
  <c r="L2" i="8"/>
  <c r="K2" i="8"/>
  <c r="X34" i="6"/>
  <c r="W34" i="6"/>
  <c r="V34" i="6"/>
  <c r="U34" i="6"/>
  <c r="T34" i="6"/>
  <c r="S34" i="6"/>
  <c r="R34" i="6"/>
  <c r="Q34" i="6"/>
  <c r="P34" i="6"/>
  <c r="O34" i="6"/>
  <c r="N34" i="6"/>
  <c r="M34" i="6"/>
  <c r="I34" i="6"/>
  <c r="AA31" i="6"/>
  <c r="Z31" i="6"/>
  <c r="Y31" i="6"/>
  <c r="D31" i="6"/>
  <c r="AA30" i="6"/>
  <c r="Z30" i="6"/>
  <c r="Y30" i="6"/>
  <c r="D30" i="6"/>
  <c r="AA29" i="6"/>
  <c r="Z29" i="6"/>
  <c r="Y29" i="6"/>
  <c r="D29" i="6"/>
  <c r="AA28" i="6"/>
  <c r="Z28" i="6"/>
  <c r="Y28" i="6"/>
  <c r="D28" i="6"/>
  <c r="AA27" i="6"/>
  <c r="Z27" i="6"/>
  <c r="Y27" i="6"/>
  <c r="D27" i="6"/>
  <c r="D26" i="6"/>
  <c r="AA24" i="6"/>
  <c r="Z24" i="6"/>
  <c r="Y24" i="6"/>
  <c r="D24" i="6"/>
  <c r="AA23" i="6"/>
  <c r="Z23" i="6"/>
  <c r="Y23" i="6"/>
  <c r="D23" i="6"/>
  <c r="AA22" i="6"/>
  <c r="Z22" i="6"/>
  <c r="Y22" i="6"/>
  <c r="D22" i="6"/>
  <c r="AA21" i="6"/>
  <c r="Z21" i="6"/>
  <c r="Y21" i="6"/>
  <c r="D21" i="6"/>
  <c r="AA20" i="6"/>
  <c r="Z20" i="6"/>
  <c r="Y20" i="6"/>
  <c r="D20" i="6"/>
  <c r="AA19" i="6"/>
  <c r="Z19" i="6"/>
  <c r="Y19" i="6"/>
  <c r="D19" i="6"/>
  <c r="AA18" i="6"/>
  <c r="Z18" i="6"/>
  <c r="Y18" i="6"/>
  <c r="D18" i="6"/>
  <c r="AA17" i="6"/>
  <c r="Z17" i="6"/>
  <c r="Y17" i="6"/>
  <c r="D17" i="6"/>
  <c r="AA16" i="6"/>
  <c r="Z16" i="6"/>
  <c r="Y16" i="6"/>
  <c r="D16" i="6"/>
  <c r="AA15" i="6"/>
  <c r="Z15" i="6"/>
  <c r="Y15" i="6"/>
  <c r="D15" i="6"/>
  <c r="AA14" i="6"/>
  <c r="Z14" i="6"/>
  <c r="Y14" i="6"/>
  <c r="AA13" i="6"/>
  <c r="Z13" i="6"/>
  <c r="Y13" i="6"/>
  <c r="D13" i="6"/>
  <c r="AA12" i="6"/>
  <c r="Z12" i="6"/>
  <c r="Y12" i="6"/>
  <c r="D12" i="6"/>
  <c r="AA11" i="6"/>
  <c r="Z11" i="6"/>
  <c r="Y11" i="6"/>
  <c r="D11" i="6"/>
  <c r="AA10" i="6"/>
  <c r="Z10" i="6"/>
  <c r="Y10" i="6"/>
  <c r="D10" i="6"/>
  <c r="AA9" i="6"/>
  <c r="Z9" i="6"/>
  <c r="Y9" i="6"/>
  <c r="D9" i="6"/>
  <c r="AA8" i="6"/>
  <c r="Z8" i="6"/>
  <c r="Y8" i="6"/>
  <c r="D8" i="6"/>
  <c r="AA7" i="6"/>
  <c r="Z7" i="6"/>
  <c r="Y7" i="6"/>
  <c r="D7" i="6"/>
  <c r="AA6" i="6"/>
  <c r="Z6" i="6"/>
  <c r="Y6" i="6"/>
  <c r="D6" i="6"/>
  <c r="AA5" i="6"/>
  <c r="Z5" i="6"/>
  <c r="Y5" i="6"/>
  <c r="D5" i="6"/>
  <c r="AA4" i="6"/>
  <c r="Z4" i="6"/>
  <c r="Y4" i="6"/>
  <c r="D4" i="6"/>
  <c r="AA3" i="6"/>
  <c r="Z3" i="6"/>
  <c r="Y3" i="6"/>
  <c r="Y34" i="6" s="1"/>
  <c r="D3" i="6"/>
  <c r="AA2" i="6"/>
  <c r="AA34" i="6" s="1"/>
  <c r="Z2" i="6"/>
  <c r="Z34" i="6" s="1"/>
  <c r="D2" i="6"/>
  <c r="X34" i="5"/>
  <c r="W34" i="5"/>
  <c r="V34" i="5"/>
  <c r="U34" i="5"/>
  <c r="T34" i="5"/>
  <c r="S34" i="5"/>
  <c r="R34" i="5"/>
  <c r="Q34" i="5"/>
  <c r="P34" i="5"/>
  <c r="O34" i="5"/>
  <c r="N34" i="5"/>
  <c r="M34" i="5"/>
  <c r="I34" i="5"/>
  <c r="AA32" i="5"/>
  <c r="Z32" i="5"/>
  <c r="Y32" i="5"/>
  <c r="D32" i="5"/>
  <c r="AA31" i="5"/>
  <c r="Z31" i="5"/>
  <c r="Y31" i="5"/>
  <c r="D31" i="5"/>
  <c r="AA30" i="5"/>
  <c r="Z30" i="5"/>
  <c r="Y30" i="5"/>
  <c r="D30" i="5"/>
  <c r="AA29" i="5"/>
  <c r="Z29" i="5"/>
  <c r="Y29" i="5"/>
  <c r="D29" i="5"/>
  <c r="AA28" i="5"/>
  <c r="Z28" i="5"/>
  <c r="Y28" i="5"/>
  <c r="D28" i="5"/>
  <c r="AA27" i="5"/>
  <c r="Z27" i="5"/>
  <c r="Y27" i="5"/>
  <c r="D27" i="5"/>
  <c r="D26" i="5"/>
  <c r="AA24" i="5"/>
  <c r="Z24" i="5"/>
  <c r="Y24" i="5"/>
  <c r="D24" i="5"/>
  <c r="AA23" i="5"/>
  <c r="Z23" i="5"/>
  <c r="Y23" i="5"/>
  <c r="D23" i="5"/>
  <c r="AA22" i="5"/>
  <c r="Z22" i="5"/>
  <c r="Y22" i="5"/>
  <c r="D22" i="5"/>
  <c r="AA21" i="5"/>
  <c r="Z21" i="5"/>
  <c r="Y21" i="5"/>
  <c r="D21" i="5"/>
  <c r="AA20" i="5"/>
  <c r="Z20" i="5"/>
  <c r="Y20" i="5"/>
  <c r="D20" i="5"/>
  <c r="AA19" i="5"/>
  <c r="Z19" i="5"/>
  <c r="Y19" i="5"/>
  <c r="D19" i="5"/>
  <c r="AA18" i="5"/>
  <c r="Z18" i="5"/>
  <c r="Y18" i="5"/>
  <c r="D18" i="5"/>
  <c r="AA17" i="5"/>
  <c r="Z17" i="5"/>
  <c r="Y17" i="5"/>
  <c r="D17" i="5"/>
  <c r="AA16" i="5"/>
  <c r="Z16" i="5"/>
  <c r="Y16" i="5"/>
  <c r="D16" i="5"/>
  <c r="AA15" i="5"/>
  <c r="Z15" i="5"/>
  <c r="Y15" i="5"/>
  <c r="D15" i="5"/>
  <c r="AA14" i="5"/>
  <c r="Z14" i="5"/>
  <c r="Y14" i="5"/>
  <c r="AA13" i="5"/>
  <c r="Z13" i="5"/>
  <c r="Y13" i="5"/>
  <c r="D13" i="5"/>
  <c r="AA12" i="5"/>
  <c r="Z12" i="5"/>
  <c r="Y12" i="5"/>
  <c r="D12" i="5"/>
  <c r="AA11" i="5"/>
  <c r="Z11" i="5"/>
  <c r="Y11" i="5"/>
  <c r="D11" i="5"/>
  <c r="AA10" i="5"/>
  <c r="Z10" i="5"/>
  <c r="Y10" i="5"/>
  <c r="D10" i="5"/>
  <c r="AA9" i="5"/>
  <c r="Z9" i="5"/>
  <c r="Y9" i="5"/>
  <c r="D9" i="5"/>
  <c r="AA8" i="5"/>
  <c r="Z8" i="5"/>
  <c r="Y8" i="5"/>
  <c r="D8" i="5"/>
  <c r="AA7" i="5"/>
  <c r="Z7" i="5"/>
  <c r="Y7" i="5"/>
  <c r="D7" i="5"/>
  <c r="AA6" i="5"/>
  <c r="Z6" i="5"/>
  <c r="Y6" i="5"/>
  <c r="D6" i="5"/>
  <c r="AA5" i="5"/>
  <c r="Z5" i="5"/>
  <c r="Y5" i="5"/>
  <c r="D5" i="5"/>
  <c r="AA4" i="5"/>
  <c r="Z4" i="5"/>
  <c r="Y4" i="5"/>
  <c r="D4" i="5"/>
  <c r="AA3" i="5"/>
  <c r="Z3" i="5"/>
  <c r="Y3" i="5"/>
  <c r="Y34" i="5" s="1"/>
  <c r="D3" i="5"/>
  <c r="AA2" i="5"/>
  <c r="AA34" i="5" s="1"/>
  <c r="Z2" i="5"/>
  <c r="Z34" i="5" s="1"/>
  <c r="D2" i="5"/>
  <c r="X31" i="4"/>
  <c r="W31" i="4"/>
  <c r="V31" i="4"/>
  <c r="U31" i="4"/>
  <c r="T31" i="4"/>
  <c r="S31" i="4"/>
  <c r="R31" i="4"/>
  <c r="Q31" i="4"/>
  <c r="P31" i="4"/>
  <c r="O31" i="4"/>
  <c r="N31" i="4"/>
  <c r="M31" i="4"/>
  <c r="I31" i="4"/>
  <c r="I32" i="4" s="1"/>
  <c r="AA29" i="4"/>
  <c r="Z29" i="4"/>
  <c r="Y29" i="4"/>
  <c r="D29" i="4"/>
  <c r="AA28" i="4"/>
  <c r="Z28" i="4"/>
  <c r="Y28" i="4"/>
  <c r="D28" i="4"/>
  <c r="AA27" i="4"/>
  <c r="Z27" i="4"/>
  <c r="Y27" i="4"/>
  <c r="D27" i="4"/>
  <c r="AA26" i="4"/>
  <c r="Z26" i="4"/>
  <c r="Y26" i="4"/>
  <c r="D26" i="4"/>
  <c r="AA25" i="4"/>
  <c r="Z25" i="4"/>
  <c r="Y25" i="4"/>
  <c r="D25" i="4"/>
  <c r="AA24" i="4"/>
  <c r="Z24" i="4"/>
  <c r="Y24" i="4"/>
  <c r="D24" i="4"/>
  <c r="AA23" i="4"/>
  <c r="Y23" i="4"/>
  <c r="D23" i="4"/>
  <c r="AA22" i="4"/>
  <c r="Z22" i="4"/>
  <c r="Y22" i="4"/>
  <c r="D22" i="4"/>
  <c r="AA21" i="4"/>
  <c r="Z21" i="4"/>
  <c r="Y21" i="4"/>
  <c r="D21" i="4"/>
  <c r="AA20" i="4"/>
  <c r="Z20" i="4"/>
  <c r="Y20" i="4"/>
  <c r="D20" i="4"/>
  <c r="AA19" i="4"/>
  <c r="Z19" i="4"/>
  <c r="Y19" i="4"/>
  <c r="D19" i="4"/>
  <c r="AA18" i="4"/>
  <c r="Z18" i="4"/>
  <c r="Y18" i="4"/>
  <c r="AA17" i="4"/>
  <c r="Z17" i="4"/>
  <c r="Y17" i="4"/>
  <c r="D17" i="4"/>
  <c r="AA16" i="4"/>
  <c r="Z16" i="4"/>
  <c r="Y16" i="4"/>
  <c r="D16" i="4"/>
  <c r="AA15" i="4"/>
  <c r="Z15" i="4"/>
  <c r="Y15" i="4"/>
  <c r="D15" i="4"/>
  <c r="AA14" i="4"/>
  <c r="Z14" i="4"/>
  <c r="Y14" i="4"/>
  <c r="D14" i="4"/>
  <c r="AA13" i="4"/>
  <c r="Z13" i="4"/>
  <c r="Y13" i="4"/>
  <c r="D13" i="4"/>
  <c r="AA12" i="4"/>
  <c r="Z12" i="4"/>
  <c r="Y12" i="4"/>
  <c r="D12" i="4"/>
  <c r="AA11" i="4"/>
  <c r="Z11" i="4"/>
  <c r="Y11" i="4"/>
  <c r="D11" i="4"/>
  <c r="AA10" i="4"/>
  <c r="Z10" i="4"/>
  <c r="Y10" i="4"/>
  <c r="D10" i="4"/>
  <c r="AA9" i="4"/>
  <c r="Z9" i="4"/>
  <c r="D9" i="4"/>
  <c r="AA8" i="4"/>
  <c r="Z8" i="4"/>
  <c r="Y8" i="4"/>
  <c r="D8" i="4"/>
  <c r="AA7" i="4"/>
  <c r="Z7" i="4"/>
  <c r="Y7" i="4"/>
  <c r="D7" i="4"/>
  <c r="AA6" i="4"/>
  <c r="Z6" i="4"/>
  <c r="Y6" i="4"/>
  <c r="D6" i="4"/>
  <c r="AA5" i="4"/>
  <c r="Z5" i="4"/>
  <c r="Y5" i="4"/>
  <c r="D5" i="4"/>
  <c r="AA4" i="4"/>
  <c r="Z4" i="4"/>
  <c r="Y4" i="4"/>
  <c r="AA3" i="4"/>
  <c r="Z3" i="4"/>
  <c r="Y3" i="4"/>
  <c r="D3" i="4"/>
  <c r="AA2" i="4"/>
  <c r="Z2" i="4"/>
  <c r="Z31" i="4" s="1"/>
  <c r="Y2" i="4"/>
  <c r="Y31" i="4" s="1"/>
  <c r="AA31" i="4" s="1"/>
  <c r="D2" i="4"/>
  <c r="H38" i="3"/>
  <c r="X34" i="3"/>
  <c r="W34" i="3"/>
  <c r="V34" i="3"/>
  <c r="U34" i="3"/>
  <c r="T34" i="3"/>
  <c r="S34" i="3"/>
  <c r="R34" i="3"/>
  <c r="Q34" i="3"/>
  <c r="P34" i="3"/>
  <c r="O34" i="3"/>
  <c r="N34" i="3"/>
  <c r="M34" i="3"/>
  <c r="I34" i="3"/>
  <c r="AA32" i="3"/>
  <c r="Z32" i="3"/>
  <c r="Y32" i="3"/>
  <c r="D32" i="3"/>
  <c r="AA31" i="3"/>
  <c r="Z31" i="3"/>
  <c r="Y31" i="3"/>
  <c r="D31" i="3"/>
  <c r="AA30" i="3"/>
  <c r="Z30" i="3"/>
  <c r="Y30" i="3"/>
  <c r="D30" i="3"/>
  <c r="AA29" i="3"/>
  <c r="Z29" i="3"/>
  <c r="Y29" i="3"/>
  <c r="D29" i="3"/>
  <c r="AA28" i="3"/>
  <c r="Z28" i="3"/>
  <c r="Y28" i="3"/>
  <c r="D28" i="3"/>
  <c r="AA27" i="3"/>
  <c r="Z27" i="3"/>
  <c r="Y27" i="3"/>
  <c r="D27" i="3"/>
  <c r="AA26" i="3"/>
  <c r="Z26" i="3"/>
  <c r="Y26" i="3"/>
  <c r="D26" i="3"/>
  <c r="AA25" i="3"/>
  <c r="Z25" i="3"/>
  <c r="Y25" i="3"/>
  <c r="D25" i="3"/>
  <c r="AA24" i="3"/>
  <c r="Z24" i="3"/>
  <c r="Y24" i="3"/>
  <c r="D24" i="3"/>
  <c r="AA23" i="3"/>
  <c r="Z23" i="3"/>
  <c r="Y23" i="3"/>
  <c r="D23" i="3"/>
  <c r="AA22" i="3"/>
  <c r="Z22" i="3"/>
  <c r="Y22" i="3"/>
  <c r="D22" i="3"/>
  <c r="AA21" i="3"/>
  <c r="Z21" i="3"/>
  <c r="Y21" i="3"/>
  <c r="D21" i="3"/>
  <c r="AA20" i="3"/>
  <c r="Z20" i="3"/>
  <c r="Y20" i="3"/>
  <c r="D20" i="3"/>
  <c r="AA19" i="3"/>
  <c r="Z19" i="3"/>
  <c r="Y19" i="3"/>
  <c r="D19" i="3"/>
  <c r="AA18" i="3"/>
  <c r="Z18" i="3"/>
  <c r="Y18" i="3"/>
  <c r="D18" i="3"/>
  <c r="AA17" i="3"/>
  <c r="Z17" i="3"/>
  <c r="Y17" i="3"/>
  <c r="D17" i="3"/>
  <c r="AA16" i="3"/>
  <c r="Z16" i="3"/>
  <c r="Y16" i="3"/>
  <c r="D16" i="3"/>
  <c r="AA15" i="3"/>
  <c r="Z15" i="3"/>
  <c r="Y15" i="3"/>
  <c r="D15" i="3"/>
  <c r="AA14" i="3"/>
  <c r="Z14" i="3"/>
  <c r="Y14" i="3"/>
  <c r="D14" i="3"/>
  <c r="AA13" i="3"/>
  <c r="Z13" i="3"/>
  <c r="Y13" i="3"/>
  <c r="D13" i="3"/>
  <c r="AA12" i="3"/>
  <c r="Z12" i="3"/>
  <c r="Y12" i="3"/>
  <c r="D12" i="3"/>
  <c r="AA11" i="3"/>
  <c r="Z11" i="3"/>
  <c r="Y11" i="3"/>
  <c r="D11" i="3"/>
  <c r="AA10" i="3"/>
  <c r="Z10" i="3"/>
  <c r="Y10" i="3"/>
  <c r="D10" i="3"/>
  <c r="AA9" i="3"/>
  <c r="Z9" i="3"/>
  <c r="Y9" i="3"/>
  <c r="D9" i="3"/>
  <c r="AA8" i="3"/>
  <c r="Z8" i="3"/>
  <c r="Y8" i="3"/>
  <c r="D8" i="3"/>
  <c r="AA7" i="3"/>
  <c r="Z7" i="3"/>
  <c r="Y7" i="3"/>
  <c r="D7" i="3"/>
  <c r="AA6" i="3"/>
  <c r="Z6" i="3"/>
  <c r="Y6" i="3"/>
  <c r="D6" i="3"/>
  <c r="AA5" i="3"/>
  <c r="Z5" i="3"/>
  <c r="Y5" i="3"/>
  <c r="D5" i="3"/>
  <c r="AA4" i="3"/>
  <c r="Z4" i="3"/>
  <c r="Y4" i="3"/>
  <c r="D4" i="3"/>
  <c r="AA3" i="3"/>
  <c r="AA34" i="3" s="1"/>
  <c r="Z3" i="3"/>
  <c r="Y3" i="3"/>
  <c r="D3" i="3"/>
  <c r="AC2" i="3"/>
  <c r="AA2" i="3"/>
  <c r="Z2" i="3"/>
  <c r="Z34" i="3" s="1"/>
  <c r="Y2" i="3"/>
  <c r="Y34" i="3" s="1"/>
  <c r="D2" i="3"/>
  <c r="F40" i="2"/>
  <c r="F39" i="2"/>
  <c r="W35" i="2"/>
  <c r="V35" i="2"/>
  <c r="U35" i="2"/>
  <c r="T35" i="2"/>
  <c r="S35" i="2"/>
  <c r="R35" i="2"/>
  <c r="Q35" i="2"/>
  <c r="P35" i="2"/>
  <c r="O35" i="2"/>
  <c r="N35" i="2"/>
  <c r="M35" i="2"/>
  <c r="I35" i="2"/>
  <c r="H35" i="2"/>
  <c r="Y33" i="2"/>
  <c r="X33" i="2"/>
  <c r="D33" i="2"/>
  <c r="Y32" i="2"/>
  <c r="X32" i="2"/>
  <c r="D32" i="2"/>
  <c r="Y31" i="2"/>
  <c r="X31" i="2"/>
  <c r="D31" i="2"/>
  <c r="Y30" i="2"/>
  <c r="X30" i="2"/>
  <c r="D30" i="2"/>
  <c r="Y29" i="2"/>
  <c r="X29" i="2"/>
  <c r="D29" i="2"/>
  <c r="Y28" i="2"/>
  <c r="X28" i="2"/>
  <c r="D28" i="2"/>
  <c r="Y27" i="2"/>
  <c r="X27" i="2"/>
  <c r="D27" i="2"/>
  <c r="Y26" i="2"/>
  <c r="X26" i="2"/>
  <c r="D26" i="2"/>
  <c r="Y25" i="2"/>
  <c r="X25" i="2"/>
  <c r="D25" i="2"/>
  <c r="Y24" i="2"/>
  <c r="X24" i="2"/>
  <c r="D24" i="2"/>
  <c r="Y23" i="2"/>
  <c r="X23" i="2"/>
  <c r="D23" i="2"/>
  <c r="Y22" i="2"/>
  <c r="X22" i="2"/>
  <c r="D22" i="2"/>
  <c r="Y21" i="2"/>
  <c r="X21" i="2"/>
  <c r="D21" i="2"/>
  <c r="Y20" i="2"/>
  <c r="X20" i="2"/>
  <c r="D20" i="2"/>
  <c r="Y19" i="2"/>
  <c r="X19" i="2"/>
  <c r="D19" i="2"/>
  <c r="Y18" i="2"/>
  <c r="X18" i="2"/>
  <c r="Y17" i="2"/>
  <c r="X17" i="2"/>
  <c r="D17" i="2"/>
  <c r="Y16" i="2"/>
  <c r="X16" i="2"/>
  <c r="D16" i="2"/>
  <c r="Y15" i="2"/>
  <c r="X15" i="2"/>
  <c r="D15" i="2"/>
  <c r="Y14" i="2"/>
  <c r="X14" i="2"/>
  <c r="D14" i="2"/>
  <c r="Y13" i="2"/>
  <c r="X13" i="2"/>
  <c r="D13" i="2"/>
  <c r="Y12" i="2"/>
  <c r="X12" i="2"/>
  <c r="D12" i="2"/>
  <c r="Y11" i="2"/>
  <c r="X11" i="2"/>
  <c r="Y10" i="2"/>
  <c r="X10" i="2"/>
  <c r="D10" i="2"/>
  <c r="Y9" i="2"/>
  <c r="X9" i="2"/>
  <c r="D9" i="2"/>
  <c r="Y8" i="2"/>
  <c r="X8" i="2"/>
  <c r="D8" i="2"/>
  <c r="Y7" i="2"/>
  <c r="X7" i="2"/>
  <c r="D7" i="2"/>
  <c r="Y6" i="2"/>
  <c r="X6" i="2"/>
  <c r="D6" i="2"/>
  <c r="Y5" i="2"/>
  <c r="X5" i="2"/>
  <c r="D5" i="2"/>
  <c r="Y4" i="2"/>
  <c r="Y35" i="2" s="1"/>
  <c r="Y40" i="2" s="1"/>
  <c r="X4" i="2"/>
  <c r="D4" i="2"/>
  <c r="Y3" i="2"/>
  <c r="X3" i="2"/>
  <c r="D3" i="2"/>
  <c r="Y2" i="2"/>
  <c r="X2" i="2"/>
  <c r="X35" i="2" s="1"/>
  <c r="D2" i="2"/>
  <c r="X33" i="1"/>
  <c r="W33" i="1"/>
  <c r="V33" i="1"/>
  <c r="U33" i="1"/>
  <c r="T33" i="1"/>
  <c r="S33" i="1"/>
  <c r="R33" i="1"/>
  <c r="Q33" i="1"/>
  <c r="P33" i="1"/>
  <c r="O33" i="1"/>
  <c r="N33" i="1"/>
  <c r="J33" i="1"/>
  <c r="J34" i="1" s="1"/>
  <c r="I33" i="1"/>
  <c r="E31" i="1"/>
  <c r="Z30" i="1"/>
  <c r="Y30" i="1"/>
  <c r="E30" i="1"/>
  <c r="Z29" i="1"/>
  <c r="Y29" i="1"/>
  <c r="E29" i="1"/>
  <c r="Z28" i="1"/>
  <c r="Y28" i="1"/>
  <c r="E28" i="1"/>
  <c r="Y27" i="1"/>
  <c r="E27" i="1"/>
  <c r="Z26" i="1"/>
  <c r="Y26" i="1"/>
  <c r="E26" i="1"/>
  <c r="Z25" i="1"/>
  <c r="Y25" i="1"/>
  <c r="E25" i="1"/>
  <c r="Z24" i="1"/>
  <c r="Y24" i="1"/>
  <c r="E24" i="1"/>
  <c r="Z23" i="1"/>
  <c r="Y23" i="1"/>
  <c r="E23" i="1"/>
  <c r="Z22" i="1"/>
  <c r="Y22" i="1"/>
  <c r="E22" i="1"/>
  <c r="Z21" i="1"/>
  <c r="Y21" i="1"/>
  <c r="E21" i="1"/>
  <c r="Z20" i="1"/>
  <c r="Y20" i="1"/>
  <c r="E20" i="1"/>
  <c r="Z19" i="1"/>
  <c r="Y19" i="1"/>
  <c r="E19" i="1"/>
  <c r="Z18" i="1"/>
  <c r="Y18" i="1"/>
  <c r="E18" i="1"/>
  <c r="Z17" i="1"/>
  <c r="Y17" i="1"/>
  <c r="E17" i="1"/>
  <c r="Z16" i="1"/>
  <c r="Y16" i="1"/>
  <c r="E16" i="1"/>
  <c r="Z15" i="1"/>
  <c r="Y15" i="1"/>
  <c r="E15" i="1"/>
  <c r="Z14" i="1"/>
  <c r="Y14" i="1"/>
  <c r="E14" i="1"/>
  <c r="Z13" i="1"/>
  <c r="Y13" i="1"/>
  <c r="E13" i="1"/>
  <c r="Z12" i="1"/>
  <c r="Y12" i="1"/>
  <c r="E12" i="1"/>
  <c r="Z11" i="1"/>
  <c r="Y11" i="1"/>
  <c r="E11" i="1"/>
  <c r="Z10" i="1"/>
  <c r="Y10" i="1"/>
  <c r="E10" i="1"/>
  <c r="Z9" i="1"/>
  <c r="Y9" i="1"/>
  <c r="E9" i="1"/>
  <c r="Z8" i="1"/>
  <c r="Y8" i="1"/>
  <c r="E8" i="1"/>
  <c r="Z7" i="1"/>
  <c r="Y7" i="1"/>
  <c r="E7" i="1"/>
  <c r="Z6" i="1"/>
  <c r="Y6" i="1"/>
  <c r="E6" i="1"/>
  <c r="Z5" i="1"/>
  <c r="Y5" i="1"/>
  <c r="E5" i="1"/>
  <c r="Z4" i="1"/>
  <c r="Y4" i="1"/>
  <c r="E4" i="1"/>
  <c r="Z3" i="1"/>
  <c r="Y3" i="1"/>
  <c r="Y33" i="1" s="1"/>
  <c r="E3" i="1"/>
  <c r="Z2" i="1"/>
  <c r="Z33" i="1" s="1"/>
  <c r="Y2" i="1"/>
  <c r="E2" i="1"/>
  <c r="Y35" i="6" l="1"/>
  <c r="V38" i="6"/>
  <c r="Y35" i="5"/>
  <c r="AA35" i="5" s="1"/>
  <c r="Y35" i="3"/>
  <c r="AA35" i="3" s="1"/>
  <c r="X36" i="2"/>
  <c r="V35" i="4"/>
  <c r="V38" i="5"/>
  <c r="Y32" i="4"/>
  <c r="AA32" i="4" s="1"/>
  <c r="Y34" i="1"/>
  <c r="Y38" i="3"/>
  <c r="Y39" i="2"/>
  <c r="V39" i="6"/>
  <c r="Z35" i="5"/>
  <c r="Z35" i="3"/>
  <c r="Y36" i="2"/>
  <c r="Z38" i="1"/>
  <c r="Z34" i="1"/>
  <c r="V39" i="5"/>
  <c r="Z32" i="4"/>
  <c r="Z35" i="6"/>
  <c r="V36" i="4"/>
  <c r="Y39" i="3"/>
  <c r="I36" i="2"/>
  <c r="I35" i="3"/>
  <c r="I35" i="5"/>
  <c r="L8" i="8"/>
  <c r="K8" i="8"/>
  <c r="F38" i="1"/>
  <c r="I35" i="6"/>
  <c r="AA35" i="6" l="1"/>
</calcChain>
</file>

<file path=xl/sharedStrings.xml><?xml version="1.0" encoding="utf-8"?>
<sst xmlns="http://schemas.openxmlformats.org/spreadsheetml/2006/main" count="3107" uniqueCount="449">
  <si>
    <t>Date</t>
  </si>
  <si>
    <t>Sunset</t>
  </si>
  <si>
    <t>Civil 
Twilight</t>
  </si>
  <si>
    <t>Shift</t>
  </si>
  <si>
    <t>Captain</t>
  </si>
  <si>
    <t>Monitored (Y/N)</t>
  </si>
  <si>
    <t>Start time</t>
  </si>
  <si>
    <t>End time</t>
  </si>
  <si>
    <t>Hours</t>
  </si>
  <si>
    <t>Team Hrs.</t>
  </si>
  <si>
    <t>Start Temp</t>
  </si>
  <si>
    <t>End Temp</t>
  </si>
  <si>
    <t>Weather</t>
  </si>
  <si>
    <t>Females assisted down</t>
  </si>
  <si>
    <t>Males assisted down</t>
  </si>
  <si>
    <t>Females unassisted down</t>
  </si>
  <si>
    <t>Males unassisted down</t>
  </si>
  <si>
    <t>Females
assisted
up</t>
  </si>
  <si>
    <t>Males
 assisted
 up</t>
  </si>
  <si>
    <t>Females unassisted up</t>
  </si>
  <si>
    <t>Males unassisted up</t>
  </si>
  <si>
    <t>Juveniles</t>
  </si>
  <si>
    <t>Roadkills
female</t>
  </si>
  <si>
    <t>Roadkills
male</t>
  </si>
  <si>
    <t>Total Frogs down</t>
  </si>
  <si>
    <t>Total Frogs up</t>
  </si>
  <si>
    <t>% Moon Visible</t>
  </si>
  <si>
    <t>Comments</t>
  </si>
  <si>
    <t>Baro Pressure</t>
  </si>
  <si>
    <t>Y</t>
  </si>
  <si>
    <t>Steady rain</t>
  </si>
  <si>
    <t>Wet pavement/No rain</t>
  </si>
  <si>
    <t/>
  </si>
  <si>
    <t>N</t>
  </si>
  <si>
    <t>Cloudy/Dry 45 degrees</t>
  </si>
  <si>
    <t>Dry</t>
  </si>
  <si>
    <t>Rob monitored at 3:00AM spitting rain, 44F, no frogs</t>
  </si>
  <si>
    <t>y</t>
  </si>
  <si>
    <t>Wet pavement/cleared</t>
  </si>
  <si>
    <t>7:15, 47, sprinkles, 5:30AM, 48, light rain, no frogs</t>
  </si>
  <si>
    <t>wet pvmnt, rain in middle</t>
  </si>
  <si>
    <t xml:space="preserve">One Nortwestern Salamander taken down.  </t>
  </si>
  <si>
    <t>Clear</t>
  </si>
  <si>
    <t>Very, very dead thing that may have been a frog at some point.</t>
  </si>
  <si>
    <t>Light rain, wet pavement</t>
  </si>
  <si>
    <t>Temperature was dropping (cooling trend in forecast)</t>
  </si>
  <si>
    <t>Raining, heavy at times</t>
  </si>
  <si>
    <t>Pretty much nonstop rain all day, local flooding.</t>
  </si>
  <si>
    <t xml:space="preserve">Light rain tapers off, wet pavement starts to dry.  </t>
  </si>
  <si>
    <t>Assisted one long toed salamander.</t>
  </si>
  <si>
    <t>raining steadily</t>
  </si>
  <si>
    <t>6:30 PM, 44 degree and dropping</t>
  </si>
  <si>
    <t>Light Rain</t>
  </si>
  <si>
    <t>Saw one chorus frog on Marina Way headed UP</t>
  </si>
  <si>
    <t>Damp</t>
  </si>
  <si>
    <t>No frog rescue</t>
  </si>
  <si>
    <t>Monthly total</t>
  </si>
  <si>
    <t>Season Total</t>
  </si>
  <si>
    <t xml:space="preserve">SEASON CUMULATIVE </t>
  </si>
  <si>
    <t>HOURS MONITORED</t>
  </si>
  <si>
    <t>FEMALES DOWN</t>
  </si>
  <si>
    <t>FEMALES UP</t>
  </si>
  <si>
    <t>TOTAL FROGS DOWN</t>
  </si>
  <si>
    <t xml:space="preserve">
</t>
  </si>
  <si>
    <t>VOLUNTEER HOURS</t>
  </si>
  <si>
    <t>MALES DOWN</t>
  </si>
  <si>
    <t>MALES UP</t>
  </si>
  <si>
    <t>TOTAL  FROGS UP</t>
  </si>
  <si>
    <t xml:space="preserve">ROADKILLS </t>
  </si>
  <si>
    <t>JUVENILES UP</t>
  </si>
  <si>
    <t>2013/14 SEASON TOTALS: 580 downhill and 572 uphill.</t>
  </si>
  <si>
    <t>2014/15 SEASON TOTALS: 695 downhill and 750 uphill.</t>
  </si>
  <si>
    <t>45, cloudy-no rain</t>
  </si>
  <si>
    <t>damp pavement, gloomy overcast</t>
  </si>
  <si>
    <t>pavement wet from recent rain</t>
  </si>
  <si>
    <t>Back later for a second look</t>
  </si>
  <si>
    <t>wet pavement</t>
  </si>
  <si>
    <t>5am, 45, light rain, no sign of frogs</t>
  </si>
  <si>
    <t>damp pavement, no sustained precip</t>
  </si>
  <si>
    <t>Temp dropping into 30s quickly</t>
  </si>
  <si>
    <t>damp, but no rain</t>
  </si>
  <si>
    <t>moist and cold</t>
  </si>
  <si>
    <t>cold, dry</t>
  </si>
  <si>
    <t>Approx. 1 inch snow</t>
  </si>
  <si>
    <t>Jeff/Sarah</t>
  </si>
  <si>
    <t>snow, ice</t>
  </si>
  <si>
    <t>Partly cloudy, clearing</t>
  </si>
  <si>
    <t>1-2 inches snow</t>
  </si>
  <si>
    <t>Patchy snow on ground</t>
  </si>
  <si>
    <t>No new snow, but temps. hovered near freezing</t>
  </si>
  <si>
    <t>Jeff/Erica</t>
  </si>
  <si>
    <t>patchy snow on ground</t>
  </si>
  <si>
    <t>Still some snow edges</t>
  </si>
  <si>
    <t>Rain, then light rain</t>
  </si>
  <si>
    <t>It warmed up during the night!</t>
  </si>
  <si>
    <t>Wet pavement</t>
  </si>
  <si>
    <t>Dry, light rain later</t>
  </si>
  <si>
    <t>Dry with damp pavement</t>
  </si>
  <si>
    <t>dry</t>
  </si>
  <si>
    <t>passed by 6:45 &amp; 11:30pm, no frogs</t>
  </si>
  <si>
    <t>Misted later in night; temp. dropped to 37.</t>
  </si>
  <si>
    <t>Dry, clear skies</t>
  </si>
  <si>
    <t>wet pavement,partly cloudy</t>
  </si>
  <si>
    <t>Start Temp.</t>
  </si>
  <si>
    <t>Unassisted Females down</t>
  </si>
  <si>
    <t>Unasissted Males down</t>
  </si>
  <si>
    <t>Females 
assisted 
up</t>
  </si>
  <si>
    <t>Males assisted 
up</t>
  </si>
  <si>
    <t>Unassisted females  
up</t>
  </si>
  <si>
    <t>Unassisted males 
up</t>
  </si>
  <si>
    <t xml:space="preserve">Juveniles </t>
  </si>
  <si>
    <t>Roadkill Females</t>
  </si>
  <si>
    <t>Roadkill Males</t>
  </si>
  <si>
    <t>Roadkill
Unk</t>
  </si>
  <si>
    <t>Total
frogs down</t>
  </si>
  <si>
    <t>Total
frogs 
up</t>
  </si>
  <si>
    <t xml:space="preserve">Total
frogs
</t>
  </si>
  <si>
    <t>% moon visible</t>
  </si>
  <si>
    <t>34 F, dry, slt.glaze</t>
  </si>
  <si>
    <t>damp/icy</t>
  </si>
  <si>
    <t>extreme cold, clear skies</t>
  </si>
  <si>
    <t>21F at midnight</t>
  </si>
  <si>
    <t>~28</t>
  </si>
  <si>
    <t>~32</t>
  </si>
  <si>
    <t>rain/sleet</t>
  </si>
  <si>
    <t xml:space="preserve">rain </t>
  </si>
  <si>
    <t>~34</t>
  </si>
  <si>
    <t>Snow overnight</t>
  </si>
  <si>
    <t>Snow, ~12 "</t>
  </si>
  <si>
    <t>~25</t>
  </si>
  <si>
    <t>Dry, overcast</t>
  </si>
  <si>
    <t>Extreme snow persists in extreme cold.</t>
  </si>
  <si>
    <t>Snow/ice</t>
  </si>
  <si>
    <t>cold, melting snow</t>
  </si>
  <si>
    <t>Light rain at times</t>
  </si>
  <si>
    <t>Got silt fence back in shape; shoveled old snow; no frogs.</t>
  </si>
  <si>
    <t>Pavement wet</t>
  </si>
  <si>
    <t>Got cold much sooner than forecast.</t>
  </si>
  <si>
    <t>5:30/8:</t>
  </si>
  <si>
    <t>2 2/4</t>
  </si>
  <si>
    <t>39/45</t>
  </si>
  <si>
    <t>temp39/45, mist</t>
  </si>
  <si>
    <t>damp road, no rain</t>
  </si>
  <si>
    <t>Temp continued to drop.</t>
  </si>
  <si>
    <t>Very light rain</t>
  </si>
  <si>
    <t>Unexpected, due to cold weather, very little moisture.</t>
  </si>
  <si>
    <t>No rain all day, pavement damp in spots; frogs lethargic.</t>
  </si>
  <si>
    <t>5:30/8:30</t>
  </si>
  <si>
    <t>6:45/9:00</t>
  </si>
  <si>
    <t>Pavement damp</t>
  </si>
  <si>
    <t>Dry and sunny all day, overcast later with partial clearing to starry skies</t>
  </si>
  <si>
    <t>sporadic LIGHT mist</t>
  </si>
  <si>
    <t>Completely dry</t>
  </si>
  <si>
    <t>Dry and cold</t>
  </si>
  <si>
    <t>Hours monitored</t>
  </si>
  <si>
    <t>Unasissted 
Males 
down</t>
  </si>
  <si>
    <t>Juveniles assisted up</t>
  </si>
  <si>
    <t>Total 
frogs 
down</t>
  </si>
  <si>
    <t>Total 
frogs 
up</t>
  </si>
  <si>
    <t>Total live frogs</t>
  </si>
  <si>
    <t>% Moon visible</t>
  </si>
  <si>
    <t>Dry all day</t>
  </si>
  <si>
    <t xml:space="preserve">Sarah &amp; Erica </t>
  </si>
  <si>
    <t>Freezing rain, icy</t>
  </si>
  <si>
    <t>mist/rain</t>
  </si>
  <si>
    <t>roadkill are vague estimates, as better numbers weren't possible</t>
  </si>
  <si>
    <t>Rain; snow on ground</t>
  </si>
  <si>
    <t>A bit of light rain</t>
  </si>
  <si>
    <t>9/5:45</t>
  </si>
  <si>
    <t>9:15/5:30</t>
  </si>
  <si>
    <t>cold, rainy</t>
  </si>
  <si>
    <t>Also monitored from 5:45 to 6 a.m., but just saw one female then.</t>
  </si>
  <si>
    <t>Dry/5 min. rain 10:30</t>
  </si>
  <si>
    <t>16 chorus frogs down; 1 NW salamander</t>
  </si>
  <si>
    <t xml:space="preserve">no rain, clearing skies </t>
  </si>
  <si>
    <t>1 long toed salamander</t>
  </si>
  <si>
    <t>Dry,  No Frogs</t>
  </si>
  <si>
    <t>A very quiet night.</t>
  </si>
  <si>
    <t>6:00 PM</t>
  </si>
  <si>
    <t>Dry and clear</t>
  </si>
  <si>
    <t>Light rain/slightly froggy</t>
  </si>
  <si>
    <t>10 female chorus frogs down/Survey Marina Way!/ Males boycotting consumer holiday</t>
  </si>
  <si>
    <t>lite to heavy rain</t>
  </si>
  <si>
    <t>Really big movement of chorus frogs tonight</t>
  </si>
  <si>
    <t>Lite rain to dry</t>
  </si>
  <si>
    <t>10 chorus frogs down; 1 long-toed salamander up; 2 UK salamanders down (Sue?)</t>
  </si>
  <si>
    <t>Erica/ Sarah</t>
  </si>
  <si>
    <t>Clear,no precip, dry roads</t>
  </si>
  <si>
    <t>cloudy, dry</t>
  </si>
  <si>
    <t>frogs caught at dusk, then no frogs</t>
  </si>
  <si>
    <t>light rain, intermittent</t>
  </si>
  <si>
    <t>1 chorus frog up at 7:15.  No RLs  SB: 1 dead gravid female on the highway and 2 Unk. dead RL  nearby, appears they were coming down that steep slope below H.</t>
  </si>
  <si>
    <t>Mist then dry</t>
  </si>
  <si>
    <t>2 CFs</t>
  </si>
  <si>
    <t>Wet pavement, clearing skies</t>
  </si>
  <si>
    <t>Intermittent rain</t>
  </si>
  <si>
    <t>38 degrees at 6:20; 36 at 8:30; no sign of live frogs or roadkill. Loud chorus frog song!</t>
  </si>
  <si>
    <t>No sign of frogs.</t>
  </si>
  <si>
    <t>dry, cooling</t>
  </si>
  <si>
    <t>zippo</t>
  </si>
  <si>
    <t>dry, beginnings of precip.</t>
  </si>
  <si>
    <t>ditto</t>
  </si>
  <si>
    <t>Dry, mist and one shower</t>
  </si>
  <si>
    <t>2015/16 SEASON TOTALS:  688 downhill and 1040 uphill</t>
  </si>
  <si>
    <t>Start temp</t>
  </si>
  <si>
    <t>End temp</t>
  </si>
  <si>
    <t>Females assisted 
up</t>
  </si>
  <si>
    <t>Roadkill 
Males</t>
  </si>
  <si>
    <t>Total
frogs 
down</t>
  </si>
  <si>
    <t>Total live
frogs</t>
  </si>
  <si>
    <t>dry, partly cloudy</t>
  </si>
  <si>
    <t>Rain, turning to dry</t>
  </si>
  <si>
    <t>About 30 chorus frogs down</t>
  </si>
  <si>
    <t>1 northwest salamander headed up</t>
  </si>
  <si>
    <t>showery</t>
  </si>
  <si>
    <t>checked 9pm, no frogs</t>
  </si>
  <si>
    <t>Light rain, then dry</t>
  </si>
  <si>
    <t>Sporadic showers</t>
  </si>
  <si>
    <t>17 chorus frogs up, 1 down, 4 assist</t>
  </si>
  <si>
    <t xml:space="preserve">light rain </t>
  </si>
  <si>
    <t>1 chorus frog</t>
  </si>
  <si>
    <t>Rain; showers; dry</t>
  </si>
  <si>
    <t>Appox 50 chorus down; 5 up; 6 NW salamanders; 1 long-toed</t>
  </si>
  <si>
    <t>N
Y</t>
  </si>
  <si>
    <t>5:45:00 AM
8:10PM</t>
  </si>
  <si>
    <t>5:45:00 AM
8:25PM</t>
  </si>
  <si>
    <t>58
48</t>
  </si>
  <si>
    <t>Dry. Moon and bright stars visible.</t>
  </si>
  <si>
    <t>Too dry for movement,</t>
  </si>
  <si>
    <t>Jane/Murr</t>
  </si>
  <si>
    <t>Mist w/ some light rain</t>
  </si>
  <si>
    <t xml:space="preserve"> 12 CFs down; 19 CFs up; 1 LTS;1 NWS</t>
  </si>
  <si>
    <t>1 CF down, 7 CF up, 6 CF assists, 1 Plethodon moved to PGE road</t>
  </si>
  <si>
    <t>dry and partly cloudy</t>
  </si>
  <si>
    <t>1 CF up</t>
  </si>
  <si>
    <t>Dry, dry pavement</t>
  </si>
  <si>
    <t>1st rain-free day for a while!</t>
  </si>
  <si>
    <t>Wet pavement, no rain</t>
  </si>
  <si>
    <t>1 juvenile long toed salamander, 40 chorus frogs headed up</t>
  </si>
  <si>
    <t>Moist, windy,drying</t>
  </si>
  <si>
    <t xml:space="preserve"> 2 CFs up</t>
  </si>
  <si>
    <t>Steady rain decreasing</t>
  </si>
  <si>
    <t>10 CF up/ 4 assisted down</t>
  </si>
  <si>
    <t>P. Cloudy, dry</t>
  </si>
  <si>
    <t>3 gravid CF down; 2 CF up. Quiet night, considering conditions!</t>
  </si>
  <si>
    <t>Sarah</t>
  </si>
  <si>
    <t>No rain, wet pavement</t>
  </si>
  <si>
    <t>One unassisted CF down.</t>
  </si>
  <si>
    <t>wet pavement; mist, light rain, then clearing</t>
  </si>
  <si>
    <t>Not a sign of movement</t>
  </si>
  <si>
    <t>Dry, then mist, then sprinkles</t>
  </si>
  <si>
    <t xml:space="preserve">Too dry in early evening; some mist and a few sprinkles later were not enough to get frogs to move. </t>
  </si>
  <si>
    <t>misty, damp pavement, cloudy</t>
  </si>
  <si>
    <t>Maggie found 1 non-gravid female Raa on Marina at the start of her 1 hour survey.</t>
  </si>
  <si>
    <t>No rain, dry pavement</t>
  </si>
  <si>
    <t>This became a dry, sunny spring day.</t>
  </si>
  <si>
    <t>daylight savings time</t>
  </si>
  <si>
    <t>Partly cloudy; dry</t>
  </si>
  <si>
    <t>Drying pavement, clearing skies</t>
  </si>
  <si>
    <t>dry, scatter clouds</t>
  </si>
  <si>
    <t>a bit of light rain</t>
  </si>
  <si>
    <t>Fred</t>
  </si>
  <si>
    <t>team Hrs.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</si>
  <si>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</si>
  <si>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</si>
  <si>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</si>
  <si>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</si>
  <si>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</si>
  <si>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</si>
  <si>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</si>
  <si>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</si>
  <si>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</si>
  <si>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The time of arrival on site.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</si>
  <si>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</si>
  <si>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</si>
  <si>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</si>
  <si>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</si>
  <si>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Number of hours on site (difference of start and end times)</t>
  </si>
  <si>
    <t>Total hours on-site of all team members (including captain)</t>
  </si>
  <si>
    <t>Frogs down</t>
  </si>
  <si>
    <t>AUTOFILL:  Number of red legged frogs (assisited and unassisted) down (to the wetlands)</t>
  </si>
  <si>
    <t>Frogs up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</si>
  <si>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</si>
  <si>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</si>
  <si>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</si>
  <si>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</si>
  <si>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Total Frogs Assisted Down</t>
  </si>
  <si>
    <t>Total Frogs Assisted Up</t>
  </si>
  <si>
    <t>november</t>
  </si>
  <si>
    <t>december</t>
  </si>
  <si>
    <t>january</t>
  </si>
  <si>
    <t>february</t>
  </si>
  <si>
    <t>march</t>
  </si>
  <si>
    <t>april</t>
  </si>
  <si>
    <t>total</t>
  </si>
  <si>
    <t>nov</t>
  </si>
  <si>
    <t>dec</t>
  </si>
  <si>
    <t>jan</t>
  </si>
  <si>
    <t>feb</t>
  </si>
  <si>
    <t>mar</t>
  </si>
  <si>
    <t>Rain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</si>
  <si>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</si>
  <si>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</si>
  <si>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</si>
  <si>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</si>
  <si>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</si>
  <si>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</si>
  <si>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</si>
  <si>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</si>
  <si>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</si>
  <si>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</si>
  <si>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</si>
  <si>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</si>
  <si>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</si>
  <si>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</si>
  <si>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</si>
  <si>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</si>
  <si>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</si>
  <si>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</si>
  <si>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</si>
  <si>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</si>
  <si>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</si>
  <si>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</si>
  <si>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</si>
  <si>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</si>
  <si>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</si>
  <si>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</si>
  <si>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</si>
  <si>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</si>
  <si>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</si>
  <si>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</si>
  <si>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</si>
  <si>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</si>
  <si>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</si>
  <si>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</si>
  <si>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</si>
  <si>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</si>
  <si>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</si>
  <si>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</si>
  <si>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</si>
  <si>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</si>
  <si>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</si>
  <si>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</si>
  <si>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</si>
  <si>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</si>
  <si>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</si>
  <si>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</si>
  <si>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</si>
  <si>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</si>
  <si>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</si>
  <si>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</si>
  <si>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</si>
  <si>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</si>
  <si>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</si>
  <si>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</si>
  <si>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</si>
  <si>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</si>
  <si>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</si>
  <si>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</si>
  <si>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</si>
  <si>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</si>
  <si>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down</t>
  </si>
  <si>
    <t>Total frogs up</t>
  </si>
  <si>
    <t>Total
frogs
assisted</t>
  </si>
  <si>
    <t>Total frogs assisted</t>
  </si>
  <si>
    <t>Total
frogs 
assisted</t>
  </si>
  <si>
    <t>2015/</t>
  </si>
  <si>
    <t>Females assisted up</t>
  </si>
  <si>
    <t>Males assisted up</t>
  </si>
  <si>
    <t>Unassisted females  up</t>
  </si>
  <si>
    <t>Unassisted males up</t>
  </si>
  <si>
    <t>Total assisted</t>
  </si>
  <si>
    <t>Total Frogs Assisted</t>
  </si>
  <si>
    <t>Day    Jan.     Feb.     Mar.     Apr.     May      June     July     Aug.     Sep.     Oct.     Nov.     Dec.</t>
  </si>
  <si>
    <t>01     0.09     0.20     0.09     0.23     0.31     0.48     0.53     0.66     0.77     0.79     0.89     0.92</t>
  </si>
  <si>
    <t>02     0.16     0.30     0.17     0.34     0.42     0.58     0.63     0.75     0.85     0.87     0.95     0.97</t>
  </si>
  <si>
    <t>03     0.24     0.41     0.26     0.45     0.52     0.68     0.72     0.82     0.91     0.93     0.99     1.00</t>
  </si>
  <si>
    <t>04     0.34     0.52     0.37     0.56     0.63     0.77     0.80     0.89     0.96     0.97     1.00     0.99</t>
  </si>
  <si>
    <t>05     0.45     0.63     0.48     0.67     0.73     0.85     0.87     0.94     0.99     1.00     0.98     0.96</t>
  </si>
  <si>
    <t>06     0.56     0.74     0.60     0.77     0.81     0.91     0.93     0.98     1.00     0.99     0.93     0.90</t>
  </si>
  <si>
    <t>07     0.67     0.83     0.71     0.85     0.88     0.95     0.97     1.00     0.99     0.97     0.86     0.81</t>
  </si>
  <si>
    <t>08     0.77     0.91     0.80     0.92     0.94     0.98     0.99     1.00     0.95     0.91     0.77     0.71</t>
  </si>
  <si>
    <t>09     0.86     0.96     0.88     0.96     0.98     1.00     1.00     0.97     0.89     0.84     0.67     0.61</t>
  </si>
  <si>
    <t>10     0.93     0.99     0.94     0.99     1.00     0.99     0.99     0.93     0.81     0.74     0.56     0.50</t>
  </si>
  <si>
    <t>11     0.98     1.00     0.98     1.00     1.00     0.97     0.96     0.87     0.72     0.64     0.45     0.40</t>
  </si>
  <si>
    <t>12     1.00     0.98     1.00     0.99     0.98     0.93     0.91     0.79     0.61     0.52     0.34     0.30</t>
  </si>
  <si>
    <t>13     0.99     0.94     0.99     0.96     0.95     0.87     0.84     0.69     0.49     0.41     0.25     0.21</t>
  </si>
  <si>
    <t>14     0.96     0.88     0.97     0.91     0.90     0.80     0.76     0.58     0.38     0.30     0.16     0.14</t>
  </si>
  <si>
    <t>15     0.90     0.81     0.93     0.85     0.83     0.72     0.66     0.47     0.27     0.21     0.10     0.08</t>
  </si>
  <si>
    <t>16     0.83     0.73     0.87     0.78     0.76     0.62     0.55     0.36     0.18     0.13     0.05     0.04</t>
  </si>
  <si>
    <t>17     0.74     0.64     0.80     0.70     0.67     0.52     0.44     0.25     0.10     0.07     0.01     0.01</t>
  </si>
  <si>
    <t>18     0.65     0.55     0.71     0.61     0.57     0.41     0.33     0.15     0.04     0.02     0.00     0.00</t>
  </si>
  <si>
    <t>19     0.56     0.45     0.63     0.51     0.47     0.30     0.23     0.08     0.01     0.00     0.01     0.01</t>
  </si>
  <si>
    <t>20     0.46     0.36     0.53     0.41     0.37     0.20     0.13     0.03     0.00     0.00     0.03     0.04</t>
  </si>
  <si>
    <t>21     0.37     0.27     0.44     0.31     0.26     0.12     0.06     0.00     0.01     0.03     0.07     0.08</t>
  </si>
  <si>
    <t>22     0.28     0.19     0.34     0.22     0.17     0.05     0.02     0.00     0.05     0.06     0.13     0.14</t>
  </si>
  <si>
    <t>23     0.20     0.12     0.25     0.14     0.09     0.01     0.00     0.03     0.10     0.12     0.20     0.21</t>
  </si>
  <si>
    <t>24     0.13     0.06     0.17     0.07     0.04     0.00     0.01     0.08     0.17     0.19     0.28     0.30</t>
  </si>
  <si>
    <t>25     0.07     0.02     0.10     0.02     0.01     0.02     0.05     0.15     0.25     0.26     0.37     0.39</t>
  </si>
  <si>
    <t>26     0.03     0.00     0.04     0.00     0.01     0.07     0.11     0.22     0.34     0.35     0.46     0.50</t>
  </si>
  <si>
    <t>27     0.01     0.01     0.01     0.01     0.04     0.14     0.19     0.31     0.43     0.44     0.56     0.60</t>
  </si>
  <si>
    <t>28     0.00     0.04     0.00     0.05     0.09     0.23     0.28     0.41     0.52     0.54     0.66     0.70</t>
  </si>
  <si>
    <t>29     0.02       x       0.02     0.12     0.18     0.33     0.37     0.50     0.62     0.64     0.76     0.80</t>
  </si>
  <si>
    <t>30     0.06       x       0.07     0.20     0.27     0.43     0.47     0.59     0.71     0.73     0.85     0.89</t>
  </si>
  <si>
    <t>31     0.12     x        0.14       x       0.37       x      0.57     0.69      x        0.82        x      0.95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</si>
  <si>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</si>
  <si>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</si>
  <si>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</si>
  <si>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</si>
  <si>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</si>
  <si>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</si>
  <si>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</si>
  <si>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</si>
  <si>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</si>
  <si>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</si>
  <si>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</si>
  <si>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</si>
  <si>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01     0.59     0.48     0.56     0.43     0.37     0.20     0.13     0.03     0.00     0.00     0.02     0.03</t>
  </si>
  <si>
    <t>02     0.49     0.39     0.47     0.33     0.27     0.11     0.06     0.00     0.01     0.02     0.06     0.07</t>
  </si>
  <si>
    <t>03     0.40     0.30     0.37     0.23     0.17     0.05     0.02     0.00     0.04     0.05     0.11     0.13</t>
  </si>
  <si>
    <t>04     0.31     0.21     0.27     0.14     0.09     0.01     0.00     0.02     0.08     0.10     0.18     0.21</t>
  </si>
  <si>
    <t>05     0.22     0.13     0.18     0.07     0.03     0.00     0.01     0.07     0.14     0.16     0.26     0.29</t>
  </si>
  <si>
    <t>06     0.15     0.07     0.10     0.02     0.00     0.02     0.04     0.12     0.22     0.24     0.35     0.39</t>
  </si>
  <si>
    <t>07     0.08     0.02     0.04     0.00     0.01     0.07     0.10     0.20     0.30     0.32     0.45     0.50</t>
  </si>
  <si>
    <t>08     0.04     0.00     0.01     0.01     0.04     0.13     0.17     0.28     0.39     0.42     0.55     0.61</t>
  </si>
  <si>
    <t>09     0.01     0.01     0.00     0.05     0.09     0.22     0.25     0.37     0.49     0.52     0.66     0.71</t>
  </si>
  <si>
    <t>10     0.00     0.04     0.02     0.12     0.17     0.31     0.34     0.46     0.58     0.62     0.76     0.81</t>
  </si>
  <si>
    <t>11     0.02     0.10     0.07     0.21     0.26     0.40     0.43     0.56     0.68     0.72     0.85     0.89</t>
  </si>
  <si>
    <t>12     0.06     0.18     0.15     0.31     0.36     0.50     0.53     0.65     0.77     0.81     0.92     0.96</t>
  </si>
  <si>
    <t>13     0.13     0.28     0.24     0.41     0.46     0.60     0.62     0.74     0.85     0.89     0.97     0.99</t>
  </si>
  <si>
    <t>14     0.22     0.39     0.35     0.52     0.56     0.69     0.71     0.82     0.92     0.95     1.00     1.00</t>
  </si>
  <si>
    <t>15     0.32     0.50     0.46     0.62     0.66     0.77     0.79     0.89     0.97     0.99     0.99     0.97</t>
  </si>
  <si>
    <t>16     0.43     0.61     0.57     0.72     0.75     0.84     0.87     0.95     1.00     1.00     0.95     0.92</t>
  </si>
  <si>
    <t>17     0.54     0.72     0.67     0.80     0.82     0.91     0.93     0.99     1.00     0.98     0.89     0.85</t>
  </si>
  <si>
    <t>18     0.65     0.81     0.76     0.87     0.89     0.95     0.97     1.00     0.97     0.93     0.81     0.77</t>
  </si>
  <si>
    <t>19     0.75     0.88     0.84     0.93     0.94     0.99     0.99     0.99     0.91     0.86     0.71     0.67</t>
  </si>
  <si>
    <t>20     0.84     0.94     0.91     0.97     0.98     1.00     1.00     0.95     0.83     0.76     0.61     0.58</t>
  </si>
  <si>
    <t>21     0.91     0.98     0.96     0.99     1.00     0.99     0.98     0.89     0.73     0.66     0.50     0.48</t>
  </si>
  <si>
    <t>22     0.96     1.00     0.99     1.00     1.00     0.96     0.93     0.81     0.62     0.55     0.40     0.38</t>
  </si>
  <si>
    <t>23     0.99     1.00     1.00     0.99     0.98     0.91     0.87     0.71     0.51     0.44     0.31     0.29</t>
  </si>
  <si>
    <t>24     1.00     0.98     0.99     0.96     0.94     0.84     0.78     0.60     0.40     0.34     0.22     0.21</t>
  </si>
  <si>
    <t>25     0.98     0.94     0.97     0.91     0.89     0.76     0.68     0.48     0.30     0.25     0.15     0.14</t>
  </si>
  <si>
    <t>26     0.95     0.89     0.93     0.85     0.81     0.66     0.57     0.37     0.21     0.17     0.09     0.08</t>
  </si>
  <si>
    <t>27     0.90     0.82     0.87     0.77     0.73     0.55     0.46     0.26     0.13     0.10     0.04     0.04</t>
  </si>
  <si>
    <t>28     0.83     0.74     0.80     0.69     0.63     0.44     0.35     0.17     0.07     0.05     0.01     0.01</t>
  </si>
  <si>
    <t>29     0.75     0.66     0.72     0.59     0.52     0.32     0.24     0.10     0.03     0.02     0.00     0.00</t>
  </si>
  <si>
    <t>30     0.67      X        0.63     0.48     0.41     0.22     0.15     0.04     0.00     0.00     0.01     0.01</t>
  </si>
  <si>
    <t>X</t>
  </si>
  <si>
    <t>31     0.58       X       0.53        X      0.30        X      0.08     0.01          X    0.00      X        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</si>
</sst>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h&quot;:&quot;mm&quot; &quot;AM/PM"/>
    <numFmt numFmtId="165" formatCode="h&quot;:&quot;mm"/>
    <numFmt numFmtId="166" formatCode="m/d"/>
    <numFmt numFmtId="167" formatCode="h&quot;:&quot;m"/>
    <numFmt numFmtId="168" formatCode="[h]&quot;:&quot;mm&quot;:&quot;s"/>
    <numFmt numFmtId="169" formatCode="m/d/yyyy\ h:mm:ss"/>
  </numFmts>
  <fonts count="10">
    <font>
      <sz val="10"/>
      <color rgb="FF000000"/>
      <name val="Arial"/>
    </font>
    <font>
      <sz val="10"/>
      <name val="Arial"/>
    </font>
    <font>
      <sz val="10"/>
      <color rgb="FFFFFFFF"/>
      <name val="Arial"/>
    </font>
    <font>
      <b/>
      <sz val="10"/>
      <name val="Arial"/>
    </font>
    <font>
      <b/>
      <i/>
      <sz val="10"/>
      <name val="Arial"/>
    </font>
    <font>
      <b/>
      <sz val="10"/>
      <name val="Arial"/>
    </font>
    <font>
      <sz val="9"/>
      <name val="Arial"/>
    </font>
    <font>
      <sz val="10"/>
      <color rgb="FF000000"/>
      <name val="Arial"/>
    </font>
    <font>
      <b/>
      <sz val="6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4" fontId="2" fillId="3" borderId="0" xfId="0" applyNumberFormat="1" applyFont="1" applyFill="1" applyAlignment="1"/>
    <xf numFmtId="0" fontId="1" fillId="0" borderId="0" xfId="0" applyFont="1" applyAlignment="1"/>
    <xf numFmtId="0" fontId="1" fillId="0" borderId="0" xfId="0" applyFont="1" applyAlignment="1"/>
    <xf numFmtId="164" fontId="1" fillId="0" borderId="0" xfId="0" applyNumberFormat="1" applyFont="1"/>
    <xf numFmtId="2" fontId="1" fillId="0" borderId="0" xfId="0" applyNumberFormat="1" applyFont="1" applyAlignment="1"/>
    <xf numFmtId="0" fontId="1" fillId="4" borderId="0" xfId="0" applyFont="1" applyFill="1" applyAlignment="1"/>
    <xf numFmtId="0" fontId="1" fillId="2" borderId="0" xfId="0" applyFont="1" applyFill="1"/>
    <xf numFmtId="14" fontId="2" fillId="5" borderId="0" xfId="0" applyNumberFormat="1" applyFont="1" applyFill="1" applyAlignment="1"/>
    <xf numFmtId="164" fontId="1" fillId="0" borderId="0" xfId="0" applyNumberFormat="1" applyFont="1" applyAlignment="1"/>
    <xf numFmtId="14" fontId="2" fillId="6" borderId="0" xfId="0" applyNumberFormat="1" applyFont="1" applyFill="1" applyAlignment="1"/>
    <xf numFmtId="14" fontId="1" fillId="2" borderId="0" xfId="0" applyNumberFormat="1" applyFont="1" applyFill="1" applyAlignment="1"/>
    <xf numFmtId="0" fontId="1" fillId="7" borderId="0" xfId="0" applyFont="1" applyFill="1"/>
    <xf numFmtId="0" fontId="1" fillId="7" borderId="0" xfId="0" applyFont="1" applyFill="1" applyAlignment="1"/>
    <xf numFmtId="164" fontId="1" fillId="7" borderId="0" xfId="0" applyNumberFormat="1" applyFont="1" applyFill="1" applyAlignment="1"/>
    <xf numFmtId="2" fontId="1" fillId="7" borderId="0" xfId="0" applyNumberFormat="1" applyFont="1" applyFill="1" applyAlignment="1"/>
    <xf numFmtId="14" fontId="1" fillId="6" borderId="0" xfId="0" applyNumberFormat="1" applyFont="1" applyFill="1" applyAlignment="1"/>
    <xf numFmtId="0" fontId="1" fillId="0" borderId="0" xfId="0" quotePrefix="1" applyFont="1" applyAlignment="1"/>
    <xf numFmtId="14" fontId="1" fillId="5" borderId="0" xfId="0" applyNumberFormat="1" applyFont="1" applyFill="1" applyAlignment="1"/>
    <xf numFmtId="18" fontId="1" fillId="0" borderId="0" xfId="0" applyNumberFormat="1" applyFont="1" applyAlignment="1"/>
    <xf numFmtId="14" fontId="1" fillId="3" borderId="0" xfId="0" applyNumberFormat="1" applyFont="1" applyFill="1" applyAlignment="1"/>
    <xf numFmtId="14" fontId="2" fillId="8" borderId="0" xfId="0" applyNumberFormat="1" applyFont="1" applyFill="1" applyAlignment="1"/>
    <xf numFmtId="164" fontId="1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/>
    <xf numFmtId="164" fontId="3" fillId="2" borderId="0" xfId="0" applyNumberFormat="1" applyFont="1" applyFill="1"/>
    <xf numFmtId="4" fontId="3" fillId="2" borderId="0" xfId="0" applyNumberFormat="1" applyFont="1" applyFill="1"/>
    <xf numFmtId="3" fontId="3" fillId="2" borderId="0" xfId="0" applyNumberFormat="1" applyFont="1" applyFill="1"/>
    <xf numFmtId="0" fontId="4" fillId="2" borderId="0" xfId="0" applyFont="1" applyFill="1" applyAlignment="1"/>
    <xf numFmtId="0" fontId="3" fillId="2" borderId="0" xfId="0" applyFont="1" applyFill="1" applyAlignment="1">
      <alignment wrapText="1"/>
    </xf>
    <xf numFmtId="3" fontId="3" fillId="2" borderId="0" xfId="0" applyNumberFormat="1" applyFont="1" applyFill="1" applyAlignment="1"/>
    <xf numFmtId="3" fontId="3" fillId="2" borderId="0" xfId="0" applyNumberFormat="1" applyFont="1" applyFill="1" applyAlignment="1"/>
    <xf numFmtId="3" fontId="3" fillId="2" borderId="0" xfId="0" applyNumberFormat="1" applyFont="1" applyFill="1" applyAlignment="1">
      <alignment wrapText="1"/>
    </xf>
    <xf numFmtId="3" fontId="3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3" fontId="3" fillId="2" borderId="0" xfId="0" applyNumberFormat="1" applyFont="1" applyFill="1" applyAlignment="1"/>
    <xf numFmtId="0" fontId="3" fillId="2" borderId="0" xfId="0" applyFont="1" applyFill="1" applyAlignment="1">
      <alignment wrapText="1"/>
    </xf>
    <xf numFmtId="0" fontId="5" fillId="2" borderId="0" xfId="0" applyFont="1" applyFill="1" applyAlignment="1"/>
    <xf numFmtId="0" fontId="1" fillId="2" borderId="0" xfId="0" applyFont="1" applyFill="1"/>
    <xf numFmtId="0" fontId="1" fillId="0" borderId="0" xfId="0" applyFont="1" applyAlignment="1">
      <alignment horizontal="center"/>
    </xf>
    <xf numFmtId="19" fontId="1" fillId="0" borderId="0" xfId="0" applyNumberFormat="1" applyFont="1" applyAlignment="1"/>
    <xf numFmtId="165" fontId="1" fillId="0" borderId="0" xfId="0" applyNumberFormat="1" applyFont="1" applyAlignment="1"/>
    <xf numFmtId="20" fontId="1" fillId="7" borderId="0" xfId="0" applyNumberFormat="1" applyFont="1" applyFill="1" applyAlignment="1"/>
    <xf numFmtId="20" fontId="1" fillId="0" borderId="0" xfId="0" applyNumberFormat="1" applyFont="1" applyAlignme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wrapText="1"/>
    </xf>
    <xf numFmtId="3" fontId="3" fillId="0" borderId="0" xfId="0" applyNumberFormat="1" applyFont="1" applyAlignment="1"/>
    <xf numFmtId="3" fontId="3" fillId="0" borderId="0" xfId="0" applyNumberFormat="1" applyFont="1" applyAlignment="1"/>
    <xf numFmtId="3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/>
    <xf numFmtId="0" fontId="1" fillId="4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64" fontId="1" fillId="2" borderId="0" xfId="0" applyNumberFormat="1" applyFont="1" applyFill="1" applyAlignment="1"/>
    <xf numFmtId="164" fontId="1" fillId="2" borderId="0" xfId="0" applyNumberFormat="1" applyFont="1" applyFill="1" applyAlignment="1"/>
    <xf numFmtId="14" fontId="1" fillId="0" borderId="0" xfId="0" applyNumberFormat="1" applyFont="1" applyAlignment="1"/>
    <xf numFmtId="14" fontId="7" fillId="6" borderId="0" xfId="0" applyNumberFormat="1" applyFont="1" applyFill="1" applyAlignment="1"/>
    <xf numFmtId="2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7" fillId="5" borderId="0" xfId="0" applyNumberFormat="1" applyFont="1" applyFill="1" applyAlignment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right"/>
    </xf>
    <xf numFmtId="0" fontId="1" fillId="7" borderId="0" xfId="0" applyFont="1" applyFill="1" applyAlignment="1">
      <alignment wrapText="1"/>
    </xf>
    <xf numFmtId="166" fontId="1" fillId="0" borderId="0" xfId="0" applyNumberFormat="1" applyFont="1" applyAlignment="1"/>
    <xf numFmtId="14" fontId="7" fillId="3" borderId="0" xfId="0" applyNumberFormat="1" applyFont="1" applyFill="1" applyAlignment="1"/>
    <xf numFmtId="164" fontId="1" fillId="0" borderId="0" xfId="0" applyNumberFormat="1" applyFont="1" applyAlignment="1">
      <alignment horizontal="right"/>
    </xf>
    <xf numFmtId="20" fontId="1" fillId="7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167" fontId="1" fillId="0" borderId="0" xfId="0" applyNumberFormat="1" applyFont="1" applyAlignment="1"/>
    <xf numFmtId="168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167" fontId="1" fillId="7" borderId="0" xfId="0" applyNumberFormat="1" applyFont="1" applyFill="1" applyAlignment="1"/>
    <xf numFmtId="4" fontId="1" fillId="7" borderId="0" xfId="0" applyNumberFormat="1" applyFont="1" applyFill="1" applyAlignment="1">
      <alignment wrapText="1"/>
    </xf>
    <xf numFmtId="0" fontId="1" fillId="0" borderId="0" xfId="0" applyFont="1" applyAlignment="1">
      <alignment horizontal="center" vertical="top"/>
    </xf>
    <xf numFmtId="20" fontId="1" fillId="0" borderId="0" xfId="0" applyNumberFormat="1" applyFont="1" applyAlignment="1">
      <alignment vertical="top"/>
    </xf>
    <xf numFmtId="167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165" fontId="1" fillId="7" borderId="0" xfId="0" applyNumberFormat="1" applyFont="1" applyFill="1" applyAlignment="1"/>
    <xf numFmtId="165" fontId="1" fillId="0" borderId="0" xfId="0" applyNumberFormat="1" applyFont="1" applyAlignment="1"/>
    <xf numFmtId="0" fontId="1" fillId="7" borderId="0" xfId="0" applyFont="1" applyFill="1" applyAlignment="1">
      <alignment horizontal="center" vertical="top"/>
    </xf>
    <xf numFmtId="165" fontId="1" fillId="7" borderId="0" xfId="0" applyNumberFormat="1" applyFont="1" applyFill="1" applyAlignment="1">
      <alignment vertical="top"/>
    </xf>
    <xf numFmtId="0" fontId="1" fillId="7" borderId="0" xfId="0" applyFont="1" applyFill="1" applyAlignment="1">
      <alignment vertical="top" wrapText="1"/>
    </xf>
    <xf numFmtId="0" fontId="1" fillId="7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1" fillId="2" borderId="0" xfId="0" applyFont="1" applyFill="1" applyAlignment="1">
      <alignment wrapText="1"/>
    </xf>
    <xf numFmtId="3" fontId="1" fillId="2" borderId="0" xfId="0" applyNumberFormat="1" applyFont="1" applyFill="1"/>
    <xf numFmtId="169" fontId="1" fillId="2" borderId="0" xfId="0" applyNumberFormat="1" applyFont="1" applyFill="1" applyAlignment="1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14" fontId="2" fillId="6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4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14" fontId="7" fillId="2" borderId="0" xfId="0" applyNumberFormat="1" applyFont="1" applyFill="1" applyAlignment="1"/>
    <xf numFmtId="18" fontId="1" fillId="7" borderId="0" xfId="0" applyNumberFormat="1" applyFont="1" applyFill="1" applyAlignment="1"/>
    <xf numFmtId="0" fontId="1" fillId="9" borderId="0" xfId="0" applyFont="1" applyFill="1" applyAlignment="1"/>
    <xf numFmtId="0" fontId="1" fillId="7" borderId="0" xfId="0" applyFont="1" applyFill="1" applyAlignment="1"/>
    <xf numFmtId="46" fontId="1" fillId="0" borderId="0" xfId="0" applyNumberFormat="1" applyFont="1"/>
    <xf numFmtId="0" fontId="1" fillId="7" borderId="0" xfId="0" applyFont="1" applyFill="1" applyAlignment="1">
      <alignment wrapText="1"/>
    </xf>
    <xf numFmtId="0" fontId="1" fillId="2" borderId="0" xfId="0" applyFont="1" applyFill="1" applyAlignment="1"/>
    <xf numFmtId="46" fontId="1" fillId="0" borderId="0" xfId="0" applyNumberFormat="1" applyFont="1" applyAlignment="1"/>
    <xf numFmtId="0" fontId="6" fillId="2" borderId="0" xfId="0" applyFont="1" applyFill="1" applyAlignment="1">
      <alignment horizontal="center" wrapText="1"/>
    </xf>
    <xf numFmtId="4" fontId="1" fillId="0" borderId="0" xfId="0" applyNumberFormat="1" applyFont="1" applyAlignment="1"/>
    <xf numFmtId="4" fontId="1" fillId="7" borderId="0" xfId="0" applyNumberFormat="1" applyFont="1" applyFill="1" applyAlignment="1"/>
    <xf numFmtId="0" fontId="2" fillId="3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/>
    <xf numFmtId="0" fontId="1" fillId="2" borderId="0" xfId="0" applyFont="1" applyFill="1" applyAlignment="1"/>
    <xf numFmtId="20" fontId="1" fillId="2" borderId="0" xfId="0" applyNumberFormat="1" applyFont="1" applyFill="1" applyAlignment="1"/>
    <xf numFmtId="4" fontId="1" fillId="2" borderId="0" xfId="0" applyNumberFormat="1" applyFont="1" applyFill="1" applyAlignme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1" fillId="4" borderId="0" xfId="0" applyFont="1" applyFill="1" applyAlignment="1"/>
    <xf numFmtId="0" fontId="8" fillId="2" borderId="0" xfId="0" applyFont="1" applyFill="1" applyAlignment="1"/>
    <xf numFmtId="46" fontId="3" fillId="2" borderId="0" xfId="0" applyNumberFormat="1" applyFont="1" applyFill="1"/>
    <xf numFmtId="3" fontId="1" fillId="2" borderId="0" xfId="0" applyNumberFormat="1" applyFont="1" applyFill="1" applyAlignment="1"/>
    <xf numFmtId="4" fontId="1" fillId="2" borderId="0" xfId="0" applyNumberFormat="1" applyFont="1" applyFill="1" applyAlignment="1"/>
    <xf numFmtId="20" fontId="1" fillId="2" borderId="0" xfId="0" applyNumberFormat="1" applyFont="1" applyFill="1" applyAlignment="1"/>
    <xf numFmtId="14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4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vertical="top" wrapText="1"/>
    </xf>
    <xf numFmtId="18" fontId="1" fillId="2" borderId="0" xfId="0" applyNumberFormat="1" applyFont="1" applyFill="1" applyAlignment="1"/>
    <xf numFmtId="46" fontId="1" fillId="2" borderId="0" xfId="0" applyNumberFormat="1" applyFont="1" applyFill="1"/>
    <xf numFmtId="46" fontId="1" fillId="2" borderId="0" xfId="0" applyNumberFormat="1" applyFont="1" applyFill="1" applyAlignment="1"/>
    <xf numFmtId="14" fontId="1" fillId="2" borderId="0" xfId="0" applyNumberFormat="1" applyFont="1" applyFill="1" applyAlignment="1"/>
    <xf numFmtId="0" fontId="3" fillId="0" borderId="0" xfId="0" applyFont="1" applyAlignment="1">
      <alignment horizontal="left"/>
    </xf>
    <xf numFmtId="0" fontId="9" fillId="5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7" fillId="0" borderId="0" xfId="0" applyFont="1" applyAlignment="1"/>
    <xf numFmtId="3" fontId="3" fillId="2" borderId="0" xfId="0" applyNumberFormat="1" applyFont="1" applyFill="1" applyAlignment="1">
      <alignment wrapText="1"/>
    </xf>
    <xf numFmtId="0" fontId="0" fillId="0" borderId="0" xfId="0" applyFont="1" applyAlignment="1"/>
    <xf numFmtId="3" fontId="3" fillId="0" borderId="0" xfId="0" applyNumberFormat="1" applyFont="1" applyAlignment="1">
      <alignment wrapText="1"/>
    </xf>
  </cellXfs>
  <cellStyles count="1">
    <cellStyle name="Normal" xfId="0" builtinId="0"/>
  </cellStyles>
  <dxfs count="2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November 2016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December 2016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February 2017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arch 2017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April 2017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totals-style" pivot="0" count="3" xr9:uid="{00000000-0011-0000-FFFF-FFFF05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C31">
  <tableColumns count="29">
    <tableColumn id="1" xr3:uid="{00000000-0010-0000-0000-000001000000}" name="Date"/>
    <tableColumn id="2" xr3:uid="{00000000-0010-0000-0000-000002000000}" name="Sunset"/>
    <tableColumn id="3" xr3:uid="{00000000-0010-0000-0000-000003000000}" name="Civil _x000a_Twilight"/>
    <tableColumn id="4" xr3:uid="{00000000-0010-0000-0000-000004000000}" name="Shift"/>
    <tableColumn id="5" xr3:uid="{00000000-0010-0000-0000-000005000000}" name="Captain"/>
    <tableColumn id="6" xr3:uid="{00000000-0010-0000-0000-000006000000}" name="Monitored (Y/N)"/>
    <tableColumn id="7" xr3:uid="{00000000-0010-0000-0000-000007000000}" name="Start time"/>
    <tableColumn id="8" xr3:uid="{00000000-0010-0000-0000-000008000000}" name="End time"/>
    <tableColumn id="9" xr3:uid="{00000000-0010-0000-0000-000009000000}" name="Hours"/>
    <tableColumn id="10" xr3:uid="{00000000-0010-0000-0000-00000A000000}" name="Team Hrs."/>
    <tableColumn id="11" xr3:uid="{00000000-0010-0000-0000-00000B000000}" name="Start Temp"/>
    <tableColumn id="12" xr3:uid="{00000000-0010-0000-0000-00000C000000}" name="End Temp"/>
    <tableColumn id="13" xr3:uid="{00000000-0010-0000-0000-00000D000000}" name="Weather"/>
    <tableColumn id="14" xr3:uid="{00000000-0010-0000-0000-00000E000000}" name="Females assisted down"/>
    <tableColumn id="15" xr3:uid="{00000000-0010-0000-0000-00000F000000}" name="Males assisted down"/>
    <tableColumn id="16" xr3:uid="{00000000-0010-0000-0000-000010000000}" name="Females unassisted down"/>
    <tableColumn id="17" xr3:uid="{00000000-0010-0000-0000-000011000000}" name="Males unassisted down"/>
    <tableColumn id="18" xr3:uid="{00000000-0010-0000-0000-000012000000}" name="Females_x000a_assisted_x000a_up"/>
    <tableColumn id="19" xr3:uid="{00000000-0010-0000-0000-000013000000}" name="Males_x000a_ assisted_x000a_ up"/>
    <tableColumn id="20" xr3:uid="{00000000-0010-0000-0000-000014000000}" name="Females unassisted up"/>
    <tableColumn id="21" xr3:uid="{00000000-0010-0000-0000-000015000000}" name="Males unassisted up"/>
    <tableColumn id="22" xr3:uid="{00000000-0010-0000-0000-000016000000}" name="Juveniles"/>
    <tableColumn id="23" xr3:uid="{00000000-0010-0000-0000-000017000000}" name="Roadkills_x000a_female"/>
    <tableColumn id="24" xr3:uid="{00000000-0010-0000-0000-000018000000}" name="Roadkills_x000a_male"/>
    <tableColumn id="25" xr3:uid="{00000000-0010-0000-0000-000019000000}" name="Total Frogs down"/>
    <tableColumn id="26" xr3:uid="{00000000-0010-0000-0000-00001A000000}" name="Total Frogs up"/>
    <tableColumn id="27" xr3:uid="{00000000-0010-0000-0000-00001B000000}" name="% Moon Visible"/>
    <tableColumn id="28" xr3:uid="{00000000-0010-0000-0000-00001C000000}" name="Comments"/>
    <tableColumn id="29" xr3:uid="{00000000-0010-0000-0000-00001D000000}" name="Baro Pressure"/>
  </tableColumns>
  <tableStyleInfo name="November 201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A33">
  <tableColumns count="27">
    <tableColumn id="1" xr3:uid="{00000000-0010-0000-0100-000001000000}" name="Date"/>
    <tableColumn id="2" xr3:uid="{00000000-0010-0000-0100-000002000000}" name="Sunset"/>
    <tableColumn id="3" xr3:uid="{00000000-0010-0000-0100-000003000000}" name="Civil _x000a_Twilight"/>
    <tableColumn id="4" xr3:uid="{00000000-0010-0000-0100-000004000000}" name="Captain"/>
    <tableColumn id="5" xr3:uid="{00000000-0010-0000-0100-000005000000}" name="Monitored (Y/N)"/>
    <tableColumn id="6" xr3:uid="{00000000-0010-0000-0100-000006000000}" name="Start time"/>
    <tableColumn id="7" xr3:uid="{00000000-0010-0000-0100-000007000000}" name="End time"/>
    <tableColumn id="8" xr3:uid="{00000000-0010-0000-0100-000008000000}" name="Hours"/>
    <tableColumn id="9" xr3:uid="{00000000-0010-0000-0100-000009000000}" name="Team Hrs."/>
    <tableColumn id="10" xr3:uid="{00000000-0010-0000-0100-00000A000000}" name="Start Temp"/>
    <tableColumn id="11" xr3:uid="{00000000-0010-0000-0100-00000B000000}" name="End Temp"/>
    <tableColumn id="12" xr3:uid="{00000000-0010-0000-0100-00000C000000}" name="Weather"/>
    <tableColumn id="13" xr3:uid="{00000000-0010-0000-0100-00000D000000}" name="Females assisted down"/>
    <tableColumn id="14" xr3:uid="{00000000-0010-0000-0100-00000E000000}" name="Males assisted down"/>
    <tableColumn id="15" xr3:uid="{00000000-0010-0000-0100-00000F000000}" name="Females unassisted down"/>
    <tableColumn id="16" xr3:uid="{00000000-0010-0000-0100-000010000000}" name="Males unassisted down"/>
    <tableColumn id="17" xr3:uid="{00000000-0010-0000-0100-000011000000}" name="Females_x000a_assisted_x000a_up"/>
    <tableColumn id="18" xr3:uid="{00000000-0010-0000-0100-000012000000}" name="Males_x000a_ assisted_x000a_ up"/>
    <tableColumn id="19" xr3:uid="{00000000-0010-0000-0100-000013000000}" name="Females unassisted up"/>
    <tableColumn id="20" xr3:uid="{00000000-0010-0000-0100-000014000000}" name="Males unassisted up"/>
    <tableColumn id="21" xr3:uid="{00000000-0010-0000-0100-000015000000}" name="Juveniles"/>
    <tableColumn id="22" xr3:uid="{00000000-0010-0000-0100-000016000000}" name="Roadkills_x000a_female"/>
    <tableColumn id="23" xr3:uid="{00000000-0010-0000-0100-000017000000}" name="Roadkills_x000a_male"/>
    <tableColumn id="24" xr3:uid="{00000000-0010-0000-0100-000018000000}" name="Total Frogs down"/>
    <tableColumn id="25" xr3:uid="{00000000-0010-0000-0100-000019000000}" name="Total Frogs up"/>
    <tableColumn id="26" xr3:uid="{00000000-0010-0000-0100-00001A000000}" name="% Moon Visible"/>
    <tableColumn id="27" xr3:uid="{00000000-0010-0000-0100-00001B000000}" name="Comments"/>
  </tableColumns>
  <tableStyleInfo name="December 201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C29">
  <tableColumns count="29">
    <tableColumn id="1" xr3:uid="{00000000-0010-0000-0200-000001000000}" name="Date"/>
    <tableColumn id="2" xr3:uid="{00000000-0010-0000-0200-000002000000}" name="Sunset"/>
    <tableColumn id="3" xr3:uid="{00000000-0010-0000-0200-000003000000}" name="Civil _x000a_Twilight"/>
    <tableColumn id="4" xr3:uid="{00000000-0010-0000-0200-000004000000}" name="Captain"/>
    <tableColumn id="5" xr3:uid="{00000000-0010-0000-0200-000005000000}" name="Monitored (Y/N)"/>
    <tableColumn id="6" xr3:uid="{00000000-0010-0000-0200-000006000000}" name="Start time"/>
    <tableColumn id="7" xr3:uid="{00000000-0010-0000-0200-000007000000}" name="End time"/>
    <tableColumn id="8" xr3:uid="{00000000-0010-0000-0200-000008000000}" name="Hours monitored"/>
    <tableColumn id="9" xr3:uid="{00000000-0010-0000-0200-000009000000}" name="Team Hrs."/>
    <tableColumn id="10" xr3:uid="{00000000-0010-0000-0200-00000A000000}" name="Start Temp"/>
    <tableColumn id="11" xr3:uid="{00000000-0010-0000-0200-00000B000000}" name="End Temp"/>
    <tableColumn id="12" xr3:uid="{00000000-0010-0000-0200-00000C000000}" name="Weather"/>
    <tableColumn id="13" xr3:uid="{00000000-0010-0000-0200-00000D000000}" name="Females assisted down"/>
    <tableColumn id="14" xr3:uid="{00000000-0010-0000-0200-00000E000000}" name="Males assisted down"/>
    <tableColumn id="15" xr3:uid="{00000000-0010-0000-0200-00000F000000}" name="Unassisted Females down"/>
    <tableColumn id="16" xr3:uid="{00000000-0010-0000-0200-000010000000}" name="Unasissted _x000a_Males _x000a_down"/>
    <tableColumn id="17" xr3:uid="{00000000-0010-0000-0200-000011000000}" name="Females _x000a_assisted _x000a_up"/>
    <tableColumn id="18" xr3:uid="{00000000-0010-0000-0200-000012000000}" name="Males assisted _x000a_up"/>
    <tableColumn id="19" xr3:uid="{00000000-0010-0000-0200-000013000000}" name="Unassisted females  _x000a_up"/>
    <tableColumn id="20" xr3:uid="{00000000-0010-0000-0200-000014000000}" name="Unassisted males _x000a_up"/>
    <tableColumn id="21" xr3:uid="{00000000-0010-0000-0200-000015000000}" name="Juveniles assisted up"/>
    <tableColumn id="22" xr3:uid="{00000000-0010-0000-0200-000016000000}" name="Roadkill Females"/>
    <tableColumn id="23" xr3:uid="{00000000-0010-0000-0200-000017000000}" name="Roadkill Males"/>
    <tableColumn id="24" xr3:uid="{00000000-0010-0000-0200-000018000000}" name="Roadkill_x000a_Unk"/>
    <tableColumn id="25" xr3:uid="{00000000-0010-0000-0200-000019000000}" name="Total _x000a_frogs _x000a_down"/>
    <tableColumn id="26" xr3:uid="{00000000-0010-0000-0200-00001A000000}" name="Total _x000a_frogs _x000a_up"/>
    <tableColumn id="27" xr3:uid="{00000000-0010-0000-0200-00001B000000}" name="Total live frogs"/>
    <tableColumn id="28" xr3:uid="{00000000-0010-0000-0200-00001C000000}" name="% Moon visible"/>
    <tableColumn id="29" xr3:uid="{00000000-0010-0000-0200-00001D000000}" name="Comments"/>
  </tableColumns>
  <tableStyleInfo name="February 2017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O33" headerRowCount="0">
  <tableColumns count="41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</tableColumns>
  <tableStyleInfo name="March 201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O32" headerRowCount="0">
  <tableColumns count="41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  <tableColumn id="36" xr3:uid="{00000000-0010-0000-0400-000024000000}" name="Column36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/>
  </tableColumns>
  <tableStyleInfo name="April 201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:I1" headerRowCount="0">
  <tableColumns count="8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</tableColumns>
  <tableStyleInfo name="total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L10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1.83203125" customWidth="1"/>
    <col min="2" max="2" width="5.6640625" customWidth="1"/>
    <col min="3" max="3" width="7.6640625" customWidth="1"/>
    <col min="4" max="4" width="4.5" customWidth="1"/>
    <col min="5" max="5" width="11.33203125" customWidth="1"/>
    <col min="6" max="6" width="5.6640625" customWidth="1"/>
    <col min="7" max="7" width="8.1640625" customWidth="1"/>
    <col min="8" max="8" width="8" customWidth="1"/>
    <col min="9" max="9" width="7.1640625" customWidth="1"/>
    <col min="10" max="10" width="8.1640625" customWidth="1"/>
    <col min="11" max="11" width="7.5" customWidth="1"/>
    <col min="12" max="12" width="7.6640625" customWidth="1"/>
    <col min="13" max="13" width="26.5" customWidth="1"/>
    <col min="14" max="15" width="8" customWidth="1"/>
    <col min="16" max="16" width="9.33203125" customWidth="1"/>
    <col min="17" max="17" width="9" customWidth="1"/>
    <col min="18" max="19" width="8" customWidth="1"/>
    <col min="20" max="20" width="8.6640625" customWidth="1"/>
    <col min="21" max="21" width="9.5" customWidth="1"/>
    <col min="22" max="22" width="9.1640625" customWidth="1"/>
    <col min="23" max="23" width="8.6640625" customWidth="1"/>
    <col min="24" max="24" width="10" customWidth="1"/>
    <col min="25" max="25" width="9.6640625" customWidth="1"/>
    <col min="26" max="26" width="8.83203125" customWidth="1"/>
    <col min="27" max="27" width="8.5" hidden="1" customWidth="1"/>
    <col min="28" max="28" width="36.1640625" customWidth="1"/>
  </cols>
  <sheetData>
    <row r="1" spans="1:6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64" ht="15.75" customHeight="1">
      <c r="A2" s="5">
        <v>42675</v>
      </c>
      <c r="B2" s="6">
        <v>1757</v>
      </c>
      <c r="C2" s="6">
        <v>1828</v>
      </c>
      <c r="D2" s="7">
        <v>1</v>
      </c>
      <c r="E2" s="7" t="str">
        <f>CHOOSE(WEEKDAY(A2),"Anne/Fred", "Jane", "Tom","Sue/Panos","Shawn/Owens","Jeff", "Rob")</f>
        <v>Tom</v>
      </c>
      <c r="F2" s="7"/>
      <c r="G2" s="8"/>
      <c r="H2" s="8"/>
      <c r="J2" s="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0">
        <f t="shared" ref="Y2:Y30" si="0">SUM(N2:Q2)</f>
        <v>0</v>
      </c>
      <c r="Z2" s="10">
        <f t="shared" ref="Z2:Z26" si="1">SUM(R2:U2)</f>
        <v>0</v>
      </c>
      <c r="AA2">
        <v>0.02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4" ht="15.75" customHeight="1">
      <c r="A3" s="5">
        <v>42676</v>
      </c>
      <c r="B3" s="6">
        <v>1755</v>
      </c>
      <c r="C3" s="6">
        <v>1826</v>
      </c>
      <c r="D3" s="7">
        <v>1</v>
      </c>
      <c r="E3" s="7" t="str">
        <f t="shared" ref="E3:E31" si="2">CHOOSE(WEEKDAY(A3),"Anne/Fred", "Jane", "Tom","Sue/Panos","Shawn/Orem","Jeff", "Rob")</f>
        <v>Sue/Panos</v>
      </c>
      <c r="F3" s="7"/>
      <c r="G3" s="8"/>
      <c r="H3" s="8"/>
      <c r="J3" s="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0">
        <f t="shared" si="0"/>
        <v>0</v>
      </c>
      <c r="Z3" s="10">
        <f t="shared" si="1"/>
        <v>0</v>
      </c>
      <c r="AA3">
        <v>0.06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4" ht="15.75" customHeight="1">
      <c r="A4" s="5">
        <v>42677</v>
      </c>
      <c r="B4" s="6">
        <v>1754</v>
      </c>
      <c r="C4" s="6">
        <v>1825</v>
      </c>
      <c r="D4" s="7">
        <v>1</v>
      </c>
      <c r="E4" s="7" t="str">
        <f t="shared" si="2"/>
        <v>Shawn/Orem</v>
      </c>
      <c r="F4" s="7"/>
      <c r="G4" s="8"/>
      <c r="H4" s="8"/>
      <c r="J4" s="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0">
        <f t="shared" si="0"/>
        <v>0</v>
      </c>
      <c r="Z4" s="10">
        <f t="shared" si="1"/>
        <v>0</v>
      </c>
      <c r="AA4">
        <v>0.11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</row>
    <row r="5" spans="1:64" ht="15.75" customHeight="1">
      <c r="A5" s="5">
        <v>42678</v>
      </c>
      <c r="B5" s="6">
        <v>1753</v>
      </c>
      <c r="C5" s="6">
        <v>1824</v>
      </c>
      <c r="D5" s="7">
        <v>1</v>
      </c>
      <c r="E5" s="7" t="str">
        <f t="shared" si="2"/>
        <v>Jeff</v>
      </c>
      <c r="F5" s="7"/>
      <c r="G5" s="8"/>
      <c r="H5" s="8"/>
      <c r="J5" s="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0">
        <f t="shared" si="0"/>
        <v>0</v>
      </c>
      <c r="Z5" s="10">
        <f t="shared" si="1"/>
        <v>0</v>
      </c>
      <c r="AA5">
        <v>0.18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spans="1:64" ht="15.75" customHeight="1">
      <c r="A6" s="12">
        <v>42679</v>
      </c>
      <c r="B6" s="6">
        <v>1751</v>
      </c>
      <c r="C6" s="6">
        <v>1823</v>
      </c>
      <c r="D6" s="7">
        <v>1</v>
      </c>
      <c r="E6" s="7" t="str">
        <f t="shared" si="2"/>
        <v>Rob</v>
      </c>
      <c r="F6" s="7"/>
      <c r="G6" s="8"/>
      <c r="H6" s="8"/>
      <c r="J6" s="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0">
        <f t="shared" si="0"/>
        <v>0</v>
      </c>
      <c r="Z6" s="10">
        <f t="shared" si="1"/>
        <v>0</v>
      </c>
      <c r="AA6">
        <v>0.26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 ht="15.75" customHeight="1">
      <c r="A7" s="12">
        <v>42680</v>
      </c>
      <c r="B7">
        <v>1650</v>
      </c>
      <c r="C7">
        <v>1721</v>
      </c>
      <c r="D7" s="7">
        <v>1</v>
      </c>
      <c r="E7" s="7" t="str">
        <f t="shared" si="2"/>
        <v>Anne/Fred</v>
      </c>
      <c r="F7" s="7"/>
      <c r="G7" s="8"/>
      <c r="H7" s="8"/>
      <c r="J7" s="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0">
        <f t="shared" si="0"/>
        <v>0</v>
      </c>
      <c r="Z7" s="10">
        <f t="shared" si="1"/>
        <v>0</v>
      </c>
      <c r="AA7">
        <v>0.35</v>
      </c>
      <c r="AB7" s="7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 ht="15.75" customHeight="1">
      <c r="A8" s="12">
        <v>42681</v>
      </c>
      <c r="B8">
        <v>1649</v>
      </c>
      <c r="C8">
        <v>1720</v>
      </c>
      <c r="D8" s="7">
        <v>1</v>
      </c>
      <c r="E8" s="7" t="str">
        <f t="shared" si="2"/>
        <v>Jane</v>
      </c>
      <c r="F8" s="7"/>
      <c r="G8" s="13"/>
      <c r="H8" s="13"/>
      <c r="I8" s="7"/>
      <c r="J8" s="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0">
        <f t="shared" si="0"/>
        <v>0</v>
      </c>
      <c r="Z8" s="10">
        <f t="shared" si="1"/>
        <v>0</v>
      </c>
      <c r="AA8">
        <v>0.45</v>
      </c>
      <c r="AB8" s="7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spans="1:64" ht="15.75" customHeight="1">
      <c r="A9" s="12">
        <v>42682</v>
      </c>
      <c r="B9">
        <v>1647</v>
      </c>
      <c r="C9">
        <v>1719</v>
      </c>
      <c r="D9" s="7">
        <v>1</v>
      </c>
      <c r="E9" s="7" t="str">
        <f t="shared" si="2"/>
        <v>Tom</v>
      </c>
      <c r="F9" s="7"/>
      <c r="G9" s="13"/>
      <c r="H9" s="8"/>
      <c r="J9" s="9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0">
        <f t="shared" si="0"/>
        <v>0</v>
      </c>
      <c r="Z9" s="10">
        <f t="shared" si="1"/>
        <v>0</v>
      </c>
      <c r="AA9">
        <v>0.55000000000000004</v>
      </c>
      <c r="AB9" s="7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 spans="1:64" ht="15.75" customHeight="1">
      <c r="A10" s="12">
        <v>42683</v>
      </c>
      <c r="B10">
        <v>1646</v>
      </c>
      <c r="C10">
        <v>1718</v>
      </c>
      <c r="D10" s="7">
        <v>1</v>
      </c>
      <c r="E10" s="7" t="str">
        <f t="shared" si="2"/>
        <v>Sue/Panos</v>
      </c>
      <c r="F10" s="7"/>
      <c r="G10" s="13"/>
      <c r="H10" s="13"/>
      <c r="I10" s="7"/>
      <c r="J10" s="9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0">
        <f t="shared" si="0"/>
        <v>0</v>
      </c>
      <c r="Z10" s="10">
        <f t="shared" si="1"/>
        <v>0</v>
      </c>
      <c r="AA10">
        <v>0.66</v>
      </c>
      <c r="AB10" s="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 spans="1:64" ht="15.75" customHeight="1">
      <c r="A11" s="14">
        <v>42684</v>
      </c>
      <c r="B11">
        <v>1645</v>
      </c>
      <c r="C11">
        <v>1717</v>
      </c>
      <c r="D11" s="7">
        <v>1</v>
      </c>
      <c r="E11" s="7" t="str">
        <f t="shared" si="2"/>
        <v>Shawn/Orem</v>
      </c>
      <c r="F11" s="7"/>
      <c r="G11" s="13"/>
      <c r="H11" s="13"/>
      <c r="I11" s="7"/>
      <c r="J11" s="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0">
        <f t="shared" si="0"/>
        <v>0</v>
      </c>
      <c r="Z11" s="10">
        <f t="shared" si="1"/>
        <v>0</v>
      </c>
      <c r="AA11">
        <v>0.76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 spans="1:64" ht="15.75" customHeight="1">
      <c r="A12" s="14">
        <v>42685</v>
      </c>
      <c r="B12">
        <v>1644</v>
      </c>
      <c r="C12">
        <v>1716</v>
      </c>
      <c r="D12" s="7">
        <v>1</v>
      </c>
      <c r="E12" s="7" t="str">
        <f t="shared" si="2"/>
        <v>Jeff</v>
      </c>
      <c r="F12" s="7"/>
      <c r="G12" s="13"/>
      <c r="H12" s="13"/>
      <c r="I12" s="7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0">
        <f t="shared" si="0"/>
        <v>0</v>
      </c>
      <c r="Z12" s="10">
        <f t="shared" si="1"/>
        <v>0</v>
      </c>
      <c r="AA12">
        <v>0.85</v>
      </c>
      <c r="AB12" s="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 spans="1:64" ht="15.75" customHeight="1">
      <c r="A13" s="14">
        <v>42686</v>
      </c>
      <c r="B13">
        <v>1643</v>
      </c>
      <c r="C13">
        <v>1715</v>
      </c>
      <c r="D13" s="7">
        <v>1</v>
      </c>
      <c r="E13" s="7" t="str">
        <f t="shared" si="2"/>
        <v>Rob</v>
      </c>
      <c r="F13" s="7"/>
      <c r="G13" s="13"/>
      <c r="H13" s="13"/>
      <c r="I13" s="7"/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0">
        <f t="shared" si="0"/>
        <v>0</v>
      </c>
      <c r="Z13" s="10">
        <f t="shared" si="1"/>
        <v>0</v>
      </c>
      <c r="AA13">
        <v>0.92</v>
      </c>
      <c r="AB13" s="7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15.75" customHeight="1">
      <c r="A14" s="14">
        <v>42687</v>
      </c>
      <c r="B14">
        <v>1642</v>
      </c>
      <c r="C14">
        <v>1714</v>
      </c>
      <c r="D14" s="7">
        <v>1</v>
      </c>
      <c r="E14" s="7" t="str">
        <f t="shared" si="2"/>
        <v>Anne/Fred</v>
      </c>
      <c r="F14" s="7"/>
      <c r="G14" s="13"/>
      <c r="H14" s="13"/>
      <c r="I14" s="7"/>
      <c r="J14" s="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0">
        <f t="shared" si="0"/>
        <v>0</v>
      </c>
      <c r="Z14" s="10">
        <f t="shared" si="1"/>
        <v>0</v>
      </c>
      <c r="AA14">
        <v>0.97</v>
      </c>
      <c r="AB14" s="7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spans="1:64" ht="15.75" customHeight="1">
      <c r="A15" s="15">
        <v>42688</v>
      </c>
      <c r="B15" s="16">
        <v>1641</v>
      </c>
      <c r="C15" s="16">
        <v>1713</v>
      </c>
      <c r="D15" s="17">
        <v>1</v>
      </c>
      <c r="E15" s="17" t="str">
        <f t="shared" si="2"/>
        <v>Jane</v>
      </c>
      <c r="F15" s="17" t="s">
        <v>29</v>
      </c>
      <c r="G15" s="18">
        <v>0.70833333333333337</v>
      </c>
      <c r="H15" s="18">
        <v>0.83333333333333337</v>
      </c>
      <c r="I15" s="17">
        <v>3</v>
      </c>
      <c r="J15" s="19">
        <v>11</v>
      </c>
      <c r="K15" s="17">
        <v>55</v>
      </c>
      <c r="L15" s="17">
        <v>54</v>
      </c>
      <c r="M15" s="17" t="s">
        <v>30</v>
      </c>
      <c r="N15" s="17">
        <v>8</v>
      </c>
      <c r="O15" s="17">
        <v>9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0">
        <f t="shared" si="0"/>
        <v>17</v>
      </c>
      <c r="Z15" s="10">
        <f t="shared" si="1"/>
        <v>0</v>
      </c>
      <c r="AA15">
        <v>1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15.75" customHeight="1">
      <c r="A16" s="15">
        <v>42689</v>
      </c>
      <c r="B16">
        <v>1640</v>
      </c>
      <c r="C16">
        <v>1712</v>
      </c>
      <c r="D16" s="7">
        <v>1</v>
      </c>
      <c r="E16" s="7" t="str">
        <f t="shared" si="2"/>
        <v>Tom</v>
      </c>
      <c r="F16" s="7" t="s">
        <v>29</v>
      </c>
      <c r="G16" s="13">
        <v>0.70833333333333337</v>
      </c>
      <c r="H16" s="13">
        <v>0.72222222222222221</v>
      </c>
      <c r="I16" s="7">
        <v>0.25</v>
      </c>
      <c r="J16" s="9">
        <v>0.25</v>
      </c>
      <c r="K16" s="7">
        <v>48</v>
      </c>
      <c r="L16" s="7">
        <v>48</v>
      </c>
      <c r="M16" s="7" t="s">
        <v>31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10">
        <f t="shared" si="0"/>
        <v>0</v>
      </c>
      <c r="Z16" s="10">
        <f t="shared" si="1"/>
        <v>0</v>
      </c>
      <c r="AA16">
        <v>0.99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1:64" ht="15.75" customHeight="1">
      <c r="A17" s="20">
        <v>42690</v>
      </c>
      <c r="B17">
        <v>1639</v>
      </c>
      <c r="C17">
        <v>1711</v>
      </c>
      <c r="D17" s="21" t="s">
        <v>32</v>
      </c>
      <c r="E17" s="7" t="str">
        <f t="shared" si="2"/>
        <v>Sue/Panos</v>
      </c>
      <c r="F17" s="7" t="s">
        <v>29</v>
      </c>
      <c r="G17" s="13">
        <v>0.69791666666666663</v>
      </c>
      <c r="H17" s="13">
        <v>0.75</v>
      </c>
      <c r="I17" s="7">
        <v>1.25</v>
      </c>
      <c r="J17" s="9">
        <v>1.75</v>
      </c>
      <c r="K17" s="7">
        <v>46</v>
      </c>
      <c r="L17" s="7">
        <v>46</v>
      </c>
      <c r="M17" s="7" t="s">
        <v>31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10">
        <f t="shared" si="0"/>
        <v>0</v>
      </c>
      <c r="Z17" s="10">
        <f t="shared" si="1"/>
        <v>0</v>
      </c>
      <c r="AA17">
        <v>0.95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1:64" ht="15.75" customHeight="1">
      <c r="A18" s="20">
        <v>42691</v>
      </c>
      <c r="B18">
        <v>1638</v>
      </c>
      <c r="C18">
        <v>1710</v>
      </c>
      <c r="D18" s="7">
        <v>1</v>
      </c>
      <c r="E18" s="7" t="str">
        <f t="shared" si="2"/>
        <v>Shawn/Orem</v>
      </c>
      <c r="F18" s="7" t="s">
        <v>33</v>
      </c>
      <c r="G18" s="13">
        <v>0.71875</v>
      </c>
      <c r="H18" s="13"/>
      <c r="I18" s="7">
        <v>0</v>
      </c>
      <c r="J18" s="9">
        <v>0</v>
      </c>
      <c r="K18" s="7"/>
      <c r="L18" s="7"/>
      <c r="M18" s="7" t="s">
        <v>34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0">
        <f t="shared" si="0"/>
        <v>0</v>
      </c>
      <c r="Z18" s="10">
        <f t="shared" si="1"/>
        <v>0</v>
      </c>
      <c r="AA18">
        <v>0.89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1:64" ht="15.75" customHeight="1">
      <c r="A19" s="20">
        <v>42692</v>
      </c>
      <c r="B19">
        <v>1637</v>
      </c>
      <c r="C19">
        <v>1709</v>
      </c>
      <c r="D19" s="7">
        <v>1</v>
      </c>
      <c r="E19" s="7" t="str">
        <f t="shared" si="2"/>
        <v>Jeff</v>
      </c>
      <c r="F19" s="7" t="s">
        <v>29</v>
      </c>
      <c r="G19" s="13">
        <v>0.71875</v>
      </c>
      <c r="H19" s="13">
        <v>0.90625</v>
      </c>
      <c r="I19" s="7">
        <v>1</v>
      </c>
      <c r="J19" s="9">
        <v>1</v>
      </c>
      <c r="K19" s="7">
        <v>48</v>
      </c>
      <c r="L19" s="7">
        <v>48</v>
      </c>
      <c r="M19" s="7" t="s">
        <v>35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10">
        <f t="shared" si="0"/>
        <v>0</v>
      </c>
      <c r="Z19" s="10">
        <f t="shared" si="1"/>
        <v>0</v>
      </c>
      <c r="AA19">
        <v>0.81</v>
      </c>
      <c r="AB19" s="7" t="s">
        <v>36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1:64" ht="15.75" customHeight="1">
      <c r="A20" s="22">
        <v>42693</v>
      </c>
      <c r="B20">
        <v>1636</v>
      </c>
      <c r="C20">
        <v>1708</v>
      </c>
      <c r="D20" s="7">
        <v>1</v>
      </c>
      <c r="E20" s="7" t="str">
        <f t="shared" si="2"/>
        <v>Rob</v>
      </c>
      <c r="F20" s="7" t="s">
        <v>37</v>
      </c>
      <c r="G20" s="13">
        <v>0.69791666666666663</v>
      </c>
      <c r="H20" s="13">
        <v>0.75</v>
      </c>
      <c r="I20" s="7">
        <v>1</v>
      </c>
      <c r="J20" s="9">
        <v>1</v>
      </c>
      <c r="K20" s="7">
        <v>48</v>
      </c>
      <c r="L20" s="7">
        <v>45</v>
      </c>
      <c r="M20" s="7" t="s">
        <v>38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0">
        <f t="shared" si="0"/>
        <v>0</v>
      </c>
      <c r="Z20" s="10">
        <f t="shared" si="1"/>
        <v>0</v>
      </c>
      <c r="AA20">
        <v>0.71</v>
      </c>
      <c r="AB20" s="7" t="s">
        <v>39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1:64" ht="15.75" customHeight="1">
      <c r="A21" s="22">
        <v>42694</v>
      </c>
      <c r="B21">
        <v>1635</v>
      </c>
      <c r="C21">
        <v>1708</v>
      </c>
      <c r="D21" s="7">
        <v>1</v>
      </c>
      <c r="E21" s="7" t="str">
        <f t="shared" si="2"/>
        <v>Anne/Fred</v>
      </c>
      <c r="F21" s="7" t="s">
        <v>29</v>
      </c>
      <c r="G21" s="13">
        <v>0.69097222222222221</v>
      </c>
      <c r="H21" s="13">
        <v>0.31597222222222221</v>
      </c>
      <c r="I21" s="7">
        <v>3</v>
      </c>
      <c r="J21" s="9">
        <v>18.75</v>
      </c>
      <c r="K21" s="7">
        <v>49</v>
      </c>
      <c r="L21" s="7">
        <v>48</v>
      </c>
      <c r="M21" s="7" t="s">
        <v>40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10">
        <f t="shared" si="0"/>
        <v>0</v>
      </c>
      <c r="Z21" s="10">
        <f t="shared" si="1"/>
        <v>0</v>
      </c>
      <c r="AA21">
        <v>0.61</v>
      </c>
      <c r="AB21" s="7" t="s">
        <v>41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1:64" ht="15.75" customHeight="1">
      <c r="A22" s="22">
        <v>42695</v>
      </c>
      <c r="B22">
        <v>1634</v>
      </c>
      <c r="C22">
        <v>1707</v>
      </c>
      <c r="D22" s="7">
        <v>1</v>
      </c>
      <c r="E22" s="7" t="str">
        <f t="shared" si="2"/>
        <v>Jane</v>
      </c>
      <c r="F22" s="7"/>
      <c r="G22" s="23">
        <v>0.69791666666666663</v>
      </c>
      <c r="H22" s="13"/>
      <c r="I22" s="7">
        <v>0</v>
      </c>
      <c r="J22" s="9">
        <v>0</v>
      </c>
      <c r="K22" s="7">
        <v>49</v>
      </c>
      <c r="L22" s="7"/>
      <c r="M22" s="7" t="s">
        <v>42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10">
        <f t="shared" si="0"/>
        <v>0</v>
      </c>
      <c r="Z22" s="10">
        <f t="shared" si="1"/>
        <v>0</v>
      </c>
      <c r="AA22">
        <v>0.5</v>
      </c>
      <c r="AB22" s="7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1:64" ht="15.75" customHeight="1">
      <c r="A23" s="22">
        <v>42696</v>
      </c>
      <c r="B23" s="16">
        <v>1634</v>
      </c>
      <c r="C23" s="16">
        <v>1706</v>
      </c>
      <c r="D23" s="17">
        <v>1</v>
      </c>
      <c r="E23" s="17" t="str">
        <f t="shared" si="2"/>
        <v>Tom</v>
      </c>
      <c r="F23" s="17" t="s">
        <v>29</v>
      </c>
      <c r="G23" s="18">
        <v>0.70833333333333337</v>
      </c>
      <c r="H23" s="18">
        <v>0.75</v>
      </c>
      <c r="I23" s="17">
        <v>1</v>
      </c>
      <c r="J23" s="19">
        <v>0</v>
      </c>
      <c r="K23" s="17">
        <v>47</v>
      </c>
      <c r="L23" s="17">
        <v>47</v>
      </c>
      <c r="M23" s="17" t="s">
        <v>30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1</v>
      </c>
      <c r="Y23" s="10">
        <f t="shared" si="0"/>
        <v>0</v>
      </c>
      <c r="Z23" s="10">
        <f t="shared" si="1"/>
        <v>0</v>
      </c>
      <c r="AA23">
        <v>0.4</v>
      </c>
      <c r="AB23" s="17" t="s">
        <v>43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</row>
    <row r="24" spans="1:64" ht="15.75" customHeight="1">
      <c r="A24" s="22">
        <v>42697</v>
      </c>
      <c r="B24">
        <v>1633</v>
      </c>
      <c r="C24">
        <v>1706</v>
      </c>
      <c r="D24" s="7">
        <v>1</v>
      </c>
      <c r="E24" s="7" t="str">
        <f t="shared" si="2"/>
        <v>Sue/Panos</v>
      </c>
      <c r="F24" s="7" t="s">
        <v>33</v>
      </c>
      <c r="G24" s="23">
        <v>0.64236111111111116</v>
      </c>
      <c r="H24" s="13">
        <v>0.64583333333333337</v>
      </c>
      <c r="I24" s="7">
        <v>0</v>
      </c>
      <c r="J24" s="9">
        <v>0</v>
      </c>
      <c r="K24" s="7">
        <v>46.2</v>
      </c>
      <c r="L24" s="7">
        <v>46.2</v>
      </c>
      <c r="M24" s="7" t="s">
        <v>44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10">
        <f t="shared" si="0"/>
        <v>0</v>
      </c>
      <c r="Z24" s="10">
        <f t="shared" si="1"/>
        <v>0</v>
      </c>
      <c r="AA24">
        <v>0.31</v>
      </c>
      <c r="AB24" s="7" t="s">
        <v>45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1:64" ht="15.75" customHeight="1">
      <c r="A25" s="24">
        <v>42698</v>
      </c>
      <c r="B25">
        <v>1632</v>
      </c>
      <c r="C25">
        <v>1705</v>
      </c>
      <c r="D25" s="7">
        <v>1</v>
      </c>
      <c r="E25" s="7" t="str">
        <f t="shared" si="2"/>
        <v>Shawn/Orem</v>
      </c>
      <c r="F25" s="7" t="s">
        <v>29</v>
      </c>
      <c r="G25" s="13">
        <v>0.72916666666666663</v>
      </c>
      <c r="H25" s="13">
        <v>0.73958333333333337</v>
      </c>
      <c r="I25" s="7">
        <v>0.25</v>
      </c>
      <c r="J25" s="9"/>
      <c r="K25" s="7">
        <v>46</v>
      </c>
      <c r="L25" s="7">
        <v>46</v>
      </c>
      <c r="M25" s="7" t="s">
        <v>46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10">
        <f t="shared" si="0"/>
        <v>0</v>
      </c>
      <c r="Z25" s="10">
        <f t="shared" si="1"/>
        <v>0</v>
      </c>
      <c r="AA25">
        <v>0.22</v>
      </c>
      <c r="AB25" s="7" t="s">
        <v>47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1:64" ht="15.75" customHeight="1">
      <c r="A26" s="24">
        <v>42699</v>
      </c>
      <c r="B26">
        <v>1631</v>
      </c>
      <c r="C26">
        <v>1705</v>
      </c>
      <c r="D26" s="7">
        <v>1</v>
      </c>
      <c r="E26" s="7" t="str">
        <f t="shared" si="2"/>
        <v>Jeff</v>
      </c>
      <c r="F26" s="7" t="s">
        <v>29</v>
      </c>
      <c r="G26" s="13">
        <v>0.71180555555555558</v>
      </c>
      <c r="H26" s="13">
        <v>0.75347222222222221</v>
      </c>
      <c r="I26" s="7">
        <v>1</v>
      </c>
      <c r="J26" s="9">
        <v>1</v>
      </c>
      <c r="K26" s="7">
        <v>47.7</v>
      </c>
      <c r="L26" s="7">
        <v>47.7</v>
      </c>
      <c r="M26" s="7" t="s">
        <v>48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10">
        <f t="shared" si="0"/>
        <v>0</v>
      </c>
      <c r="Z26" s="10">
        <f t="shared" si="1"/>
        <v>0</v>
      </c>
      <c r="AA26">
        <v>0.15</v>
      </c>
      <c r="AB26" s="7" t="s">
        <v>49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1:64" ht="15.75" customHeight="1">
      <c r="A27" s="24">
        <v>42700</v>
      </c>
      <c r="B27">
        <v>1631</v>
      </c>
      <c r="C27">
        <v>1704</v>
      </c>
      <c r="D27" s="7">
        <v>1</v>
      </c>
      <c r="E27" s="7" t="str">
        <f t="shared" si="2"/>
        <v>Rob</v>
      </c>
      <c r="F27" s="7" t="s">
        <v>37</v>
      </c>
      <c r="G27" s="13">
        <v>0.69791666666666663</v>
      </c>
      <c r="H27" s="23">
        <v>0.73958333333333337</v>
      </c>
      <c r="I27" s="7">
        <v>1</v>
      </c>
      <c r="J27" s="9">
        <v>1</v>
      </c>
      <c r="K27" s="7">
        <v>48</v>
      </c>
      <c r="L27" s="7">
        <v>46</v>
      </c>
      <c r="M27" s="7" t="s">
        <v>50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10">
        <f t="shared" si="0"/>
        <v>0</v>
      </c>
      <c r="Z27" s="10">
        <v>0</v>
      </c>
      <c r="AA27">
        <v>0.09</v>
      </c>
      <c r="AB27" s="7" t="s">
        <v>51</v>
      </c>
      <c r="AC27" s="7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 ht="15.75" customHeight="1">
      <c r="A28" s="24">
        <v>42701</v>
      </c>
      <c r="B28">
        <v>1630</v>
      </c>
      <c r="C28">
        <v>1704</v>
      </c>
      <c r="D28" s="7">
        <v>1</v>
      </c>
      <c r="E28" s="7" t="str">
        <f t="shared" si="2"/>
        <v>Anne/Fred</v>
      </c>
      <c r="F28" s="7" t="s">
        <v>29</v>
      </c>
      <c r="G28" s="13">
        <v>0.69791666666666663</v>
      </c>
      <c r="H28" s="13">
        <v>0.72569444444444442</v>
      </c>
      <c r="I28" s="7">
        <v>0.5</v>
      </c>
      <c r="J28" s="9">
        <v>0.5</v>
      </c>
      <c r="K28" s="7">
        <v>43</v>
      </c>
      <c r="L28" s="7">
        <v>42</v>
      </c>
      <c r="M28" s="7" t="s">
        <v>52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10">
        <f t="shared" si="0"/>
        <v>0</v>
      </c>
      <c r="Z28" s="10">
        <f t="shared" ref="Z28:Z30" si="3">SUM(R28:U28)</f>
        <v>0</v>
      </c>
      <c r="AA28">
        <v>0.04</v>
      </c>
      <c r="AB28" s="7" t="s">
        <v>53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 ht="15.75" customHeight="1">
      <c r="A29" s="25">
        <v>42702</v>
      </c>
      <c r="B29">
        <v>1630</v>
      </c>
      <c r="C29">
        <v>1703</v>
      </c>
      <c r="D29" s="7">
        <v>1</v>
      </c>
      <c r="E29" s="7" t="str">
        <f t="shared" si="2"/>
        <v>Jane</v>
      </c>
      <c r="F29" s="7" t="s">
        <v>29</v>
      </c>
      <c r="G29" s="13">
        <v>0.72569444444444442</v>
      </c>
      <c r="H29" s="13">
        <v>0.75347222222222221</v>
      </c>
      <c r="I29" s="7">
        <v>0.6</v>
      </c>
      <c r="J29" s="9">
        <v>0.6</v>
      </c>
      <c r="K29" s="7">
        <v>48</v>
      </c>
      <c r="L29" s="7">
        <v>47</v>
      </c>
      <c r="M29" s="7" t="s">
        <v>35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10">
        <f t="shared" si="0"/>
        <v>0</v>
      </c>
      <c r="Z29" s="10">
        <f t="shared" si="3"/>
        <v>0</v>
      </c>
      <c r="AA29">
        <v>0.01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1:64" ht="15.75" customHeight="1">
      <c r="A30" s="25">
        <v>42703</v>
      </c>
      <c r="B30">
        <v>1629</v>
      </c>
      <c r="C30">
        <v>1703</v>
      </c>
      <c r="D30" s="7">
        <v>1</v>
      </c>
      <c r="E30" s="7" t="str">
        <f t="shared" si="2"/>
        <v>Tom</v>
      </c>
      <c r="F30" s="7" t="s">
        <v>33</v>
      </c>
      <c r="G30" s="13">
        <v>0.70833333333333337</v>
      </c>
      <c r="H30" s="13">
        <v>0.70902777777777781</v>
      </c>
      <c r="I30" s="7">
        <v>0</v>
      </c>
      <c r="J30" s="9">
        <v>0</v>
      </c>
      <c r="K30" s="7">
        <v>46</v>
      </c>
      <c r="L30" s="7">
        <v>46</v>
      </c>
      <c r="M30" s="7" t="s">
        <v>54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10">
        <f t="shared" si="0"/>
        <v>0</v>
      </c>
      <c r="Z30" s="10">
        <f t="shared" si="3"/>
        <v>0</v>
      </c>
      <c r="AA30">
        <v>0</v>
      </c>
      <c r="AB30" s="7" t="s">
        <v>55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64" ht="15.75" customHeight="1">
      <c r="A31" s="25">
        <v>42704</v>
      </c>
      <c r="B31">
        <v>1629</v>
      </c>
      <c r="C31">
        <v>1702</v>
      </c>
      <c r="D31" s="7">
        <v>1</v>
      </c>
      <c r="E31" s="7" t="str">
        <f t="shared" si="2"/>
        <v>Sue/Panos</v>
      </c>
      <c r="F31" s="7" t="s">
        <v>33</v>
      </c>
      <c r="G31" s="13">
        <v>0.71180555555555558</v>
      </c>
      <c r="H31" s="13">
        <v>0.71388888888888891</v>
      </c>
      <c r="I31" s="7">
        <v>0</v>
      </c>
      <c r="J31" s="9">
        <v>0</v>
      </c>
      <c r="K31" s="7">
        <v>44</v>
      </c>
      <c r="L31" s="7">
        <v>44</v>
      </c>
      <c r="M31" s="7" t="s">
        <v>35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10">
        <v>0</v>
      </c>
      <c r="Z31" s="10">
        <v>0</v>
      </c>
      <c r="AA31">
        <v>0.01</v>
      </c>
      <c r="AB31" s="7">
        <v>0</v>
      </c>
      <c r="AC31" s="7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 ht="15.75" customHeight="1">
      <c r="A32" s="11"/>
      <c r="B32" s="11"/>
      <c r="C32" s="11"/>
      <c r="D32" s="11"/>
      <c r="E32" s="11"/>
      <c r="F32" s="11"/>
      <c r="G32" s="26"/>
      <c r="H32" s="26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 ht="15.75" customHeight="1">
      <c r="A33" s="11"/>
      <c r="B33" s="27"/>
      <c r="C33" s="27"/>
      <c r="D33" s="27"/>
      <c r="E33" s="27"/>
      <c r="F33" s="28" t="s">
        <v>56</v>
      </c>
      <c r="G33" s="29"/>
      <c r="I33" s="27">
        <f>SUM(I15:I31)</f>
        <v>13.85</v>
      </c>
      <c r="J33" s="30">
        <f>SUM(J2:J31)</f>
        <v>36.85</v>
      </c>
      <c r="K33" s="27"/>
      <c r="L33" s="27"/>
      <c r="M33" s="27"/>
      <c r="N33" s="31">
        <f t="shared" ref="N33:X33" si="4">SUM(N2:N31)</f>
        <v>8</v>
      </c>
      <c r="O33" s="31">
        <f t="shared" si="4"/>
        <v>9</v>
      </c>
      <c r="P33" s="31">
        <f t="shared" si="4"/>
        <v>0</v>
      </c>
      <c r="Q33" s="31">
        <f t="shared" si="4"/>
        <v>0</v>
      </c>
      <c r="R33" s="31">
        <f t="shared" si="4"/>
        <v>0</v>
      </c>
      <c r="S33" s="31">
        <f t="shared" si="4"/>
        <v>0</v>
      </c>
      <c r="T33" s="31">
        <f t="shared" si="4"/>
        <v>0</v>
      </c>
      <c r="U33" s="31">
        <f t="shared" si="4"/>
        <v>0</v>
      </c>
      <c r="V33" s="31">
        <f t="shared" si="4"/>
        <v>0</v>
      </c>
      <c r="W33" s="31">
        <f t="shared" si="4"/>
        <v>0</v>
      </c>
      <c r="X33" s="31">
        <f t="shared" si="4"/>
        <v>1</v>
      </c>
      <c r="Y33" s="31">
        <f t="shared" ref="Y33:Z33" si="5">SUM(Y2:Y31)</f>
        <v>17</v>
      </c>
      <c r="Z33" s="31">
        <f t="shared" si="5"/>
        <v>0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64" ht="15.75" customHeight="1">
      <c r="A34" s="11"/>
      <c r="B34" s="27"/>
      <c r="C34" s="27"/>
      <c r="D34" s="27"/>
      <c r="E34" s="27"/>
      <c r="F34" s="28" t="s">
        <v>57</v>
      </c>
      <c r="G34" s="29"/>
      <c r="I34" s="28">
        <v>13.85</v>
      </c>
      <c r="J34" s="30">
        <f>nov_tot_hrs</f>
        <v>36.85</v>
      </c>
      <c r="K34" s="27"/>
      <c r="L34" s="27"/>
      <c r="M34" s="27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f>nov_tot_down</f>
        <v>17</v>
      </c>
      <c r="Z34" s="31">
        <f>nov_tot_up</f>
        <v>0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1:64" ht="15.75" customHeight="1">
      <c r="A35" s="11"/>
      <c r="B35" s="27"/>
      <c r="C35" s="27"/>
      <c r="D35" s="27"/>
      <c r="E35" s="27"/>
      <c r="F35" s="27"/>
      <c r="G35" s="29"/>
      <c r="H35" s="28"/>
      <c r="I35" s="27"/>
      <c r="J35" s="27"/>
      <c r="K35" s="27"/>
      <c r="L35" s="27"/>
      <c r="M35" s="27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 ht="15.75" customHeight="1">
      <c r="A36" s="11"/>
      <c r="B36" s="27"/>
      <c r="C36" s="32" t="s">
        <v>58</v>
      </c>
      <c r="D36" s="27"/>
      <c r="E36" s="27"/>
      <c r="F36" s="27"/>
      <c r="G36" s="27"/>
      <c r="H36" s="27"/>
      <c r="I36" s="28"/>
      <c r="J36" s="28"/>
      <c r="K36" s="28"/>
      <c r="L36" s="33"/>
      <c r="M36" s="34"/>
      <c r="N36" s="35"/>
      <c r="O36" s="35"/>
      <c r="P36" s="35"/>
      <c r="Q36" s="35"/>
      <c r="R36" s="35"/>
      <c r="S36" s="35"/>
      <c r="T36" s="35"/>
      <c r="U36" s="36"/>
      <c r="V36" s="37"/>
      <c r="W36" s="36"/>
      <c r="X36" s="36"/>
      <c r="Y36" s="36"/>
      <c r="Z36" s="36"/>
      <c r="AA36" s="36"/>
      <c r="AB36" s="36"/>
      <c r="AC36" s="36"/>
      <c r="AD36" s="36"/>
      <c r="AE36" s="37"/>
      <c r="AF36" s="38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 ht="15.75" customHeight="1">
      <c r="A37" s="11"/>
      <c r="B37" s="27"/>
      <c r="C37" s="28" t="s">
        <v>59</v>
      </c>
      <c r="D37" s="27"/>
      <c r="E37" s="27"/>
      <c r="F37" s="28">
        <v>13.85</v>
      </c>
      <c r="G37" s="27"/>
      <c r="H37" s="11"/>
      <c r="I37" s="28" t="s">
        <v>60</v>
      </c>
      <c r="J37" s="11"/>
      <c r="K37" s="39">
        <v>8</v>
      </c>
      <c r="L37" s="11"/>
      <c r="M37" s="28" t="s">
        <v>61</v>
      </c>
      <c r="N37" s="28">
        <v>0</v>
      </c>
      <c r="O37" s="11"/>
      <c r="P37" s="11"/>
      <c r="Q37" s="11"/>
      <c r="R37" s="11"/>
      <c r="S37" s="11"/>
      <c r="T37" s="35"/>
      <c r="U37" s="36"/>
      <c r="V37" s="37"/>
      <c r="W37" s="161" t="s">
        <v>62</v>
      </c>
      <c r="X37" s="162"/>
      <c r="Y37" s="162"/>
      <c r="Z37" s="37" t="s">
        <v>63</v>
      </c>
      <c r="AA37" s="11"/>
      <c r="AB37" s="11"/>
      <c r="AC37" s="36"/>
      <c r="AD37" s="36"/>
      <c r="AE37" s="37"/>
      <c r="AF37" s="38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 ht="15.75" customHeight="1">
      <c r="A38" s="11"/>
      <c r="B38" s="27"/>
      <c r="C38" s="28" t="s">
        <v>64</v>
      </c>
      <c r="D38" s="27"/>
      <c r="E38" s="27"/>
      <c r="F38" s="30">
        <f>nov_tot_hrs</f>
        <v>36.85</v>
      </c>
      <c r="G38" s="40"/>
      <c r="H38" s="11"/>
      <c r="I38" s="28" t="s">
        <v>65</v>
      </c>
      <c r="J38" s="11"/>
      <c r="K38" s="39">
        <v>9</v>
      </c>
      <c r="L38" s="11"/>
      <c r="M38" s="28" t="s">
        <v>66</v>
      </c>
      <c r="N38" s="28">
        <v>0</v>
      </c>
      <c r="O38" s="11"/>
      <c r="P38" s="11"/>
      <c r="Q38" s="11"/>
      <c r="R38" s="11"/>
      <c r="S38" s="11"/>
      <c r="T38" s="35"/>
      <c r="U38" s="36"/>
      <c r="V38" s="37"/>
      <c r="W38" s="161" t="s">
        <v>67</v>
      </c>
      <c r="X38" s="162"/>
      <c r="Y38" s="162"/>
      <c r="Z38" s="37">
        <f>nov_tot_up</f>
        <v>0</v>
      </c>
      <c r="AA38" s="11"/>
      <c r="AB38" s="11"/>
      <c r="AC38" s="36"/>
      <c r="AD38" s="36"/>
      <c r="AE38" s="37"/>
      <c r="AF38" s="38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1:64" ht="15.75" customHeight="1">
      <c r="A39" s="11"/>
      <c r="B39" s="27"/>
      <c r="C39" s="11"/>
      <c r="D39" s="27"/>
      <c r="E39" s="27"/>
      <c r="F39" s="27"/>
      <c r="G39" s="27"/>
      <c r="H39" s="11"/>
      <c r="I39" s="28" t="s">
        <v>68</v>
      </c>
      <c r="J39" s="11"/>
      <c r="K39" s="39">
        <v>1</v>
      </c>
      <c r="L39" s="11"/>
      <c r="M39" s="28" t="s">
        <v>69</v>
      </c>
      <c r="N39" s="28">
        <v>0</v>
      </c>
      <c r="O39" s="11"/>
      <c r="P39" s="11"/>
      <c r="Q39" s="11"/>
      <c r="R39" s="11"/>
      <c r="S39" s="11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7"/>
      <c r="AF39" s="38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 ht="15.75" customHeight="1">
      <c r="A40" s="11"/>
      <c r="B40" s="27"/>
      <c r="C40" s="11"/>
      <c r="D40" s="27"/>
      <c r="E40" s="27"/>
      <c r="F40" s="27"/>
      <c r="G40" s="27"/>
      <c r="H40" s="27"/>
      <c r="I40" s="28"/>
      <c r="J40" s="28"/>
      <c r="K40" s="28"/>
      <c r="L40" s="33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7"/>
      <c r="AF40" s="38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 ht="15.75" customHeight="1">
      <c r="A41" s="11"/>
      <c r="B41" s="27"/>
      <c r="C41" s="27"/>
      <c r="D41" s="41" t="s">
        <v>70</v>
      </c>
      <c r="E41" s="11"/>
      <c r="F41" s="11"/>
      <c r="G41" s="11"/>
      <c r="H41" s="11"/>
      <c r="I41" s="11"/>
      <c r="J41" s="11"/>
      <c r="K41" s="27"/>
      <c r="L41" s="41" t="s">
        <v>71</v>
      </c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11"/>
      <c r="AE41" s="11"/>
      <c r="AF41" s="38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 spans="1:64" ht="15.75" customHeight="1">
      <c r="A42" s="11"/>
      <c r="B42" s="11"/>
      <c r="C42" s="11"/>
      <c r="D42" s="11"/>
      <c r="E42" s="11"/>
      <c r="F42" s="11"/>
      <c r="G42" s="26"/>
      <c r="H42" s="2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 spans="1:64" ht="15.75" customHeight="1">
      <c r="A43" s="11"/>
      <c r="B43" s="11"/>
      <c r="C43" s="11"/>
      <c r="D43" s="11"/>
      <c r="E43" s="11"/>
      <c r="F43" s="11"/>
      <c r="G43" s="26"/>
      <c r="H43" s="26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 ht="15.75" customHeight="1">
      <c r="A44" s="11"/>
      <c r="B44" s="11"/>
      <c r="C44" s="11"/>
      <c r="D44" s="11"/>
      <c r="E44" s="11"/>
      <c r="F44" s="11"/>
      <c r="G44" s="26"/>
      <c r="H44" s="26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 ht="15.75" customHeight="1">
      <c r="A45" s="11"/>
      <c r="B45" s="11"/>
      <c r="C45" s="11"/>
      <c r="D45" s="11"/>
      <c r="E45" s="11"/>
      <c r="F45" s="11"/>
      <c r="G45" s="26"/>
      <c r="H45" s="26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 spans="1:64" ht="15.75" customHeight="1">
      <c r="A46" s="11"/>
      <c r="B46" s="11"/>
      <c r="C46" s="11"/>
      <c r="D46" s="11"/>
      <c r="E46" s="11"/>
      <c r="F46" s="11"/>
      <c r="G46" s="26"/>
      <c r="H46" s="26"/>
      <c r="I46" s="11"/>
      <c r="J46" s="11"/>
      <c r="K46" s="11"/>
      <c r="L46" s="11"/>
      <c r="M46" s="11"/>
      <c r="N46" s="42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 spans="1:64" ht="15.75" customHeight="1">
      <c r="A47" s="11"/>
      <c r="B47" s="11"/>
      <c r="C47" s="11"/>
      <c r="D47" s="11"/>
      <c r="E47" s="11"/>
      <c r="F47" s="11"/>
      <c r="G47" s="26"/>
      <c r="H47" s="26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 ht="13">
      <c r="A48" s="11"/>
      <c r="B48" s="11"/>
      <c r="C48" s="11"/>
      <c r="D48" s="11"/>
      <c r="E48" s="11"/>
      <c r="F48" s="11"/>
      <c r="G48" s="26"/>
      <c r="H48" s="26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 spans="1:64" ht="13">
      <c r="A49" s="11"/>
      <c r="B49" s="11"/>
      <c r="C49" s="11"/>
      <c r="D49" s="11"/>
      <c r="E49" s="11"/>
      <c r="F49" s="11"/>
      <c r="G49" s="26"/>
      <c r="H49" s="26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 spans="1:64" ht="13">
      <c r="A50" s="11"/>
      <c r="B50" s="11"/>
      <c r="C50" s="11"/>
      <c r="D50" s="11"/>
      <c r="E50" s="11"/>
      <c r="F50" s="11"/>
      <c r="G50" s="26"/>
      <c r="H50" s="26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 spans="1:64" ht="13">
      <c r="A51" s="11"/>
      <c r="B51" s="11"/>
      <c r="C51" s="11"/>
      <c r="D51" s="11"/>
      <c r="E51" s="11"/>
      <c r="F51" s="11"/>
      <c r="G51" s="26"/>
      <c r="H51" s="26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</row>
    <row r="52" spans="1:64" ht="13">
      <c r="A52" s="11"/>
      <c r="B52" s="11"/>
      <c r="C52" s="11"/>
      <c r="D52" s="11"/>
      <c r="E52" s="11"/>
      <c r="F52" s="11"/>
      <c r="G52" s="26"/>
      <c r="H52" s="26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</row>
    <row r="53" spans="1:64" ht="13">
      <c r="A53" s="11"/>
      <c r="B53" s="11"/>
      <c r="C53" s="11"/>
      <c r="D53" s="11"/>
      <c r="E53" s="11"/>
      <c r="F53" s="11"/>
      <c r="G53" s="26"/>
      <c r="H53" s="26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</row>
    <row r="54" spans="1:64" ht="13">
      <c r="A54" s="11"/>
      <c r="B54" s="11"/>
      <c r="C54" s="11"/>
      <c r="D54" s="11"/>
      <c r="E54" s="11"/>
      <c r="F54" s="11"/>
      <c r="G54" s="26"/>
      <c r="H54" s="26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</row>
    <row r="55" spans="1:64" ht="13">
      <c r="A55" s="11"/>
      <c r="B55" s="11"/>
      <c r="C55" s="11"/>
      <c r="D55" s="11"/>
      <c r="E55" s="11"/>
      <c r="F55" s="11"/>
      <c r="G55" s="26"/>
      <c r="H55" s="26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</row>
    <row r="56" spans="1:64" ht="13">
      <c r="A56" s="11"/>
      <c r="B56" s="11"/>
      <c r="C56" s="11"/>
      <c r="D56" s="11"/>
      <c r="E56" s="11"/>
      <c r="F56" s="11"/>
      <c r="G56" s="26"/>
      <c r="H56" s="26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</row>
    <row r="57" spans="1:64" ht="13">
      <c r="A57" s="11"/>
      <c r="B57" s="11"/>
      <c r="C57" s="11"/>
      <c r="D57" s="11"/>
      <c r="E57" s="11"/>
      <c r="F57" s="11"/>
      <c r="G57" s="26"/>
      <c r="H57" s="26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</row>
    <row r="58" spans="1:64" ht="13">
      <c r="A58" s="11"/>
      <c r="B58" s="11"/>
      <c r="C58" s="11"/>
      <c r="D58" s="11"/>
      <c r="E58" s="11"/>
      <c r="F58" s="11"/>
      <c r="G58" s="26"/>
      <c r="H58" s="26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</row>
    <row r="59" spans="1:64" ht="13">
      <c r="A59" s="11"/>
      <c r="B59" s="11"/>
      <c r="C59" s="11"/>
      <c r="D59" s="11"/>
      <c r="E59" s="11"/>
      <c r="F59" s="11"/>
      <c r="G59" s="26"/>
      <c r="H59" s="26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</row>
    <row r="60" spans="1:64" ht="13">
      <c r="A60" s="11"/>
      <c r="B60" s="11"/>
      <c r="C60" s="11"/>
      <c r="D60" s="11"/>
      <c r="E60" s="11"/>
      <c r="F60" s="11"/>
      <c r="G60" s="26"/>
      <c r="H60" s="26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</row>
    <row r="61" spans="1:64" ht="13">
      <c r="A61" s="11"/>
      <c r="B61" s="11"/>
      <c r="C61" s="11"/>
      <c r="D61" s="11"/>
      <c r="E61" s="11"/>
      <c r="F61" s="11"/>
      <c r="G61" s="26"/>
      <c r="H61" s="26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</row>
    <row r="62" spans="1:64" ht="13">
      <c r="A62" s="11"/>
      <c r="B62" s="11"/>
      <c r="C62" s="11"/>
      <c r="D62" s="11"/>
      <c r="E62" s="11"/>
      <c r="F62" s="11"/>
      <c r="G62" s="26"/>
      <c r="H62" s="26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</row>
    <row r="63" spans="1:64" ht="13">
      <c r="A63" s="11"/>
      <c r="B63" s="11"/>
      <c r="C63" s="11"/>
      <c r="D63" s="11"/>
      <c r="E63" s="11"/>
      <c r="F63" s="11"/>
      <c r="G63" s="26"/>
      <c r="H63" s="26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</row>
    <row r="64" spans="1:64" ht="13">
      <c r="A64" s="11"/>
      <c r="B64" s="11"/>
      <c r="C64" s="11"/>
      <c r="D64" s="11"/>
      <c r="E64" s="11"/>
      <c r="F64" s="11"/>
      <c r="G64" s="26"/>
      <c r="H64" s="26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 spans="1:64" ht="13">
      <c r="A65" s="11"/>
      <c r="B65" s="11"/>
      <c r="C65" s="11"/>
      <c r="D65" s="11"/>
      <c r="E65" s="11"/>
      <c r="F65" s="11"/>
      <c r="G65" s="26"/>
      <c r="H65" s="26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  <row r="66" spans="1:64" ht="13">
      <c r="A66" s="11"/>
      <c r="B66" s="11"/>
      <c r="C66" s="11"/>
      <c r="D66" s="11"/>
      <c r="E66" s="11"/>
      <c r="F66" s="11"/>
      <c r="G66" s="26"/>
      <c r="H66" s="26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</row>
    <row r="67" spans="1:64" ht="13">
      <c r="A67" s="11"/>
      <c r="B67" s="11"/>
      <c r="C67" s="11"/>
      <c r="D67" s="11"/>
      <c r="E67" s="11"/>
      <c r="F67" s="11"/>
      <c r="G67" s="26"/>
      <c r="H67" s="26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</row>
    <row r="68" spans="1:64" ht="13">
      <c r="A68" s="11"/>
      <c r="B68" s="11"/>
      <c r="C68" s="11"/>
      <c r="D68" s="11"/>
      <c r="E68" s="11"/>
      <c r="F68" s="11"/>
      <c r="G68" s="26"/>
      <c r="H68" s="26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</row>
    <row r="69" spans="1:64" ht="13">
      <c r="A69" s="11"/>
      <c r="B69" s="11"/>
      <c r="C69" s="11"/>
      <c r="D69" s="11"/>
      <c r="E69" s="11"/>
      <c r="F69" s="11"/>
      <c r="G69" s="26"/>
      <c r="H69" s="26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</row>
    <row r="70" spans="1:64" ht="13">
      <c r="A70" s="11"/>
      <c r="B70" s="11"/>
      <c r="C70" s="11"/>
      <c r="D70" s="11"/>
      <c r="E70" s="11"/>
      <c r="F70" s="11"/>
      <c r="G70" s="26"/>
      <c r="H70" s="26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</row>
    <row r="71" spans="1:64" ht="13">
      <c r="A71" s="11"/>
      <c r="B71" s="11"/>
      <c r="C71" s="11"/>
      <c r="D71" s="11"/>
      <c r="E71" s="11"/>
      <c r="F71" s="11"/>
      <c r="G71" s="26"/>
      <c r="H71" s="26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</row>
    <row r="72" spans="1:64" ht="13">
      <c r="A72" s="11"/>
      <c r="B72" s="11"/>
      <c r="C72" s="11"/>
      <c r="D72" s="11"/>
      <c r="E72" s="11"/>
      <c r="F72" s="11"/>
      <c r="G72" s="26"/>
      <c r="H72" s="26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</row>
    <row r="73" spans="1:64" ht="13">
      <c r="A73" s="11"/>
      <c r="B73" s="11"/>
      <c r="C73" s="11"/>
      <c r="D73" s="11"/>
      <c r="E73" s="11"/>
      <c r="F73" s="11"/>
      <c r="G73" s="26"/>
      <c r="H73" s="26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</row>
    <row r="74" spans="1:64" ht="13">
      <c r="A74" s="11"/>
      <c r="B74" s="11"/>
      <c r="C74" s="11"/>
      <c r="D74" s="11"/>
      <c r="E74" s="11"/>
      <c r="F74" s="11"/>
      <c r="G74" s="26"/>
      <c r="H74" s="26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</row>
    <row r="75" spans="1:64" ht="13">
      <c r="A75" s="11"/>
      <c r="B75" s="11"/>
      <c r="C75" s="11"/>
      <c r="D75" s="11"/>
      <c r="E75" s="11"/>
      <c r="F75" s="11"/>
      <c r="G75" s="26"/>
      <c r="H75" s="26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</row>
    <row r="76" spans="1:64" ht="13">
      <c r="A76" s="11"/>
      <c r="B76" s="11"/>
      <c r="C76" s="11"/>
      <c r="D76" s="11"/>
      <c r="E76" s="11"/>
      <c r="F76" s="11"/>
      <c r="G76" s="26"/>
      <c r="H76" s="26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</row>
    <row r="77" spans="1:64" ht="13">
      <c r="A77" s="11"/>
      <c r="B77" s="11"/>
      <c r="C77" s="11"/>
      <c r="D77" s="11"/>
      <c r="E77" s="11"/>
      <c r="F77" s="11"/>
      <c r="G77" s="26"/>
      <c r="H77" s="26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</row>
    <row r="78" spans="1:64" ht="13">
      <c r="A78" s="11"/>
      <c r="B78" s="11"/>
      <c r="C78" s="11"/>
      <c r="D78" s="11"/>
      <c r="E78" s="11"/>
      <c r="F78" s="11"/>
      <c r="G78" s="26"/>
      <c r="H78" s="26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</row>
    <row r="79" spans="1:64" ht="13">
      <c r="A79" s="11"/>
      <c r="B79" s="11"/>
      <c r="C79" s="11"/>
      <c r="D79" s="11"/>
      <c r="E79" s="11"/>
      <c r="F79" s="11"/>
      <c r="G79" s="26"/>
      <c r="H79" s="26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</row>
    <row r="80" spans="1:64" ht="13">
      <c r="A80" s="11"/>
      <c r="B80" s="11"/>
      <c r="C80" s="11"/>
      <c r="D80" s="11"/>
      <c r="E80" s="11"/>
      <c r="F80" s="11"/>
      <c r="G80" s="26"/>
      <c r="H80" s="26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</row>
    <row r="81" spans="1:64" ht="13">
      <c r="A81" s="11"/>
      <c r="B81" s="11"/>
      <c r="C81" s="11"/>
      <c r="D81" s="11"/>
      <c r="E81" s="11"/>
      <c r="F81" s="11"/>
      <c r="G81" s="26"/>
      <c r="H81" s="26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</row>
    <row r="82" spans="1:64" ht="13">
      <c r="A82" s="11"/>
      <c r="B82" s="11"/>
      <c r="C82" s="11"/>
      <c r="D82" s="11"/>
      <c r="E82" s="11"/>
      <c r="F82" s="11"/>
      <c r="G82" s="26"/>
      <c r="H82" s="26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</row>
    <row r="83" spans="1:64" ht="13">
      <c r="A83" s="11"/>
      <c r="B83" s="11"/>
      <c r="C83" s="11"/>
      <c r="D83" s="11"/>
      <c r="E83" s="11"/>
      <c r="F83" s="11"/>
      <c r="G83" s="26"/>
      <c r="H83" s="26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</row>
    <row r="84" spans="1:64" ht="13">
      <c r="A84" s="11"/>
      <c r="B84" s="11"/>
      <c r="C84" s="11"/>
      <c r="D84" s="11"/>
      <c r="E84" s="11"/>
      <c r="F84" s="11"/>
      <c r="G84" s="26"/>
      <c r="H84" s="26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</row>
    <row r="85" spans="1:64" ht="13">
      <c r="A85" s="11"/>
      <c r="B85" s="11"/>
      <c r="C85" s="11"/>
      <c r="D85" s="11"/>
      <c r="E85" s="11"/>
      <c r="F85" s="11"/>
      <c r="G85" s="26"/>
      <c r="H85" s="26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</row>
    <row r="86" spans="1:64" ht="13">
      <c r="A86" s="11"/>
      <c r="B86" s="11"/>
      <c r="C86" s="11"/>
      <c r="D86" s="11"/>
      <c r="E86" s="11"/>
      <c r="F86" s="11"/>
      <c r="G86" s="26"/>
      <c r="H86" s="26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</row>
    <row r="87" spans="1:64" ht="13">
      <c r="A87" s="11"/>
      <c r="B87" s="11"/>
      <c r="C87" s="11"/>
      <c r="D87" s="11"/>
      <c r="E87" s="11"/>
      <c r="F87" s="11"/>
      <c r="G87" s="26"/>
      <c r="H87" s="26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</row>
    <row r="88" spans="1:64" ht="13">
      <c r="A88" s="11"/>
      <c r="B88" s="11"/>
      <c r="C88" s="11"/>
      <c r="D88" s="11"/>
      <c r="E88" s="11"/>
      <c r="F88" s="11"/>
      <c r="G88" s="26"/>
      <c r="H88" s="26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</row>
    <row r="89" spans="1:64" ht="13">
      <c r="A89" s="11"/>
      <c r="B89" s="11"/>
      <c r="C89" s="11"/>
      <c r="D89" s="11"/>
      <c r="E89" s="11"/>
      <c r="F89" s="11"/>
      <c r="G89" s="26"/>
      <c r="H89" s="26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</row>
    <row r="90" spans="1:64" ht="13">
      <c r="A90" s="11"/>
      <c r="B90" s="11"/>
      <c r="C90" s="11"/>
      <c r="D90" s="11"/>
      <c r="E90" s="11"/>
      <c r="F90" s="11"/>
      <c r="G90" s="26"/>
      <c r="H90" s="26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</row>
    <row r="91" spans="1:64" ht="13">
      <c r="A91" s="11"/>
      <c r="B91" s="11"/>
      <c r="C91" s="11"/>
      <c r="D91" s="11"/>
      <c r="E91" s="11"/>
      <c r="F91" s="11"/>
      <c r="G91" s="26"/>
      <c r="H91" s="26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</row>
    <row r="92" spans="1:64" ht="13">
      <c r="A92" s="11"/>
      <c r="B92" s="11"/>
      <c r="C92" s="11"/>
      <c r="D92" s="11"/>
      <c r="E92" s="11"/>
      <c r="F92" s="11"/>
      <c r="G92" s="26"/>
      <c r="H92" s="26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 spans="1:64" ht="13">
      <c r="A93" s="11"/>
      <c r="B93" s="11"/>
      <c r="C93" s="11"/>
      <c r="D93" s="11"/>
      <c r="E93" s="11"/>
      <c r="F93" s="11"/>
      <c r="G93" s="26"/>
      <c r="H93" s="26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</row>
    <row r="94" spans="1:64" ht="13">
      <c r="A94" s="11"/>
      <c r="B94" s="11"/>
      <c r="C94" s="11"/>
      <c r="D94" s="11"/>
      <c r="E94" s="11"/>
      <c r="F94" s="11"/>
      <c r="G94" s="26"/>
      <c r="H94" s="26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</row>
    <row r="95" spans="1:64" ht="13">
      <c r="A95" s="11"/>
      <c r="B95" s="11"/>
      <c r="C95" s="11"/>
      <c r="D95" s="11"/>
      <c r="E95" s="11"/>
      <c r="F95" s="11"/>
      <c r="G95" s="26"/>
      <c r="H95" s="26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</row>
    <row r="96" spans="1:64" ht="13">
      <c r="A96" s="11"/>
      <c r="B96" s="11"/>
      <c r="C96" s="11"/>
      <c r="D96" s="11"/>
      <c r="E96" s="11"/>
      <c r="F96" s="11"/>
      <c r="G96" s="26"/>
      <c r="H96" s="26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</row>
    <row r="97" spans="1:64" ht="13">
      <c r="A97" s="11"/>
      <c r="B97" s="11"/>
      <c r="C97" s="11"/>
      <c r="D97" s="11"/>
      <c r="E97" s="11"/>
      <c r="F97" s="11"/>
      <c r="G97" s="26"/>
      <c r="H97" s="26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</row>
    <row r="98" spans="1:64" ht="13">
      <c r="A98" s="11"/>
      <c r="B98" s="11"/>
      <c r="C98" s="11"/>
      <c r="D98" s="11"/>
      <c r="E98" s="11"/>
      <c r="F98" s="11"/>
      <c r="G98" s="26"/>
      <c r="H98" s="26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</row>
    <row r="99" spans="1:64" ht="13">
      <c r="A99" s="11"/>
      <c r="B99" s="11"/>
      <c r="C99" s="11"/>
      <c r="D99" s="11"/>
      <c r="E99" s="11"/>
      <c r="F99" s="11"/>
      <c r="G99" s="26"/>
      <c r="H99" s="26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</row>
    <row r="100" spans="1:64" ht="13">
      <c r="A100" s="11"/>
      <c r="B100" s="11"/>
      <c r="C100" s="11"/>
      <c r="D100" s="11"/>
      <c r="E100" s="11"/>
      <c r="F100" s="11"/>
      <c r="G100" s="26"/>
      <c r="H100" s="26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</row>
    <row r="101" spans="1:64" ht="13">
      <c r="A101" s="11"/>
      <c r="B101" s="11"/>
      <c r="C101" s="11"/>
      <c r="D101" s="11"/>
      <c r="E101" s="11"/>
      <c r="F101" s="11"/>
      <c r="G101" s="26"/>
      <c r="H101" s="26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</row>
    <row r="102" spans="1:64" ht="13">
      <c r="A102" s="11"/>
      <c r="B102" s="11"/>
      <c r="C102" s="11"/>
      <c r="D102" s="11"/>
      <c r="E102" s="11"/>
      <c r="F102" s="11"/>
      <c r="G102" s="26"/>
      <c r="H102" s="26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</row>
    <row r="103" spans="1:64" ht="13">
      <c r="A103" s="11"/>
      <c r="B103" s="11"/>
      <c r="C103" s="11"/>
      <c r="D103" s="11"/>
      <c r="E103" s="11"/>
      <c r="F103" s="11"/>
      <c r="G103" s="26"/>
      <c r="H103" s="26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</row>
    <row r="104" spans="1:64" ht="13">
      <c r="A104" s="11"/>
      <c r="B104" s="11"/>
      <c r="C104" s="11"/>
      <c r="D104" s="11"/>
      <c r="E104" s="11"/>
      <c r="F104" s="11"/>
      <c r="G104" s="26"/>
      <c r="H104" s="26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</row>
    <row r="105" spans="1:64" ht="13">
      <c r="A105" s="11"/>
      <c r="B105" s="11"/>
      <c r="C105" s="11"/>
      <c r="D105" s="11"/>
      <c r="E105" s="11"/>
      <c r="F105" s="11"/>
      <c r="G105" s="26"/>
      <c r="H105" s="26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</row>
    <row r="106" spans="1:64" ht="13">
      <c r="A106" s="11"/>
      <c r="B106" s="11"/>
      <c r="C106" s="11"/>
      <c r="D106" s="11"/>
      <c r="E106" s="11"/>
      <c r="F106" s="11"/>
      <c r="G106" s="26"/>
      <c r="H106" s="26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</row>
    <row r="107" spans="1:64" ht="13">
      <c r="A107" s="11"/>
      <c r="B107" s="11"/>
      <c r="C107" s="11"/>
      <c r="D107" s="11"/>
      <c r="E107" s="11"/>
      <c r="F107" s="11"/>
      <c r="G107" s="26"/>
      <c r="H107" s="26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</row>
    <row r="108" spans="1:64" ht="13">
      <c r="A108" s="11"/>
      <c r="B108" s="11"/>
      <c r="C108" s="11"/>
      <c r="D108" s="11"/>
      <c r="E108" s="11"/>
      <c r="F108" s="11"/>
      <c r="G108" s="26"/>
      <c r="H108" s="26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spans="1:64" ht="13">
      <c r="A109" s="11"/>
      <c r="B109" s="11"/>
      <c r="C109" s="11"/>
      <c r="D109" s="11"/>
      <c r="E109" s="11"/>
      <c r="F109" s="11"/>
      <c r="G109" s="26"/>
      <c r="H109" s="26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</row>
    <row r="110" spans="1:64" ht="13">
      <c r="A110" s="11"/>
      <c r="B110" s="11"/>
      <c r="C110" s="11"/>
      <c r="D110" s="11"/>
      <c r="E110" s="11"/>
      <c r="F110" s="11"/>
      <c r="G110" s="26"/>
      <c r="H110" s="26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</row>
    <row r="111" spans="1:64" ht="13">
      <c r="A111" s="11"/>
      <c r="B111" s="11"/>
      <c r="C111" s="11"/>
      <c r="D111" s="11"/>
      <c r="E111" s="11"/>
      <c r="F111" s="11"/>
      <c r="G111" s="26"/>
      <c r="H111" s="26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</row>
    <row r="112" spans="1:64" ht="13">
      <c r="A112" s="11"/>
      <c r="B112" s="11"/>
      <c r="C112" s="11"/>
      <c r="D112" s="11"/>
      <c r="E112" s="11"/>
      <c r="F112" s="11"/>
      <c r="G112" s="26"/>
      <c r="H112" s="26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</row>
    <row r="113" spans="1:64" ht="13">
      <c r="A113" s="11"/>
      <c r="B113" s="11"/>
      <c r="C113" s="11"/>
      <c r="D113" s="11"/>
      <c r="E113" s="11"/>
      <c r="F113" s="11"/>
      <c r="G113" s="26"/>
      <c r="H113" s="2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</row>
    <row r="114" spans="1:64" ht="13">
      <c r="A114" s="11"/>
      <c r="B114" s="11"/>
      <c r="C114" s="11"/>
      <c r="D114" s="11"/>
      <c r="E114" s="11"/>
      <c r="F114" s="11"/>
      <c r="G114" s="26"/>
      <c r="H114" s="2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</row>
    <row r="115" spans="1:64" ht="13">
      <c r="A115" s="11"/>
      <c r="B115" s="11"/>
      <c r="C115" s="11"/>
      <c r="D115" s="11"/>
      <c r="E115" s="11"/>
      <c r="F115" s="11"/>
      <c r="G115" s="26"/>
      <c r="H115" s="2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</row>
    <row r="116" spans="1:64" ht="13">
      <c r="A116" s="11"/>
      <c r="B116" s="11"/>
      <c r="C116" s="11"/>
      <c r="D116" s="11"/>
      <c r="E116" s="11"/>
      <c r="F116" s="11"/>
      <c r="G116" s="26"/>
      <c r="H116" s="2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</row>
    <row r="117" spans="1:64" ht="13">
      <c r="A117" s="11"/>
      <c r="B117" s="11"/>
      <c r="C117" s="11"/>
      <c r="D117" s="11"/>
      <c r="E117" s="11"/>
      <c r="F117" s="11"/>
      <c r="G117" s="26"/>
      <c r="H117" s="2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</row>
    <row r="118" spans="1:64" ht="13">
      <c r="A118" s="11"/>
      <c r="B118" s="11"/>
      <c r="C118" s="11"/>
      <c r="D118" s="11"/>
      <c r="E118" s="11"/>
      <c r="F118" s="11"/>
      <c r="G118" s="26"/>
      <c r="H118" s="2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</row>
    <row r="119" spans="1:64" ht="13">
      <c r="A119" s="11"/>
      <c r="B119" s="11"/>
      <c r="C119" s="11"/>
      <c r="D119" s="11"/>
      <c r="E119" s="11"/>
      <c r="F119" s="11"/>
      <c r="G119" s="26"/>
      <c r="H119" s="2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</row>
    <row r="120" spans="1:64" ht="13">
      <c r="A120" s="11"/>
      <c r="B120" s="11"/>
      <c r="C120" s="11"/>
      <c r="D120" s="11"/>
      <c r="E120" s="11"/>
      <c r="F120" s="11"/>
      <c r="G120" s="26"/>
      <c r="H120" s="2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 spans="1:64" ht="13">
      <c r="A121" s="11"/>
      <c r="B121" s="11"/>
      <c r="C121" s="11"/>
      <c r="D121" s="11"/>
      <c r="E121" s="11"/>
      <c r="F121" s="11"/>
      <c r="G121" s="26"/>
      <c r="H121" s="2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</row>
    <row r="122" spans="1:64" ht="13">
      <c r="A122" s="11"/>
      <c r="B122" s="11"/>
      <c r="C122" s="11"/>
      <c r="D122" s="11"/>
      <c r="E122" s="11"/>
      <c r="F122" s="11"/>
      <c r="G122" s="26"/>
      <c r="H122" s="2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</row>
    <row r="123" spans="1:64" ht="13">
      <c r="A123" s="11"/>
      <c r="B123" s="11"/>
      <c r="C123" s="11"/>
      <c r="D123" s="11"/>
      <c r="E123" s="11"/>
      <c r="F123" s="11"/>
      <c r="G123" s="26"/>
      <c r="H123" s="2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</row>
    <row r="124" spans="1:64" ht="13">
      <c r="A124" s="11"/>
      <c r="B124" s="11"/>
      <c r="C124" s="11"/>
      <c r="D124" s="11"/>
      <c r="E124" s="11"/>
      <c r="F124" s="11"/>
      <c r="G124" s="26"/>
      <c r="H124" s="2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</row>
    <row r="125" spans="1:64" ht="13">
      <c r="A125" s="11"/>
      <c r="B125" s="11"/>
      <c r="C125" s="11"/>
      <c r="D125" s="11"/>
      <c r="E125" s="11"/>
      <c r="F125" s="11"/>
      <c r="G125" s="26"/>
      <c r="H125" s="26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</row>
    <row r="126" spans="1:64" ht="13">
      <c r="A126" s="11"/>
      <c r="B126" s="11"/>
      <c r="C126" s="11"/>
      <c r="D126" s="11"/>
      <c r="E126" s="11"/>
      <c r="F126" s="11"/>
      <c r="G126" s="26"/>
      <c r="H126" s="26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</row>
    <row r="127" spans="1:64" ht="13">
      <c r="A127" s="11"/>
      <c r="B127" s="11"/>
      <c r="C127" s="11"/>
      <c r="D127" s="11"/>
      <c r="E127" s="11"/>
      <c r="F127" s="11"/>
      <c r="G127" s="26"/>
      <c r="H127" s="26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</row>
    <row r="128" spans="1:64" ht="13">
      <c r="A128" s="11"/>
      <c r="B128" s="11"/>
      <c r="C128" s="11"/>
      <c r="D128" s="11"/>
      <c r="E128" s="11"/>
      <c r="F128" s="11"/>
      <c r="G128" s="26"/>
      <c r="H128" s="26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</row>
    <row r="129" spans="1:64" ht="13">
      <c r="A129" s="11"/>
      <c r="B129" s="11"/>
      <c r="C129" s="11"/>
      <c r="D129" s="11"/>
      <c r="E129" s="11"/>
      <c r="F129" s="11"/>
      <c r="G129" s="26"/>
      <c r="H129" s="2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</row>
    <row r="130" spans="1:64" ht="13">
      <c r="A130" s="11"/>
      <c r="B130" s="11"/>
      <c r="C130" s="11"/>
      <c r="D130" s="11"/>
      <c r="E130" s="11"/>
      <c r="F130" s="11"/>
      <c r="G130" s="26"/>
      <c r="H130" s="2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</row>
    <row r="131" spans="1:64" ht="13">
      <c r="A131" s="11"/>
      <c r="B131" s="11"/>
      <c r="C131" s="11"/>
      <c r="D131" s="11"/>
      <c r="E131" s="11"/>
      <c r="F131" s="11"/>
      <c r="G131" s="26"/>
      <c r="H131" s="2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</row>
    <row r="132" spans="1:64" ht="13">
      <c r="A132" s="11"/>
      <c r="B132" s="11"/>
      <c r="C132" s="11"/>
      <c r="D132" s="11"/>
      <c r="E132" s="11"/>
      <c r="F132" s="11"/>
      <c r="G132" s="26"/>
      <c r="H132" s="2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</row>
    <row r="133" spans="1:64" ht="13">
      <c r="A133" s="11"/>
      <c r="B133" s="11"/>
      <c r="C133" s="11"/>
      <c r="D133" s="11"/>
      <c r="E133" s="11"/>
      <c r="F133" s="11"/>
      <c r="G133" s="26"/>
      <c r="H133" s="2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</row>
    <row r="134" spans="1:64" ht="13">
      <c r="A134" s="11"/>
      <c r="B134" s="11"/>
      <c r="C134" s="11"/>
      <c r="D134" s="11"/>
      <c r="E134" s="11"/>
      <c r="F134" s="11"/>
      <c r="G134" s="26"/>
      <c r="H134" s="2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</row>
    <row r="135" spans="1:64" ht="13">
      <c r="A135" s="11"/>
      <c r="B135" s="11"/>
      <c r="C135" s="11"/>
      <c r="D135" s="11"/>
      <c r="E135" s="11"/>
      <c r="F135" s="11"/>
      <c r="G135" s="26"/>
      <c r="H135" s="2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</row>
    <row r="136" spans="1:64" ht="13">
      <c r="A136" s="11"/>
      <c r="B136" s="11"/>
      <c r="C136" s="11"/>
      <c r="D136" s="11"/>
      <c r="E136" s="11"/>
      <c r="F136" s="11"/>
      <c r="G136" s="26"/>
      <c r="H136" s="2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</row>
    <row r="137" spans="1:64" ht="13">
      <c r="A137" s="11"/>
      <c r="B137" s="11"/>
      <c r="C137" s="11"/>
      <c r="D137" s="11"/>
      <c r="E137" s="11"/>
      <c r="F137" s="11"/>
      <c r="G137" s="26"/>
      <c r="H137" s="2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</row>
    <row r="138" spans="1:64" ht="13">
      <c r="A138" s="11"/>
      <c r="B138" s="11"/>
      <c r="C138" s="11"/>
      <c r="D138" s="11"/>
      <c r="E138" s="11"/>
      <c r="F138" s="11"/>
      <c r="G138" s="26"/>
      <c r="H138" s="2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</row>
    <row r="139" spans="1:64" ht="13">
      <c r="A139" s="11"/>
      <c r="B139" s="11"/>
      <c r="C139" s="11"/>
      <c r="D139" s="11"/>
      <c r="E139" s="11"/>
      <c r="F139" s="11"/>
      <c r="G139" s="26"/>
      <c r="H139" s="2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</row>
    <row r="140" spans="1:64" ht="13">
      <c r="A140" s="11"/>
      <c r="B140" s="11"/>
      <c r="C140" s="11"/>
      <c r="D140" s="11"/>
      <c r="E140" s="11"/>
      <c r="F140" s="11"/>
      <c r="G140" s="26"/>
      <c r="H140" s="2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</row>
    <row r="141" spans="1:64" ht="13">
      <c r="A141" s="11"/>
      <c r="B141" s="11"/>
      <c r="C141" s="11"/>
      <c r="D141" s="11"/>
      <c r="E141" s="11"/>
      <c r="F141" s="11"/>
      <c r="G141" s="26"/>
      <c r="H141" s="2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</row>
    <row r="142" spans="1:64" ht="13">
      <c r="A142" s="11"/>
      <c r="B142" s="11"/>
      <c r="C142" s="11"/>
      <c r="D142" s="11"/>
      <c r="E142" s="11"/>
      <c r="F142" s="11"/>
      <c r="G142" s="26"/>
      <c r="H142" s="2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</row>
    <row r="143" spans="1:64" ht="13">
      <c r="A143" s="11"/>
      <c r="B143" s="11"/>
      <c r="C143" s="11"/>
      <c r="D143" s="11"/>
      <c r="E143" s="11"/>
      <c r="F143" s="11"/>
      <c r="G143" s="26"/>
      <c r="H143" s="2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</row>
    <row r="144" spans="1:64" ht="13">
      <c r="A144" s="11"/>
      <c r="B144" s="11"/>
      <c r="C144" s="11"/>
      <c r="D144" s="11"/>
      <c r="E144" s="11"/>
      <c r="F144" s="11"/>
      <c r="G144" s="26"/>
      <c r="H144" s="2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</row>
    <row r="145" spans="1:64" ht="13">
      <c r="A145" s="11"/>
      <c r="B145" s="11"/>
      <c r="C145" s="11"/>
      <c r="D145" s="11"/>
      <c r="E145" s="11"/>
      <c r="F145" s="11"/>
      <c r="G145" s="26"/>
      <c r="H145" s="2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</row>
    <row r="146" spans="1:64" ht="13">
      <c r="A146" s="11"/>
      <c r="B146" s="11"/>
      <c r="C146" s="11"/>
      <c r="D146" s="11"/>
      <c r="E146" s="11"/>
      <c r="F146" s="11"/>
      <c r="G146" s="26"/>
      <c r="H146" s="2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</row>
    <row r="147" spans="1:64" ht="13">
      <c r="A147" s="11"/>
      <c r="B147" s="11"/>
      <c r="C147" s="11"/>
      <c r="D147" s="11"/>
      <c r="E147" s="11"/>
      <c r="F147" s="11"/>
      <c r="G147" s="26"/>
      <c r="H147" s="2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</row>
    <row r="148" spans="1:64" ht="13">
      <c r="A148" s="11"/>
      <c r="B148" s="11"/>
      <c r="C148" s="11"/>
      <c r="D148" s="11"/>
      <c r="E148" s="11"/>
      <c r="F148" s="11"/>
      <c r="G148" s="26"/>
      <c r="H148" s="26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</row>
    <row r="149" spans="1:64" ht="13">
      <c r="A149" s="11"/>
      <c r="B149" s="11"/>
      <c r="C149" s="11"/>
      <c r="D149" s="11"/>
      <c r="E149" s="11"/>
      <c r="F149" s="11"/>
      <c r="G149" s="26"/>
      <c r="H149" s="26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 spans="1:64" ht="13">
      <c r="A150" s="11"/>
      <c r="B150" s="11"/>
      <c r="C150" s="11"/>
      <c r="D150" s="11"/>
      <c r="E150" s="11"/>
      <c r="F150" s="11"/>
      <c r="G150" s="26"/>
      <c r="H150" s="26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</row>
    <row r="151" spans="1:64" ht="13">
      <c r="A151" s="11"/>
      <c r="B151" s="11"/>
      <c r="C151" s="11"/>
      <c r="D151" s="11"/>
      <c r="E151" s="11"/>
      <c r="F151" s="11"/>
      <c r="G151" s="26"/>
      <c r="H151" s="26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</row>
    <row r="152" spans="1:64" ht="13">
      <c r="A152" s="11"/>
      <c r="B152" s="11"/>
      <c r="C152" s="11"/>
      <c r="D152" s="11"/>
      <c r="E152" s="11"/>
      <c r="F152" s="11"/>
      <c r="G152" s="26"/>
      <c r="H152" s="26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</row>
    <row r="153" spans="1:64" ht="13">
      <c r="A153" s="11"/>
      <c r="B153" s="11"/>
      <c r="C153" s="11"/>
      <c r="D153" s="11"/>
      <c r="E153" s="11"/>
      <c r="F153" s="11"/>
      <c r="G153" s="26"/>
      <c r="H153" s="26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</row>
    <row r="154" spans="1:64" ht="13">
      <c r="A154" s="11"/>
      <c r="B154" s="11"/>
      <c r="C154" s="11"/>
      <c r="D154" s="11"/>
      <c r="E154" s="11"/>
      <c r="F154" s="11"/>
      <c r="G154" s="26"/>
      <c r="H154" s="26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</row>
    <row r="155" spans="1:64" ht="13">
      <c r="A155" s="11"/>
      <c r="B155" s="11"/>
      <c r="C155" s="11"/>
      <c r="D155" s="11"/>
      <c r="E155" s="11"/>
      <c r="F155" s="11"/>
      <c r="G155" s="26"/>
      <c r="H155" s="26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</row>
    <row r="156" spans="1:64" ht="13">
      <c r="A156" s="11"/>
      <c r="B156" s="11"/>
      <c r="C156" s="11"/>
      <c r="D156" s="11"/>
      <c r="E156" s="11"/>
      <c r="F156" s="11"/>
      <c r="G156" s="26"/>
      <c r="H156" s="26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</row>
    <row r="157" spans="1:64" ht="13">
      <c r="A157" s="11"/>
      <c r="B157" s="11"/>
      <c r="C157" s="11"/>
      <c r="D157" s="11"/>
      <c r="E157" s="11"/>
      <c r="F157" s="11"/>
      <c r="G157" s="26"/>
      <c r="H157" s="26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</row>
    <row r="158" spans="1:64" ht="13">
      <c r="A158" s="11"/>
      <c r="B158" s="11"/>
      <c r="C158" s="11"/>
      <c r="D158" s="11"/>
      <c r="E158" s="11"/>
      <c r="F158" s="11"/>
      <c r="G158" s="26"/>
      <c r="H158" s="26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</row>
    <row r="159" spans="1:64" ht="13">
      <c r="A159" s="11"/>
      <c r="B159" s="11"/>
      <c r="C159" s="11"/>
      <c r="D159" s="11"/>
      <c r="E159" s="11"/>
      <c r="F159" s="11"/>
      <c r="G159" s="26"/>
      <c r="H159" s="26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</row>
    <row r="160" spans="1:64" ht="13">
      <c r="A160" s="11"/>
      <c r="B160" s="11"/>
      <c r="C160" s="11"/>
      <c r="D160" s="11"/>
      <c r="E160" s="11"/>
      <c r="F160" s="11"/>
      <c r="G160" s="26"/>
      <c r="H160" s="26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</row>
    <row r="161" spans="1:64" ht="13">
      <c r="A161" s="11"/>
      <c r="B161" s="11"/>
      <c r="C161" s="11"/>
      <c r="D161" s="11"/>
      <c r="E161" s="11"/>
      <c r="F161" s="11"/>
      <c r="G161" s="26"/>
      <c r="H161" s="26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</row>
    <row r="162" spans="1:64" ht="13">
      <c r="A162" s="11"/>
      <c r="B162" s="11"/>
      <c r="C162" s="11"/>
      <c r="D162" s="11"/>
      <c r="E162" s="11"/>
      <c r="F162" s="11"/>
      <c r="G162" s="26"/>
      <c r="H162" s="26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</row>
    <row r="163" spans="1:64" ht="13">
      <c r="A163" s="11"/>
      <c r="B163" s="11"/>
      <c r="C163" s="11"/>
      <c r="D163" s="11"/>
      <c r="E163" s="11"/>
      <c r="F163" s="11"/>
      <c r="G163" s="26"/>
      <c r="H163" s="26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</row>
    <row r="164" spans="1:64" ht="13">
      <c r="A164" s="11"/>
      <c r="B164" s="11"/>
      <c r="C164" s="11"/>
      <c r="D164" s="11"/>
      <c r="E164" s="11"/>
      <c r="F164" s="11"/>
      <c r="G164" s="26"/>
      <c r="H164" s="26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</row>
    <row r="165" spans="1:64" ht="13">
      <c r="A165" s="11"/>
      <c r="B165" s="11"/>
      <c r="C165" s="11"/>
      <c r="D165" s="11"/>
      <c r="E165" s="11"/>
      <c r="F165" s="11"/>
      <c r="G165" s="26"/>
      <c r="H165" s="26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</row>
    <row r="166" spans="1:64" ht="13">
      <c r="A166" s="11"/>
      <c r="B166" s="11"/>
      <c r="C166" s="11"/>
      <c r="D166" s="11"/>
      <c r="E166" s="11"/>
      <c r="F166" s="11"/>
      <c r="G166" s="26"/>
      <c r="H166" s="26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</row>
    <row r="167" spans="1:64" ht="13">
      <c r="A167" s="11"/>
      <c r="B167" s="11"/>
      <c r="C167" s="11"/>
      <c r="D167" s="11"/>
      <c r="E167" s="11"/>
      <c r="F167" s="11"/>
      <c r="G167" s="26"/>
      <c r="H167" s="26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</row>
    <row r="168" spans="1:64" ht="13">
      <c r="A168" s="11"/>
      <c r="B168" s="11"/>
      <c r="C168" s="11"/>
      <c r="D168" s="11"/>
      <c r="E168" s="11"/>
      <c r="F168" s="11"/>
      <c r="G168" s="26"/>
      <c r="H168" s="26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</row>
    <row r="169" spans="1:64" ht="13">
      <c r="A169" s="11"/>
      <c r="B169" s="11"/>
      <c r="C169" s="11"/>
      <c r="D169" s="11"/>
      <c r="E169" s="11"/>
      <c r="F169" s="11"/>
      <c r="G169" s="26"/>
      <c r="H169" s="26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</row>
    <row r="170" spans="1:64" ht="13">
      <c r="A170" s="11"/>
      <c r="B170" s="11"/>
      <c r="C170" s="11"/>
      <c r="D170" s="11"/>
      <c r="E170" s="11"/>
      <c r="F170" s="11"/>
      <c r="G170" s="26"/>
      <c r="H170" s="26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</row>
    <row r="171" spans="1:64" ht="13">
      <c r="A171" s="11"/>
      <c r="B171" s="11"/>
      <c r="C171" s="11"/>
      <c r="D171" s="11"/>
      <c r="E171" s="11"/>
      <c r="F171" s="11"/>
      <c r="G171" s="26"/>
      <c r="H171" s="26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</row>
    <row r="172" spans="1:64" ht="13">
      <c r="A172" s="11"/>
      <c r="B172" s="11"/>
      <c r="C172" s="11"/>
      <c r="D172" s="11"/>
      <c r="E172" s="11"/>
      <c r="F172" s="11"/>
      <c r="G172" s="26"/>
      <c r="H172" s="26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</row>
    <row r="173" spans="1:64" ht="13">
      <c r="A173" s="11"/>
      <c r="B173" s="11"/>
      <c r="C173" s="11"/>
      <c r="D173" s="11"/>
      <c r="E173" s="11"/>
      <c r="F173" s="11"/>
      <c r="G173" s="26"/>
      <c r="H173" s="26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</row>
    <row r="174" spans="1:64" ht="13">
      <c r="A174" s="11"/>
      <c r="B174" s="11"/>
      <c r="C174" s="11"/>
      <c r="D174" s="11"/>
      <c r="E174" s="11"/>
      <c r="F174" s="11"/>
      <c r="G174" s="26"/>
      <c r="H174" s="26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</row>
    <row r="175" spans="1:64" ht="13">
      <c r="A175" s="11"/>
      <c r="B175" s="11"/>
      <c r="C175" s="11"/>
      <c r="D175" s="11"/>
      <c r="E175" s="11"/>
      <c r="F175" s="11"/>
      <c r="G175" s="26"/>
      <c r="H175" s="26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</row>
    <row r="176" spans="1:64" ht="13">
      <c r="A176" s="11"/>
      <c r="B176" s="11"/>
      <c r="C176" s="11"/>
      <c r="D176" s="11"/>
      <c r="E176" s="11"/>
      <c r="F176" s="11"/>
      <c r="G176" s="26"/>
      <c r="H176" s="26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</row>
    <row r="177" spans="1:64" ht="13">
      <c r="A177" s="11"/>
      <c r="B177" s="11"/>
      <c r="C177" s="11"/>
      <c r="D177" s="11"/>
      <c r="E177" s="11"/>
      <c r="F177" s="11"/>
      <c r="G177" s="26"/>
      <c r="H177" s="26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</row>
    <row r="178" spans="1:64" ht="13">
      <c r="A178" s="11"/>
      <c r="B178" s="11"/>
      <c r="C178" s="11"/>
      <c r="D178" s="11"/>
      <c r="E178" s="11"/>
      <c r="F178" s="11"/>
      <c r="G178" s="26"/>
      <c r="H178" s="26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</row>
    <row r="179" spans="1:64" ht="13">
      <c r="A179" s="11"/>
      <c r="B179" s="11"/>
      <c r="C179" s="11"/>
      <c r="D179" s="11"/>
      <c r="E179" s="11"/>
      <c r="F179" s="11"/>
      <c r="G179" s="26"/>
      <c r="H179" s="26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</row>
    <row r="180" spans="1:64" ht="13">
      <c r="A180" s="11"/>
      <c r="B180" s="11"/>
      <c r="C180" s="11"/>
      <c r="D180" s="11"/>
      <c r="E180" s="11"/>
      <c r="F180" s="11"/>
      <c r="G180" s="26"/>
      <c r="H180" s="26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</row>
    <row r="181" spans="1:64" ht="13">
      <c r="A181" s="11"/>
      <c r="B181" s="11"/>
      <c r="C181" s="11"/>
      <c r="D181" s="11"/>
      <c r="E181" s="11"/>
      <c r="F181" s="11"/>
      <c r="G181" s="26"/>
      <c r="H181" s="26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</row>
    <row r="182" spans="1:64" ht="13">
      <c r="A182" s="11"/>
      <c r="B182" s="11"/>
      <c r="C182" s="11"/>
      <c r="D182" s="11"/>
      <c r="E182" s="11"/>
      <c r="F182" s="11"/>
      <c r="G182" s="26"/>
      <c r="H182" s="26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</row>
    <row r="183" spans="1:64" ht="13">
      <c r="A183" s="11"/>
      <c r="B183" s="11"/>
      <c r="C183" s="11"/>
      <c r="D183" s="11"/>
      <c r="E183" s="11"/>
      <c r="F183" s="11"/>
      <c r="G183" s="26"/>
      <c r="H183" s="26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</row>
    <row r="184" spans="1:64" ht="13">
      <c r="A184" s="11"/>
      <c r="B184" s="11"/>
      <c r="C184" s="11"/>
      <c r="D184" s="11"/>
      <c r="E184" s="11"/>
      <c r="F184" s="11"/>
      <c r="G184" s="26"/>
      <c r="H184" s="26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</row>
    <row r="185" spans="1:64" ht="13">
      <c r="A185" s="11"/>
      <c r="B185" s="11"/>
      <c r="C185" s="11"/>
      <c r="D185" s="11"/>
      <c r="E185" s="11"/>
      <c r="F185" s="11"/>
      <c r="G185" s="26"/>
      <c r="H185" s="26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</row>
    <row r="186" spans="1:64" ht="13">
      <c r="A186" s="11"/>
      <c r="B186" s="11"/>
      <c r="C186" s="11"/>
      <c r="D186" s="11"/>
      <c r="E186" s="11"/>
      <c r="F186" s="11"/>
      <c r="G186" s="26"/>
      <c r="H186" s="26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</row>
    <row r="187" spans="1:64" ht="13">
      <c r="A187" s="11"/>
      <c r="B187" s="11"/>
      <c r="C187" s="11"/>
      <c r="D187" s="11"/>
      <c r="E187" s="11"/>
      <c r="F187" s="11"/>
      <c r="G187" s="26"/>
      <c r="H187" s="26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</row>
    <row r="188" spans="1:64" ht="13">
      <c r="A188" s="11"/>
      <c r="B188" s="11"/>
      <c r="C188" s="11"/>
      <c r="D188" s="11"/>
      <c r="E188" s="11"/>
      <c r="F188" s="11"/>
      <c r="G188" s="26"/>
      <c r="H188" s="26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</row>
    <row r="189" spans="1:64" ht="13">
      <c r="A189" s="11"/>
      <c r="B189" s="11"/>
      <c r="C189" s="11"/>
      <c r="D189" s="11"/>
      <c r="E189" s="11"/>
      <c r="F189" s="11"/>
      <c r="G189" s="26"/>
      <c r="H189" s="26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</row>
    <row r="190" spans="1:64" ht="13">
      <c r="A190" s="11"/>
      <c r="B190" s="11"/>
      <c r="C190" s="11"/>
      <c r="D190" s="11"/>
      <c r="E190" s="11"/>
      <c r="F190" s="11"/>
      <c r="G190" s="26"/>
      <c r="H190" s="26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</row>
    <row r="191" spans="1:64" ht="13">
      <c r="A191" s="11"/>
      <c r="B191" s="11"/>
      <c r="C191" s="11"/>
      <c r="D191" s="11"/>
      <c r="E191" s="11"/>
      <c r="F191" s="11"/>
      <c r="G191" s="26"/>
      <c r="H191" s="26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</row>
    <row r="192" spans="1:64" ht="13">
      <c r="A192" s="11"/>
      <c r="B192" s="11"/>
      <c r="C192" s="11"/>
      <c r="D192" s="11"/>
      <c r="E192" s="11"/>
      <c r="F192" s="11"/>
      <c r="G192" s="26"/>
      <c r="H192" s="26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</row>
    <row r="193" spans="1:64" ht="13">
      <c r="A193" s="11"/>
      <c r="B193" s="11"/>
      <c r="C193" s="11"/>
      <c r="D193" s="11"/>
      <c r="E193" s="11"/>
      <c r="F193" s="11"/>
      <c r="G193" s="26"/>
      <c r="H193" s="26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</row>
    <row r="194" spans="1:64" ht="13">
      <c r="A194" s="11"/>
      <c r="B194" s="11"/>
      <c r="C194" s="11"/>
      <c r="D194" s="11"/>
      <c r="E194" s="11"/>
      <c r="F194" s="11"/>
      <c r="G194" s="26"/>
      <c r="H194" s="26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</row>
    <row r="195" spans="1:64" ht="13">
      <c r="A195" s="11"/>
      <c r="B195" s="11"/>
      <c r="C195" s="11"/>
      <c r="D195" s="11"/>
      <c r="E195" s="11"/>
      <c r="F195" s="11"/>
      <c r="G195" s="26"/>
      <c r="H195" s="26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</row>
    <row r="196" spans="1:64" ht="13">
      <c r="A196" s="11"/>
      <c r="B196" s="11"/>
      <c r="C196" s="11"/>
      <c r="D196" s="11"/>
      <c r="E196" s="11"/>
      <c r="F196" s="11"/>
      <c r="G196" s="26"/>
      <c r="H196" s="26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</row>
    <row r="197" spans="1:64" ht="13">
      <c r="A197" s="11"/>
      <c r="B197" s="11"/>
      <c r="C197" s="11"/>
      <c r="D197" s="11"/>
      <c r="E197" s="11"/>
      <c r="F197" s="11"/>
      <c r="G197" s="26"/>
      <c r="H197" s="26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</row>
    <row r="198" spans="1:64" ht="13">
      <c r="A198" s="11"/>
      <c r="B198" s="11"/>
      <c r="C198" s="11"/>
      <c r="D198" s="11"/>
      <c r="E198" s="11"/>
      <c r="F198" s="11"/>
      <c r="G198" s="26"/>
      <c r="H198" s="26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</row>
    <row r="199" spans="1:64" ht="13">
      <c r="A199" s="11"/>
      <c r="B199" s="11"/>
      <c r="C199" s="11"/>
      <c r="D199" s="11"/>
      <c r="E199" s="11"/>
      <c r="F199" s="11"/>
      <c r="G199" s="26"/>
      <c r="H199" s="26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</row>
    <row r="200" spans="1:64" ht="13">
      <c r="A200" s="11"/>
      <c r="B200" s="11"/>
      <c r="C200" s="11"/>
      <c r="D200" s="11"/>
      <c r="E200" s="11"/>
      <c r="F200" s="11"/>
      <c r="G200" s="26"/>
      <c r="H200" s="26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</row>
    <row r="201" spans="1:64" ht="13">
      <c r="A201" s="11"/>
      <c r="B201" s="11"/>
      <c r="C201" s="11"/>
      <c r="D201" s="11"/>
      <c r="E201" s="11"/>
      <c r="F201" s="11"/>
      <c r="G201" s="26"/>
      <c r="H201" s="26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</row>
    <row r="202" spans="1:64" ht="13">
      <c r="A202" s="11"/>
      <c r="B202" s="11"/>
      <c r="C202" s="11"/>
      <c r="D202" s="11"/>
      <c r="E202" s="11"/>
      <c r="F202" s="11"/>
      <c r="G202" s="26"/>
      <c r="H202" s="26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</row>
    <row r="203" spans="1:64" ht="13">
      <c r="A203" s="11"/>
      <c r="B203" s="11"/>
      <c r="C203" s="11"/>
      <c r="D203" s="11"/>
      <c r="E203" s="11"/>
      <c r="F203" s="11"/>
      <c r="G203" s="26"/>
      <c r="H203" s="26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</row>
    <row r="204" spans="1:64" ht="13">
      <c r="A204" s="11"/>
      <c r="B204" s="11"/>
      <c r="C204" s="11"/>
      <c r="D204" s="11"/>
      <c r="E204" s="11"/>
      <c r="F204" s="11"/>
      <c r="G204" s="26"/>
      <c r="H204" s="26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</row>
    <row r="205" spans="1:64" ht="13">
      <c r="A205" s="11"/>
      <c r="B205" s="11"/>
      <c r="C205" s="11"/>
      <c r="D205" s="11"/>
      <c r="E205" s="11"/>
      <c r="F205" s="11"/>
      <c r="G205" s="26"/>
      <c r="H205" s="26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</row>
    <row r="206" spans="1:64" ht="13">
      <c r="A206" s="11"/>
      <c r="B206" s="11"/>
      <c r="C206" s="11"/>
      <c r="D206" s="11"/>
      <c r="E206" s="11"/>
      <c r="F206" s="11"/>
      <c r="G206" s="26"/>
      <c r="H206" s="26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</row>
    <row r="207" spans="1:64" ht="13">
      <c r="A207" s="11"/>
      <c r="B207" s="11"/>
      <c r="C207" s="11"/>
      <c r="D207" s="11"/>
      <c r="E207" s="11"/>
      <c r="F207" s="11"/>
      <c r="G207" s="26"/>
      <c r="H207" s="26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</row>
    <row r="208" spans="1:64" ht="13">
      <c r="A208" s="11"/>
      <c r="B208" s="11"/>
      <c r="C208" s="11"/>
      <c r="D208" s="11"/>
      <c r="E208" s="11"/>
      <c r="F208" s="11"/>
      <c r="G208" s="26"/>
      <c r="H208" s="26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</row>
    <row r="209" spans="1:64" ht="13">
      <c r="A209" s="11"/>
      <c r="B209" s="11"/>
      <c r="C209" s="11"/>
      <c r="D209" s="11"/>
      <c r="E209" s="11"/>
      <c r="F209" s="11"/>
      <c r="G209" s="26"/>
      <c r="H209" s="26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</row>
    <row r="210" spans="1:64" ht="13">
      <c r="A210" s="11"/>
      <c r="B210" s="11"/>
      <c r="C210" s="11"/>
      <c r="D210" s="11"/>
      <c r="E210" s="11"/>
      <c r="F210" s="11"/>
      <c r="G210" s="26"/>
      <c r="H210" s="26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</row>
    <row r="211" spans="1:64" ht="13">
      <c r="A211" s="11"/>
      <c r="B211" s="11"/>
      <c r="C211" s="11"/>
      <c r="D211" s="11"/>
      <c r="E211" s="11"/>
      <c r="F211" s="11"/>
      <c r="G211" s="26"/>
      <c r="H211" s="26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</row>
    <row r="212" spans="1:64" ht="13">
      <c r="A212" s="11"/>
      <c r="B212" s="11"/>
      <c r="C212" s="11"/>
      <c r="D212" s="11"/>
      <c r="E212" s="11"/>
      <c r="F212" s="11"/>
      <c r="G212" s="26"/>
      <c r="H212" s="26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</row>
    <row r="213" spans="1:64" ht="13">
      <c r="A213" s="11"/>
      <c r="B213" s="11"/>
      <c r="C213" s="11"/>
      <c r="D213" s="11"/>
      <c r="E213" s="11"/>
      <c r="F213" s="11"/>
      <c r="G213" s="26"/>
      <c r="H213" s="26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</row>
    <row r="214" spans="1:64" ht="13">
      <c r="A214" s="11"/>
      <c r="B214" s="11"/>
      <c r="C214" s="11"/>
      <c r="D214" s="11"/>
      <c r="E214" s="11"/>
      <c r="F214" s="11"/>
      <c r="G214" s="26"/>
      <c r="H214" s="26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</row>
    <row r="215" spans="1:64" ht="13">
      <c r="A215" s="11"/>
      <c r="B215" s="11"/>
      <c r="C215" s="11"/>
      <c r="D215" s="11"/>
      <c r="E215" s="11"/>
      <c r="F215" s="11"/>
      <c r="G215" s="26"/>
      <c r="H215" s="26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</row>
    <row r="216" spans="1:64" ht="13">
      <c r="A216" s="11"/>
      <c r="B216" s="11"/>
      <c r="C216" s="11"/>
      <c r="D216" s="11"/>
      <c r="E216" s="11"/>
      <c r="F216" s="11"/>
      <c r="G216" s="26"/>
      <c r="H216" s="26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</row>
    <row r="217" spans="1:64" ht="13">
      <c r="A217" s="11"/>
      <c r="B217" s="11"/>
      <c r="C217" s="11"/>
      <c r="D217" s="11"/>
      <c r="E217" s="11"/>
      <c r="F217" s="11"/>
      <c r="G217" s="26"/>
      <c r="H217" s="26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</row>
    <row r="218" spans="1:64" ht="13">
      <c r="A218" s="11"/>
      <c r="B218" s="11"/>
      <c r="C218" s="11"/>
      <c r="D218" s="11"/>
      <c r="E218" s="11"/>
      <c r="F218" s="11"/>
      <c r="G218" s="26"/>
      <c r="H218" s="26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</row>
    <row r="219" spans="1:64" ht="13">
      <c r="A219" s="11"/>
      <c r="B219" s="11"/>
      <c r="C219" s="11"/>
      <c r="D219" s="11"/>
      <c r="E219" s="11"/>
      <c r="F219" s="11"/>
      <c r="G219" s="26"/>
      <c r="H219" s="26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</row>
    <row r="220" spans="1:64" ht="13">
      <c r="A220" s="11"/>
      <c r="B220" s="11"/>
      <c r="C220" s="11"/>
      <c r="D220" s="11"/>
      <c r="E220" s="11"/>
      <c r="F220" s="11"/>
      <c r="G220" s="26"/>
      <c r="H220" s="26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</row>
    <row r="221" spans="1:64" ht="13">
      <c r="A221" s="11"/>
      <c r="B221" s="11"/>
      <c r="C221" s="11"/>
      <c r="D221" s="11"/>
      <c r="E221" s="11"/>
      <c r="F221" s="11"/>
      <c r="G221" s="26"/>
      <c r="H221" s="26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</row>
    <row r="222" spans="1:64" ht="13">
      <c r="A222" s="11"/>
      <c r="B222" s="11"/>
      <c r="C222" s="11"/>
      <c r="D222" s="11"/>
      <c r="E222" s="11"/>
      <c r="F222" s="11"/>
      <c r="G222" s="26"/>
      <c r="H222" s="26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</row>
    <row r="223" spans="1:64" ht="13">
      <c r="A223" s="11"/>
      <c r="B223" s="11"/>
      <c r="C223" s="11"/>
      <c r="D223" s="11"/>
      <c r="E223" s="11"/>
      <c r="F223" s="11"/>
      <c r="G223" s="26"/>
      <c r="H223" s="26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</row>
    <row r="224" spans="1:64" ht="13">
      <c r="A224" s="11"/>
      <c r="B224" s="11"/>
      <c r="C224" s="11"/>
      <c r="D224" s="11"/>
      <c r="E224" s="11"/>
      <c r="F224" s="11"/>
      <c r="G224" s="26"/>
      <c r="H224" s="26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</row>
    <row r="225" spans="1:64" ht="13">
      <c r="A225" s="11"/>
      <c r="B225" s="11"/>
      <c r="C225" s="11"/>
      <c r="D225" s="11"/>
      <c r="E225" s="11"/>
      <c r="F225" s="11"/>
      <c r="G225" s="26"/>
      <c r="H225" s="26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</row>
    <row r="226" spans="1:64" ht="13">
      <c r="A226" s="11"/>
      <c r="B226" s="11"/>
      <c r="C226" s="11"/>
      <c r="D226" s="11"/>
      <c r="E226" s="11"/>
      <c r="F226" s="11"/>
      <c r="G226" s="26"/>
      <c r="H226" s="26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</row>
    <row r="227" spans="1:64" ht="13">
      <c r="A227" s="11"/>
      <c r="B227" s="11"/>
      <c r="C227" s="11"/>
      <c r="D227" s="11"/>
      <c r="E227" s="11"/>
      <c r="F227" s="11"/>
      <c r="G227" s="26"/>
      <c r="H227" s="26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</row>
    <row r="228" spans="1:64" ht="13">
      <c r="A228" s="11"/>
      <c r="B228" s="11"/>
      <c r="C228" s="11"/>
      <c r="D228" s="11"/>
      <c r="E228" s="11"/>
      <c r="F228" s="11"/>
      <c r="G228" s="26"/>
      <c r="H228" s="26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</row>
    <row r="229" spans="1:64" ht="13">
      <c r="A229" s="11"/>
      <c r="B229" s="11"/>
      <c r="C229" s="11"/>
      <c r="D229" s="11"/>
      <c r="E229" s="11"/>
      <c r="F229" s="11"/>
      <c r="G229" s="26"/>
      <c r="H229" s="26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</row>
    <row r="230" spans="1:64" ht="13">
      <c r="A230" s="11"/>
      <c r="B230" s="11"/>
      <c r="C230" s="11"/>
      <c r="D230" s="11"/>
      <c r="E230" s="11"/>
      <c r="F230" s="11"/>
      <c r="G230" s="26"/>
      <c r="H230" s="26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</row>
    <row r="231" spans="1:64" ht="13">
      <c r="A231" s="11"/>
      <c r="B231" s="11"/>
      <c r="C231" s="11"/>
      <c r="D231" s="11"/>
      <c r="E231" s="11"/>
      <c r="F231" s="11"/>
      <c r="G231" s="26"/>
      <c r="H231" s="26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</row>
    <row r="232" spans="1:64" ht="13">
      <c r="A232" s="11"/>
      <c r="B232" s="11"/>
      <c r="C232" s="11"/>
      <c r="D232" s="11"/>
      <c r="E232" s="11"/>
      <c r="F232" s="11"/>
      <c r="G232" s="26"/>
      <c r="H232" s="26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</row>
    <row r="233" spans="1:64" ht="13">
      <c r="A233" s="11"/>
      <c r="B233" s="11"/>
      <c r="C233" s="11"/>
      <c r="D233" s="11"/>
      <c r="E233" s="11"/>
      <c r="F233" s="11"/>
      <c r="G233" s="26"/>
      <c r="H233" s="26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</row>
    <row r="234" spans="1:64" ht="13">
      <c r="A234" s="11"/>
      <c r="B234" s="11"/>
      <c r="C234" s="11"/>
      <c r="D234" s="11"/>
      <c r="E234" s="11"/>
      <c r="F234" s="11"/>
      <c r="G234" s="26"/>
      <c r="H234" s="26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</row>
    <row r="235" spans="1:64" ht="13">
      <c r="A235" s="11"/>
      <c r="B235" s="11"/>
      <c r="C235" s="11"/>
      <c r="D235" s="11"/>
      <c r="E235" s="11"/>
      <c r="F235" s="11"/>
      <c r="G235" s="26"/>
      <c r="H235" s="26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</row>
    <row r="236" spans="1:64" ht="13">
      <c r="A236" s="11"/>
      <c r="B236" s="11"/>
      <c r="C236" s="11"/>
      <c r="D236" s="11"/>
      <c r="E236" s="11"/>
      <c r="F236" s="11"/>
      <c r="G236" s="26"/>
      <c r="H236" s="26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</row>
    <row r="237" spans="1:64" ht="13">
      <c r="A237" s="11"/>
      <c r="B237" s="11"/>
      <c r="C237" s="11"/>
      <c r="D237" s="11"/>
      <c r="E237" s="11"/>
      <c r="F237" s="11"/>
      <c r="G237" s="26"/>
      <c r="H237" s="26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</row>
    <row r="238" spans="1:64" ht="13">
      <c r="A238" s="11"/>
      <c r="B238" s="11"/>
      <c r="C238" s="11"/>
      <c r="D238" s="11"/>
      <c r="E238" s="11"/>
      <c r="F238" s="11"/>
      <c r="G238" s="26"/>
      <c r="H238" s="26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</row>
    <row r="239" spans="1:64" ht="13">
      <c r="A239" s="11"/>
      <c r="B239" s="11"/>
      <c r="C239" s="11"/>
      <c r="D239" s="11"/>
      <c r="E239" s="11"/>
      <c r="F239" s="11"/>
      <c r="G239" s="26"/>
      <c r="H239" s="26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</row>
    <row r="240" spans="1:64" ht="13">
      <c r="A240" s="11"/>
      <c r="B240" s="11"/>
      <c r="C240" s="11"/>
      <c r="D240" s="11"/>
      <c r="E240" s="11"/>
      <c r="F240" s="11"/>
      <c r="G240" s="26"/>
      <c r="H240" s="26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</row>
    <row r="241" spans="1:64" ht="13">
      <c r="A241" s="11"/>
      <c r="B241" s="11"/>
      <c r="C241" s="11"/>
      <c r="D241" s="11"/>
      <c r="E241" s="11"/>
      <c r="F241" s="11"/>
      <c r="G241" s="26"/>
      <c r="H241" s="26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</row>
    <row r="242" spans="1:64" ht="13">
      <c r="A242" s="11"/>
      <c r="B242" s="11"/>
      <c r="C242" s="11"/>
      <c r="D242" s="11"/>
      <c r="E242" s="11"/>
      <c r="F242" s="11"/>
      <c r="G242" s="26"/>
      <c r="H242" s="26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</row>
    <row r="243" spans="1:64" ht="13">
      <c r="A243" s="11"/>
      <c r="B243" s="11"/>
      <c r="C243" s="11"/>
      <c r="D243" s="11"/>
      <c r="E243" s="11"/>
      <c r="F243" s="11"/>
      <c r="G243" s="26"/>
      <c r="H243" s="26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</row>
    <row r="244" spans="1:64" ht="13">
      <c r="A244" s="11"/>
      <c r="B244" s="11"/>
      <c r="C244" s="11"/>
      <c r="D244" s="11"/>
      <c r="E244" s="11"/>
      <c r="F244" s="11"/>
      <c r="G244" s="26"/>
      <c r="H244" s="26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</row>
    <row r="245" spans="1:64" ht="13">
      <c r="A245" s="11"/>
      <c r="B245" s="11"/>
      <c r="C245" s="11"/>
      <c r="D245" s="11"/>
      <c r="E245" s="11"/>
      <c r="F245" s="11"/>
      <c r="G245" s="26"/>
      <c r="H245" s="26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</row>
    <row r="246" spans="1:64" ht="13">
      <c r="A246" s="11"/>
      <c r="B246" s="11"/>
      <c r="C246" s="11"/>
      <c r="D246" s="11"/>
      <c r="E246" s="11"/>
      <c r="F246" s="11"/>
      <c r="G246" s="26"/>
      <c r="H246" s="26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</row>
    <row r="247" spans="1:64" ht="13">
      <c r="A247" s="11"/>
      <c r="B247" s="11"/>
      <c r="C247" s="11"/>
      <c r="D247" s="11"/>
      <c r="E247" s="11"/>
      <c r="F247" s="11"/>
      <c r="G247" s="26"/>
      <c r="H247" s="26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</row>
    <row r="248" spans="1:64" ht="13">
      <c r="A248" s="11"/>
      <c r="B248" s="11"/>
      <c r="C248" s="11"/>
      <c r="D248" s="11"/>
      <c r="E248" s="11"/>
      <c r="F248" s="11"/>
      <c r="G248" s="26"/>
      <c r="H248" s="26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</row>
    <row r="249" spans="1:64" ht="13">
      <c r="A249" s="11"/>
      <c r="B249" s="11"/>
      <c r="C249" s="11"/>
      <c r="D249" s="11"/>
      <c r="E249" s="11"/>
      <c r="F249" s="11"/>
      <c r="G249" s="26"/>
      <c r="H249" s="26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</row>
    <row r="250" spans="1:64" ht="13">
      <c r="A250" s="11"/>
      <c r="B250" s="11"/>
      <c r="C250" s="11"/>
      <c r="D250" s="11"/>
      <c r="E250" s="11"/>
      <c r="F250" s="11"/>
      <c r="G250" s="26"/>
      <c r="H250" s="26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</row>
    <row r="251" spans="1:64" ht="13">
      <c r="A251" s="11"/>
      <c r="B251" s="11"/>
      <c r="C251" s="11"/>
      <c r="D251" s="11"/>
      <c r="E251" s="11"/>
      <c r="F251" s="11"/>
      <c r="G251" s="26"/>
      <c r="H251" s="26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</row>
    <row r="252" spans="1:64" ht="13">
      <c r="A252" s="11"/>
      <c r="B252" s="11"/>
      <c r="C252" s="11"/>
      <c r="D252" s="11"/>
      <c r="E252" s="11"/>
      <c r="F252" s="11"/>
      <c r="G252" s="26"/>
      <c r="H252" s="26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</row>
    <row r="253" spans="1:64" ht="13">
      <c r="A253" s="11"/>
      <c r="B253" s="11"/>
      <c r="C253" s="11"/>
      <c r="D253" s="11"/>
      <c r="E253" s="11"/>
      <c r="F253" s="11"/>
      <c r="G253" s="26"/>
      <c r="H253" s="26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</row>
    <row r="254" spans="1:64" ht="13">
      <c r="A254" s="11"/>
      <c r="B254" s="11"/>
      <c r="C254" s="11"/>
      <c r="D254" s="11"/>
      <c r="E254" s="11"/>
      <c r="F254" s="11"/>
      <c r="G254" s="26"/>
      <c r="H254" s="26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</row>
    <row r="255" spans="1:64" ht="13">
      <c r="A255" s="11"/>
      <c r="B255" s="11"/>
      <c r="C255" s="11"/>
      <c r="D255" s="11"/>
      <c r="E255" s="11"/>
      <c r="F255" s="11"/>
      <c r="G255" s="26"/>
      <c r="H255" s="26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</row>
    <row r="256" spans="1:64" ht="13">
      <c r="A256" s="11"/>
      <c r="B256" s="11"/>
      <c r="C256" s="11"/>
      <c r="D256" s="11"/>
      <c r="E256" s="11"/>
      <c r="F256" s="11"/>
      <c r="G256" s="26"/>
      <c r="H256" s="26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</row>
    <row r="257" spans="1:64" ht="13">
      <c r="A257" s="11"/>
      <c r="B257" s="11"/>
      <c r="C257" s="11"/>
      <c r="D257" s="11"/>
      <c r="E257" s="11"/>
      <c r="F257" s="11"/>
      <c r="G257" s="26"/>
      <c r="H257" s="26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</row>
    <row r="258" spans="1:64" ht="13">
      <c r="A258" s="11"/>
      <c r="B258" s="11"/>
      <c r="C258" s="11"/>
      <c r="D258" s="11"/>
      <c r="E258" s="11"/>
      <c r="F258" s="11"/>
      <c r="G258" s="26"/>
      <c r="H258" s="26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</row>
    <row r="259" spans="1:64" ht="13">
      <c r="A259" s="11"/>
      <c r="B259" s="11"/>
      <c r="C259" s="11"/>
      <c r="D259" s="11"/>
      <c r="E259" s="11"/>
      <c r="F259" s="11"/>
      <c r="G259" s="26"/>
      <c r="H259" s="26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</row>
    <row r="260" spans="1:64" ht="13">
      <c r="A260" s="11"/>
      <c r="B260" s="11"/>
      <c r="C260" s="11"/>
      <c r="D260" s="11"/>
      <c r="E260" s="11"/>
      <c r="F260" s="11"/>
      <c r="G260" s="26"/>
      <c r="H260" s="26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</row>
    <row r="261" spans="1:64" ht="13">
      <c r="A261" s="11"/>
      <c r="B261" s="11"/>
      <c r="C261" s="11"/>
      <c r="D261" s="11"/>
      <c r="E261" s="11"/>
      <c r="F261" s="11"/>
      <c r="G261" s="26"/>
      <c r="H261" s="26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</row>
    <row r="262" spans="1:64" ht="13">
      <c r="A262" s="11"/>
      <c r="B262" s="11"/>
      <c r="C262" s="11"/>
      <c r="D262" s="11"/>
      <c r="E262" s="11"/>
      <c r="F262" s="11"/>
      <c r="G262" s="26"/>
      <c r="H262" s="26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</row>
    <row r="263" spans="1:64" ht="13">
      <c r="A263" s="11"/>
      <c r="B263" s="11"/>
      <c r="C263" s="11"/>
      <c r="D263" s="11"/>
      <c r="E263" s="11"/>
      <c r="F263" s="11"/>
      <c r="G263" s="26"/>
      <c r="H263" s="26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</row>
    <row r="264" spans="1:64" ht="13">
      <c r="A264" s="11"/>
      <c r="B264" s="11"/>
      <c r="C264" s="11"/>
      <c r="D264" s="11"/>
      <c r="E264" s="11"/>
      <c r="F264" s="11"/>
      <c r="G264" s="26"/>
      <c r="H264" s="26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</row>
    <row r="265" spans="1:64" ht="13">
      <c r="A265" s="11"/>
      <c r="B265" s="11"/>
      <c r="C265" s="11"/>
      <c r="D265" s="11"/>
      <c r="E265" s="11"/>
      <c r="F265" s="11"/>
      <c r="G265" s="26"/>
      <c r="H265" s="26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</row>
    <row r="266" spans="1:64" ht="13">
      <c r="A266" s="11"/>
      <c r="B266" s="11"/>
      <c r="C266" s="11"/>
      <c r="D266" s="11"/>
      <c r="E266" s="11"/>
      <c r="F266" s="11"/>
      <c r="G266" s="26"/>
      <c r="H266" s="26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</row>
    <row r="267" spans="1:64" ht="13">
      <c r="A267" s="11"/>
      <c r="B267" s="11"/>
      <c r="C267" s="11"/>
      <c r="D267" s="11"/>
      <c r="E267" s="11"/>
      <c r="F267" s="11"/>
      <c r="G267" s="26"/>
      <c r="H267" s="26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</row>
    <row r="268" spans="1:64" ht="13">
      <c r="A268" s="11"/>
      <c r="B268" s="11"/>
      <c r="C268" s="11"/>
      <c r="D268" s="11"/>
      <c r="E268" s="11"/>
      <c r="F268" s="11"/>
      <c r="G268" s="26"/>
      <c r="H268" s="26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</row>
    <row r="269" spans="1:64" ht="13">
      <c r="A269" s="11"/>
      <c r="B269" s="11"/>
      <c r="C269" s="11"/>
      <c r="D269" s="11"/>
      <c r="E269" s="11"/>
      <c r="F269" s="11"/>
      <c r="G269" s="26"/>
      <c r="H269" s="26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</row>
    <row r="270" spans="1:64" ht="13">
      <c r="A270" s="11"/>
      <c r="B270" s="11"/>
      <c r="C270" s="11"/>
      <c r="D270" s="11"/>
      <c r="E270" s="11"/>
      <c r="F270" s="11"/>
      <c r="G270" s="26"/>
      <c r="H270" s="26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</row>
    <row r="271" spans="1:64" ht="13">
      <c r="A271" s="11"/>
      <c r="B271" s="11"/>
      <c r="C271" s="11"/>
      <c r="D271" s="11"/>
      <c r="E271" s="11"/>
      <c r="F271" s="11"/>
      <c r="G271" s="26"/>
      <c r="H271" s="26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</row>
    <row r="272" spans="1:64" ht="13">
      <c r="A272" s="11"/>
      <c r="B272" s="11"/>
      <c r="C272" s="11"/>
      <c r="D272" s="11"/>
      <c r="E272" s="11"/>
      <c r="F272" s="11"/>
      <c r="G272" s="26"/>
      <c r="H272" s="26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</row>
    <row r="273" spans="1:64" ht="13">
      <c r="A273" s="11"/>
      <c r="B273" s="11"/>
      <c r="C273" s="11"/>
      <c r="D273" s="11"/>
      <c r="E273" s="11"/>
      <c r="F273" s="11"/>
      <c r="G273" s="26"/>
      <c r="H273" s="26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 spans="1:64" ht="13">
      <c r="A274" s="11"/>
      <c r="B274" s="11"/>
      <c r="C274" s="11"/>
      <c r="D274" s="11"/>
      <c r="E274" s="11"/>
      <c r="F274" s="11"/>
      <c r="G274" s="26"/>
      <c r="H274" s="26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</row>
    <row r="275" spans="1:64" ht="13">
      <c r="A275" s="11"/>
      <c r="B275" s="11"/>
      <c r="C275" s="11"/>
      <c r="D275" s="11"/>
      <c r="E275" s="11"/>
      <c r="F275" s="11"/>
      <c r="G275" s="26"/>
      <c r="H275" s="26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</row>
    <row r="276" spans="1:64" ht="13">
      <c r="A276" s="11"/>
      <c r="B276" s="11"/>
      <c r="C276" s="11"/>
      <c r="D276" s="11"/>
      <c r="E276" s="11"/>
      <c r="F276" s="11"/>
      <c r="G276" s="26"/>
      <c r="H276" s="26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</row>
    <row r="277" spans="1:64" ht="13">
      <c r="A277" s="11"/>
      <c r="B277" s="11"/>
      <c r="C277" s="11"/>
      <c r="D277" s="11"/>
      <c r="E277" s="11"/>
      <c r="F277" s="11"/>
      <c r="G277" s="26"/>
      <c r="H277" s="26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</row>
    <row r="278" spans="1:64" ht="13">
      <c r="A278" s="11"/>
      <c r="B278" s="11"/>
      <c r="C278" s="11"/>
      <c r="D278" s="11"/>
      <c r="E278" s="11"/>
      <c r="F278" s="11"/>
      <c r="G278" s="26"/>
      <c r="H278" s="26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</row>
    <row r="279" spans="1:64" ht="13">
      <c r="A279" s="11"/>
      <c r="B279" s="11"/>
      <c r="C279" s="11"/>
      <c r="D279" s="11"/>
      <c r="E279" s="11"/>
      <c r="F279" s="11"/>
      <c r="G279" s="26"/>
      <c r="H279" s="26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</row>
    <row r="280" spans="1:64" ht="13">
      <c r="A280" s="11"/>
      <c r="B280" s="11"/>
      <c r="C280" s="11"/>
      <c r="D280" s="11"/>
      <c r="E280" s="11"/>
      <c r="F280" s="11"/>
      <c r="G280" s="26"/>
      <c r="H280" s="26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</row>
    <row r="281" spans="1:64" ht="13">
      <c r="A281" s="11"/>
      <c r="B281" s="11"/>
      <c r="C281" s="11"/>
      <c r="D281" s="11"/>
      <c r="E281" s="11"/>
      <c r="F281" s="11"/>
      <c r="G281" s="26"/>
      <c r="H281" s="26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</row>
    <row r="282" spans="1:64" ht="13">
      <c r="A282" s="11"/>
      <c r="B282" s="11"/>
      <c r="C282" s="11"/>
      <c r="D282" s="11"/>
      <c r="E282" s="11"/>
      <c r="F282" s="11"/>
      <c r="G282" s="26"/>
      <c r="H282" s="26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</row>
    <row r="283" spans="1:64" ht="13">
      <c r="A283" s="11"/>
      <c r="B283" s="11"/>
      <c r="C283" s="11"/>
      <c r="D283" s="11"/>
      <c r="E283" s="11"/>
      <c r="F283" s="11"/>
      <c r="G283" s="26"/>
      <c r="H283" s="26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</row>
    <row r="284" spans="1:64" ht="13">
      <c r="A284" s="11"/>
      <c r="B284" s="11"/>
      <c r="C284" s="11"/>
      <c r="D284" s="11"/>
      <c r="E284" s="11"/>
      <c r="F284" s="11"/>
      <c r="G284" s="26"/>
      <c r="H284" s="26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</row>
    <row r="285" spans="1:64" ht="13">
      <c r="A285" s="11"/>
      <c r="B285" s="11"/>
      <c r="C285" s="11"/>
      <c r="D285" s="11"/>
      <c r="E285" s="11"/>
      <c r="F285" s="11"/>
      <c r="G285" s="26"/>
      <c r="H285" s="26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</row>
    <row r="286" spans="1:64" ht="13">
      <c r="A286" s="11"/>
      <c r="B286" s="11"/>
      <c r="C286" s="11"/>
      <c r="D286" s="11"/>
      <c r="E286" s="11"/>
      <c r="F286" s="11"/>
      <c r="G286" s="26"/>
      <c r="H286" s="26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</row>
    <row r="287" spans="1:64" ht="13">
      <c r="A287" s="11"/>
      <c r="B287" s="11"/>
      <c r="C287" s="11"/>
      <c r="D287" s="11"/>
      <c r="E287" s="11"/>
      <c r="F287" s="11"/>
      <c r="G287" s="26"/>
      <c r="H287" s="26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</row>
    <row r="288" spans="1:64" ht="13">
      <c r="A288" s="11"/>
      <c r="B288" s="11"/>
      <c r="C288" s="11"/>
      <c r="D288" s="11"/>
      <c r="E288" s="11"/>
      <c r="F288" s="11"/>
      <c r="G288" s="26"/>
      <c r="H288" s="26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</row>
    <row r="289" spans="1:64" ht="13">
      <c r="A289" s="11"/>
      <c r="B289" s="11"/>
      <c r="C289" s="11"/>
      <c r="D289" s="11"/>
      <c r="E289" s="11"/>
      <c r="F289" s="11"/>
      <c r="G289" s="26"/>
      <c r="H289" s="26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</row>
    <row r="290" spans="1:64" ht="13">
      <c r="A290" s="11"/>
      <c r="B290" s="11"/>
      <c r="C290" s="11"/>
      <c r="D290" s="11"/>
      <c r="E290" s="11"/>
      <c r="F290" s="11"/>
      <c r="G290" s="26"/>
      <c r="H290" s="26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</row>
    <row r="291" spans="1:64" ht="13">
      <c r="A291" s="11"/>
      <c r="B291" s="11"/>
      <c r="C291" s="11"/>
      <c r="D291" s="11"/>
      <c r="E291" s="11"/>
      <c r="F291" s="11"/>
      <c r="G291" s="26"/>
      <c r="H291" s="26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</row>
    <row r="292" spans="1:64" ht="13">
      <c r="A292" s="11"/>
      <c r="B292" s="11"/>
      <c r="C292" s="11"/>
      <c r="D292" s="11"/>
      <c r="E292" s="11"/>
      <c r="F292" s="11"/>
      <c r="G292" s="26"/>
      <c r="H292" s="26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</row>
    <row r="293" spans="1:64" ht="13">
      <c r="A293" s="11"/>
      <c r="B293" s="11"/>
      <c r="C293" s="11"/>
      <c r="D293" s="11"/>
      <c r="E293" s="11"/>
      <c r="F293" s="11"/>
      <c r="G293" s="26"/>
      <c r="H293" s="26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</row>
    <row r="294" spans="1:64" ht="13">
      <c r="A294" s="11"/>
      <c r="B294" s="11"/>
      <c r="C294" s="11"/>
      <c r="D294" s="11"/>
      <c r="E294" s="11"/>
      <c r="F294" s="11"/>
      <c r="G294" s="26"/>
      <c r="H294" s="26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</row>
    <row r="295" spans="1:64" ht="13">
      <c r="A295" s="11"/>
      <c r="B295" s="11"/>
      <c r="C295" s="11"/>
      <c r="D295" s="11"/>
      <c r="E295" s="11"/>
      <c r="F295" s="11"/>
      <c r="G295" s="26"/>
      <c r="H295" s="26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</row>
    <row r="296" spans="1:64" ht="13">
      <c r="A296" s="11"/>
      <c r="B296" s="11"/>
      <c r="C296" s="11"/>
      <c r="D296" s="11"/>
      <c r="E296" s="11"/>
      <c r="F296" s="11"/>
      <c r="G296" s="26"/>
      <c r="H296" s="26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</row>
    <row r="297" spans="1:64" ht="13">
      <c r="A297" s="11"/>
      <c r="B297" s="11"/>
      <c r="C297" s="11"/>
      <c r="D297" s="11"/>
      <c r="E297" s="11"/>
      <c r="F297" s="11"/>
      <c r="G297" s="26"/>
      <c r="H297" s="26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</row>
    <row r="298" spans="1:64" ht="13">
      <c r="A298" s="11"/>
      <c r="B298" s="11"/>
      <c r="C298" s="11"/>
      <c r="D298" s="11"/>
      <c r="E298" s="11"/>
      <c r="F298" s="11"/>
      <c r="G298" s="26"/>
      <c r="H298" s="26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</row>
    <row r="299" spans="1:64" ht="13">
      <c r="A299" s="11"/>
      <c r="B299" s="11"/>
      <c r="C299" s="11"/>
      <c r="D299" s="11"/>
      <c r="E299" s="11"/>
      <c r="F299" s="11"/>
      <c r="G299" s="26"/>
      <c r="H299" s="26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</row>
    <row r="300" spans="1:64" ht="13">
      <c r="A300" s="11"/>
      <c r="B300" s="11"/>
      <c r="C300" s="11"/>
      <c r="D300" s="11"/>
      <c r="E300" s="11"/>
      <c r="F300" s="11"/>
      <c r="G300" s="26"/>
      <c r="H300" s="26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</row>
    <row r="301" spans="1:64" ht="13">
      <c r="A301" s="11"/>
      <c r="B301" s="11"/>
      <c r="C301" s="11"/>
      <c r="D301" s="11"/>
      <c r="E301" s="11"/>
      <c r="F301" s="11"/>
      <c r="G301" s="26"/>
      <c r="H301" s="26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</row>
    <row r="302" spans="1:64" ht="13">
      <c r="A302" s="11"/>
      <c r="B302" s="11"/>
      <c r="C302" s="11"/>
      <c r="D302" s="11"/>
      <c r="E302" s="11"/>
      <c r="F302" s="11"/>
      <c r="G302" s="26"/>
      <c r="H302" s="26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</row>
    <row r="303" spans="1:64" ht="13">
      <c r="A303" s="11"/>
      <c r="B303" s="11"/>
      <c r="C303" s="11"/>
      <c r="D303" s="11"/>
      <c r="E303" s="11"/>
      <c r="F303" s="11"/>
      <c r="G303" s="26"/>
      <c r="H303" s="26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</row>
    <row r="304" spans="1:64" ht="13">
      <c r="A304" s="11"/>
      <c r="B304" s="11"/>
      <c r="C304" s="11"/>
      <c r="D304" s="11"/>
      <c r="E304" s="11"/>
      <c r="F304" s="11"/>
      <c r="G304" s="26"/>
      <c r="H304" s="26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</row>
    <row r="305" spans="1:64" ht="13">
      <c r="A305" s="11"/>
      <c r="B305" s="11"/>
      <c r="C305" s="11"/>
      <c r="D305" s="11"/>
      <c r="E305" s="11"/>
      <c r="F305" s="11"/>
      <c r="G305" s="26"/>
      <c r="H305" s="26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</row>
    <row r="306" spans="1:64" ht="13">
      <c r="A306" s="11"/>
      <c r="B306" s="11"/>
      <c r="C306" s="11"/>
      <c r="D306" s="11"/>
      <c r="E306" s="11"/>
      <c r="F306" s="11"/>
      <c r="G306" s="26"/>
      <c r="H306" s="26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</row>
    <row r="307" spans="1:64" ht="13">
      <c r="A307" s="11"/>
      <c r="B307" s="11"/>
      <c r="C307" s="11"/>
      <c r="D307" s="11"/>
      <c r="E307" s="11"/>
      <c r="F307" s="11"/>
      <c r="G307" s="26"/>
      <c r="H307" s="26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</row>
    <row r="308" spans="1:64" ht="13">
      <c r="A308" s="11"/>
      <c r="B308" s="11"/>
      <c r="C308" s="11"/>
      <c r="D308" s="11"/>
      <c r="E308" s="11"/>
      <c r="F308" s="11"/>
      <c r="G308" s="26"/>
      <c r="H308" s="26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 spans="1:64" ht="13">
      <c r="A309" s="11"/>
      <c r="B309" s="11"/>
      <c r="C309" s="11"/>
      <c r="D309" s="11"/>
      <c r="E309" s="11"/>
      <c r="F309" s="11"/>
      <c r="G309" s="26"/>
      <c r="H309" s="26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</row>
    <row r="310" spans="1:64" ht="13">
      <c r="A310" s="11"/>
      <c r="B310" s="11"/>
      <c r="C310" s="11"/>
      <c r="D310" s="11"/>
      <c r="E310" s="11"/>
      <c r="F310" s="11"/>
      <c r="G310" s="26"/>
      <c r="H310" s="26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</row>
    <row r="311" spans="1:64" ht="13">
      <c r="A311" s="11"/>
      <c r="B311" s="11"/>
      <c r="C311" s="11"/>
      <c r="D311" s="11"/>
      <c r="E311" s="11"/>
      <c r="F311" s="11"/>
      <c r="G311" s="26"/>
      <c r="H311" s="26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</row>
    <row r="312" spans="1:64" ht="13">
      <c r="A312" s="11"/>
      <c r="B312" s="11"/>
      <c r="C312" s="11"/>
      <c r="D312" s="11"/>
      <c r="E312" s="11"/>
      <c r="F312" s="11"/>
      <c r="G312" s="26"/>
      <c r="H312" s="26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</row>
    <row r="313" spans="1:64" ht="13">
      <c r="A313" s="11"/>
      <c r="B313" s="11"/>
      <c r="C313" s="11"/>
      <c r="D313" s="11"/>
      <c r="E313" s="11"/>
      <c r="F313" s="11"/>
      <c r="G313" s="26"/>
      <c r="H313" s="26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</row>
    <row r="314" spans="1:64" ht="13">
      <c r="A314" s="11"/>
      <c r="B314" s="11"/>
      <c r="C314" s="11"/>
      <c r="D314" s="11"/>
      <c r="E314" s="11"/>
      <c r="F314" s="11"/>
      <c r="G314" s="26"/>
      <c r="H314" s="26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</row>
    <row r="315" spans="1:64" ht="13">
      <c r="A315" s="11"/>
      <c r="B315" s="11"/>
      <c r="C315" s="11"/>
      <c r="D315" s="11"/>
      <c r="E315" s="11"/>
      <c r="F315" s="11"/>
      <c r="G315" s="26"/>
      <c r="H315" s="26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</row>
    <row r="316" spans="1:64" ht="13">
      <c r="A316" s="11"/>
      <c r="B316" s="11"/>
      <c r="C316" s="11"/>
      <c r="D316" s="11"/>
      <c r="E316" s="11"/>
      <c r="F316" s="11"/>
      <c r="G316" s="26"/>
      <c r="H316" s="26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</row>
    <row r="317" spans="1:64" ht="13">
      <c r="A317" s="11"/>
      <c r="B317" s="11"/>
      <c r="C317" s="11"/>
      <c r="D317" s="11"/>
      <c r="E317" s="11"/>
      <c r="F317" s="11"/>
      <c r="G317" s="26"/>
      <c r="H317" s="26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</row>
    <row r="318" spans="1:64" ht="13">
      <c r="A318" s="11"/>
      <c r="B318" s="11"/>
      <c r="C318" s="11"/>
      <c r="D318" s="11"/>
      <c r="E318" s="11"/>
      <c r="F318" s="11"/>
      <c r="G318" s="26"/>
      <c r="H318" s="26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</row>
    <row r="319" spans="1:64" ht="13">
      <c r="A319" s="11"/>
      <c r="B319" s="11"/>
      <c r="C319" s="11"/>
      <c r="D319" s="11"/>
      <c r="E319" s="11"/>
      <c r="F319" s="11"/>
      <c r="G319" s="26"/>
      <c r="H319" s="26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</row>
    <row r="320" spans="1:64" ht="13">
      <c r="A320" s="11"/>
      <c r="B320" s="11"/>
      <c r="C320" s="11"/>
      <c r="D320" s="11"/>
      <c r="E320" s="11"/>
      <c r="F320" s="11"/>
      <c r="G320" s="26"/>
      <c r="H320" s="26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</row>
    <row r="321" spans="1:64" ht="13">
      <c r="A321" s="11"/>
      <c r="B321" s="11"/>
      <c r="C321" s="11"/>
      <c r="D321" s="11"/>
      <c r="E321" s="11"/>
      <c r="F321" s="11"/>
      <c r="G321" s="26"/>
      <c r="H321" s="26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</row>
    <row r="322" spans="1:64" ht="13">
      <c r="A322" s="11"/>
      <c r="B322" s="11"/>
      <c r="C322" s="11"/>
      <c r="D322" s="11"/>
      <c r="E322" s="11"/>
      <c r="F322" s="11"/>
      <c r="G322" s="26"/>
      <c r="H322" s="26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</row>
    <row r="323" spans="1:64" ht="13">
      <c r="A323" s="11"/>
      <c r="B323" s="11"/>
      <c r="C323" s="11"/>
      <c r="D323" s="11"/>
      <c r="E323" s="11"/>
      <c r="F323" s="11"/>
      <c r="G323" s="26"/>
      <c r="H323" s="26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</row>
    <row r="324" spans="1:64" ht="13">
      <c r="A324" s="11"/>
      <c r="B324" s="11"/>
      <c r="C324" s="11"/>
      <c r="D324" s="11"/>
      <c r="E324" s="11"/>
      <c r="F324" s="11"/>
      <c r="G324" s="26"/>
      <c r="H324" s="26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</row>
    <row r="325" spans="1:64" ht="13">
      <c r="A325" s="11"/>
      <c r="B325" s="11"/>
      <c r="C325" s="11"/>
      <c r="D325" s="11"/>
      <c r="E325" s="11"/>
      <c r="F325" s="11"/>
      <c r="G325" s="26"/>
      <c r="H325" s="26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</row>
    <row r="326" spans="1:64" ht="13">
      <c r="A326" s="11"/>
      <c r="B326" s="11"/>
      <c r="C326" s="11"/>
      <c r="D326" s="11"/>
      <c r="E326" s="11"/>
      <c r="F326" s="11"/>
      <c r="G326" s="26"/>
      <c r="H326" s="26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</row>
    <row r="327" spans="1:64" ht="13">
      <c r="A327" s="11"/>
      <c r="B327" s="11"/>
      <c r="C327" s="11"/>
      <c r="D327" s="11"/>
      <c r="E327" s="11"/>
      <c r="F327" s="11"/>
      <c r="G327" s="26"/>
      <c r="H327" s="26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</row>
    <row r="328" spans="1:64" ht="13">
      <c r="A328" s="11"/>
      <c r="B328" s="11"/>
      <c r="C328" s="11"/>
      <c r="D328" s="11"/>
      <c r="E328" s="11"/>
      <c r="F328" s="11"/>
      <c r="G328" s="26"/>
      <c r="H328" s="26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</row>
    <row r="329" spans="1:64" ht="13">
      <c r="A329" s="11"/>
      <c r="B329" s="11"/>
      <c r="C329" s="11"/>
      <c r="D329" s="11"/>
      <c r="E329" s="11"/>
      <c r="F329" s="11"/>
      <c r="G329" s="26"/>
      <c r="H329" s="26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</row>
    <row r="330" spans="1:64" ht="13">
      <c r="A330" s="11"/>
      <c r="B330" s="11"/>
      <c r="C330" s="11"/>
      <c r="D330" s="11"/>
      <c r="E330" s="11"/>
      <c r="F330" s="11"/>
      <c r="G330" s="26"/>
      <c r="H330" s="26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</row>
    <row r="331" spans="1:64" ht="13">
      <c r="A331" s="11"/>
      <c r="B331" s="11"/>
      <c r="C331" s="11"/>
      <c r="D331" s="11"/>
      <c r="E331" s="11"/>
      <c r="F331" s="11"/>
      <c r="G331" s="26"/>
      <c r="H331" s="26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</row>
    <row r="332" spans="1:64" ht="13">
      <c r="A332" s="11"/>
      <c r="B332" s="11"/>
      <c r="C332" s="11"/>
      <c r="D332" s="11"/>
      <c r="E332" s="11"/>
      <c r="F332" s="11"/>
      <c r="G332" s="26"/>
      <c r="H332" s="26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</row>
    <row r="333" spans="1:64" ht="13">
      <c r="A333" s="11"/>
      <c r="B333" s="11"/>
      <c r="C333" s="11"/>
      <c r="D333" s="11"/>
      <c r="E333" s="11"/>
      <c r="F333" s="11"/>
      <c r="G333" s="26"/>
      <c r="H333" s="26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</row>
    <row r="334" spans="1:64" ht="13">
      <c r="A334" s="11"/>
      <c r="B334" s="11"/>
      <c r="C334" s="11"/>
      <c r="D334" s="11"/>
      <c r="E334" s="11"/>
      <c r="F334" s="11"/>
      <c r="G334" s="26"/>
      <c r="H334" s="26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</row>
    <row r="335" spans="1:64" ht="13">
      <c r="A335" s="11"/>
      <c r="B335" s="11"/>
      <c r="C335" s="11"/>
      <c r="D335" s="11"/>
      <c r="E335" s="11"/>
      <c r="F335" s="11"/>
      <c r="G335" s="26"/>
      <c r="H335" s="26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</row>
    <row r="336" spans="1:64" ht="13">
      <c r="A336" s="11"/>
      <c r="B336" s="11"/>
      <c r="C336" s="11"/>
      <c r="D336" s="11"/>
      <c r="E336" s="11"/>
      <c r="F336" s="11"/>
      <c r="G336" s="26"/>
      <c r="H336" s="26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</row>
    <row r="337" spans="1:64" ht="13">
      <c r="A337" s="11"/>
      <c r="B337" s="11"/>
      <c r="C337" s="11"/>
      <c r="D337" s="11"/>
      <c r="E337" s="11"/>
      <c r="F337" s="11"/>
      <c r="G337" s="26"/>
      <c r="H337" s="26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</row>
    <row r="338" spans="1:64" ht="13">
      <c r="A338" s="11"/>
      <c r="B338" s="11"/>
      <c r="C338" s="11"/>
      <c r="D338" s="11"/>
      <c r="E338" s="11"/>
      <c r="F338" s="11"/>
      <c r="G338" s="26"/>
      <c r="H338" s="26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</row>
    <row r="339" spans="1:64" ht="13">
      <c r="A339" s="11"/>
      <c r="B339" s="11"/>
      <c r="C339" s="11"/>
      <c r="D339" s="11"/>
      <c r="E339" s="11"/>
      <c r="F339" s="11"/>
      <c r="G339" s="26"/>
      <c r="H339" s="26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</row>
    <row r="340" spans="1:64" ht="13">
      <c r="A340" s="11"/>
      <c r="B340" s="11"/>
      <c r="C340" s="11"/>
      <c r="D340" s="11"/>
      <c r="E340" s="11"/>
      <c r="F340" s="11"/>
      <c r="G340" s="26"/>
      <c r="H340" s="26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</row>
    <row r="341" spans="1:64" ht="13">
      <c r="A341" s="11"/>
      <c r="B341" s="11"/>
      <c r="C341" s="11"/>
      <c r="D341" s="11"/>
      <c r="E341" s="11"/>
      <c r="F341" s="11"/>
      <c r="G341" s="26"/>
      <c r="H341" s="26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</row>
    <row r="342" spans="1:64" ht="13">
      <c r="A342" s="11"/>
      <c r="B342" s="11"/>
      <c r="C342" s="11"/>
      <c r="D342" s="11"/>
      <c r="E342" s="11"/>
      <c r="F342" s="11"/>
      <c r="G342" s="26"/>
      <c r="H342" s="26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</row>
    <row r="343" spans="1:64" ht="13">
      <c r="A343" s="11"/>
      <c r="B343" s="11"/>
      <c r="C343" s="11"/>
      <c r="D343" s="11"/>
      <c r="E343" s="11"/>
      <c r="F343" s="11"/>
      <c r="G343" s="26"/>
      <c r="H343" s="26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</row>
    <row r="344" spans="1:64" ht="13">
      <c r="A344" s="11"/>
      <c r="B344" s="11"/>
      <c r="C344" s="11"/>
      <c r="D344" s="11"/>
      <c r="E344" s="11"/>
      <c r="F344" s="11"/>
      <c r="G344" s="26"/>
      <c r="H344" s="26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</row>
    <row r="345" spans="1:64" ht="13">
      <c r="A345" s="11"/>
      <c r="B345" s="11"/>
      <c r="C345" s="11"/>
      <c r="D345" s="11"/>
      <c r="E345" s="11"/>
      <c r="F345" s="11"/>
      <c r="G345" s="26"/>
      <c r="H345" s="26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</row>
    <row r="346" spans="1:64" ht="13">
      <c r="A346" s="11"/>
      <c r="B346" s="11"/>
      <c r="C346" s="11"/>
      <c r="D346" s="11"/>
      <c r="E346" s="11"/>
      <c r="F346" s="11"/>
      <c r="G346" s="26"/>
      <c r="H346" s="26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</row>
    <row r="347" spans="1:64" ht="13">
      <c r="A347" s="11"/>
      <c r="B347" s="11"/>
      <c r="C347" s="11"/>
      <c r="D347" s="11"/>
      <c r="E347" s="11"/>
      <c r="F347" s="11"/>
      <c r="G347" s="26"/>
      <c r="H347" s="26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</row>
    <row r="348" spans="1:64" ht="13">
      <c r="A348" s="11"/>
      <c r="B348" s="11"/>
      <c r="C348" s="11"/>
      <c r="D348" s="11"/>
      <c r="E348" s="11"/>
      <c r="F348" s="11"/>
      <c r="G348" s="26"/>
      <c r="H348" s="26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</row>
    <row r="349" spans="1:64" ht="13">
      <c r="A349" s="11"/>
      <c r="B349" s="11"/>
      <c r="C349" s="11"/>
      <c r="D349" s="11"/>
      <c r="E349" s="11"/>
      <c r="F349" s="11"/>
      <c r="G349" s="26"/>
      <c r="H349" s="26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</row>
    <row r="350" spans="1:64" ht="13">
      <c r="A350" s="11"/>
      <c r="B350" s="11"/>
      <c r="C350" s="11"/>
      <c r="D350" s="11"/>
      <c r="E350" s="11"/>
      <c r="F350" s="11"/>
      <c r="G350" s="26"/>
      <c r="H350" s="26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</row>
    <row r="351" spans="1:64" ht="13">
      <c r="A351" s="11"/>
      <c r="B351" s="11"/>
      <c r="C351" s="11"/>
      <c r="D351" s="11"/>
      <c r="E351" s="11"/>
      <c r="F351" s="11"/>
      <c r="G351" s="26"/>
      <c r="H351" s="26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</row>
    <row r="352" spans="1:64" ht="13">
      <c r="A352" s="11"/>
      <c r="B352" s="11"/>
      <c r="C352" s="11"/>
      <c r="D352" s="11"/>
      <c r="E352" s="11"/>
      <c r="F352" s="11"/>
      <c r="G352" s="26"/>
      <c r="H352" s="26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</row>
    <row r="353" spans="1:64" ht="13">
      <c r="A353" s="11"/>
      <c r="B353" s="11"/>
      <c r="C353" s="11"/>
      <c r="D353" s="11"/>
      <c r="E353" s="11"/>
      <c r="F353" s="11"/>
      <c r="G353" s="26"/>
      <c r="H353" s="26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</row>
    <row r="354" spans="1:64" ht="13">
      <c r="A354" s="11"/>
      <c r="B354" s="11"/>
      <c r="C354" s="11"/>
      <c r="D354" s="11"/>
      <c r="E354" s="11"/>
      <c r="F354" s="11"/>
      <c r="G354" s="26"/>
      <c r="H354" s="26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</row>
    <row r="355" spans="1:64" ht="13">
      <c r="A355" s="11"/>
      <c r="B355" s="11"/>
      <c r="C355" s="11"/>
      <c r="D355" s="11"/>
      <c r="E355" s="11"/>
      <c r="F355" s="11"/>
      <c r="G355" s="26"/>
      <c r="H355" s="26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</row>
    <row r="356" spans="1:64" ht="13">
      <c r="A356" s="11"/>
      <c r="B356" s="11"/>
      <c r="C356" s="11"/>
      <c r="D356" s="11"/>
      <c r="E356" s="11"/>
      <c r="F356" s="11"/>
      <c r="G356" s="26"/>
      <c r="H356" s="26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</row>
    <row r="357" spans="1:64" ht="13">
      <c r="A357" s="11"/>
      <c r="B357" s="11"/>
      <c r="C357" s="11"/>
      <c r="D357" s="11"/>
      <c r="E357" s="11"/>
      <c r="F357" s="11"/>
      <c r="G357" s="26"/>
      <c r="H357" s="26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</row>
    <row r="358" spans="1:64" ht="13">
      <c r="A358" s="11"/>
      <c r="B358" s="11"/>
      <c r="C358" s="11"/>
      <c r="D358" s="11"/>
      <c r="E358" s="11"/>
      <c r="F358" s="11"/>
      <c r="G358" s="26"/>
      <c r="H358" s="26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</row>
    <row r="359" spans="1:64" ht="13">
      <c r="A359" s="11"/>
      <c r="B359" s="11"/>
      <c r="C359" s="11"/>
      <c r="D359" s="11"/>
      <c r="E359" s="11"/>
      <c r="F359" s="11"/>
      <c r="G359" s="26"/>
      <c r="H359" s="26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</row>
    <row r="360" spans="1:64" ht="13">
      <c r="A360" s="11"/>
      <c r="B360" s="11"/>
      <c r="C360" s="11"/>
      <c r="D360" s="11"/>
      <c r="E360" s="11"/>
      <c r="F360" s="11"/>
      <c r="G360" s="26"/>
      <c r="H360" s="26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</row>
    <row r="361" spans="1:64" ht="13">
      <c r="A361" s="11"/>
      <c r="B361" s="11"/>
      <c r="C361" s="11"/>
      <c r="D361" s="11"/>
      <c r="E361" s="11"/>
      <c r="F361" s="11"/>
      <c r="G361" s="26"/>
      <c r="H361" s="26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</row>
    <row r="362" spans="1:64" ht="13">
      <c r="A362" s="11"/>
      <c r="B362" s="11"/>
      <c r="C362" s="11"/>
      <c r="D362" s="11"/>
      <c r="E362" s="11"/>
      <c r="F362" s="11"/>
      <c r="G362" s="26"/>
      <c r="H362" s="26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</row>
    <row r="363" spans="1:64" ht="13">
      <c r="A363" s="11"/>
      <c r="B363" s="11"/>
      <c r="C363" s="11"/>
      <c r="D363" s="11"/>
      <c r="E363" s="11"/>
      <c r="F363" s="11"/>
      <c r="G363" s="26"/>
      <c r="H363" s="26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</row>
    <row r="364" spans="1:64" ht="13">
      <c r="A364" s="11"/>
      <c r="B364" s="11"/>
      <c r="C364" s="11"/>
      <c r="D364" s="11"/>
      <c r="E364" s="11"/>
      <c r="F364" s="11"/>
      <c r="G364" s="26"/>
      <c r="H364" s="26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</row>
    <row r="365" spans="1:64" ht="13">
      <c r="A365" s="11"/>
      <c r="B365" s="11"/>
      <c r="C365" s="11"/>
      <c r="D365" s="11"/>
      <c r="E365" s="11"/>
      <c r="F365" s="11"/>
      <c r="G365" s="26"/>
      <c r="H365" s="26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</row>
    <row r="366" spans="1:64" ht="13">
      <c r="A366" s="11"/>
      <c r="B366" s="11"/>
      <c r="C366" s="11"/>
      <c r="D366" s="11"/>
      <c r="E366" s="11"/>
      <c r="F366" s="11"/>
      <c r="G366" s="26"/>
      <c r="H366" s="26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</row>
    <row r="367" spans="1:64" ht="13">
      <c r="A367" s="11"/>
      <c r="B367" s="11"/>
      <c r="C367" s="11"/>
      <c r="D367" s="11"/>
      <c r="E367" s="11"/>
      <c r="F367" s="11"/>
      <c r="G367" s="26"/>
      <c r="H367" s="26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</row>
    <row r="368" spans="1:64" ht="13">
      <c r="A368" s="11"/>
      <c r="B368" s="11"/>
      <c r="C368" s="11"/>
      <c r="D368" s="11"/>
      <c r="E368" s="11"/>
      <c r="F368" s="11"/>
      <c r="G368" s="26"/>
      <c r="H368" s="26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</row>
    <row r="369" spans="1:64" ht="13">
      <c r="A369" s="11"/>
      <c r="B369" s="11"/>
      <c r="C369" s="11"/>
      <c r="D369" s="11"/>
      <c r="E369" s="11"/>
      <c r="F369" s="11"/>
      <c r="G369" s="26"/>
      <c r="H369" s="26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</row>
    <row r="370" spans="1:64" ht="13">
      <c r="A370" s="11"/>
      <c r="B370" s="11"/>
      <c r="C370" s="11"/>
      <c r="D370" s="11"/>
      <c r="E370" s="11"/>
      <c r="F370" s="11"/>
      <c r="G370" s="26"/>
      <c r="H370" s="26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</row>
    <row r="371" spans="1:64" ht="13">
      <c r="A371" s="11"/>
      <c r="B371" s="11"/>
      <c r="C371" s="11"/>
      <c r="D371" s="11"/>
      <c r="E371" s="11"/>
      <c r="F371" s="11"/>
      <c r="G371" s="26"/>
      <c r="H371" s="26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</row>
    <row r="372" spans="1:64" ht="13">
      <c r="A372" s="11"/>
      <c r="B372" s="11"/>
      <c r="C372" s="11"/>
      <c r="D372" s="11"/>
      <c r="E372" s="11"/>
      <c r="F372" s="11"/>
      <c r="G372" s="26"/>
      <c r="H372" s="26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</row>
    <row r="373" spans="1:64" ht="13">
      <c r="A373" s="11"/>
      <c r="B373" s="11"/>
      <c r="C373" s="11"/>
      <c r="D373" s="11"/>
      <c r="E373" s="11"/>
      <c r="F373" s="11"/>
      <c r="G373" s="26"/>
      <c r="H373" s="26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</row>
    <row r="374" spans="1:64" ht="13">
      <c r="A374" s="11"/>
      <c r="B374" s="11"/>
      <c r="C374" s="11"/>
      <c r="D374" s="11"/>
      <c r="E374" s="11"/>
      <c r="F374" s="11"/>
      <c r="G374" s="26"/>
      <c r="H374" s="26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</row>
    <row r="375" spans="1:64" ht="13">
      <c r="A375" s="11"/>
      <c r="B375" s="11"/>
      <c r="C375" s="11"/>
      <c r="D375" s="11"/>
      <c r="E375" s="11"/>
      <c r="F375" s="11"/>
      <c r="G375" s="26"/>
      <c r="H375" s="26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</row>
    <row r="376" spans="1:64" ht="13">
      <c r="A376" s="11"/>
      <c r="B376" s="11"/>
      <c r="C376" s="11"/>
      <c r="D376" s="11"/>
      <c r="E376" s="11"/>
      <c r="F376" s="11"/>
      <c r="G376" s="26"/>
      <c r="H376" s="26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</row>
    <row r="377" spans="1:64" ht="13">
      <c r="A377" s="11"/>
      <c r="B377" s="11"/>
      <c r="C377" s="11"/>
      <c r="D377" s="11"/>
      <c r="E377" s="11"/>
      <c r="F377" s="11"/>
      <c r="G377" s="26"/>
      <c r="H377" s="26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</row>
    <row r="378" spans="1:64" ht="13">
      <c r="A378" s="11"/>
      <c r="B378" s="11"/>
      <c r="C378" s="11"/>
      <c r="D378" s="11"/>
      <c r="E378" s="11"/>
      <c r="F378" s="11"/>
      <c r="G378" s="26"/>
      <c r="H378" s="26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</row>
    <row r="379" spans="1:64" ht="13">
      <c r="A379" s="11"/>
      <c r="B379" s="11"/>
      <c r="C379" s="11"/>
      <c r="D379" s="11"/>
      <c r="E379" s="11"/>
      <c r="F379" s="11"/>
      <c r="G379" s="26"/>
      <c r="H379" s="26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</row>
    <row r="380" spans="1:64" ht="13">
      <c r="A380" s="11"/>
      <c r="B380" s="11"/>
      <c r="C380" s="11"/>
      <c r="D380" s="11"/>
      <c r="E380" s="11"/>
      <c r="F380" s="11"/>
      <c r="G380" s="26"/>
      <c r="H380" s="26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</row>
    <row r="381" spans="1:64" ht="13">
      <c r="A381" s="11"/>
      <c r="B381" s="11"/>
      <c r="C381" s="11"/>
      <c r="D381" s="11"/>
      <c r="E381" s="11"/>
      <c r="F381" s="11"/>
      <c r="G381" s="26"/>
      <c r="H381" s="26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</row>
    <row r="382" spans="1:64" ht="13">
      <c r="A382" s="11"/>
      <c r="B382" s="11"/>
      <c r="C382" s="11"/>
      <c r="D382" s="11"/>
      <c r="E382" s="11"/>
      <c r="F382" s="11"/>
      <c r="G382" s="26"/>
      <c r="H382" s="26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</row>
    <row r="383" spans="1:64" ht="13">
      <c r="A383" s="11"/>
      <c r="B383" s="11"/>
      <c r="C383" s="11"/>
      <c r="D383" s="11"/>
      <c r="E383" s="11"/>
      <c r="F383" s="11"/>
      <c r="G383" s="26"/>
      <c r="H383" s="26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</row>
    <row r="384" spans="1:64" ht="13">
      <c r="A384" s="11"/>
      <c r="B384" s="11"/>
      <c r="C384" s="11"/>
      <c r="D384" s="11"/>
      <c r="E384" s="11"/>
      <c r="F384" s="11"/>
      <c r="G384" s="26"/>
      <c r="H384" s="26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</row>
    <row r="385" spans="1:64" ht="13">
      <c r="A385" s="11"/>
      <c r="B385" s="11"/>
      <c r="C385" s="11"/>
      <c r="D385" s="11"/>
      <c r="E385" s="11"/>
      <c r="F385" s="11"/>
      <c r="G385" s="26"/>
      <c r="H385" s="26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</row>
    <row r="386" spans="1:64" ht="13">
      <c r="A386" s="11"/>
      <c r="B386" s="11"/>
      <c r="C386" s="11"/>
      <c r="D386" s="11"/>
      <c r="E386" s="11"/>
      <c r="F386" s="11"/>
      <c r="G386" s="26"/>
      <c r="H386" s="26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</row>
    <row r="387" spans="1:64" ht="13">
      <c r="A387" s="11"/>
      <c r="B387" s="11"/>
      <c r="C387" s="11"/>
      <c r="D387" s="11"/>
      <c r="E387" s="11"/>
      <c r="F387" s="11"/>
      <c r="G387" s="26"/>
      <c r="H387" s="26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</row>
    <row r="388" spans="1:64" ht="13">
      <c r="A388" s="11"/>
      <c r="B388" s="11"/>
      <c r="C388" s="11"/>
      <c r="D388" s="11"/>
      <c r="E388" s="11"/>
      <c r="F388" s="11"/>
      <c r="G388" s="26"/>
      <c r="H388" s="26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</row>
    <row r="389" spans="1:64" ht="13">
      <c r="A389" s="11"/>
      <c r="B389" s="11"/>
      <c r="C389" s="11"/>
      <c r="D389" s="11"/>
      <c r="E389" s="11"/>
      <c r="F389" s="11"/>
      <c r="G389" s="26"/>
      <c r="H389" s="26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</row>
    <row r="390" spans="1:64" ht="13">
      <c r="A390" s="11"/>
      <c r="B390" s="11"/>
      <c r="C390" s="11"/>
      <c r="D390" s="11"/>
      <c r="E390" s="11"/>
      <c r="F390" s="11"/>
      <c r="G390" s="26"/>
      <c r="H390" s="26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</row>
    <row r="391" spans="1:64" ht="13">
      <c r="A391" s="11"/>
      <c r="B391" s="11"/>
      <c r="C391" s="11"/>
      <c r="D391" s="11"/>
      <c r="E391" s="11"/>
      <c r="F391" s="11"/>
      <c r="G391" s="26"/>
      <c r="H391" s="26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</row>
    <row r="392" spans="1:64" ht="13">
      <c r="A392" s="11"/>
      <c r="B392" s="11"/>
      <c r="C392" s="11"/>
      <c r="D392" s="11"/>
      <c r="E392" s="11"/>
      <c r="F392" s="11"/>
      <c r="G392" s="26"/>
      <c r="H392" s="26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</row>
    <row r="393" spans="1:64" ht="13">
      <c r="A393" s="11"/>
      <c r="B393" s="11"/>
      <c r="C393" s="11"/>
      <c r="D393" s="11"/>
      <c r="E393" s="11"/>
      <c r="F393" s="11"/>
      <c r="G393" s="26"/>
      <c r="H393" s="26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</row>
    <row r="394" spans="1:64" ht="13">
      <c r="A394" s="11"/>
      <c r="B394" s="11"/>
      <c r="C394" s="11"/>
      <c r="D394" s="11"/>
      <c r="E394" s="11"/>
      <c r="F394" s="11"/>
      <c r="G394" s="26"/>
      <c r="H394" s="26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</row>
    <row r="395" spans="1:64" ht="13">
      <c r="A395" s="11"/>
      <c r="B395" s="11"/>
      <c r="C395" s="11"/>
      <c r="D395" s="11"/>
      <c r="E395" s="11"/>
      <c r="F395" s="11"/>
      <c r="G395" s="26"/>
      <c r="H395" s="26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</row>
    <row r="396" spans="1:64" ht="13">
      <c r="A396" s="11"/>
      <c r="B396" s="11"/>
      <c r="C396" s="11"/>
      <c r="D396" s="11"/>
      <c r="E396" s="11"/>
      <c r="F396" s="11"/>
      <c r="G396" s="26"/>
      <c r="H396" s="26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</row>
    <row r="397" spans="1:64" ht="13">
      <c r="A397" s="11"/>
      <c r="B397" s="11"/>
      <c r="C397" s="11"/>
      <c r="D397" s="11"/>
      <c r="E397" s="11"/>
      <c r="F397" s="11"/>
      <c r="G397" s="26"/>
      <c r="H397" s="26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</row>
    <row r="398" spans="1:64" ht="13">
      <c r="A398" s="11"/>
      <c r="B398" s="11"/>
      <c r="C398" s="11"/>
      <c r="D398" s="11"/>
      <c r="E398" s="11"/>
      <c r="F398" s="11"/>
      <c r="G398" s="26"/>
      <c r="H398" s="26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</row>
    <row r="399" spans="1:64" ht="13">
      <c r="A399" s="11"/>
      <c r="B399" s="11"/>
      <c r="C399" s="11"/>
      <c r="D399" s="11"/>
      <c r="E399" s="11"/>
      <c r="F399" s="11"/>
      <c r="G399" s="26"/>
      <c r="H399" s="26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</row>
    <row r="400" spans="1:64" ht="13">
      <c r="A400" s="11"/>
      <c r="B400" s="11"/>
      <c r="C400" s="11"/>
      <c r="D400" s="11"/>
      <c r="E400" s="11"/>
      <c r="F400" s="11"/>
      <c r="G400" s="26"/>
      <c r="H400" s="26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</row>
    <row r="401" spans="1:64" ht="13">
      <c r="A401" s="11"/>
      <c r="B401" s="11"/>
      <c r="C401" s="11"/>
      <c r="D401" s="11"/>
      <c r="E401" s="11"/>
      <c r="F401" s="11"/>
      <c r="G401" s="26"/>
      <c r="H401" s="26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</row>
    <row r="402" spans="1:64" ht="13">
      <c r="A402" s="11"/>
      <c r="B402" s="11"/>
      <c r="C402" s="11"/>
      <c r="D402" s="11"/>
      <c r="E402" s="11"/>
      <c r="F402" s="11"/>
      <c r="G402" s="26"/>
      <c r="H402" s="26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</row>
    <row r="403" spans="1:64" ht="13">
      <c r="A403" s="11"/>
      <c r="B403" s="11"/>
      <c r="C403" s="11"/>
      <c r="D403" s="11"/>
      <c r="E403" s="11"/>
      <c r="F403" s="11"/>
      <c r="G403" s="26"/>
      <c r="H403" s="26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</row>
    <row r="404" spans="1:64" ht="13">
      <c r="A404" s="11"/>
      <c r="B404" s="11"/>
      <c r="C404" s="11"/>
      <c r="D404" s="11"/>
      <c r="E404" s="11"/>
      <c r="F404" s="11"/>
      <c r="G404" s="26"/>
      <c r="H404" s="26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</row>
    <row r="405" spans="1:64" ht="13">
      <c r="A405" s="11"/>
      <c r="B405" s="11"/>
      <c r="C405" s="11"/>
      <c r="D405" s="11"/>
      <c r="E405" s="11"/>
      <c r="F405" s="11"/>
      <c r="G405" s="26"/>
      <c r="H405" s="26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</row>
    <row r="406" spans="1:64" ht="13">
      <c r="A406" s="11"/>
      <c r="B406" s="11"/>
      <c r="C406" s="11"/>
      <c r="D406" s="11"/>
      <c r="E406" s="11"/>
      <c r="F406" s="11"/>
      <c r="G406" s="26"/>
      <c r="H406" s="26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</row>
    <row r="407" spans="1:64" ht="13">
      <c r="A407" s="11"/>
      <c r="B407" s="11"/>
      <c r="C407" s="11"/>
      <c r="D407" s="11"/>
      <c r="E407" s="11"/>
      <c r="F407" s="11"/>
      <c r="G407" s="26"/>
      <c r="H407" s="26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</row>
    <row r="408" spans="1:64" ht="13">
      <c r="A408" s="11"/>
      <c r="B408" s="11"/>
      <c r="C408" s="11"/>
      <c r="D408" s="11"/>
      <c r="E408" s="11"/>
      <c r="F408" s="11"/>
      <c r="G408" s="26"/>
      <c r="H408" s="26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</row>
    <row r="409" spans="1:64" ht="13">
      <c r="A409" s="11"/>
      <c r="B409" s="11"/>
      <c r="C409" s="11"/>
      <c r="D409" s="11"/>
      <c r="E409" s="11"/>
      <c r="F409" s="11"/>
      <c r="G409" s="26"/>
      <c r="H409" s="26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</row>
    <row r="410" spans="1:64" ht="13">
      <c r="A410" s="11"/>
      <c r="B410" s="11"/>
      <c r="C410" s="11"/>
      <c r="D410" s="11"/>
      <c r="E410" s="11"/>
      <c r="F410" s="11"/>
      <c r="G410" s="26"/>
      <c r="H410" s="26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</row>
    <row r="411" spans="1:64" ht="13">
      <c r="A411" s="11"/>
      <c r="B411" s="11"/>
      <c r="C411" s="11"/>
      <c r="D411" s="11"/>
      <c r="E411" s="11"/>
      <c r="F411" s="11"/>
      <c r="G411" s="26"/>
      <c r="H411" s="26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</row>
    <row r="412" spans="1:64" ht="13">
      <c r="A412" s="11"/>
      <c r="B412" s="11"/>
      <c r="C412" s="11"/>
      <c r="D412" s="11"/>
      <c r="E412" s="11"/>
      <c r="F412" s="11"/>
      <c r="G412" s="26"/>
      <c r="H412" s="26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</row>
    <row r="413" spans="1:64" ht="13">
      <c r="A413" s="11"/>
      <c r="B413" s="11"/>
      <c r="C413" s="11"/>
      <c r="D413" s="11"/>
      <c r="E413" s="11"/>
      <c r="F413" s="11"/>
      <c r="G413" s="26"/>
      <c r="H413" s="26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</row>
    <row r="414" spans="1:64" ht="13">
      <c r="A414" s="11"/>
      <c r="B414" s="11"/>
      <c r="C414" s="11"/>
      <c r="D414" s="11"/>
      <c r="E414" s="11"/>
      <c r="F414" s="11"/>
      <c r="G414" s="26"/>
      <c r="H414" s="26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</row>
    <row r="415" spans="1:64" ht="13">
      <c r="A415" s="11"/>
      <c r="B415" s="11"/>
      <c r="C415" s="11"/>
      <c r="D415" s="11"/>
      <c r="E415" s="11"/>
      <c r="F415" s="11"/>
      <c r="G415" s="26"/>
      <c r="H415" s="26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</row>
    <row r="416" spans="1:64" ht="13">
      <c r="A416" s="11"/>
      <c r="B416" s="11"/>
      <c r="C416" s="11"/>
      <c r="D416" s="11"/>
      <c r="E416" s="11"/>
      <c r="F416" s="11"/>
      <c r="G416" s="26"/>
      <c r="H416" s="26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</row>
    <row r="417" spans="1:64" ht="13">
      <c r="A417" s="11"/>
      <c r="B417" s="11"/>
      <c r="C417" s="11"/>
      <c r="D417" s="11"/>
      <c r="E417" s="11"/>
      <c r="F417" s="11"/>
      <c r="G417" s="26"/>
      <c r="H417" s="26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</row>
    <row r="418" spans="1:64" ht="13">
      <c r="A418" s="11"/>
      <c r="B418" s="11"/>
      <c r="C418" s="11"/>
      <c r="D418" s="11"/>
      <c r="E418" s="11"/>
      <c r="F418" s="11"/>
      <c r="G418" s="26"/>
      <c r="H418" s="26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</row>
    <row r="419" spans="1:64" ht="13">
      <c r="A419" s="11"/>
      <c r="B419" s="11"/>
      <c r="C419" s="11"/>
      <c r="D419" s="11"/>
      <c r="E419" s="11"/>
      <c r="F419" s="11"/>
      <c r="G419" s="26"/>
      <c r="H419" s="26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</row>
    <row r="420" spans="1:64" ht="13">
      <c r="A420" s="11"/>
      <c r="B420" s="11"/>
      <c r="C420" s="11"/>
      <c r="D420" s="11"/>
      <c r="E420" s="11"/>
      <c r="F420" s="11"/>
      <c r="G420" s="26"/>
      <c r="H420" s="26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</row>
    <row r="421" spans="1:64" ht="13">
      <c r="A421" s="11"/>
      <c r="B421" s="11"/>
      <c r="C421" s="11"/>
      <c r="D421" s="11"/>
      <c r="E421" s="11"/>
      <c r="F421" s="11"/>
      <c r="G421" s="26"/>
      <c r="H421" s="26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</row>
    <row r="422" spans="1:64" ht="13">
      <c r="A422" s="11"/>
      <c r="B422" s="11"/>
      <c r="C422" s="11"/>
      <c r="D422" s="11"/>
      <c r="E422" s="11"/>
      <c r="F422" s="11"/>
      <c r="G422" s="26"/>
      <c r="H422" s="26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</row>
    <row r="423" spans="1:64" ht="13">
      <c r="A423" s="11"/>
      <c r="B423" s="11"/>
      <c r="C423" s="11"/>
      <c r="D423" s="11"/>
      <c r="E423" s="11"/>
      <c r="F423" s="11"/>
      <c r="G423" s="26"/>
      <c r="H423" s="26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</row>
    <row r="424" spans="1:64" ht="13">
      <c r="A424" s="11"/>
      <c r="B424" s="11"/>
      <c r="C424" s="11"/>
      <c r="D424" s="11"/>
      <c r="E424" s="11"/>
      <c r="F424" s="11"/>
      <c r="G424" s="26"/>
      <c r="H424" s="26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</row>
    <row r="425" spans="1:64" ht="13">
      <c r="A425" s="11"/>
      <c r="B425" s="11"/>
      <c r="C425" s="11"/>
      <c r="D425" s="11"/>
      <c r="E425" s="11"/>
      <c r="F425" s="11"/>
      <c r="G425" s="26"/>
      <c r="H425" s="26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</row>
    <row r="426" spans="1:64" ht="13">
      <c r="A426" s="11"/>
      <c r="B426" s="11"/>
      <c r="C426" s="11"/>
      <c r="D426" s="11"/>
      <c r="E426" s="11"/>
      <c r="F426" s="11"/>
      <c r="G426" s="26"/>
      <c r="H426" s="26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</row>
    <row r="427" spans="1:64" ht="13">
      <c r="A427" s="11"/>
      <c r="B427" s="11"/>
      <c r="C427" s="11"/>
      <c r="D427" s="11"/>
      <c r="E427" s="11"/>
      <c r="F427" s="11"/>
      <c r="G427" s="26"/>
      <c r="H427" s="26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</row>
    <row r="428" spans="1:64" ht="13">
      <c r="A428" s="11"/>
      <c r="B428" s="11"/>
      <c r="C428" s="11"/>
      <c r="D428" s="11"/>
      <c r="E428" s="11"/>
      <c r="F428" s="11"/>
      <c r="G428" s="26"/>
      <c r="H428" s="26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</row>
    <row r="429" spans="1:64" ht="13">
      <c r="A429" s="11"/>
      <c r="B429" s="11"/>
      <c r="C429" s="11"/>
      <c r="D429" s="11"/>
      <c r="E429" s="11"/>
      <c r="F429" s="11"/>
      <c r="G429" s="26"/>
      <c r="H429" s="26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</row>
    <row r="430" spans="1:64" ht="13">
      <c r="A430" s="11"/>
      <c r="B430" s="11"/>
      <c r="C430" s="11"/>
      <c r="D430" s="11"/>
      <c r="E430" s="11"/>
      <c r="F430" s="11"/>
      <c r="G430" s="26"/>
      <c r="H430" s="26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</row>
    <row r="431" spans="1:64" ht="13">
      <c r="A431" s="11"/>
      <c r="B431" s="11"/>
      <c r="C431" s="11"/>
      <c r="D431" s="11"/>
      <c r="E431" s="11"/>
      <c r="F431" s="11"/>
      <c r="G431" s="26"/>
      <c r="H431" s="26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</row>
    <row r="432" spans="1:64" ht="13">
      <c r="A432" s="11"/>
      <c r="B432" s="11"/>
      <c r="C432" s="11"/>
      <c r="D432" s="11"/>
      <c r="E432" s="11"/>
      <c r="F432" s="11"/>
      <c r="G432" s="26"/>
      <c r="H432" s="26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</row>
    <row r="433" spans="1:64" ht="13">
      <c r="A433" s="11"/>
      <c r="B433" s="11"/>
      <c r="C433" s="11"/>
      <c r="D433" s="11"/>
      <c r="E433" s="11"/>
      <c r="F433" s="11"/>
      <c r="G433" s="26"/>
      <c r="H433" s="26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</row>
    <row r="434" spans="1:64" ht="13">
      <c r="A434" s="11"/>
      <c r="B434" s="11"/>
      <c r="C434" s="11"/>
      <c r="D434" s="11"/>
      <c r="E434" s="11"/>
      <c r="F434" s="11"/>
      <c r="G434" s="26"/>
      <c r="H434" s="26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</row>
    <row r="435" spans="1:64" ht="13">
      <c r="A435" s="11"/>
      <c r="B435" s="11"/>
      <c r="C435" s="11"/>
      <c r="D435" s="11"/>
      <c r="E435" s="11"/>
      <c r="F435" s="11"/>
      <c r="G435" s="26"/>
      <c r="H435" s="26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</row>
    <row r="436" spans="1:64" ht="13">
      <c r="A436" s="11"/>
      <c r="B436" s="11"/>
      <c r="C436" s="11"/>
      <c r="D436" s="11"/>
      <c r="E436" s="11"/>
      <c r="F436" s="11"/>
      <c r="G436" s="26"/>
      <c r="H436" s="26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</row>
    <row r="437" spans="1:64" ht="13">
      <c r="A437" s="11"/>
      <c r="B437" s="11"/>
      <c r="C437" s="11"/>
      <c r="D437" s="11"/>
      <c r="E437" s="11"/>
      <c r="F437" s="11"/>
      <c r="G437" s="26"/>
      <c r="H437" s="26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</row>
    <row r="438" spans="1:64" ht="13">
      <c r="A438" s="11"/>
      <c r="B438" s="11"/>
      <c r="C438" s="11"/>
      <c r="D438" s="11"/>
      <c r="E438" s="11"/>
      <c r="F438" s="11"/>
      <c r="G438" s="26"/>
      <c r="H438" s="26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</row>
    <row r="439" spans="1:64" ht="13">
      <c r="A439" s="11"/>
      <c r="B439" s="11"/>
      <c r="C439" s="11"/>
      <c r="D439" s="11"/>
      <c r="E439" s="11"/>
      <c r="F439" s="11"/>
      <c r="G439" s="26"/>
      <c r="H439" s="26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</row>
    <row r="440" spans="1:64" ht="13">
      <c r="A440" s="11"/>
      <c r="B440" s="11"/>
      <c r="C440" s="11"/>
      <c r="D440" s="11"/>
      <c r="E440" s="11"/>
      <c r="F440" s="11"/>
      <c r="G440" s="26"/>
      <c r="H440" s="26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</row>
    <row r="441" spans="1:64" ht="13">
      <c r="A441" s="11"/>
      <c r="B441" s="11"/>
      <c r="C441" s="11"/>
      <c r="D441" s="11"/>
      <c r="E441" s="11"/>
      <c r="F441" s="11"/>
      <c r="G441" s="26"/>
      <c r="H441" s="26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</row>
    <row r="442" spans="1:64" ht="13">
      <c r="A442" s="11"/>
      <c r="B442" s="11"/>
      <c r="C442" s="11"/>
      <c r="D442" s="11"/>
      <c r="E442" s="11"/>
      <c r="F442" s="11"/>
      <c r="G442" s="26"/>
      <c r="H442" s="26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</row>
    <row r="443" spans="1:64" ht="13">
      <c r="A443" s="11"/>
      <c r="B443" s="11"/>
      <c r="C443" s="11"/>
      <c r="D443" s="11"/>
      <c r="E443" s="11"/>
      <c r="F443" s="11"/>
      <c r="G443" s="26"/>
      <c r="H443" s="26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</row>
    <row r="444" spans="1:64" ht="13">
      <c r="A444" s="11"/>
      <c r="B444" s="11"/>
      <c r="C444" s="11"/>
      <c r="D444" s="11"/>
      <c r="E444" s="11"/>
      <c r="F444" s="11"/>
      <c r="G444" s="26"/>
      <c r="H444" s="26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</row>
    <row r="445" spans="1:64" ht="13">
      <c r="A445" s="11"/>
      <c r="B445" s="11"/>
      <c r="C445" s="11"/>
      <c r="D445" s="11"/>
      <c r="E445" s="11"/>
      <c r="F445" s="11"/>
      <c r="G445" s="26"/>
      <c r="H445" s="26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</row>
    <row r="446" spans="1:64" ht="13">
      <c r="A446" s="11"/>
      <c r="B446" s="11"/>
      <c r="C446" s="11"/>
      <c r="D446" s="11"/>
      <c r="E446" s="11"/>
      <c r="F446" s="11"/>
      <c r="G446" s="26"/>
      <c r="H446" s="26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</row>
    <row r="447" spans="1:64" ht="13">
      <c r="A447" s="11"/>
      <c r="B447" s="11"/>
      <c r="C447" s="11"/>
      <c r="D447" s="11"/>
      <c r="E447" s="11"/>
      <c r="F447" s="11"/>
      <c r="G447" s="26"/>
      <c r="H447" s="26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</row>
    <row r="448" spans="1:64" ht="13">
      <c r="A448" s="11"/>
      <c r="B448" s="11"/>
      <c r="C448" s="11"/>
      <c r="D448" s="11"/>
      <c r="E448" s="11"/>
      <c r="F448" s="11"/>
      <c r="G448" s="26"/>
      <c r="H448" s="26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</row>
    <row r="449" spans="1:64" ht="13">
      <c r="A449" s="11"/>
      <c r="B449" s="11"/>
      <c r="C449" s="11"/>
      <c r="D449" s="11"/>
      <c r="E449" s="11"/>
      <c r="F449" s="11"/>
      <c r="G449" s="26"/>
      <c r="H449" s="26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</row>
    <row r="450" spans="1:64" ht="13">
      <c r="A450" s="11"/>
      <c r="B450" s="11"/>
      <c r="C450" s="11"/>
      <c r="D450" s="11"/>
      <c r="E450" s="11"/>
      <c r="F450" s="11"/>
      <c r="G450" s="26"/>
      <c r="H450" s="26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</row>
    <row r="451" spans="1:64" ht="13">
      <c r="A451" s="11"/>
      <c r="B451" s="11"/>
      <c r="C451" s="11"/>
      <c r="D451" s="11"/>
      <c r="E451" s="11"/>
      <c r="F451" s="11"/>
      <c r="G451" s="26"/>
      <c r="H451" s="26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</row>
    <row r="452" spans="1:64" ht="13">
      <c r="A452" s="11"/>
      <c r="B452" s="11"/>
      <c r="C452" s="11"/>
      <c r="D452" s="11"/>
      <c r="E452" s="11"/>
      <c r="F452" s="11"/>
      <c r="G452" s="26"/>
      <c r="H452" s="26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</row>
    <row r="453" spans="1:64" ht="13">
      <c r="A453" s="11"/>
      <c r="B453" s="11"/>
      <c r="C453" s="11"/>
      <c r="D453" s="11"/>
      <c r="E453" s="11"/>
      <c r="F453" s="11"/>
      <c r="G453" s="26"/>
      <c r="H453" s="26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</row>
    <row r="454" spans="1:64" ht="13">
      <c r="A454" s="11"/>
      <c r="B454" s="11"/>
      <c r="C454" s="11"/>
      <c r="D454" s="11"/>
      <c r="E454" s="11"/>
      <c r="F454" s="11"/>
      <c r="G454" s="26"/>
      <c r="H454" s="26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</row>
    <row r="455" spans="1:64" ht="13">
      <c r="A455" s="11"/>
      <c r="B455" s="11"/>
      <c r="C455" s="11"/>
      <c r="D455" s="11"/>
      <c r="E455" s="11"/>
      <c r="F455" s="11"/>
      <c r="G455" s="26"/>
      <c r="H455" s="26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</row>
    <row r="456" spans="1:64" ht="13">
      <c r="A456" s="11"/>
      <c r="B456" s="11"/>
      <c r="C456" s="11"/>
      <c r="D456" s="11"/>
      <c r="E456" s="11"/>
      <c r="F456" s="11"/>
      <c r="G456" s="26"/>
      <c r="H456" s="26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</row>
    <row r="457" spans="1:64" ht="13">
      <c r="A457" s="11"/>
      <c r="B457" s="11"/>
      <c r="C457" s="11"/>
      <c r="D457" s="11"/>
      <c r="E457" s="11"/>
      <c r="F457" s="11"/>
      <c r="G457" s="26"/>
      <c r="H457" s="26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</row>
    <row r="458" spans="1:64" ht="13">
      <c r="A458" s="11"/>
      <c r="B458" s="11"/>
      <c r="C458" s="11"/>
      <c r="D458" s="11"/>
      <c r="E458" s="11"/>
      <c r="F458" s="11"/>
      <c r="G458" s="26"/>
      <c r="H458" s="26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</row>
    <row r="459" spans="1:64" ht="13">
      <c r="A459" s="11"/>
      <c r="B459" s="11"/>
      <c r="C459" s="11"/>
      <c r="D459" s="11"/>
      <c r="E459" s="11"/>
      <c r="F459" s="11"/>
      <c r="G459" s="26"/>
      <c r="H459" s="26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</row>
    <row r="460" spans="1:64" ht="13">
      <c r="A460" s="11"/>
      <c r="B460" s="11"/>
      <c r="C460" s="11"/>
      <c r="D460" s="11"/>
      <c r="E460" s="11"/>
      <c r="F460" s="11"/>
      <c r="G460" s="26"/>
      <c r="H460" s="26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</row>
    <row r="461" spans="1:64" ht="13">
      <c r="A461" s="11"/>
      <c r="B461" s="11"/>
      <c r="C461" s="11"/>
      <c r="D461" s="11"/>
      <c r="E461" s="11"/>
      <c r="F461" s="11"/>
      <c r="G461" s="26"/>
      <c r="H461" s="26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</row>
    <row r="462" spans="1:64" ht="13">
      <c r="A462" s="11"/>
      <c r="B462" s="11"/>
      <c r="C462" s="11"/>
      <c r="D462" s="11"/>
      <c r="E462" s="11"/>
      <c r="F462" s="11"/>
      <c r="G462" s="26"/>
      <c r="H462" s="26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</row>
    <row r="463" spans="1:64" ht="13">
      <c r="A463" s="11"/>
      <c r="B463" s="11"/>
      <c r="C463" s="11"/>
      <c r="D463" s="11"/>
      <c r="E463" s="11"/>
      <c r="F463" s="11"/>
      <c r="G463" s="26"/>
      <c r="H463" s="26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</row>
    <row r="464" spans="1:64" ht="13">
      <c r="A464" s="11"/>
      <c r="B464" s="11"/>
      <c r="C464" s="11"/>
      <c r="D464" s="11"/>
      <c r="E464" s="11"/>
      <c r="F464" s="11"/>
      <c r="G464" s="26"/>
      <c r="H464" s="26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</row>
    <row r="465" spans="1:64" ht="13">
      <c r="A465" s="11"/>
      <c r="B465" s="11"/>
      <c r="C465" s="11"/>
      <c r="D465" s="11"/>
      <c r="E465" s="11"/>
      <c r="F465" s="11"/>
      <c r="G465" s="26"/>
      <c r="H465" s="26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</row>
    <row r="466" spans="1:64" ht="13">
      <c r="A466" s="11"/>
      <c r="B466" s="11"/>
      <c r="C466" s="11"/>
      <c r="D466" s="11"/>
      <c r="E466" s="11"/>
      <c r="F466" s="11"/>
      <c r="G466" s="26"/>
      <c r="H466" s="26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</row>
    <row r="467" spans="1:64" ht="13">
      <c r="A467" s="11"/>
      <c r="B467" s="11"/>
      <c r="C467" s="11"/>
      <c r="D467" s="11"/>
      <c r="E467" s="11"/>
      <c r="F467" s="11"/>
      <c r="G467" s="26"/>
      <c r="H467" s="26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</row>
    <row r="468" spans="1:64" ht="13">
      <c r="A468" s="11"/>
      <c r="B468" s="11"/>
      <c r="C468" s="11"/>
      <c r="D468" s="11"/>
      <c r="E468" s="11"/>
      <c r="F468" s="11"/>
      <c r="G468" s="26"/>
      <c r="H468" s="26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</row>
    <row r="469" spans="1:64" ht="13">
      <c r="A469" s="11"/>
      <c r="B469" s="11"/>
      <c r="C469" s="11"/>
      <c r="D469" s="11"/>
      <c r="E469" s="11"/>
      <c r="F469" s="11"/>
      <c r="G469" s="26"/>
      <c r="H469" s="26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</row>
    <row r="470" spans="1:64" ht="13">
      <c r="A470" s="11"/>
      <c r="B470" s="11"/>
      <c r="C470" s="11"/>
      <c r="D470" s="11"/>
      <c r="E470" s="11"/>
      <c r="F470" s="11"/>
      <c r="G470" s="26"/>
      <c r="H470" s="26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</row>
    <row r="471" spans="1:64" ht="13">
      <c r="A471" s="11"/>
      <c r="B471" s="11"/>
      <c r="C471" s="11"/>
      <c r="D471" s="11"/>
      <c r="E471" s="11"/>
      <c r="F471" s="11"/>
      <c r="G471" s="26"/>
      <c r="H471" s="26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</row>
    <row r="472" spans="1:64" ht="13">
      <c r="A472" s="11"/>
      <c r="B472" s="11"/>
      <c r="C472" s="11"/>
      <c r="D472" s="11"/>
      <c r="E472" s="11"/>
      <c r="F472" s="11"/>
      <c r="G472" s="26"/>
      <c r="H472" s="26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</row>
    <row r="473" spans="1:64" ht="13">
      <c r="A473" s="11"/>
      <c r="B473" s="11"/>
      <c r="C473" s="11"/>
      <c r="D473" s="11"/>
      <c r="E473" s="11"/>
      <c r="F473" s="11"/>
      <c r="G473" s="26"/>
      <c r="H473" s="26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</row>
    <row r="474" spans="1:64" ht="13">
      <c r="A474" s="11"/>
      <c r="B474" s="11"/>
      <c r="C474" s="11"/>
      <c r="D474" s="11"/>
      <c r="E474" s="11"/>
      <c r="F474" s="11"/>
      <c r="G474" s="26"/>
      <c r="H474" s="26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</row>
    <row r="475" spans="1:64" ht="13">
      <c r="A475" s="11"/>
      <c r="B475" s="11"/>
      <c r="C475" s="11"/>
      <c r="D475" s="11"/>
      <c r="E475" s="11"/>
      <c r="F475" s="11"/>
      <c r="G475" s="26"/>
      <c r="H475" s="26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</row>
    <row r="476" spans="1:64" ht="13">
      <c r="A476" s="11"/>
      <c r="B476" s="11"/>
      <c r="C476" s="11"/>
      <c r="D476" s="11"/>
      <c r="E476" s="11"/>
      <c r="F476" s="11"/>
      <c r="G476" s="26"/>
      <c r="H476" s="26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</row>
    <row r="477" spans="1:64" ht="13">
      <c r="A477" s="11"/>
      <c r="B477" s="11"/>
      <c r="C477" s="11"/>
      <c r="D477" s="11"/>
      <c r="E477" s="11"/>
      <c r="F477" s="11"/>
      <c r="G477" s="26"/>
      <c r="H477" s="26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</row>
    <row r="478" spans="1:64" ht="13">
      <c r="A478" s="11"/>
      <c r="B478" s="11"/>
      <c r="C478" s="11"/>
      <c r="D478" s="11"/>
      <c r="E478" s="11"/>
      <c r="F478" s="11"/>
      <c r="G478" s="26"/>
      <c r="H478" s="26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</row>
    <row r="479" spans="1:64" ht="13">
      <c r="A479" s="11"/>
      <c r="B479" s="11"/>
      <c r="C479" s="11"/>
      <c r="D479" s="11"/>
      <c r="E479" s="11"/>
      <c r="F479" s="11"/>
      <c r="G479" s="26"/>
      <c r="H479" s="26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</row>
    <row r="480" spans="1:64" ht="13">
      <c r="A480" s="11"/>
      <c r="B480" s="11"/>
      <c r="C480" s="11"/>
      <c r="D480" s="11"/>
      <c r="E480" s="11"/>
      <c r="F480" s="11"/>
      <c r="G480" s="26"/>
      <c r="H480" s="26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</row>
    <row r="481" spans="1:64" ht="13">
      <c r="A481" s="11"/>
      <c r="B481" s="11"/>
      <c r="C481" s="11"/>
      <c r="D481" s="11"/>
      <c r="E481" s="11"/>
      <c r="F481" s="11"/>
      <c r="G481" s="26"/>
      <c r="H481" s="26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</row>
    <row r="482" spans="1:64" ht="13">
      <c r="A482" s="11"/>
      <c r="B482" s="11"/>
      <c r="C482" s="11"/>
      <c r="D482" s="11"/>
      <c r="E482" s="11"/>
      <c r="F482" s="11"/>
      <c r="G482" s="26"/>
      <c r="H482" s="26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</row>
    <row r="483" spans="1:64" ht="13">
      <c r="A483" s="11"/>
      <c r="B483" s="11"/>
      <c r="C483" s="11"/>
      <c r="D483" s="11"/>
      <c r="E483" s="11"/>
      <c r="F483" s="11"/>
      <c r="G483" s="26"/>
      <c r="H483" s="26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</row>
    <row r="484" spans="1:64" ht="13">
      <c r="A484" s="11"/>
      <c r="B484" s="11"/>
      <c r="C484" s="11"/>
      <c r="D484" s="11"/>
      <c r="E484" s="11"/>
      <c r="F484" s="11"/>
      <c r="G484" s="26"/>
      <c r="H484" s="26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</row>
    <row r="485" spans="1:64" ht="13">
      <c r="A485" s="11"/>
      <c r="B485" s="11"/>
      <c r="C485" s="11"/>
      <c r="D485" s="11"/>
      <c r="E485" s="11"/>
      <c r="F485" s="11"/>
      <c r="G485" s="26"/>
      <c r="H485" s="26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</row>
    <row r="486" spans="1:64" ht="13">
      <c r="A486" s="11"/>
      <c r="B486" s="11"/>
      <c r="C486" s="11"/>
      <c r="D486" s="11"/>
      <c r="E486" s="11"/>
      <c r="F486" s="11"/>
      <c r="G486" s="26"/>
      <c r="H486" s="26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</row>
    <row r="487" spans="1:64" ht="13">
      <c r="A487" s="11"/>
      <c r="B487" s="11"/>
      <c r="C487" s="11"/>
      <c r="D487" s="11"/>
      <c r="E487" s="11"/>
      <c r="F487" s="11"/>
      <c r="G487" s="26"/>
      <c r="H487" s="26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</row>
    <row r="488" spans="1:64" ht="13">
      <c r="A488" s="11"/>
      <c r="B488" s="11"/>
      <c r="C488" s="11"/>
      <c r="D488" s="11"/>
      <c r="E488" s="11"/>
      <c r="F488" s="11"/>
      <c r="G488" s="26"/>
      <c r="H488" s="26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</row>
    <row r="489" spans="1:64" ht="13">
      <c r="A489" s="11"/>
      <c r="B489" s="11"/>
      <c r="C489" s="11"/>
      <c r="D489" s="11"/>
      <c r="E489" s="11"/>
      <c r="F489" s="11"/>
      <c r="G489" s="26"/>
      <c r="H489" s="26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</row>
    <row r="490" spans="1:64" ht="13">
      <c r="A490" s="11"/>
      <c r="B490" s="11"/>
      <c r="C490" s="11"/>
      <c r="D490" s="11"/>
      <c r="E490" s="11"/>
      <c r="F490" s="11"/>
      <c r="G490" s="26"/>
      <c r="H490" s="26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</row>
    <row r="491" spans="1:64" ht="13">
      <c r="A491" s="11"/>
      <c r="B491" s="11"/>
      <c r="C491" s="11"/>
      <c r="D491" s="11"/>
      <c r="E491" s="11"/>
      <c r="F491" s="11"/>
      <c r="G491" s="26"/>
      <c r="H491" s="26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</row>
    <row r="492" spans="1:64" ht="13">
      <c r="A492" s="11"/>
      <c r="B492" s="11"/>
      <c r="C492" s="11"/>
      <c r="D492" s="11"/>
      <c r="E492" s="11"/>
      <c r="F492" s="11"/>
      <c r="G492" s="26"/>
      <c r="H492" s="26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</row>
    <row r="493" spans="1:64" ht="13">
      <c r="A493" s="11"/>
      <c r="B493" s="11"/>
      <c r="C493" s="11"/>
      <c r="D493" s="11"/>
      <c r="E493" s="11"/>
      <c r="F493" s="11"/>
      <c r="G493" s="26"/>
      <c r="H493" s="26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</row>
    <row r="494" spans="1:64" ht="13">
      <c r="A494" s="11"/>
      <c r="B494" s="11"/>
      <c r="C494" s="11"/>
      <c r="D494" s="11"/>
      <c r="E494" s="11"/>
      <c r="F494" s="11"/>
      <c r="G494" s="26"/>
      <c r="H494" s="26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</row>
    <row r="495" spans="1:64" ht="13">
      <c r="A495" s="11"/>
      <c r="B495" s="11"/>
      <c r="C495" s="11"/>
      <c r="D495" s="11"/>
      <c r="E495" s="11"/>
      <c r="F495" s="11"/>
      <c r="G495" s="26"/>
      <c r="H495" s="26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</row>
    <row r="496" spans="1:64" ht="13">
      <c r="A496" s="11"/>
      <c r="B496" s="11"/>
      <c r="C496" s="11"/>
      <c r="D496" s="11"/>
      <c r="E496" s="11"/>
      <c r="F496" s="11"/>
      <c r="G496" s="26"/>
      <c r="H496" s="26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</row>
    <row r="497" spans="1:64" ht="13">
      <c r="A497" s="11"/>
      <c r="B497" s="11"/>
      <c r="C497" s="11"/>
      <c r="D497" s="11"/>
      <c r="E497" s="11"/>
      <c r="F497" s="11"/>
      <c r="G497" s="26"/>
      <c r="H497" s="26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</row>
    <row r="498" spans="1:64" ht="13">
      <c r="A498" s="11"/>
      <c r="B498" s="11"/>
      <c r="C498" s="11"/>
      <c r="D498" s="11"/>
      <c r="E498" s="11"/>
      <c r="F498" s="11"/>
      <c r="G498" s="26"/>
      <c r="H498" s="26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</row>
    <row r="499" spans="1:64" ht="13">
      <c r="A499" s="11"/>
      <c r="B499" s="11"/>
      <c r="C499" s="11"/>
      <c r="D499" s="11"/>
      <c r="E499" s="11"/>
      <c r="F499" s="11"/>
      <c r="G499" s="26"/>
      <c r="H499" s="26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</row>
    <row r="500" spans="1:64" ht="13">
      <c r="A500" s="11"/>
      <c r="B500" s="11"/>
      <c r="C500" s="11"/>
      <c r="D500" s="11"/>
      <c r="E500" s="11"/>
      <c r="F500" s="11"/>
      <c r="G500" s="26"/>
      <c r="H500" s="26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</row>
    <row r="501" spans="1:64" ht="13">
      <c r="A501" s="11"/>
      <c r="B501" s="11"/>
      <c r="C501" s="11"/>
      <c r="D501" s="11"/>
      <c r="E501" s="11"/>
      <c r="F501" s="11"/>
      <c r="G501" s="26"/>
      <c r="H501" s="26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</row>
    <row r="502" spans="1:64" ht="13">
      <c r="A502" s="11"/>
      <c r="B502" s="11"/>
      <c r="C502" s="11"/>
      <c r="D502" s="11"/>
      <c r="E502" s="11"/>
      <c r="F502" s="11"/>
      <c r="G502" s="26"/>
      <c r="H502" s="26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</row>
    <row r="503" spans="1:64" ht="13">
      <c r="A503" s="11"/>
      <c r="B503" s="11"/>
      <c r="C503" s="11"/>
      <c r="D503" s="11"/>
      <c r="E503" s="11"/>
      <c r="F503" s="11"/>
      <c r="G503" s="26"/>
      <c r="H503" s="26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</row>
    <row r="504" spans="1:64" ht="13">
      <c r="A504" s="11"/>
      <c r="B504" s="11"/>
      <c r="C504" s="11"/>
      <c r="D504" s="11"/>
      <c r="E504" s="11"/>
      <c r="F504" s="11"/>
      <c r="G504" s="26"/>
      <c r="H504" s="26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</row>
    <row r="505" spans="1:64" ht="13">
      <c r="A505" s="11"/>
      <c r="B505" s="11"/>
      <c r="C505" s="11"/>
      <c r="D505" s="11"/>
      <c r="E505" s="11"/>
      <c r="F505" s="11"/>
      <c r="G505" s="26"/>
      <c r="H505" s="26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</row>
    <row r="506" spans="1:64" ht="13">
      <c r="A506" s="11"/>
      <c r="B506" s="11"/>
      <c r="C506" s="11"/>
      <c r="D506" s="11"/>
      <c r="E506" s="11"/>
      <c r="F506" s="11"/>
      <c r="G506" s="26"/>
      <c r="H506" s="26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</row>
    <row r="507" spans="1:64" ht="13">
      <c r="A507" s="11"/>
      <c r="B507" s="11"/>
      <c r="C507" s="11"/>
      <c r="D507" s="11"/>
      <c r="E507" s="11"/>
      <c r="F507" s="11"/>
      <c r="G507" s="26"/>
      <c r="H507" s="26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</row>
    <row r="508" spans="1:64" ht="13">
      <c r="A508" s="11"/>
      <c r="B508" s="11"/>
      <c r="C508" s="11"/>
      <c r="D508" s="11"/>
      <c r="E508" s="11"/>
      <c r="F508" s="11"/>
      <c r="G508" s="26"/>
      <c r="H508" s="26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</row>
    <row r="509" spans="1:64" ht="13">
      <c r="A509" s="11"/>
      <c r="B509" s="11"/>
      <c r="C509" s="11"/>
      <c r="D509" s="11"/>
      <c r="E509" s="11"/>
      <c r="F509" s="11"/>
      <c r="G509" s="26"/>
      <c r="H509" s="26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</row>
    <row r="510" spans="1:64" ht="13">
      <c r="A510" s="11"/>
      <c r="B510" s="11"/>
      <c r="C510" s="11"/>
      <c r="D510" s="11"/>
      <c r="E510" s="11"/>
      <c r="F510" s="11"/>
      <c r="G510" s="26"/>
      <c r="H510" s="26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</row>
    <row r="511" spans="1:64" ht="13">
      <c r="A511" s="11"/>
      <c r="B511" s="11"/>
      <c r="C511" s="11"/>
      <c r="D511" s="11"/>
      <c r="E511" s="11"/>
      <c r="F511" s="11"/>
      <c r="G511" s="26"/>
      <c r="H511" s="26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</row>
    <row r="512" spans="1:64" ht="13">
      <c r="A512" s="11"/>
      <c r="B512" s="11"/>
      <c r="C512" s="11"/>
      <c r="D512" s="11"/>
      <c r="E512" s="11"/>
      <c r="F512" s="11"/>
      <c r="G512" s="26"/>
      <c r="H512" s="26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</row>
    <row r="513" spans="1:64" ht="13">
      <c r="A513" s="11"/>
      <c r="B513" s="11"/>
      <c r="C513" s="11"/>
      <c r="D513" s="11"/>
      <c r="E513" s="11"/>
      <c r="F513" s="11"/>
      <c r="G513" s="26"/>
      <c r="H513" s="26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</row>
    <row r="514" spans="1:64" ht="13">
      <c r="A514" s="11"/>
      <c r="B514" s="11"/>
      <c r="C514" s="11"/>
      <c r="D514" s="11"/>
      <c r="E514" s="11"/>
      <c r="F514" s="11"/>
      <c r="G514" s="26"/>
      <c r="H514" s="26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</row>
    <row r="515" spans="1:64" ht="13">
      <c r="A515" s="11"/>
      <c r="B515" s="11"/>
      <c r="C515" s="11"/>
      <c r="D515" s="11"/>
      <c r="E515" s="11"/>
      <c r="F515" s="11"/>
      <c r="G515" s="26"/>
      <c r="H515" s="26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</row>
    <row r="516" spans="1:64" ht="13">
      <c r="A516" s="11"/>
      <c r="B516" s="11"/>
      <c r="C516" s="11"/>
      <c r="D516" s="11"/>
      <c r="E516" s="11"/>
      <c r="F516" s="11"/>
      <c r="G516" s="26"/>
      <c r="H516" s="26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</row>
    <row r="517" spans="1:64" ht="13">
      <c r="A517" s="11"/>
      <c r="B517" s="11"/>
      <c r="C517" s="11"/>
      <c r="D517" s="11"/>
      <c r="E517" s="11"/>
      <c r="F517" s="11"/>
      <c r="G517" s="26"/>
      <c r="H517" s="26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</row>
    <row r="518" spans="1:64" ht="13">
      <c r="A518" s="11"/>
      <c r="B518" s="11"/>
      <c r="C518" s="11"/>
      <c r="D518" s="11"/>
      <c r="E518" s="11"/>
      <c r="F518" s="11"/>
      <c r="G518" s="26"/>
      <c r="H518" s="26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</row>
    <row r="519" spans="1:64" ht="13">
      <c r="A519" s="11"/>
      <c r="B519" s="11"/>
      <c r="C519" s="11"/>
      <c r="D519" s="11"/>
      <c r="E519" s="11"/>
      <c r="F519" s="11"/>
      <c r="G519" s="26"/>
      <c r="H519" s="26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</row>
    <row r="520" spans="1:64" ht="13">
      <c r="A520" s="11"/>
      <c r="B520" s="11"/>
      <c r="C520" s="11"/>
      <c r="D520" s="11"/>
      <c r="E520" s="11"/>
      <c r="F520" s="11"/>
      <c r="G520" s="26"/>
      <c r="H520" s="26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</row>
    <row r="521" spans="1:64" ht="13">
      <c r="A521" s="11"/>
      <c r="B521" s="11"/>
      <c r="C521" s="11"/>
      <c r="D521" s="11"/>
      <c r="E521" s="11"/>
      <c r="F521" s="11"/>
      <c r="G521" s="26"/>
      <c r="H521" s="26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</row>
    <row r="522" spans="1:64" ht="13">
      <c r="A522" s="11"/>
      <c r="B522" s="11"/>
      <c r="C522" s="11"/>
      <c r="D522" s="11"/>
      <c r="E522" s="11"/>
      <c r="F522" s="11"/>
      <c r="G522" s="26"/>
      <c r="H522" s="26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</row>
    <row r="523" spans="1:64" ht="13">
      <c r="A523" s="11"/>
      <c r="B523" s="11"/>
      <c r="C523" s="11"/>
      <c r="D523" s="11"/>
      <c r="E523" s="11"/>
      <c r="F523" s="11"/>
      <c r="G523" s="26"/>
      <c r="H523" s="26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</row>
    <row r="524" spans="1:64" ht="13">
      <c r="A524" s="11"/>
      <c r="B524" s="11"/>
      <c r="C524" s="11"/>
      <c r="D524" s="11"/>
      <c r="E524" s="11"/>
      <c r="F524" s="11"/>
      <c r="G524" s="26"/>
      <c r="H524" s="26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</row>
    <row r="525" spans="1:64" ht="13">
      <c r="A525" s="11"/>
      <c r="B525" s="11"/>
      <c r="C525" s="11"/>
      <c r="D525" s="11"/>
      <c r="E525" s="11"/>
      <c r="F525" s="11"/>
      <c r="G525" s="26"/>
      <c r="H525" s="26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</row>
    <row r="526" spans="1:64" ht="13">
      <c r="A526" s="11"/>
      <c r="B526" s="11"/>
      <c r="C526" s="11"/>
      <c r="D526" s="11"/>
      <c r="E526" s="11"/>
      <c r="F526" s="11"/>
      <c r="G526" s="26"/>
      <c r="H526" s="26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</row>
    <row r="527" spans="1:64" ht="13">
      <c r="A527" s="11"/>
      <c r="B527" s="11"/>
      <c r="C527" s="11"/>
      <c r="D527" s="11"/>
      <c r="E527" s="11"/>
      <c r="F527" s="11"/>
      <c r="G527" s="26"/>
      <c r="H527" s="26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</row>
    <row r="528" spans="1:64" ht="13">
      <c r="A528" s="11"/>
      <c r="B528" s="11"/>
      <c r="C528" s="11"/>
      <c r="D528" s="11"/>
      <c r="E528" s="11"/>
      <c r="F528" s="11"/>
      <c r="G528" s="26"/>
      <c r="H528" s="26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</row>
    <row r="529" spans="1:64" ht="13">
      <c r="A529" s="11"/>
      <c r="B529" s="11"/>
      <c r="C529" s="11"/>
      <c r="D529" s="11"/>
      <c r="E529" s="11"/>
      <c r="F529" s="11"/>
      <c r="G529" s="26"/>
      <c r="H529" s="26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</row>
    <row r="530" spans="1:64" ht="13">
      <c r="A530" s="11"/>
      <c r="B530" s="11"/>
      <c r="C530" s="11"/>
      <c r="D530" s="11"/>
      <c r="E530" s="11"/>
      <c r="F530" s="11"/>
      <c r="G530" s="26"/>
      <c r="H530" s="26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</row>
    <row r="531" spans="1:64" ht="13">
      <c r="A531" s="11"/>
      <c r="B531" s="11"/>
      <c r="C531" s="11"/>
      <c r="D531" s="11"/>
      <c r="E531" s="11"/>
      <c r="F531" s="11"/>
      <c r="G531" s="26"/>
      <c r="H531" s="26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</row>
    <row r="532" spans="1:64" ht="13">
      <c r="A532" s="11"/>
      <c r="B532" s="11"/>
      <c r="C532" s="11"/>
      <c r="D532" s="11"/>
      <c r="E532" s="11"/>
      <c r="F532" s="11"/>
      <c r="G532" s="26"/>
      <c r="H532" s="26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</row>
    <row r="533" spans="1:64" ht="13">
      <c r="A533" s="11"/>
      <c r="B533" s="11"/>
      <c r="C533" s="11"/>
      <c r="D533" s="11"/>
      <c r="E533" s="11"/>
      <c r="F533" s="11"/>
      <c r="G533" s="26"/>
      <c r="H533" s="26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</row>
    <row r="534" spans="1:64" ht="13">
      <c r="A534" s="11"/>
      <c r="B534" s="11"/>
      <c r="C534" s="11"/>
      <c r="D534" s="11"/>
      <c r="E534" s="11"/>
      <c r="F534" s="11"/>
      <c r="G534" s="26"/>
      <c r="H534" s="26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</row>
    <row r="535" spans="1:64" ht="13">
      <c r="A535" s="11"/>
      <c r="B535" s="11"/>
      <c r="C535" s="11"/>
      <c r="D535" s="11"/>
      <c r="E535" s="11"/>
      <c r="F535" s="11"/>
      <c r="G535" s="26"/>
      <c r="H535" s="26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</row>
    <row r="536" spans="1:64" ht="13">
      <c r="A536" s="11"/>
      <c r="B536" s="11"/>
      <c r="C536" s="11"/>
      <c r="D536" s="11"/>
      <c r="E536" s="11"/>
      <c r="F536" s="11"/>
      <c r="G536" s="26"/>
      <c r="H536" s="26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</row>
    <row r="537" spans="1:64" ht="13">
      <c r="A537" s="11"/>
      <c r="B537" s="11"/>
      <c r="C537" s="11"/>
      <c r="D537" s="11"/>
      <c r="E537" s="11"/>
      <c r="F537" s="11"/>
      <c r="G537" s="26"/>
      <c r="H537" s="26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</row>
    <row r="538" spans="1:64" ht="13">
      <c r="A538" s="11"/>
      <c r="B538" s="11"/>
      <c r="C538" s="11"/>
      <c r="D538" s="11"/>
      <c r="E538" s="11"/>
      <c r="F538" s="11"/>
      <c r="G538" s="26"/>
      <c r="H538" s="26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</row>
    <row r="539" spans="1:64" ht="13">
      <c r="A539" s="11"/>
      <c r="B539" s="11"/>
      <c r="C539" s="11"/>
      <c r="D539" s="11"/>
      <c r="E539" s="11"/>
      <c r="F539" s="11"/>
      <c r="G539" s="26"/>
      <c r="H539" s="26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</row>
    <row r="540" spans="1:64" ht="13">
      <c r="A540" s="11"/>
      <c r="B540" s="11"/>
      <c r="C540" s="11"/>
      <c r="D540" s="11"/>
      <c r="E540" s="11"/>
      <c r="F540" s="11"/>
      <c r="G540" s="26"/>
      <c r="H540" s="26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</row>
    <row r="541" spans="1:64" ht="13">
      <c r="A541" s="11"/>
      <c r="B541" s="11"/>
      <c r="C541" s="11"/>
      <c r="D541" s="11"/>
      <c r="E541" s="11"/>
      <c r="F541" s="11"/>
      <c r="G541" s="26"/>
      <c r="H541" s="26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</row>
    <row r="542" spans="1:64" ht="13">
      <c r="A542" s="11"/>
      <c r="B542" s="11"/>
      <c r="C542" s="11"/>
      <c r="D542" s="11"/>
      <c r="E542" s="11"/>
      <c r="F542" s="11"/>
      <c r="G542" s="26"/>
      <c r="H542" s="26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</row>
    <row r="543" spans="1:64" ht="13">
      <c r="A543" s="11"/>
      <c r="B543" s="11"/>
      <c r="C543" s="11"/>
      <c r="D543" s="11"/>
      <c r="E543" s="11"/>
      <c r="F543" s="11"/>
      <c r="G543" s="26"/>
      <c r="H543" s="26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</row>
    <row r="544" spans="1:64" ht="13">
      <c r="A544" s="11"/>
      <c r="B544" s="11"/>
      <c r="C544" s="11"/>
      <c r="D544" s="11"/>
      <c r="E544" s="11"/>
      <c r="F544" s="11"/>
      <c r="G544" s="26"/>
      <c r="H544" s="26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</row>
    <row r="545" spans="1:64" ht="13">
      <c r="A545" s="11"/>
      <c r="B545" s="11"/>
      <c r="C545" s="11"/>
      <c r="D545" s="11"/>
      <c r="E545" s="11"/>
      <c r="F545" s="11"/>
      <c r="G545" s="26"/>
      <c r="H545" s="26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</row>
    <row r="546" spans="1:64" ht="13">
      <c r="A546" s="11"/>
      <c r="B546" s="11"/>
      <c r="C546" s="11"/>
      <c r="D546" s="11"/>
      <c r="E546" s="11"/>
      <c r="F546" s="11"/>
      <c r="G546" s="26"/>
      <c r="H546" s="26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</row>
    <row r="547" spans="1:64" ht="13">
      <c r="A547" s="11"/>
      <c r="B547" s="11"/>
      <c r="C547" s="11"/>
      <c r="D547" s="11"/>
      <c r="E547" s="11"/>
      <c r="F547" s="11"/>
      <c r="G547" s="26"/>
      <c r="H547" s="26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</row>
    <row r="548" spans="1:64" ht="13">
      <c r="A548" s="11"/>
      <c r="B548" s="11"/>
      <c r="C548" s="11"/>
      <c r="D548" s="11"/>
      <c r="E548" s="11"/>
      <c r="F548" s="11"/>
      <c r="G548" s="26"/>
      <c r="H548" s="26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</row>
    <row r="549" spans="1:64" ht="13">
      <c r="A549" s="11"/>
      <c r="B549" s="11"/>
      <c r="C549" s="11"/>
      <c r="D549" s="11"/>
      <c r="E549" s="11"/>
      <c r="F549" s="11"/>
      <c r="G549" s="26"/>
      <c r="H549" s="26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</row>
    <row r="550" spans="1:64" ht="13">
      <c r="A550" s="11"/>
      <c r="B550" s="11"/>
      <c r="C550" s="11"/>
      <c r="D550" s="11"/>
      <c r="E550" s="11"/>
      <c r="F550" s="11"/>
      <c r="G550" s="26"/>
      <c r="H550" s="26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</row>
    <row r="551" spans="1:64" ht="13">
      <c r="A551" s="11"/>
      <c r="B551" s="11"/>
      <c r="C551" s="11"/>
      <c r="D551" s="11"/>
      <c r="E551" s="11"/>
      <c r="F551" s="11"/>
      <c r="G551" s="26"/>
      <c r="H551" s="26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</row>
    <row r="552" spans="1:64" ht="13">
      <c r="A552" s="11"/>
      <c r="B552" s="11"/>
      <c r="C552" s="11"/>
      <c r="D552" s="11"/>
      <c r="E552" s="11"/>
      <c r="F552" s="11"/>
      <c r="G552" s="26"/>
      <c r="H552" s="26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</row>
    <row r="553" spans="1:64" ht="13">
      <c r="A553" s="11"/>
      <c r="B553" s="11"/>
      <c r="C553" s="11"/>
      <c r="D553" s="11"/>
      <c r="E553" s="11"/>
      <c r="F553" s="11"/>
      <c r="G553" s="26"/>
      <c r="H553" s="26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</row>
    <row r="554" spans="1:64" ht="13">
      <c r="A554" s="11"/>
      <c r="B554" s="11"/>
      <c r="C554" s="11"/>
      <c r="D554" s="11"/>
      <c r="E554" s="11"/>
      <c r="F554" s="11"/>
      <c r="G554" s="26"/>
      <c r="H554" s="26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</row>
    <row r="555" spans="1:64" ht="13">
      <c r="A555" s="11"/>
      <c r="B555" s="11"/>
      <c r="C555" s="11"/>
      <c r="D555" s="11"/>
      <c r="E555" s="11"/>
      <c r="F555" s="11"/>
      <c r="G555" s="26"/>
      <c r="H555" s="26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</row>
    <row r="556" spans="1:64" ht="13">
      <c r="A556" s="11"/>
      <c r="B556" s="11"/>
      <c r="C556" s="11"/>
      <c r="D556" s="11"/>
      <c r="E556" s="11"/>
      <c r="F556" s="11"/>
      <c r="G556" s="26"/>
      <c r="H556" s="26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</row>
    <row r="557" spans="1:64" ht="13">
      <c r="A557" s="11"/>
      <c r="B557" s="11"/>
      <c r="C557" s="11"/>
      <c r="D557" s="11"/>
      <c r="E557" s="11"/>
      <c r="F557" s="11"/>
      <c r="G557" s="26"/>
      <c r="H557" s="26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</row>
    <row r="558" spans="1:64" ht="13">
      <c r="A558" s="11"/>
      <c r="B558" s="11"/>
      <c r="C558" s="11"/>
      <c r="D558" s="11"/>
      <c r="E558" s="11"/>
      <c r="F558" s="11"/>
      <c r="G558" s="26"/>
      <c r="H558" s="26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</row>
    <row r="559" spans="1:64" ht="13">
      <c r="A559" s="11"/>
      <c r="B559" s="11"/>
      <c r="C559" s="11"/>
      <c r="D559" s="11"/>
      <c r="E559" s="11"/>
      <c r="F559" s="11"/>
      <c r="G559" s="26"/>
      <c r="H559" s="26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</row>
    <row r="560" spans="1:64" ht="13">
      <c r="A560" s="11"/>
      <c r="B560" s="11"/>
      <c r="C560" s="11"/>
      <c r="D560" s="11"/>
      <c r="E560" s="11"/>
      <c r="F560" s="11"/>
      <c r="G560" s="26"/>
      <c r="H560" s="26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</row>
    <row r="561" spans="1:64" ht="13">
      <c r="A561" s="11"/>
      <c r="B561" s="11"/>
      <c r="C561" s="11"/>
      <c r="D561" s="11"/>
      <c r="E561" s="11"/>
      <c r="F561" s="11"/>
      <c r="G561" s="26"/>
      <c r="H561" s="26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</row>
    <row r="562" spans="1:64" ht="13">
      <c r="A562" s="11"/>
      <c r="B562" s="11"/>
      <c r="C562" s="11"/>
      <c r="D562" s="11"/>
      <c r="E562" s="11"/>
      <c r="F562" s="11"/>
      <c r="G562" s="26"/>
      <c r="H562" s="26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</row>
    <row r="563" spans="1:64" ht="13">
      <c r="A563" s="11"/>
      <c r="B563" s="11"/>
      <c r="C563" s="11"/>
      <c r="D563" s="11"/>
      <c r="E563" s="11"/>
      <c r="F563" s="11"/>
      <c r="G563" s="26"/>
      <c r="H563" s="26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</row>
    <row r="564" spans="1:64" ht="13">
      <c r="A564" s="11"/>
      <c r="B564" s="11"/>
      <c r="C564" s="11"/>
      <c r="D564" s="11"/>
      <c r="E564" s="11"/>
      <c r="F564" s="11"/>
      <c r="G564" s="26"/>
      <c r="H564" s="26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</row>
    <row r="565" spans="1:64" ht="13">
      <c r="A565" s="11"/>
      <c r="B565" s="11"/>
      <c r="C565" s="11"/>
      <c r="D565" s="11"/>
      <c r="E565" s="11"/>
      <c r="F565" s="11"/>
      <c r="G565" s="26"/>
      <c r="H565" s="26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</row>
    <row r="566" spans="1:64" ht="13">
      <c r="A566" s="11"/>
      <c r="B566" s="11"/>
      <c r="C566" s="11"/>
      <c r="D566" s="11"/>
      <c r="E566" s="11"/>
      <c r="F566" s="11"/>
      <c r="G566" s="26"/>
      <c r="H566" s="26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</row>
    <row r="567" spans="1:64" ht="13">
      <c r="A567" s="11"/>
      <c r="B567" s="11"/>
      <c r="C567" s="11"/>
      <c r="D567" s="11"/>
      <c r="E567" s="11"/>
      <c r="F567" s="11"/>
      <c r="G567" s="26"/>
      <c r="H567" s="26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</row>
    <row r="568" spans="1:64" ht="13">
      <c r="A568" s="11"/>
      <c r="B568" s="11"/>
      <c r="C568" s="11"/>
      <c r="D568" s="11"/>
      <c r="E568" s="11"/>
      <c r="F568" s="11"/>
      <c r="G568" s="26"/>
      <c r="H568" s="26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</row>
    <row r="569" spans="1:64" ht="13">
      <c r="A569" s="11"/>
      <c r="B569" s="11"/>
      <c r="C569" s="11"/>
      <c r="D569" s="11"/>
      <c r="E569" s="11"/>
      <c r="F569" s="11"/>
      <c r="G569" s="26"/>
      <c r="H569" s="26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</row>
    <row r="570" spans="1:64" ht="13">
      <c r="A570" s="11"/>
      <c r="B570" s="11"/>
      <c r="C570" s="11"/>
      <c r="D570" s="11"/>
      <c r="E570" s="11"/>
      <c r="F570" s="11"/>
      <c r="G570" s="26"/>
      <c r="H570" s="26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</row>
    <row r="571" spans="1:64" ht="13">
      <c r="A571" s="11"/>
      <c r="B571" s="11"/>
      <c r="C571" s="11"/>
      <c r="D571" s="11"/>
      <c r="E571" s="11"/>
      <c r="F571" s="11"/>
      <c r="G571" s="26"/>
      <c r="H571" s="26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</row>
    <row r="572" spans="1:64" ht="13">
      <c r="A572" s="11"/>
      <c r="B572" s="11"/>
      <c r="C572" s="11"/>
      <c r="D572" s="11"/>
      <c r="E572" s="11"/>
      <c r="F572" s="11"/>
      <c r="G572" s="26"/>
      <c r="H572" s="26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</row>
    <row r="573" spans="1:64" ht="13">
      <c r="A573" s="11"/>
      <c r="B573" s="11"/>
      <c r="C573" s="11"/>
      <c r="D573" s="11"/>
      <c r="E573" s="11"/>
      <c r="F573" s="11"/>
      <c r="G573" s="26"/>
      <c r="H573" s="26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</row>
    <row r="574" spans="1:64" ht="13">
      <c r="A574" s="11"/>
      <c r="B574" s="11"/>
      <c r="C574" s="11"/>
      <c r="D574" s="11"/>
      <c r="E574" s="11"/>
      <c r="F574" s="11"/>
      <c r="G574" s="26"/>
      <c r="H574" s="26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</row>
    <row r="575" spans="1:64" ht="13">
      <c r="A575" s="11"/>
      <c r="B575" s="11"/>
      <c r="C575" s="11"/>
      <c r="D575" s="11"/>
      <c r="E575" s="11"/>
      <c r="F575" s="11"/>
      <c r="G575" s="26"/>
      <c r="H575" s="26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</row>
    <row r="576" spans="1:64" ht="13">
      <c r="A576" s="11"/>
      <c r="B576" s="11"/>
      <c r="C576" s="11"/>
      <c r="D576" s="11"/>
      <c r="E576" s="11"/>
      <c r="F576" s="11"/>
      <c r="G576" s="26"/>
      <c r="H576" s="26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</row>
    <row r="577" spans="1:64" ht="13">
      <c r="A577" s="11"/>
      <c r="B577" s="11"/>
      <c r="C577" s="11"/>
      <c r="D577" s="11"/>
      <c r="E577" s="11"/>
      <c r="F577" s="11"/>
      <c r="G577" s="26"/>
      <c r="H577" s="26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</row>
    <row r="578" spans="1:64" ht="13">
      <c r="A578" s="11"/>
      <c r="B578" s="11"/>
      <c r="C578" s="11"/>
      <c r="D578" s="11"/>
      <c r="E578" s="11"/>
      <c r="F578" s="11"/>
      <c r="G578" s="26"/>
      <c r="H578" s="26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</row>
    <row r="579" spans="1:64" ht="13">
      <c r="A579" s="11"/>
      <c r="B579" s="11"/>
      <c r="C579" s="11"/>
      <c r="D579" s="11"/>
      <c r="E579" s="11"/>
      <c r="F579" s="11"/>
      <c r="G579" s="26"/>
      <c r="H579" s="26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</row>
    <row r="580" spans="1:64" ht="13">
      <c r="A580" s="11"/>
      <c r="B580" s="11"/>
      <c r="C580" s="11"/>
      <c r="D580" s="11"/>
      <c r="E580" s="11"/>
      <c r="F580" s="11"/>
      <c r="G580" s="26"/>
      <c r="H580" s="26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</row>
    <row r="581" spans="1:64" ht="13">
      <c r="A581" s="11"/>
      <c r="B581" s="11"/>
      <c r="C581" s="11"/>
      <c r="D581" s="11"/>
      <c r="E581" s="11"/>
      <c r="F581" s="11"/>
      <c r="G581" s="26"/>
      <c r="H581" s="26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</row>
    <row r="582" spans="1:64" ht="13">
      <c r="A582" s="11"/>
      <c r="B582" s="11"/>
      <c r="C582" s="11"/>
      <c r="D582" s="11"/>
      <c r="E582" s="11"/>
      <c r="F582" s="11"/>
      <c r="G582" s="26"/>
      <c r="H582" s="26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</row>
    <row r="583" spans="1:64" ht="13">
      <c r="A583" s="11"/>
      <c r="B583" s="11"/>
      <c r="C583" s="11"/>
      <c r="D583" s="11"/>
      <c r="E583" s="11"/>
      <c r="F583" s="11"/>
      <c r="G583" s="26"/>
      <c r="H583" s="26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</row>
    <row r="584" spans="1:64" ht="13">
      <c r="A584" s="11"/>
      <c r="B584" s="11"/>
      <c r="C584" s="11"/>
      <c r="D584" s="11"/>
      <c r="E584" s="11"/>
      <c r="F584" s="11"/>
      <c r="G584" s="26"/>
      <c r="H584" s="26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</row>
    <row r="585" spans="1:64" ht="13">
      <c r="A585" s="11"/>
      <c r="B585" s="11"/>
      <c r="C585" s="11"/>
      <c r="D585" s="11"/>
      <c r="E585" s="11"/>
      <c r="F585" s="11"/>
      <c r="G585" s="26"/>
      <c r="H585" s="26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</row>
    <row r="586" spans="1:64" ht="13">
      <c r="A586" s="11"/>
      <c r="B586" s="11"/>
      <c r="C586" s="11"/>
      <c r="D586" s="11"/>
      <c r="E586" s="11"/>
      <c r="F586" s="11"/>
      <c r="G586" s="26"/>
      <c r="H586" s="26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</row>
    <row r="587" spans="1:64" ht="13">
      <c r="A587" s="11"/>
      <c r="B587" s="11"/>
      <c r="C587" s="11"/>
      <c r="D587" s="11"/>
      <c r="E587" s="11"/>
      <c r="F587" s="11"/>
      <c r="G587" s="26"/>
      <c r="H587" s="26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</row>
    <row r="588" spans="1:64" ht="13">
      <c r="A588" s="11"/>
      <c r="B588" s="11"/>
      <c r="C588" s="11"/>
      <c r="D588" s="11"/>
      <c r="E588" s="11"/>
      <c r="F588" s="11"/>
      <c r="G588" s="26"/>
      <c r="H588" s="26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</row>
    <row r="589" spans="1:64" ht="13">
      <c r="A589" s="11"/>
      <c r="B589" s="11"/>
      <c r="C589" s="11"/>
      <c r="D589" s="11"/>
      <c r="E589" s="11"/>
      <c r="F589" s="11"/>
      <c r="G589" s="26"/>
      <c r="H589" s="26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</row>
    <row r="590" spans="1:64" ht="13">
      <c r="A590" s="11"/>
      <c r="B590" s="11"/>
      <c r="C590" s="11"/>
      <c r="D590" s="11"/>
      <c r="E590" s="11"/>
      <c r="F590" s="11"/>
      <c r="G590" s="26"/>
      <c r="H590" s="26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</row>
    <row r="591" spans="1:64" ht="13">
      <c r="A591" s="11"/>
      <c r="B591" s="11"/>
      <c r="C591" s="11"/>
      <c r="D591" s="11"/>
      <c r="E591" s="11"/>
      <c r="F591" s="11"/>
      <c r="G591" s="26"/>
      <c r="H591" s="26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</row>
    <row r="592" spans="1:64" ht="13">
      <c r="A592" s="11"/>
      <c r="B592" s="11"/>
      <c r="C592" s="11"/>
      <c r="D592" s="11"/>
      <c r="E592" s="11"/>
      <c r="F592" s="11"/>
      <c r="G592" s="26"/>
      <c r="H592" s="26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</row>
    <row r="593" spans="1:64" ht="13">
      <c r="A593" s="11"/>
      <c r="B593" s="11"/>
      <c r="C593" s="11"/>
      <c r="D593" s="11"/>
      <c r="E593" s="11"/>
      <c r="F593" s="11"/>
      <c r="G593" s="26"/>
      <c r="H593" s="26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</row>
    <row r="594" spans="1:64" ht="13">
      <c r="A594" s="11"/>
      <c r="B594" s="11"/>
      <c r="C594" s="11"/>
      <c r="D594" s="11"/>
      <c r="E594" s="11"/>
      <c r="F594" s="11"/>
      <c r="G594" s="26"/>
      <c r="H594" s="26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</row>
    <row r="595" spans="1:64" ht="13">
      <c r="A595" s="11"/>
      <c r="B595" s="11"/>
      <c r="C595" s="11"/>
      <c r="D595" s="11"/>
      <c r="E595" s="11"/>
      <c r="F595" s="11"/>
      <c r="G595" s="26"/>
      <c r="H595" s="26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</row>
    <row r="596" spans="1:64" ht="13">
      <c r="A596" s="11"/>
      <c r="B596" s="11"/>
      <c r="C596" s="11"/>
      <c r="D596" s="11"/>
      <c r="E596" s="11"/>
      <c r="F596" s="11"/>
      <c r="G596" s="26"/>
      <c r="H596" s="26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</row>
    <row r="597" spans="1:64" ht="13">
      <c r="A597" s="11"/>
      <c r="B597" s="11"/>
      <c r="C597" s="11"/>
      <c r="D597" s="11"/>
      <c r="E597" s="11"/>
      <c r="F597" s="11"/>
      <c r="G597" s="26"/>
      <c r="H597" s="26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</row>
    <row r="598" spans="1:64" ht="13">
      <c r="A598" s="11"/>
      <c r="B598" s="11"/>
      <c r="C598" s="11"/>
      <c r="D598" s="11"/>
      <c r="E598" s="11"/>
      <c r="F598" s="11"/>
      <c r="G598" s="26"/>
      <c r="H598" s="26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</row>
    <row r="599" spans="1:64" ht="13">
      <c r="A599" s="11"/>
      <c r="B599" s="11"/>
      <c r="C599" s="11"/>
      <c r="D599" s="11"/>
      <c r="E599" s="11"/>
      <c r="F599" s="11"/>
      <c r="G599" s="26"/>
      <c r="H599" s="26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</row>
    <row r="600" spans="1:64" ht="13">
      <c r="A600" s="11"/>
      <c r="B600" s="11"/>
      <c r="C600" s="11"/>
      <c r="D600" s="11"/>
      <c r="E600" s="11"/>
      <c r="F600" s="11"/>
      <c r="G600" s="26"/>
      <c r="H600" s="26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</row>
    <row r="601" spans="1:64" ht="13">
      <c r="A601" s="11"/>
      <c r="B601" s="11"/>
      <c r="C601" s="11"/>
      <c r="D601" s="11"/>
      <c r="E601" s="11"/>
      <c r="F601" s="11"/>
      <c r="G601" s="26"/>
      <c r="H601" s="26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</row>
    <row r="602" spans="1:64" ht="13">
      <c r="A602" s="11"/>
      <c r="B602" s="11"/>
      <c r="C602" s="11"/>
      <c r="D602" s="11"/>
      <c r="E602" s="11"/>
      <c r="F602" s="11"/>
      <c r="G602" s="26"/>
      <c r="H602" s="26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</row>
    <row r="603" spans="1:64" ht="13">
      <c r="A603" s="11"/>
      <c r="B603" s="11"/>
      <c r="C603" s="11"/>
      <c r="D603" s="11"/>
      <c r="E603" s="11"/>
      <c r="F603" s="11"/>
      <c r="G603" s="26"/>
      <c r="H603" s="26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</row>
    <row r="604" spans="1:64" ht="13">
      <c r="A604" s="11"/>
      <c r="B604" s="11"/>
      <c r="C604" s="11"/>
      <c r="D604" s="11"/>
      <c r="E604" s="11"/>
      <c r="F604" s="11"/>
      <c r="G604" s="26"/>
      <c r="H604" s="26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</row>
    <row r="605" spans="1:64" ht="13">
      <c r="A605" s="11"/>
      <c r="B605" s="11"/>
      <c r="C605" s="11"/>
      <c r="D605" s="11"/>
      <c r="E605" s="11"/>
      <c r="F605" s="11"/>
      <c r="G605" s="26"/>
      <c r="H605" s="26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</row>
    <row r="606" spans="1:64" ht="13">
      <c r="A606" s="11"/>
      <c r="B606" s="11"/>
      <c r="C606" s="11"/>
      <c r="D606" s="11"/>
      <c r="E606" s="11"/>
      <c r="F606" s="11"/>
      <c r="G606" s="26"/>
      <c r="H606" s="26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</row>
    <row r="607" spans="1:64" ht="13">
      <c r="A607" s="11"/>
      <c r="B607" s="11"/>
      <c r="C607" s="11"/>
      <c r="D607" s="11"/>
      <c r="E607" s="11"/>
      <c r="F607" s="11"/>
      <c r="G607" s="26"/>
      <c r="H607" s="26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</row>
    <row r="608" spans="1:64" ht="13">
      <c r="A608" s="11"/>
      <c r="B608" s="11"/>
      <c r="C608" s="11"/>
      <c r="D608" s="11"/>
      <c r="E608" s="11"/>
      <c r="F608" s="11"/>
      <c r="G608" s="26"/>
      <c r="H608" s="26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</row>
    <row r="609" spans="1:64" ht="13">
      <c r="A609" s="11"/>
      <c r="B609" s="11"/>
      <c r="C609" s="11"/>
      <c r="D609" s="11"/>
      <c r="E609" s="11"/>
      <c r="F609" s="11"/>
      <c r="G609" s="26"/>
      <c r="H609" s="26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</row>
    <row r="610" spans="1:64" ht="13">
      <c r="A610" s="11"/>
      <c r="B610" s="11"/>
      <c r="C610" s="11"/>
      <c r="D610" s="11"/>
      <c r="E610" s="11"/>
      <c r="F610" s="11"/>
      <c r="G610" s="26"/>
      <c r="H610" s="26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</row>
    <row r="611" spans="1:64" ht="13">
      <c r="A611" s="11"/>
      <c r="B611" s="11"/>
      <c r="C611" s="11"/>
      <c r="D611" s="11"/>
      <c r="E611" s="11"/>
      <c r="F611" s="11"/>
      <c r="G611" s="26"/>
      <c r="H611" s="26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</row>
    <row r="612" spans="1:64" ht="13">
      <c r="A612" s="11"/>
      <c r="B612" s="11"/>
      <c r="C612" s="11"/>
      <c r="D612" s="11"/>
      <c r="E612" s="11"/>
      <c r="F612" s="11"/>
      <c r="G612" s="26"/>
      <c r="H612" s="26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</row>
    <row r="613" spans="1:64" ht="13">
      <c r="A613" s="11"/>
      <c r="B613" s="11"/>
      <c r="C613" s="11"/>
      <c r="D613" s="11"/>
      <c r="E613" s="11"/>
      <c r="F613" s="11"/>
      <c r="G613" s="26"/>
      <c r="H613" s="26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</row>
    <row r="614" spans="1:64" ht="13">
      <c r="A614" s="11"/>
      <c r="B614" s="11"/>
      <c r="C614" s="11"/>
      <c r="D614" s="11"/>
      <c r="E614" s="11"/>
      <c r="F614" s="11"/>
      <c r="G614" s="26"/>
      <c r="H614" s="26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</row>
    <row r="615" spans="1:64" ht="13">
      <c r="A615" s="11"/>
      <c r="B615" s="11"/>
      <c r="C615" s="11"/>
      <c r="D615" s="11"/>
      <c r="E615" s="11"/>
      <c r="F615" s="11"/>
      <c r="G615" s="26"/>
      <c r="H615" s="26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</row>
    <row r="616" spans="1:64" ht="13">
      <c r="A616" s="11"/>
      <c r="B616" s="11"/>
      <c r="C616" s="11"/>
      <c r="D616" s="11"/>
      <c r="E616" s="11"/>
      <c r="F616" s="11"/>
      <c r="G616" s="26"/>
      <c r="H616" s="26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</row>
    <row r="617" spans="1:64" ht="13">
      <c r="A617" s="11"/>
      <c r="B617" s="11"/>
      <c r="C617" s="11"/>
      <c r="D617" s="11"/>
      <c r="E617" s="11"/>
      <c r="F617" s="11"/>
      <c r="G617" s="26"/>
      <c r="H617" s="26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</row>
    <row r="618" spans="1:64" ht="13">
      <c r="A618" s="11"/>
      <c r="B618" s="11"/>
      <c r="C618" s="11"/>
      <c r="D618" s="11"/>
      <c r="E618" s="11"/>
      <c r="F618" s="11"/>
      <c r="G618" s="26"/>
      <c r="H618" s="26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</row>
    <row r="619" spans="1:64" ht="13">
      <c r="A619" s="11"/>
      <c r="B619" s="11"/>
      <c r="C619" s="11"/>
      <c r="D619" s="11"/>
      <c r="E619" s="11"/>
      <c r="F619" s="11"/>
      <c r="G619" s="26"/>
      <c r="H619" s="26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</row>
    <row r="620" spans="1:64" ht="13">
      <c r="A620" s="11"/>
      <c r="B620" s="11"/>
      <c r="C620" s="11"/>
      <c r="D620" s="11"/>
      <c r="E620" s="11"/>
      <c r="F620" s="11"/>
      <c r="G620" s="26"/>
      <c r="H620" s="26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</row>
    <row r="621" spans="1:64" ht="13">
      <c r="A621" s="11"/>
      <c r="B621" s="11"/>
      <c r="C621" s="11"/>
      <c r="D621" s="11"/>
      <c r="E621" s="11"/>
      <c r="F621" s="11"/>
      <c r="G621" s="26"/>
      <c r="H621" s="26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</row>
    <row r="622" spans="1:64" ht="13">
      <c r="A622" s="11"/>
      <c r="B622" s="11"/>
      <c r="C622" s="11"/>
      <c r="D622" s="11"/>
      <c r="E622" s="11"/>
      <c r="F622" s="11"/>
      <c r="G622" s="26"/>
      <c r="H622" s="26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</row>
    <row r="623" spans="1:64" ht="13">
      <c r="A623" s="11"/>
      <c r="B623" s="11"/>
      <c r="C623" s="11"/>
      <c r="D623" s="11"/>
      <c r="E623" s="11"/>
      <c r="F623" s="11"/>
      <c r="G623" s="26"/>
      <c r="H623" s="26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</row>
    <row r="624" spans="1:64" ht="13">
      <c r="A624" s="11"/>
      <c r="B624" s="11"/>
      <c r="C624" s="11"/>
      <c r="D624" s="11"/>
      <c r="E624" s="11"/>
      <c r="F624" s="11"/>
      <c r="G624" s="26"/>
      <c r="H624" s="26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</row>
    <row r="625" spans="1:64" ht="13">
      <c r="A625" s="11"/>
      <c r="B625" s="11"/>
      <c r="C625" s="11"/>
      <c r="D625" s="11"/>
      <c r="E625" s="11"/>
      <c r="F625" s="11"/>
      <c r="G625" s="26"/>
      <c r="H625" s="26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</row>
    <row r="626" spans="1:64" ht="13">
      <c r="A626" s="11"/>
      <c r="B626" s="11"/>
      <c r="C626" s="11"/>
      <c r="D626" s="11"/>
      <c r="E626" s="11"/>
      <c r="F626" s="11"/>
      <c r="G626" s="26"/>
      <c r="H626" s="26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</row>
    <row r="627" spans="1:64" ht="13">
      <c r="A627" s="11"/>
      <c r="B627" s="11"/>
      <c r="C627" s="11"/>
      <c r="D627" s="11"/>
      <c r="E627" s="11"/>
      <c r="F627" s="11"/>
      <c r="G627" s="26"/>
      <c r="H627" s="26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</row>
    <row r="628" spans="1:64" ht="13">
      <c r="A628" s="11"/>
      <c r="B628" s="11"/>
      <c r="C628" s="11"/>
      <c r="D628" s="11"/>
      <c r="E628" s="11"/>
      <c r="F628" s="11"/>
      <c r="G628" s="26"/>
      <c r="H628" s="26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</row>
    <row r="629" spans="1:64" ht="13">
      <c r="A629" s="11"/>
      <c r="B629" s="11"/>
      <c r="C629" s="11"/>
      <c r="D629" s="11"/>
      <c r="E629" s="11"/>
      <c r="F629" s="11"/>
      <c r="G629" s="26"/>
      <c r="H629" s="26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</row>
    <row r="630" spans="1:64" ht="13">
      <c r="A630" s="11"/>
      <c r="B630" s="11"/>
      <c r="C630" s="11"/>
      <c r="D630" s="11"/>
      <c r="E630" s="11"/>
      <c r="F630" s="11"/>
      <c r="G630" s="26"/>
      <c r="H630" s="26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</row>
    <row r="631" spans="1:64" ht="13">
      <c r="A631" s="11"/>
      <c r="B631" s="11"/>
      <c r="C631" s="11"/>
      <c r="D631" s="11"/>
      <c r="E631" s="11"/>
      <c r="F631" s="11"/>
      <c r="G631" s="26"/>
      <c r="H631" s="26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</row>
    <row r="632" spans="1:64" ht="13">
      <c r="A632" s="11"/>
      <c r="B632" s="11"/>
      <c r="C632" s="11"/>
      <c r="D632" s="11"/>
      <c r="E632" s="11"/>
      <c r="F632" s="11"/>
      <c r="G632" s="26"/>
      <c r="H632" s="26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</row>
    <row r="633" spans="1:64" ht="13">
      <c r="A633" s="11"/>
      <c r="B633" s="11"/>
      <c r="C633" s="11"/>
      <c r="D633" s="11"/>
      <c r="E633" s="11"/>
      <c r="F633" s="11"/>
      <c r="G633" s="26"/>
      <c r="H633" s="26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</row>
    <row r="634" spans="1:64" ht="13">
      <c r="A634" s="11"/>
      <c r="B634" s="11"/>
      <c r="C634" s="11"/>
      <c r="D634" s="11"/>
      <c r="E634" s="11"/>
      <c r="F634" s="11"/>
      <c r="G634" s="26"/>
      <c r="H634" s="26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</row>
    <row r="635" spans="1:64" ht="13">
      <c r="A635" s="11"/>
      <c r="B635" s="11"/>
      <c r="C635" s="11"/>
      <c r="D635" s="11"/>
      <c r="E635" s="11"/>
      <c r="F635" s="11"/>
      <c r="G635" s="26"/>
      <c r="H635" s="26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</row>
    <row r="636" spans="1:64" ht="13">
      <c r="A636" s="11"/>
      <c r="B636" s="11"/>
      <c r="C636" s="11"/>
      <c r="D636" s="11"/>
      <c r="E636" s="11"/>
      <c r="F636" s="11"/>
      <c r="G636" s="26"/>
      <c r="H636" s="26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</row>
    <row r="637" spans="1:64" ht="13">
      <c r="A637" s="11"/>
      <c r="B637" s="11"/>
      <c r="C637" s="11"/>
      <c r="D637" s="11"/>
      <c r="E637" s="11"/>
      <c r="F637" s="11"/>
      <c r="G637" s="26"/>
      <c r="H637" s="26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</row>
    <row r="638" spans="1:64" ht="13">
      <c r="A638" s="11"/>
      <c r="B638" s="11"/>
      <c r="C638" s="11"/>
      <c r="D638" s="11"/>
      <c r="E638" s="11"/>
      <c r="F638" s="11"/>
      <c r="G638" s="26"/>
      <c r="H638" s="26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</row>
    <row r="639" spans="1:64" ht="13">
      <c r="A639" s="11"/>
      <c r="B639" s="11"/>
      <c r="C639" s="11"/>
      <c r="D639" s="11"/>
      <c r="E639" s="11"/>
      <c r="F639" s="11"/>
      <c r="G639" s="26"/>
      <c r="H639" s="26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</row>
    <row r="640" spans="1:64" ht="13">
      <c r="A640" s="11"/>
      <c r="B640" s="11"/>
      <c r="C640" s="11"/>
      <c r="D640" s="11"/>
      <c r="E640" s="11"/>
      <c r="F640" s="11"/>
      <c r="G640" s="26"/>
      <c r="H640" s="26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</row>
    <row r="641" spans="1:64" ht="13">
      <c r="A641" s="11"/>
      <c r="B641" s="11"/>
      <c r="C641" s="11"/>
      <c r="D641" s="11"/>
      <c r="E641" s="11"/>
      <c r="F641" s="11"/>
      <c r="G641" s="26"/>
      <c r="H641" s="26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</row>
    <row r="642" spans="1:64" ht="13">
      <c r="A642" s="11"/>
      <c r="B642" s="11"/>
      <c r="C642" s="11"/>
      <c r="D642" s="11"/>
      <c r="E642" s="11"/>
      <c r="F642" s="11"/>
      <c r="G642" s="26"/>
      <c r="H642" s="26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</row>
    <row r="643" spans="1:64" ht="13">
      <c r="A643" s="11"/>
      <c r="B643" s="11"/>
      <c r="C643" s="11"/>
      <c r="D643" s="11"/>
      <c r="E643" s="11"/>
      <c r="F643" s="11"/>
      <c r="G643" s="26"/>
      <c r="H643" s="26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</row>
    <row r="644" spans="1:64" ht="13">
      <c r="A644" s="11"/>
      <c r="B644" s="11"/>
      <c r="C644" s="11"/>
      <c r="D644" s="11"/>
      <c r="E644" s="11"/>
      <c r="F644" s="11"/>
      <c r="G644" s="26"/>
      <c r="H644" s="26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</row>
    <row r="645" spans="1:64" ht="13">
      <c r="A645" s="11"/>
      <c r="B645" s="11"/>
      <c r="C645" s="11"/>
      <c r="D645" s="11"/>
      <c r="E645" s="11"/>
      <c r="F645" s="11"/>
      <c r="G645" s="26"/>
      <c r="H645" s="26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</row>
    <row r="646" spans="1:64" ht="13">
      <c r="A646" s="11"/>
      <c r="B646" s="11"/>
      <c r="C646" s="11"/>
      <c r="D646" s="11"/>
      <c r="E646" s="11"/>
      <c r="F646" s="11"/>
      <c r="G646" s="26"/>
      <c r="H646" s="26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</row>
    <row r="647" spans="1:64" ht="13">
      <c r="A647" s="11"/>
      <c r="B647" s="11"/>
      <c r="C647" s="11"/>
      <c r="D647" s="11"/>
      <c r="E647" s="11"/>
      <c r="F647" s="11"/>
      <c r="G647" s="26"/>
      <c r="H647" s="26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</row>
    <row r="648" spans="1:64" ht="13">
      <c r="A648" s="11"/>
      <c r="B648" s="11"/>
      <c r="C648" s="11"/>
      <c r="D648" s="11"/>
      <c r="E648" s="11"/>
      <c r="F648" s="11"/>
      <c r="G648" s="26"/>
      <c r="H648" s="26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</row>
    <row r="649" spans="1:64" ht="13">
      <c r="A649" s="11"/>
      <c r="B649" s="11"/>
      <c r="C649" s="11"/>
      <c r="D649" s="11"/>
      <c r="E649" s="11"/>
      <c r="F649" s="11"/>
      <c r="G649" s="26"/>
      <c r="H649" s="26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</row>
    <row r="650" spans="1:64" ht="13">
      <c r="A650" s="11"/>
      <c r="B650" s="11"/>
      <c r="C650" s="11"/>
      <c r="D650" s="11"/>
      <c r="E650" s="11"/>
      <c r="F650" s="11"/>
      <c r="G650" s="26"/>
      <c r="H650" s="26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</row>
    <row r="651" spans="1:64" ht="13">
      <c r="A651" s="11"/>
      <c r="B651" s="11"/>
      <c r="C651" s="11"/>
      <c r="D651" s="11"/>
      <c r="E651" s="11"/>
      <c r="F651" s="11"/>
      <c r="G651" s="26"/>
      <c r="H651" s="26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</row>
    <row r="652" spans="1:64" ht="13">
      <c r="A652" s="11"/>
      <c r="B652" s="11"/>
      <c r="C652" s="11"/>
      <c r="D652" s="11"/>
      <c r="E652" s="11"/>
      <c r="F652" s="11"/>
      <c r="G652" s="26"/>
      <c r="H652" s="26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</row>
    <row r="653" spans="1:64" ht="13">
      <c r="A653" s="11"/>
      <c r="B653" s="11"/>
      <c r="C653" s="11"/>
      <c r="D653" s="11"/>
      <c r="E653" s="11"/>
      <c r="F653" s="11"/>
      <c r="G653" s="26"/>
      <c r="H653" s="26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</row>
    <row r="654" spans="1:64" ht="13">
      <c r="A654" s="11"/>
      <c r="B654" s="11"/>
      <c r="C654" s="11"/>
      <c r="D654" s="11"/>
      <c r="E654" s="11"/>
      <c r="F654" s="11"/>
      <c r="G654" s="26"/>
      <c r="H654" s="26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</row>
    <row r="655" spans="1:64" ht="13">
      <c r="A655" s="11"/>
      <c r="B655" s="11"/>
      <c r="C655" s="11"/>
      <c r="D655" s="11"/>
      <c r="E655" s="11"/>
      <c r="F655" s="11"/>
      <c r="G655" s="26"/>
      <c r="H655" s="26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</row>
    <row r="656" spans="1:64" ht="13">
      <c r="A656" s="11"/>
      <c r="B656" s="11"/>
      <c r="C656" s="11"/>
      <c r="D656" s="11"/>
      <c r="E656" s="11"/>
      <c r="F656" s="11"/>
      <c r="G656" s="26"/>
      <c r="H656" s="26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</row>
    <row r="657" spans="1:64" ht="13">
      <c r="A657" s="11"/>
      <c r="B657" s="11"/>
      <c r="C657" s="11"/>
      <c r="D657" s="11"/>
      <c r="E657" s="11"/>
      <c r="F657" s="11"/>
      <c r="G657" s="26"/>
      <c r="H657" s="26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</row>
    <row r="658" spans="1:64" ht="13">
      <c r="A658" s="11"/>
      <c r="B658" s="11"/>
      <c r="C658" s="11"/>
      <c r="D658" s="11"/>
      <c r="E658" s="11"/>
      <c r="F658" s="11"/>
      <c r="G658" s="26"/>
      <c r="H658" s="26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</row>
    <row r="659" spans="1:64" ht="13">
      <c r="A659" s="11"/>
      <c r="B659" s="11"/>
      <c r="C659" s="11"/>
      <c r="D659" s="11"/>
      <c r="E659" s="11"/>
      <c r="F659" s="11"/>
      <c r="G659" s="26"/>
      <c r="H659" s="26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</row>
    <row r="660" spans="1:64" ht="13">
      <c r="A660" s="11"/>
      <c r="B660" s="11"/>
      <c r="C660" s="11"/>
      <c r="D660" s="11"/>
      <c r="E660" s="11"/>
      <c r="F660" s="11"/>
      <c r="G660" s="26"/>
      <c r="H660" s="26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</row>
    <row r="661" spans="1:64" ht="13">
      <c r="A661" s="11"/>
      <c r="B661" s="11"/>
      <c r="C661" s="11"/>
      <c r="D661" s="11"/>
      <c r="E661" s="11"/>
      <c r="F661" s="11"/>
      <c r="G661" s="26"/>
      <c r="H661" s="26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</row>
    <row r="662" spans="1:64" ht="13">
      <c r="A662" s="11"/>
      <c r="B662" s="11"/>
      <c r="C662" s="11"/>
      <c r="D662" s="11"/>
      <c r="E662" s="11"/>
      <c r="F662" s="11"/>
      <c r="G662" s="26"/>
      <c r="H662" s="26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</row>
    <row r="663" spans="1:64" ht="13">
      <c r="A663" s="11"/>
      <c r="B663" s="11"/>
      <c r="C663" s="11"/>
      <c r="D663" s="11"/>
      <c r="E663" s="11"/>
      <c r="F663" s="11"/>
      <c r="G663" s="26"/>
      <c r="H663" s="26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</row>
    <row r="664" spans="1:64" ht="13">
      <c r="A664" s="11"/>
      <c r="B664" s="11"/>
      <c r="C664" s="11"/>
      <c r="D664" s="11"/>
      <c r="E664" s="11"/>
      <c r="F664" s="11"/>
      <c r="G664" s="26"/>
      <c r="H664" s="26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</row>
    <row r="665" spans="1:64" ht="13">
      <c r="A665" s="11"/>
      <c r="B665" s="11"/>
      <c r="C665" s="11"/>
      <c r="D665" s="11"/>
      <c r="E665" s="11"/>
      <c r="F665" s="11"/>
      <c r="G665" s="26"/>
      <c r="H665" s="26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</row>
    <row r="666" spans="1:64" ht="13">
      <c r="A666" s="11"/>
      <c r="B666" s="11"/>
      <c r="C666" s="11"/>
      <c r="D666" s="11"/>
      <c r="E666" s="11"/>
      <c r="F666" s="11"/>
      <c r="G666" s="26"/>
      <c r="H666" s="26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</row>
    <row r="667" spans="1:64" ht="13">
      <c r="A667" s="11"/>
      <c r="B667" s="11"/>
      <c r="C667" s="11"/>
      <c r="D667" s="11"/>
      <c r="E667" s="11"/>
      <c r="F667" s="11"/>
      <c r="G667" s="26"/>
      <c r="H667" s="26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</row>
    <row r="668" spans="1:64" ht="13">
      <c r="A668" s="11"/>
      <c r="B668" s="11"/>
      <c r="C668" s="11"/>
      <c r="D668" s="11"/>
      <c r="E668" s="11"/>
      <c r="F668" s="11"/>
      <c r="G668" s="26"/>
      <c r="H668" s="26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</row>
    <row r="669" spans="1:64" ht="13">
      <c r="A669" s="11"/>
      <c r="B669" s="11"/>
      <c r="C669" s="11"/>
      <c r="D669" s="11"/>
      <c r="E669" s="11"/>
      <c r="F669" s="11"/>
      <c r="G669" s="26"/>
      <c r="H669" s="26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</row>
    <row r="670" spans="1:64" ht="13">
      <c r="A670" s="11"/>
      <c r="B670" s="11"/>
      <c r="C670" s="11"/>
      <c r="D670" s="11"/>
      <c r="E670" s="11"/>
      <c r="F670" s="11"/>
      <c r="G670" s="26"/>
      <c r="H670" s="26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</row>
    <row r="671" spans="1:64" ht="13">
      <c r="A671" s="11"/>
      <c r="B671" s="11"/>
      <c r="C671" s="11"/>
      <c r="D671" s="11"/>
      <c r="E671" s="11"/>
      <c r="F671" s="11"/>
      <c r="G671" s="26"/>
      <c r="H671" s="26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</row>
    <row r="672" spans="1:64" ht="13">
      <c r="A672" s="11"/>
      <c r="B672" s="11"/>
      <c r="C672" s="11"/>
      <c r="D672" s="11"/>
      <c r="E672" s="11"/>
      <c r="F672" s="11"/>
      <c r="G672" s="26"/>
      <c r="H672" s="26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</row>
    <row r="673" spans="1:64" ht="13">
      <c r="A673" s="11"/>
      <c r="B673" s="11"/>
      <c r="C673" s="11"/>
      <c r="D673" s="11"/>
      <c r="E673" s="11"/>
      <c r="F673" s="11"/>
      <c r="G673" s="26"/>
      <c r="H673" s="26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</row>
    <row r="674" spans="1:64" ht="13">
      <c r="A674" s="11"/>
      <c r="B674" s="11"/>
      <c r="C674" s="11"/>
      <c r="D674" s="11"/>
      <c r="E674" s="11"/>
      <c r="F674" s="11"/>
      <c r="G674" s="26"/>
      <c r="H674" s="26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</row>
    <row r="675" spans="1:64" ht="13">
      <c r="A675" s="11"/>
      <c r="B675" s="11"/>
      <c r="C675" s="11"/>
      <c r="D675" s="11"/>
      <c r="E675" s="11"/>
      <c r="F675" s="11"/>
      <c r="G675" s="26"/>
      <c r="H675" s="26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</row>
    <row r="676" spans="1:64" ht="13">
      <c r="A676" s="11"/>
      <c r="B676" s="11"/>
      <c r="C676" s="11"/>
      <c r="D676" s="11"/>
      <c r="E676" s="11"/>
      <c r="F676" s="11"/>
      <c r="G676" s="26"/>
      <c r="H676" s="26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</row>
    <row r="677" spans="1:64" ht="13">
      <c r="A677" s="11"/>
      <c r="B677" s="11"/>
      <c r="C677" s="11"/>
      <c r="D677" s="11"/>
      <c r="E677" s="11"/>
      <c r="F677" s="11"/>
      <c r="G677" s="26"/>
      <c r="H677" s="26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</row>
    <row r="678" spans="1:64" ht="13">
      <c r="A678" s="11"/>
      <c r="B678" s="11"/>
      <c r="C678" s="11"/>
      <c r="D678" s="11"/>
      <c r="E678" s="11"/>
      <c r="F678" s="11"/>
      <c r="G678" s="26"/>
      <c r="H678" s="26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</row>
    <row r="679" spans="1:64" ht="13">
      <c r="A679" s="11"/>
      <c r="B679" s="11"/>
      <c r="C679" s="11"/>
      <c r="D679" s="11"/>
      <c r="E679" s="11"/>
      <c r="F679" s="11"/>
      <c r="G679" s="26"/>
      <c r="H679" s="26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</row>
    <row r="680" spans="1:64" ht="13">
      <c r="A680" s="11"/>
      <c r="B680" s="11"/>
      <c r="C680" s="11"/>
      <c r="D680" s="11"/>
      <c r="E680" s="11"/>
      <c r="F680" s="11"/>
      <c r="G680" s="26"/>
      <c r="H680" s="26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</row>
    <row r="681" spans="1:64" ht="13">
      <c r="A681" s="11"/>
      <c r="B681" s="11"/>
      <c r="C681" s="11"/>
      <c r="D681" s="11"/>
      <c r="E681" s="11"/>
      <c r="F681" s="11"/>
      <c r="G681" s="26"/>
      <c r="H681" s="26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</row>
    <row r="682" spans="1:64" ht="13">
      <c r="A682" s="11"/>
      <c r="B682" s="11"/>
      <c r="C682" s="11"/>
      <c r="D682" s="11"/>
      <c r="E682" s="11"/>
      <c r="F682" s="11"/>
      <c r="G682" s="26"/>
      <c r="H682" s="26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</row>
    <row r="683" spans="1:64" ht="13">
      <c r="A683" s="11"/>
      <c r="B683" s="11"/>
      <c r="C683" s="11"/>
      <c r="D683" s="11"/>
      <c r="E683" s="11"/>
      <c r="F683" s="11"/>
      <c r="G683" s="26"/>
      <c r="H683" s="26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</row>
    <row r="684" spans="1:64" ht="13">
      <c r="A684" s="11"/>
      <c r="B684" s="11"/>
      <c r="C684" s="11"/>
      <c r="D684" s="11"/>
      <c r="E684" s="11"/>
      <c r="F684" s="11"/>
      <c r="G684" s="26"/>
      <c r="H684" s="26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</row>
    <row r="685" spans="1:64" ht="13">
      <c r="A685" s="11"/>
      <c r="B685" s="11"/>
      <c r="C685" s="11"/>
      <c r="D685" s="11"/>
      <c r="E685" s="11"/>
      <c r="F685" s="11"/>
      <c r="G685" s="26"/>
      <c r="H685" s="26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</row>
    <row r="686" spans="1:64" ht="13">
      <c r="A686" s="11"/>
      <c r="B686" s="11"/>
      <c r="C686" s="11"/>
      <c r="D686" s="11"/>
      <c r="E686" s="11"/>
      <c r="F686" s="11"/>
      <c r="G686" s="26"/>
      <c r="H686" s="26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</row>
    <row r="687" spans="1:64" ht="13">
      <c r="A687" s="11"/>
      <c r="B687" s="11"/>
      <c r="C687" s="11"/>
      <c r="D687" s="11"/>
      <c r="E687" s="11"/>
      <c r="F687" s="11"/>
      <c r="G687" s="26"/>
      <c r="H687" s="26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</row>
    <row r="688" spans="1:64" ht="13">
      <c r="A688" s="11"/>
      <c r="B688" s="11"/>
      <c r="C688" s="11"/>
      <c r="D688" s="11"/>
      <c r="E688" s="11"/>
      <c r="F688" s="11"/>
      <c r="G688" s="26"/>
      <c r="H688" s="26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</row>
    <row r="689" spans="1:64" ht="13">
      <c r="A689" s="11"/>
      <c r="B689" s="11"/>
      <c r="C689" s="11"/>
      <c r="D689" s="11"/>
      <c r="E689" s="11"/>
      <c r="F689" s="11"/>
      <c r="G689" s="26"/>
      <c r="H689" s="26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</row>
    <row r="690" spans="1:64" ht="13">
      <c r="A690" s="11"/>
      <c r="B690" s="11"/>
      <c r="C690" s="11"/>
      <c r="D690" s="11"/>
      <c r="E690" s="11"/>
      <c r="F690" s="11"/>
      <c r="G690" s="26"/>
      <c r="H690" s="26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</row>
    <row r="691" spans="1:64" ht="13">
      <c r="A691" s="11"/>
      <c r="B691" s="11"/>
      <c r="C691" s="11"/>
      <c r="D691" s="11"/>
      <c r="E691" s="11"/>
      <c r="F691" s="11"/>
      <c r="G691" s="26"/>
      <c r="H691" s="26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</row>
    <row r="692" spans="1:64" ht="13">
      <c r="A692" s="11"/>
      <c r="B692" s="11"/>
      <c r="C692" s="11"/>
      <c r="D692" s="11"/>
      <c r="E692" s="11"/>
      <c r="F692" s="11"/>
      <c r="G692" s="26"/>
      <c r="H692" s="26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</row>
    <row r="693" spans="1:64" ht="13">
      <c r="A693" s="11"/>
      <c r="B693" s="11"/>
      <c r="C693" s="11"/>
      <c r="D693" s="11"/>
      <c r="E693" s="11"/>
      <c r="F693" s="11"/>
      <c r="G693" s="26"/>
      <c r="H693" s="26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</row>
    <row r="694" spans="1:64" ht="13">
      <c r="A694" s="11"/>
      <c r="B694" s="11"/>
      <c r="C694" s="11"/>
      <c r="D694" s="11"/>
      <c r="E694" s="11"/>
      <c r="F694" s="11"/>
      <c r="G694" s="26"/>
      <c r="H694" s="26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</row>
    <row r="695" spans="1:64" ht="13">
      <c r="A695" s="11"/>
      <c r="B695" s="11"/>
      <c r="C695" s="11"/>
      <c r="D695" s="11"/>
      <c r="E695" s="11"/>
      <c r="F695" s="11"/>
      <c r="G695" s="26"/>
      <c r="H695" s="26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</row>
    <row r="696" spans="1:64" ht="13">
      <c r="A696" s="11"/>
      <c r="B696" s="11"/>
      <c r="C696" s="11"/>
      <c r="D696" s="11"/>
      <c r="E696" s="11"/>
      <c r="F696" s="11"/>
      <c r="G696" s="26"/>
      <c r="H696" s="26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</row>
    <row r="697" spans="1:64" ht="13">
      <c r="A697" s="11"/>
      <c r="B697" s="11"/>
      <c r="C697" s="11"/>
      <c r="D697" s="11"/>
      <c r="E697" s="11"/>
      <c r="F697" s="11"/>
      <c r="G697" s="26"/>
      <c r="H697" s="26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</row>
    <row r="698" spans="1:64" ht="13">
      <c r="A698" s="11"/>
      <c r="B698" s="11"/>
      <c r="C698" s="11"/>
      <c r="D698" s="11"/>
      <c r="E698" s="11"/>
      <c r="F698" s="11"/>
      <c r="G698" s="26"/>
      <c r="H698" s="26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</row>
    <row r="699" spans="1:64" ht="13">
      <c r="A699" s="11"/>
      <c r="B699" s="11"/>
      <c r="C699" s="11"/>
      <c r="D699" s="11"/>
      <c r="E699" s="11"/>
      <c r="F699" s="11"/>
      <c r="G699" s="26"/>
      <c r="H699" s="26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</row>
    <row r="700" spans="1:64" ht="13">
      <c r="A700" s="11"/>
      <c r="B700" s="11"/>
      <c r="C700" s="11"/>
      <c r="D700" s="11"/>
      <c r="E700" s="11"/>
      <c r="F700" s="11"/>
      <c r="G700" s="26"/>
      <c r="H700" s="26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</row>
    <row r="701" spans="1:64" ht="13">
      <c r="A701" s="11"/>
      <c r="B701" s="11"/>
      <c r="C701" s="11"/>
      <c r="D701" s="11"/>
      <c r="E701" s="11"/>
      <c r="F701" s="11"/>
      <c r="G701" s="26"/>
      <c r="H701" s="26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</row>
    <row r="702" spans="1:64" ht="13">
      <c r="A702" s="11"/>
      <c r="B702" s="11"/>
      <c r="C702" s="11"/>
      <c r="D702" s="11"/>
      <c r="E702" s="11"/>
      <c r="F702" s="11"/>
      <c r="G702" s="26"/>
      <c r="H702" s="26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</row>
    <row r="703" spans="1:64" ht="13">
      <c r="A703" s="11"/>
      <c r="B703" s="11"/>
      <c r="C703" s="11"/>
      <c r="D703" s="11"/>
      <c r="E703" s="11"/>
      <c r="F703" s="11"/>
      <c r="G703" s="26"/>
      <c r="H703" s="26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</row>
    <row r="704" spans="1:64" ht="13">
      <c r="A704" s="11"/>
      <c r="B704" s="11"/>
      <c r="C704" s="11"/>
      <c r="D704" s="11"/>
      <c r="E704" s="11"/>
      <c r="F704" s="11"/>
      <c r="G704" s="26"/>
      <c r="H704" s="26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</row>
    <row r="705" spans="1:64" ht="13">
      <c r="A705" s="11"/>
      <c r="B705" s="11"/>
      <c r="C705" s="11"/>
      <c r="D705" s="11"/>
      <c r="E705" s="11"/>
      <c r="F705" s="11"/>
      <c r="G705" s="26"/>
      <c r="H705" s="26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</row>
    <row r="706" spans="1:64" ht="13">
      <c r="A706" s="11"/>
      <c r="B706" s="11"/>
      <c r="C706" s="11"/>
      <c r="D706" s="11"/>
      <c r="E706" s="11"/>
      <c r="F706" s="11"/>
      <c r="G706" s="26"/>
      <c r="H706" s="26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</row>
    <row r="707" spans="1:64" ht="13">
      <c r="A707" s="11"/>
      <c r="B707" s="11"/>
      <c r="C707" s="11"/>
      <c r="D707" s="11"/>
      <c r="E707" s="11"/>
      <c r="F707" s="11"/>
      <c r="G707" s="26"/>
      <c r="H707" s="26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</row>
    <row r="708" spans="1:64" ht="13">
      <c r="A708" s="11"/>
      <c r="B708" s="11"/>
      <c r="C708" s="11"/>
      <c r="D708" s="11"/>
      <c r="E708" s="11"/>
      <c r="F708" s="11"/>
      <c r="G708" s="26"/>
      <c r="H708" s="26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</row>
    <row r="709" spans="1:64" ht="13">
      <c r="A709" s="11"/>
      <c r="B709" s="11"/>
      <c r="C709" s="11"/>
      <c r="D709" s="11"/>
      <c r="E709" s="11"/>
      <c r="F709" s="11"/>
      <c r="G709" s="26"/>
      <c r="H709" s="26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</row>
    <row r="710" spans="1:64" ht="13">
      <c r="A710" s="11"/>
      <c r="B710" s="11"/>
      <c r="C710" s="11"/>
      <c r="D710" s="11"/>
      <c r="E710" s="11"/>
      <c r="F710" s="11"/>
      <c r="G710" s="26"/>
      <c r="H710" s="26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</row>
    <row r="711" spans="1:64" ht="13">
      <c r="A711" s="11"/>
      <c r="B711" s="11"/>
      <c r="C711" s="11"/>
      <c r="D711" s="11"/>
      <c r="E711" s="11"/>
      <c r="F711" s="11"/>
      <c r="G711" s="26"/>
      <c r="H711" s="26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</row>
    <row r="712" spans="1:64" ht="13">
      <c r="A712" s="11"/>
      <c r="B712" s="11"/>
      <c r="C712" s="11"/>
      <c r="D712" s="11"/>
      <c r="E712" s="11"/>
      <c r="F712" s="11"/>
      <c r="G712" s="26"/>
      <c r="H712" s="26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</row>
    <row r="713" spans="1:64" ht="13">
      <c r="A713" s="11"/>
      <c r="B713" s="11"/>
      <c r="C713" s="11"/>
      <c r="D713" s="11"/>
      <c r="E713" s="11"/>
      <c r="F713" s="11"/>
      <c r="G713" s="26"/>
      <c r="H713" s="26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</row>
    <row r="714" spans="1:64" ht="13">
      <c r="A714" s="11"/>
      <c r="B714" s="11"/>
      <c r="C714" s="11"/>
      <c r="D714" s="11"/>
      <c r="E714" s="11"/>
      <c r="F714" s="11"/>
      <c r="G714" s="26"/>
      <c r="H714" s="26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</row>
    <row r="715" spans="1:64" ht="13">
      <c r="A715" s="11"/>
      <c r="B715" s="11"/>
      <c r="C715" s="11"/>
      <c r="D715" s="11"/>
      <c r="E715" s="11"/>
      <c r="F715" s="11"/>
      <c r="G715" s="26"/>
      <c r="H715" s="26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</row>
    <row r="716" spans="1:64" ht="13">
      <c r="A716" s="11"/>
      <c r="B716" s="11"/>
      <c r="C716" s="11"/>
      <c r="D716" s="11"/>
      <c r="E716" s="11"/>
      <c r="F716" s="11"/>
      <c r="G716" s="26"/>
      <c r="H716" s="26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</row>
    <row r="717" spans="1:64" ht="13">
      <c r="A717" s="11"/>
      <c r="B717" s="11"/>
      <c r="C717" s="11"/>
      <c r="D717" s="11"/>
      <c r="E717" s="11"/>
      <c r="F717" s="11"/>
      <c r="G717" s="26"/>
      <c r="H717" s="26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</row>
    <row r="718" spans="1:64" ht="13">
      <c r="A718" s="11"/>
      <c r="B718" s="11"/>
      <c r="C718" s="11"/>
      <c r="D718" s="11"/>
      <c r="E718" s="11"/>
      <c r="F718" s="11"/>
      <c r="G718" s="26"/>
      <c r="H718" s="26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</row>
    <row r="719" spans="1:64" ht="13">
      <c r="A719" s="11"/>
      <c r="B719" s="11"/>
      <c r="C719" s="11"/>
      <c r="D719" s="11"/>
      <c r="E719" s="11"/>
      <c r="F719" s="11"/>
      <c r="G719" s="26"/>
      <c r="H719" s="26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</row>
    <row r="720" spans="1:64" ht="13">
      <c r="A720" s="11"/>
      <c r="B720" s="11"/>
      <c r="C720" s="11"/>
      <c r="D720" s="11"/>
      <c r="E720" s="11"/>
      <c r="F720" s="11"/>
      <c r="G720" s="26"/>
      <c r="H720" s="26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</row>
    <row r="721" spans="1:64" ht="13">
      <c r="A721" s="11"/>
      <c r="B721" s="11"/>
      <c r="C721" s="11"/>
      <c r="D721" s="11"/>
      <c r="E721" s="11"/>
      <c r="F721" s="11"/>
      <c r="G721" s="26"/>
      <c r="H721" s="26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</row>
    <row r="722" spans="1:64" ht="13">
      <c r="A722" s="11"/>
      <c r="B722" s="11"/>
      <c r="C722" s="11"/>
      <c r="D722" s="11"/>
      <c r="E722" s="11"/>
      <c r="F722" s="11"/>
      <c r="G722" s="26"/>
      <c r="H722" s="26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</row>
    <row r="723" spans="1:64" ht="13">
      <c r="A723" s="11"/>
      <c r="B723" s="11"/>
      <c r="C723" s="11"/>
      <c r="D723" s="11"/>
      <c r="E723" s="11"/>
      <c r="F723" s="11"/>
      <c r="G723" s="26"/>
      <c r="H723" s="26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</row>
    <row r="724" spans="1:64" ht="13">
      <c r="A724" s="11"/>
      <c r="B724" s="11"/>
      <c r="C724" s="11"/>
      <c r="D724" s="11"/>
      <c r="E724" s="11"/>
      <c r="F724" s="11"/>
      <c r="G724" s="26"/>
      <c r="H724" s="26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</row>
    <row r="725" spans="1:64" ht="13">
      <c r="A725" s="11"/>
      <c r="B725" s="11"/>
      <c r="C725" s="11"/>
      <c r="D725" s="11"/>
      <c r="E725" s="11"/>
      <c r="F725" s="11"/>
      <c r="G725" s="26"/>
      <c r="H725" s="26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</row>
    <row r="726" spans="1:64" ht="13">
      <c r="A726" s="11"/>
      <c r="B726" s="11"/>
      <c r="C726" s="11"/>
      <c r="D726" s="11"/>
      <c r="E726" s="11"/>
      <c r="F726" s="11"/>
      <c r="G726" s="26"/>
      <c r="H726" s="26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</row>
    <row r="727" spans="1:64" ht="13">
      <c r="A727" s="11"/>
      <c r="B727" s="11"/>
      <c r="C727" s="11"/>
      <c r="D727" s="11"/>
      <c r="E727" s="11"/>
      <c r="F727" s="11"/>
      <c r="G727" s="26"/>
      <c r="H727" s="26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</row>
    <row r="728" spans="1:64" ht="13">
      <c r="A728" s="11"/>
      <c r="B728" s="11"/>
      <c r="C728" s="11"/>
      <c r="D728" s="11"/>
      <c r="E728" s="11"/>
      <c r="F728" s="11"/>
      <c r="G728" s="26"/>
      <c r="H728" s="26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</row>
    <row r="729" spans="1:64" ht="13">
      <c r="A729" s="11"/>
      <c r="B729" s="11"/>
      <c r="C729" s="11"/>
      <c r="D729" s="11"/>
      <c r="E729" s="11"/>
      <c r="F729" s="11"/>
      <c r="G729" s="26"/>
      <c r="H729" s="26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</row>
    <row r="730" spans="1:64" ht="13">
      <c r="A730" s="11"/>
      <c r="B730" s="11"/>
      <c r="C730" s="11"/>
      <c r="D730" s="11"/>
      <c r="E730" s="11"/>
      <c r="F730" s="11"/>
      <c r="G730" s="26"/>
      <c r="H730" s="26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</row>
    <row r="731" spans="1:64" ht="13">
      <c r="A731" s="11"/>
      <c r="B731" s="11"/>
      <c r="C731" s="11"/>
      <c r="D731" s="11"/>
      <c r="E731" s="11"/>
      <c r="F731" s="11"/>
      <c r="G731" s="26"/>
      <c r="H731" s="26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</row>
    <row r="732" spans="1:64" ht="13">
      <c r="A732" s="11"/>
      <c r="B732" s="11"/>
      <c r="C732" s="11"/>
      <c r="D732" s="11"/>
      <c r="E732" s="11"/>
      <c r="F732" s="11"/>
      <c r="G732" s="26"/>
      <c r="H732" s="26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</row>
    <row r="733" spans="1:64" ht="13">
      <c r="A733" s="11"/>
      <c r="B733" s="11"/>
      <c r="C733" s="11"/>
      <c r="D733" s="11"/>
      <c r="E733" s="11"/>
      <c r="F733" s="11"/>
      <c r="G733" s="26"/>
      <c r="H733" s="26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</row>
    <row r="734" spans="1:64" ht="13">
      <c r="A734" s="11"/>
      <c r="B734" s="11"/>
      <c r="C734" s="11"/>
      <c r="D734" s="11"/>
      <c r="E734" s="11"/>
      <c r="F734" s="11"/>
      <c r="G734" s="26"/>
      <c r="H734" s="26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</row>
    <row r="735" spans="1:64" ht="13">
      <c r="A735" s="11"/>
      <c r="B735" s="11"/>
      <c r="C735" s="11"/>
      <c r="D735" s="11"/>
      <c r="E735" s="11"/>
      <c r="F735" s="11"/>
      <c r="G735" s="26"/>
      <c r="H735" s="26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</row>
    <row r="736" spans="1:64" ht="13">
      <c r="A736" s="11"/>
      <c r="B736" s="11"/>
      <c r="C736" s="11"/>
      <c r="D736" s="11"/>
      <c r="E736" s="11"/>
      <c r="F736" s="11"/>
      <c r="G736" s="26"/>
      <c r="H736" s="26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</row>
    <row r="737" spans="1:64" ht="13">
      <c r="A737" s="11"/>
      <c r="B737" s="11"/>
      <c r="C737" s="11"/>
      <c r="D737" s="11"/>
      <c r="E737" s="11"/>
      <c r="F737" s="11"/>
      <c r="G737" s="26"/>
      <c r="H737" s="26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</row>
    <row r="738" spans="1:64" ht="13">
      <c r="A738" s="11"/>
      <c r="B738" s="11"/>
      <c r="C738" s="11"/>
      <c r="D738" s="11"/>
      <c r="E738" s="11"/>
      <c r="F738" s="11"/>
      <c r="G738" s="26"/>
      <c r="H738" s="26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</row>
    <row r="739" spans="1:64" ht="13">
      <c r="A739" s="11"/>
      <c r="B739" s="11"/>
      <c r="C739" s="11"/>
      <c r="D739" s="11"/>
      <c r="E739" s="11"/>
      <c r="F739" s="11"/>
      <c r="G739" s="26"/>
      <c r="H739" s="26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</row>
    <row r="740" spans="1:64" ht="13">
      <c r="A740" s="11"/>
      <c r="B740" s="11"/>
      <c r="C740" s="11"/>
      <c r="D740" s="11"/>
      <c r="E740" s="11"/>
      <c r="F740" s="11"/>
      <c r="G740" s="26"/>
      <c r="H740" s="26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</row>
    <row r="741" spans="1:64" ht="13">
      <c r="A741" s="11"/>
      <c r="B741" s="11"/>
      <c r="C741" s="11"/>
      <c r="D741" s="11"/>
      <c r="E741" s="11"/>
      <c r="F741" s="11"/>
      <c r="G741" s="26"/>
      <c r="H741" s="26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</row>
    <row r="742" spans="1:64" ht="13">
      <c r="A742" s="11"/>
      <c r="B742" s="11"/>
      <c r="C742" s="11"/>
      <c r="D742" s="11"/>
      <c r="E742" s="11"/>
      <c r="F742" s="11"/>
      <c r="G742" s="26"/>
      <c r="H742" s="26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</row>
    <row r="743" spans="1:64" ht="13">
      <c r="A743" s="11"/>
      <c r="B743" s="11"/>
      <c r="C743" s="11"/>
      <c r="D743" s="11"/>
      <c r="E743" s="11"/>
      <c r="F743" s="11"/>
      <c r="G743" s="26"/>
      <c r="H743" s="26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</row>
    <row r="744" spans="1:64" ht="13">
      <c r="A744" s="11"/>
      <c r="B744" s="11"/>
      <c r="C744" s="11"/>
      <c r="D744" s="11"/>
      <c r="E744" s="11"/>
      <c r="F744" s="11"/>
      <c r="G744" s="26"/>
      <c r="H744" s="26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</row>
    <row r="745" spans="1:64" ht="13">
      <c r="A745" s="11"/>
      <c r="B745" s="11"/>
      <c r="C745" s="11"/>
      <c r="D745" s="11"/>
      <c r="E745" s="11"/>
      <c r="F745" s="11"/>
      <c r="G745" s="26"/>
      <c r="H745" s="26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</row>
    <row r="746" spans="1:64" ht="13">
      <c r="A746" s="11"/>
      <c r="B746" s="11"/>
      <c r="C746" s="11"/>
      <c r="D746" s="11"/>
      <c r="E746" s="11"/>
      <c r="F746" s="11"/>
      <c r="G746" s="26"/>
      <c r="H746" s="26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</row>
    <row r="747" spans="1:64" ht="13">
      <c r="A747" s="11"/>
      <c r="B747" s="11"/>
      <c r="C747" s="11"/>
      <c r="D747" s="11"/>
      <c r="E747" s="11"/>
      <c r="F747" s="11"/>
      <c r="G747" s="26"/>
      <c r="H747" s="26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</row>
    <row r="748" spans="1:64" ht="13">
      <c r="A748" s="11"/>
      <c r="B748" s="11"/>
      <c r="C748" s="11"/>
      <c r="D748" s="11"/>
      <c r="E748" s="11"/>
      <c r="F748" s="11"/>
      <c r="G748" s="26"/>
      <c r="H748" s="26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</row>
    <row r="749" spans="1:64" ht="13">
      <c r="A749" s="11"/>
      <c r="B749" s="11"/>
      <c r="C749" s="11"/>
      <c r="D749" s="11"/>
      <c r="E749" s="11"/>
      <c r="F749" s="11"/>
      <c r="G749" s="26"/>
      <c r="H749" s="26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</row>
    <row r="750" spans="1:64" ht="13">
      <c r="A750" s="11"/>
      <c r="B750" s="11"/>
      <c r="C750" s="11"/>
      <c r="D750" s="11"/>
      <c r="E750" s="11"/>
      <c r="F750" s="11"/>
      <c r="G750" s="26"/>
      <c r="H750" s="26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</row>
    <row r="751" spans="1:64" ht="13">
      <c r="A751" s="11"/>
      <c r="B751" s="11"/>
      <c r="C751" s="11"/>
      <c r="D751" s="11"/>
      <c r="E751" s="11"/>
      <c r="F751" s="11"/>
      <c r="G751" s="26"/>
      <c r="H751" s="26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</row>
    <row r="752" spans="1:64" ht="13">
      <c r="A752" s="11"/>
      <c r="B752" s="11"/>
      <c r="C752" s="11"/>
      <c r="D752" s="11"/>
      <c r="E752" s="11"/>
      <c r="F752" s="11"/>
      <c r="G752" s="26"/>
      <c r="H752" s="26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</row>
    <row r="753" spans="1:64" ht="13">
      <c r="A753" s="11"/>
      <c r="B753" s="11"/>
      <c r="C753" s="11"/>
      <c r="D753" s="11"/>
      <c r="E753" s="11"/>
      <c r="F753" s="11"/>
      <c r="G753" s="26"/>
      <c r="H753" s="26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</row>
    <row r="754" spans="1:64" ht="13">
      <c r="A754" s="11"/>
      <c r="B754" s="11"/>
      <c r="C754" s="11"/>
      <c r="D754" s="11"/>
      <c r="E754" s="11"/>
      <c r="F754" s="11"/>
      <c r="G754" s="26"/>
      <c r="H754" s="26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</row>
    <row r="755" spans="1:64" ht="13">
      <c r="A755" s="11"/>
      <c r="B755" s="11"/>
      <c r="C755" s="11"/>
      <c r="D755" s="11"/>
      <c r="E755" s="11"/>
      <c r="F755" s="11"/>
      <c r="G755" s="26"/>
      <c r="H755" s="26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</row>
    <row r="756" spans="1:64" ht="13">
      <c r="A756" s="11"/>
      <c r="B756" s="11"/>
      <c r="C756" s="11"/>
      <c r="D756" s="11"/>
      <c r="E756" s="11"/>
      <c r="F756" s="11"/>
      <c r="G756" s="26"/>
      <c r="H756" s="26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</row>
    <row r="757" spans="1:64" ht="13">
      <c r="A757" s="11"/>
      <c r="B757" s="11"/>
      <c r="C757" s="11"/>
      <c r="D757" s="11"/>
      <c r="E757" s="11"/>
      <c r="F757" s="11"/>
      <c r="G757" s="26"/>
      <c r="H757" s="26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</row>
    <row r="758" spans="1:64" ht="13">
      <c r="A758" s="11"/>
      <c r="B758" s="11"/>
      <c r="C758" s="11"/>
      <c r="D758" s="11"/>
      <c r="E758" s="11"/>
      <c r="F758" s="11"/>
      <c r="G758" s="26"/>
      <c r="H758" s="26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</row>
    <row r="759" spans="1:64" ht="13">
      <c r="A759" s="11"/>
      <c r="B759" s="11"/>
      <c r="C759" s="11"/>
      <c r="D759" s="11"/>
      <c r="E759" s="11"/>
      <c r="F759" s="11"/>
      <c r="G759" s="26"/>
      <c r="H759" s="26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</row>
    <row r="760" spans="1:64" ht="13">
      <c r="A760" s="11"/>
      <c r="B760" s="11"/>
      <c r="C760" s="11"/>
      <c r="D760" s="11"/>
      <c r="E760" s="11"/>
      <c r="F760" s="11"/>
      <c r="G760" s="26"/>
      <c r="H760" s="26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</row>
    <row r="761" spans="1:64" ht="13">
      <c r="A761" s="11"/>
      <c r="B761" s="11"/>
      <c r="C761" s="11"/>
      <c r="D761" s="11"/>
      <c r="E761" s="11"/>
      <c r="F761" s="11"/>
      <c r="G761" s="26"/>
      <c r="H761" s="26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</row>
    <row r="762" spans="1:64" ht="13">
      <c r="A762" s="11"/>
      <c r="B762" s="11"/>
      <c r="C762" s="11"/>
      <c r="D762" s="11"/>
      <c r="E762" s="11"/>
      <c r="F762" s="11"/>
      <c r="G762" s="26"/>
      <c r="H762" s="26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</row>
    <row r="763" spans="1:64" ht="13">
      <c r="A763" s="11"/>
      <c r="B763" s="11"/>
      <c r="C763" s="11"/>
      <c r="D763" s="11"/>
      <c r="E763" s="11"/>
      <c r="F763" s="11"/>
      <c r="G763" s="26"/>
      <c r="H763" s="26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</row>
    <row r="764" spans="1:64" ht="13">
      <c r="A764" s="11"/>
      <c r="B764" s="11"/>
      <c r="C764" s="11"/>
      <c r="D764" s="11"/>
      <c r="E764" s="11"/>
      <c r="F764" s="11"/>
      <c r="G764" s="26"/>
      <c r="H764" s="26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</row>
    <row r="765" spans="1:64" ht="13">
      <c r="A765" s="11"/>
      <c r="B765" s="11"/>
      <c r="C765" s="11"/>
      <c r="D765" s="11"/>
      <c r="E765" s="11"/>
      <c r="F765" s="11"/>
      <c r="G765" s="26"/>
      <c r="H765" s="26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</row>
    <row r="766" spans="1:64" ht="13">
      <c r="A766" s="11"/>
      <c r="B766" s="11"/>
      <c r="C766" s="11"/>
      <c r="D766" s="11"/>
      <c r="E766" s="11"/>
      <c r="F766" s="11"/>
      <c r="G766" s="26"/>
      <c r="H766" s="26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</row>
    <row r="767" spans="1:64" ht="13">
      <c r="A767" s="11"/>
      <c r="B767" s="11"/>
      <c r="C767" s="11"/>
      <c r="D767" s="11"/>
      <c r="E767" s="11"/>
      <c r="F767" s="11"/>
      <c r="G767" s="26"/>
      <c r="H767" s="26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</row>
    <row r="768" spans="1:64" ht="13">
      <c r="A768" s="11"/>
      <c r="B768" s="11"/>
      <c r="C768" s="11"/>
      <c r="D768" s="11"/>
      <c r="E768" s="11"/>
      <c r="F768" s="11"/>
      <c r="G768" s="26"/>
      <c r="H768" s="26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</row>
    <row r="769" spans="1:64" ht="13">
      <c r="A769" s="11"/>
      <c r="B769" s="11"/>
      <c r="C769" s="11"/>
      <c r="D769" s="11"/>
      <c r="E769" s="11"/>
      <c r="F769" s="11"/>
      <c r="G769" s="26"/>
      <c r="H769" s="26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</row>
    <row r="770" spans="1:64" ht="13">
      <c r="A770" s="11"/>
      <c r="B770" s="11"/>
      <c r="C770" s="11"/>
      <c r="D770" s="11"/>
      <c r="E770" s="11"/>
      <c r="F770" s="11"/>
      <c r="G770" s="26"/>
      <c r="H770" s="26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</row>
    <row r="771" spans="1:64" ht="13">
      <c r="A771" s="11"/>
      <c r="B771" s="11"/>
      <c r="C771" s="11"/>
      <c r="D771" s="11"/>
      <c r="E771" s="11"/>
      <c r="F771" s="11"/>
      <c r="G771" s="26"/>
      <c r="H771" s="26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</row>
    <row r="772" spans="1:64" ht="13">
      <c r="A772" s="11"/>
      <c r="B772" s="11"/>
      <c r="C772" s="11"/>
      <c r="D772" s="11"/>
      <c r="E772" s="11"/>
      <c r="F772" s="11"/>
      <c r="G772" s="26"/>
      <c r="H772" s="26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</row>
    <row r="773" spans="1:64" ht="13">
      <c r="A773" s="11"/>
      <c r="B773" s="11"/>
      <c r="C773" s="11"/>
      <c r="D773" s="11"/>
      <c r="E773" s="11"/>
      <c r="F773" s="11"/>
      <c r="G773" s="26"/>
      <c r="H773" s="26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</row>
    <row r="774" spans="1:64" ht="13">
      <c r="A774" s="11"/>
      <c r="B774" s="11"/>
      <c r="C774" s="11"/>
      <c r="D774" s="11"/>
      <c r="E774" s="11"/>
      <c r="F774" s="11"/>
      <c r="G774" s="26"/>
      <c r="H774" s="26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</row>
    <row r="775" spans="1:64" ht="13">
      <c r="A775" s="11"/>
      <c r="B775" s="11"/>
      <c r="C775" s="11"/>
      <c r="D775" s="11"/>
      <c r="E775" s="11"/>
      <c r="F775" s="11"/>
      <c r="G775" s="26"/>
      <c r="H775" s="26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</row>
    <row r="776" spans="1:64" ht="13">
      <c r="A776" s="11"/>
      <c r="B776" s="11"/>
      <c r="C776" s="11"/>
      <c r="D776" s="11"/>
      <c r="E776" s="11"/>
      <c r="F776" s="11"/>
      <c r="G776" s="26"/>
      <c r="H776" s="26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</row>
    <row r="777" spans="1:64" ht="13">
      <c r="A777" s="11"/>
      <c r="B777" s="11"/>
      <c r="C777" s="11"/>
      <c r="D777" s="11"/>
      <c r="E777" s="11"/>
      <c r="F777" s="11"/>
      <c r="G777" s="26"/>
      <c r="H777" s="26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</row>
    <row r="778" spans="1:64" ht="13">
      <c r="A778" s="11"/>
      <c r="B778" s="11"/>
      <c r="C778" s="11"/>
      <c r="D778" s="11"/>
      <c r="E778" s="11"/>
      <c r="F778" s="11"/>
      <c r="G778" s="26"/>
      <c r="H778" s="26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</row>
    <row r="779" spans="1:64" ht="13">
      <c r="A779" s="11"/>
      <c r="B779" s="11"/>
      <c r="C779" s="11"/>
      <c r="D779" s="11"/>
      <c r="E779" s="11"/>
      <c r="F779" s="11"/>
      <c r="G779" s="26"/>
      <c r="H779" s="26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</row>
    <row r="780" spans="1:64" ht="13">
      <c r="A780" s="11"/>
      <c r="B780" s="11"/>
      <c r="C780" s="11"/>
      <c r="D780" s="11"/>
      <c r="E780" s="11"/>
      <c r="F780" s="11"/>
      <c r="G780" s="26"/>
      <c r="H780" s="26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</row>
    <row r="781" spans="1:64" ht="13">
      <c r="A781" s="11"/>
      <c r="B781" s="11"/>
      <c r="C781" s="11"/>
      <c r="D781" s="11"/>
      <c r="E781" s="11"/>
      <c r="F781" s="11"/>
      <c r="G781" s="26"/>
      <c r="H781" s="26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</row>
    <row r="782" spans="1:64" ht="13">
      <c r="A782" s="11"/>
      <c r="B782" s="11"/>
      <c r="C782" s="11"/>
      <c r="D782" s="11"/>
      <c r="E782" s="11"/>
      <c r="F782" s="11"/>
      <c r="G782" s="26"/>
      <c r="H782" s="26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</row>
    <row r="783" spans="1:64" ht="13">
      <c r="A783" s="11"/>
      <c r="B783" s="11"/>
      <c r="C783" s="11"/>
      <c r="D783" s="11"/>
      <c r="E783" s="11"/>
      <c r="F783" s="11"/>
      <c r="G783" s="26"/>
      <c r="H783" s="26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</row>
    <row r="784" spans="1:64" ht="13">
      <c r="A784" s="11"/>
      <c r="B784" s="11"/>
      <c r="C784" s="11"/>
      <c r="D784" s="11"/>
      <c r="E784" s="11"/>
      <c r="F784" s="11"/>
      <c r="G784" s="26"/>
      <c r="H784" s="26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</row>
    <row r="785" spans="1:64" ht="13">
      <c r="A785" s="11"/>
      <c r="B785" s="11"/>
      <c r="C785" s="11"/>
      <c r="D785" s="11"/>
      <c r="E785" s="11"/>
      <c r="F785" s="11"/>
      <c r="G785" s="26"/>
      <c r="H785" s="26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</row>
    <row r="786" spans="1:64" ht="13">
      <c r="A786" s="11"/>
      <c r="B786" s="11"/>
      <c r="C786" s="11"/>
      <c r="D786" s="11"/>
      <c r="E786" s="11"/>
      <c r="F786" s="11"/>
      <c r="G786" s="26"/>
      <c r="H786" s="26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</row>
    <row r="787" spans="1:64" ht="13">
      <c r="A787" s="11"/>
      <c r="B787" s="11"/>
      <c r="C787" s="11"/>
      <c r="D787" s="11"/>
      <c r="E787" s="11"/>
      <c r="F787" s="11"/>
      <c r="G787" s="26"/>
      <c r="H787" s="26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</row>
    <row r="788" spans="1:64" ht="13">
      <c r="A788" s="11"/>
      <c r="B788" s="11"/>
      <c r="C788" s="11"/>
      <c r="D788" s="11"/>
      <c r="E788" s="11"/>
      <c r="F788" s="11"/>
      <c r="G788" s="26"/>
      <c r="H788" s="26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</row>
    <row r="789" spans="1:64" ht="13">
      <c r="A789" s="11"/>
      <c r="B789" s="11"/>
      <c r="C789" s="11"/>
      <c r="D789" s="11"/>
      <c r="E789" s="11"/>
      <c r="F789" s="11"/>
      <c r="G789" s="26"/>
      <c r="H789" s="26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</row>
    <row r="790" spans="1:64" ht="13">
      <c r="A790" s="11"/>
      <c r="B790" s="11"/>
      <c r="C790" s="11"/>
      <c r="D790" s="11"/>
      <c r="E790" s="11"/>
      <c r="F790" s="11"/>
      <c r="G790" s="26"/>
      <c r="H790" s="26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</row>
    <row r="791" spans="1:64" ht="13">
      <c r="A791" s="11"/>
      <c r="B791" s="11"/>
      <c r="C791" s="11"/>
      <c r="D791" s="11"/>
      <c r="E791" s="11"/>
      <c r="F791" s="11"/>
      <c r="G791" s="26"/>
      <c r="H791" s="26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</row>
    <row r="792" spans="1:64" ht="13">
      <c r="A792" s="11"/>
      <c r="B792" s="11"/>
      <c r="C792" s="11"/>
      <c r="D792" s="11"/>
      <c r="E792" s="11"/>
      <c r="F792" s="11"/>
      <c r="G792" s="26"/>
      <c r="H792" s="26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</row>
    <row r="793" spans="1:64" ht="13">
      <c r="A793" s="11"/>
      <c r="B793" s="11"/>
      <c r="C793" s="11"/>
      <c r="D793" s="11"/>
      <c r="E793" s="11"/>
      <c r="F793" s="11"/>
      <c r="G793" s="26"/>
      <c r="H793" s="26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</row>
    <row r="794" spans="1:64" ht="13">
      <c r="A794" s="11"/>
      <c r="B794" s="11"/>
      <c r="C794" s="11"/>
      <c r="D794" s="11"/>
      <c r="E794" s="11"/>
      <c r="F794" s="11"/>
      <c r="G794" s="26"/>
      <c r="H794" s="26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</row>
    <row r="795" spans="1:64" ht="13">
      <c r="A795" s="11"/>
      <c r="B795" s="11"/>
      <c r="C795" s="11"/>
      <c r="D795" s="11"/>
      <c r="E795" s="11"/>
      <c r="F795" s="11"/>
      <c r="G795" s="26"/>
      <c r="H795" s="26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</row>
    <row r="796" spans="1:64" ht="13">
      <c r="A796" s="11"/>
      <c r="B796" s="11"/>
      <c r="C796" s="11"/>
      <c r="D796" s="11"/>
      <c r="E796" s="11"/>
      <c r="F796" s="11"/>
      <c r="G796" s="26"/>
      <c r="H796" s="26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</row>
    <row r="797" spans="1:64" ht="13">
      <c r="A797" s="11"/>
      <c r="B797" s="11"/>
      <c r="C797" s="11"/>
      <c r="D797" s="11"/>
      <c r="E797" s="11"/>
      <c r="F797" s="11"/>
      <c r="G797" s="26"/>
      <c r="H797" s="26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</row>
    <row r="798" spans="1:64" ht="13">
      <c r="A798" s="11"/>
      <c r="B798" s="11"/>
      <c r="C798" s="11"/>
      <c r="D798" s="11"/>
      <c r="E798" s="11"/>
      <c r="F798" s="11"/>
      <c r="G798" s="26"/>
      <c r="H798" s="26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</row>
    <row r="799" spans="1:64" ht="13">
      <c r="A799" s="11"/>
      <c r="B799" s="11"/>
      <c r="C799" s="11"/>
      <c r="D799" s="11"/>
      <c r="E799" s="11"/>
      <c r="F799" s="11"/>
      <c r="G799" s="26"/>
      <c r="H799" s="26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</row>
    <row r="800" spans="1:64" ht="13">
      <c r="A800" s="11"/>
      <c r="B800" s="11"/>
      <c r="C800" s="11"/>
      <c r="D800" s="11"/>
      <c r="E800" s="11"/>
      <c r="F800" s="11"/>
      <c r="G800" s="26"/>
      <c r="H800" s="26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</row>
    <row r="801" spans="1:64" ht="13">
      <c r="A801" s="11"/>
      <c r="B801" s="11"/>
      <c r="C801" s="11"/>
      <c r="D801" s="11"/>
      <c r="E801" s="11"/>
      <c r="F801" s="11"/>
      <c r="G801" s="26"/>
      <c r="H801" s="26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</row>
    <row r="802" spans="1:64" ht="13">
      <c r="A802" s="11"/>
      <c r="B802" s="11"/>
      <c r="C802" s="11"/>
      <c r="D802" s="11"/>
      <c r="E802" s="11"/>
      <c r="F802" s="11"/>
      <c r="G802" s="26"/>
      <c r="H802" s="26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</row>
    <row r="803" spans="1:64" ht="13">
      <c r="A803" s="11"/>
      <c r="B803" s="11"/>
      <c r="C803" s="11"/>
      <c r="D803" s="11"/>
      <c r="E803" s="11"/>
      <c r="F803" s="11"/>
      <c r="G803" s="26"/>
      <c r="H803" s="26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</row>
    <row r="804" spans="1:64" ht="13">
      <c r="A804" s="11"/>
      <c r="B804" s="11"/>
      <c r="C804" s="11"/>
      <c r="D804" s="11"/>
      <c r="E804" s="11"/>
      <c r="F804" s="11"/>
      <c r="G804" s="26"/>
      <c r="H804" s="26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</row>
    <row r="805" spans="1:64" ht="13">
      <c r="A805" s="11"/>
      <c r="B805" s="11"/>
      <c r="C805" s="11"/>
      <c r="D805" s="11"/>
      <c r="E805" s="11"/>
      <c r="F805" s="11"/>
      <c r="G805" s="26"/>
      <c r="H805" s="26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</row>
    <row r="806" spans="1:64" ht="13">
      <c r="A806" s="11"/>
      <c r="B806" s="11"/>
      <c r="C806" s="11"/>
      <c r="D806" s="11"/>
      <c r="E806" s="11"/>
      <c r="F806" s="11"/>
      <c r="G806" s="26"/>
      <c r="H806" s="26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</row>
    <row r="807" spans="1:64" ht="13">
      <c r="A807" s="11"/>
      <c r="B807" s="11"/>
      <c r="C807" s="11"/>
      <c r="D807" s="11"/>
      <c r="E807" s="11"/>
      <c r="F807" s="11"/>
      <c r="G807" s="26"/>
      <c r="H807" s="26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</row>
    <row r="808" spans="1:64" ht="13">
      <c r="A808" s="11"/>
      <c r="B808" s="11"/>
      <c r="C808" s="11"/>
      <c r="D808" s="11"/>
      <c r="E808" s="11"/>
      <c r="F808" s="11"/>
      <c r="G808" s="26"/>
      <c r="H808" s="26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</row>
    <row r="809" spans="1:64" ht="13">
      <c r="A809" s="11"/>
      <c r="B809" s="11"/>
      <c r="C809" s="11"/>
      <c r="D809" s="11"/>
      <c r="E809" s="11"/>
      <c r="F809" s="11"/>
      <c r="G809" s="26"/>
      <c r="H809" s="26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</row>
    <row r="810" spans="1:64" ht="13">
      <c r="A810" s="11"/>
      <c r="B810" s="11"/>
      <c r="C810" s="11"/>
      <c r="D810" s="11"/>
      <c r="E810" s="11"/>
      <c r="F810" s="11"/>
      <c r="G810" s="26"/>
      <c r="H810" s="26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</row>
    <row r="811" spans="1:64" ht="13">
      <c r="A811" s="11"/>
      <c r="B811" s="11"/>
      <c r="C811" s="11"/>
      <c r="D811" s="11"/>
      <c r="E811" s="11"/>
      <c r="F811" s="11"/>
      <c r="G811" s="26"/>
      <c r="H811" s="26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</row>
    <row r="812" spans="1:64" ht="13">
      <c r="A812" s="11"/>
      <c r="B812" s="11"/>
      <c r="C812" s="11"/>
      <c r="D812" s="11"/>
      <c r="E812" s="11"/>
      <c r="F812" s="11"/>
      <c r="G812" s="26"/>
      <c r="H812" s="26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</row>
    <row r="813" spans="1:64" ht="13">
      <c r="A813" s="11"/>
      <c r="B813" s="11"/>
      <c r="C813" s="11"/>
      <c r="D813" s="11"/>
      <c r="E813" s="11"/>
      <c r="F813" s="11"/>
      <c r="G813" s="26"/>
      <c r="H813" s="26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</row>
    <row r="814" spans="1:64" ht="13">
      <c r="A814" s="11"/>
      <c r="B814" s="11"/>
      <c r="C814" s="11"/>
      <c r="D814" s="11"/>
      <c r="E814" s="11"/>
      <c r="F814" s="11"/>
      <c r="G814" s="26"/>
      <c r="H814" s="26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</row>
    <row r="815" spans="1:64" ht="13">
      <c r="A815" s="11"/>
      <c r="B815" s="11"/>
      <c r="C815" s="11"/>
      <c r="D815" s="11"/>
      <c r="E815" s="11"/>
      <c r="F815" s="11"/>
      <c r="G815" s="26"/>
      <c r="H815" s="26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</row>
    <row r="816" spans="1:64" ht="13">
      <c r="A816" s="11"/>
      <c r="B816" s="11"/>
      <c r="C816" s="11"/>
      <c r="D816" s="11"/>
      <c r="E816" s="11"/>
      <c r="F816" s="11"/>
      <c r="G816" s="26"/>
      <c r="H816" s="26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</row>
    <row r="817" spans="1:64" ht="13">
      <c r="A817" s="11"/>
      <c r="B817" s="11"/>
      <c r="C817" s="11"/>
      <c r="D817" s="11"/>
      <c r="E817" s="11"/>
      <c r="F817" s="11"/>
      <c r="G817" s="26"/>
      <c r="H817" s="26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</row>
    <row r="818" spans="1:64" ht="13">
      <c r="A818" s="11"/>
      <c r="B818" s="11"/>
      <c r="C818" s="11"/>
      <c r="D818" s="11"/>
      <c r="E818" s="11"/>
      <c r="F818" s="11"/>
      <c r="G818" s="26"/>
      <c r="H818" s="26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</row>
    <row r="819" spans="1:64" ht="13">
      <c r="A819" s="11"/>
      <c r="B819" s="11"/>
      <c r="C819" s="11"/>
      <c r="D819" s="11"/>
      <c r="E819" s="11"/>
      <c r="F819" s="11"/>
      <c r="G819" s="26"/>
      <c r="H819" s="26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</row>
    <row r="820" spans="1:64" ht="13">
      <c r="A820" s="11"/>
      <c r="B820" s="11"/>
      <c r="C820" s="11"/>
      <c r="D820" s="11"/>
      <c r="E820" s="11"/>
      <c r="F820" s="11"/>
      <c r="G820" s="26"/>
      <c r="H820" s="26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</row>
    <row r="821" spans="1:64" ht="13">
      <c r="A821" s="11"/>
      <c r="B821" s="11"/>
      <c r="C821" s="11"/>
      <c r="D821" s="11"/>
      <c r="E821" s="11"/>
      <c r="F821" s="11"/>
      <c r="G821" s="26"/>
      <c r="H821" s="26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</row>
    <row r="822" spans="1:64" ht="13">
      <c r="A822" s="11"/>
      <c r="B822" s="11"/>
      <c r="C822" s="11"/>
      <c r="D822" s="11"/>
      <c r="E822" s="11"/>
      <c r="F822" s="11"/>
      <c r="G822" s="26"/>
      <c r="H822" s="26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</row>
    <row r="823" spans="1:64" ht="13">
      <c r="A823" s="11"/>
      <c r="B823" s="11"/>
      <c r="C823" s="11"/>
      <c r="D823" s="11"/>
      <c r="E823" s="11"/>
      <c r="F823" s="11"/>
      <c r="G823" s="26"/>
      <c r="H823" s="26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</row>
    <row r="824" spans="1:64" ht="13">
      <c r="A824" s="11"/>
      <c r="B824" s="11"/>
      <c r="C824" s="11"/>
      <c r="D824" s="11"/>
      <c r="E824" s="11"/>
      <c r="F824" s="11"/>
      <c r="G824" s="26"/>
      <c r="H824" s="26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</row>
    <row r="825" spans="1:64" ht="13">
      <c r="A825" s="11"/>
      <c r="B825" s="11"/>
      <c r="C825" s="11"/>
      <c r="D825" s="11"/>
      <c r="E825" s="11"/>
      <c r="F825" s="11"/>
      <c r="G825" s="26"/>
      <c r="H825" s="26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</row>
    <row r="826" spans="1:64" ht="13">
      <c r="A826" s="11"/>
      <c r="B826" s="11"/>
      <c r="C826" s="11"/>
      <c r="D826" s="11"/>
      <c r="E826" s="11"/>
      <c r="F826" s="11"/>
      <c r="G826" s="26"/>
      <c r="H826" s="26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</row>
    <row r="827" spans="1:64" ht="13">
      <c r="A827" s="11"/>
      <c r="B827" s="11"/>
      <c r="C827" s="11"/>
      <c r="D827" s="11"/>
      <c r="E827" s="11"/>
      <c r="F827" s="11"/>
      <c r="G827" s="26"/>
      <c r="H827" s="26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</row>
    <row r="828" spans="1:64" ht="13">
      <c r="A828" s="11"/>
      <c r="B828" s="11"/>
      <c r="C828" s="11"/>
      <c r="D828" s="11"/>
      <c r="E828" s="11"/>
      <c r="F828" s="11"/>
      <c r="G828" s="26"/>
      <c r="H828" s="26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</row>
    <row r="829" spans="1:64" ht="13">
      <c r="A829" s="11"/>
      <c r="B829" s="11"/>
      <c r="C829" s="11"/>
      <c r="D829" s="11"/>
      <c r="E829" s="11"/>
      <c r="F829" s="11"/>
      <c r="G829" s="26"/>
      <c r="H829" s="26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</row>
    <row r="830" spans="1:64" ht="13">
      <c r="A830" s="11"/>
      <c r="B830" s="11"/>
      <c r="C830" s="11"/>
      <c r="D830" s="11"/>
      <c r="E830" s="11"/>
      <c r="F830" s="11"/>
      <c r="G830" s="26"/>
      <c r="H830" s="26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</row>
    <row r="831" spans="1:64" ht="13">
      <c r="A831" s="11"/>
      <c r="B831" s="11"/>
      <c r="C831" s="11"/>
      <c r="D831" s="11"/>
      <c r="E831" s="11"/>
      <c r="F831" s="11"/>
      <c r="G831" s="26"/>
      <c r="H831" s="26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</row>
    <row r="832" spans="1:64" ht="13">
      <c r="A832" s="11"/>
      <c r="B832" s="11"/>
      <c r="C832" s="11"/>
      <c r="D832" s="11"/>
      <c r="E832" s="11"/>
      <c r="F832" s="11"/>
      <c r="G832" s="26"/>
      <c r="H832" s="26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</row>
    <row r="833" spans="1:64" ht="13">
      <c r="A833" s="11"/>
      <c r="B833" s="11"/>
      <c r="C833" s="11"/>
      <c r="D833" s="11"/>
      <c r="E833" s="11"/>
      <c r="F833" s="11"/>
      <c r="G833" s="26"/>
      <c r="H833" s="26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</row>
    <row r="834" spans="1:64" ht="13">
      <c r="A834" s="11"/>
      <c r="B834" s="11"/>
      <c r="C834" s="11"/>
      <c r="D834" s="11"/>
      <c r="E834" s="11"/>
      <c r="F834" s="11"/>
      <c r="G834" s="26"/>
      <c r="H834" s="26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</row>
    <row r="835" spans="1:64" ht="13">
      <c r="A835" s="11"/>
      <c r="B835" s="11"/>
      <c r="C835" s="11"/>
      <c r="D835" s="11"/>
      <c r="E835" s="11"/>
      <c r="F835" s="11"/>
      <c r="G835" s="26"/>
      <c r="H835" s="26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</row>
    <row r="836" spans="1:64" ht="13">
      <c r="A836" s="11"/>
      <c r="B836" s="11"/>
      <c r="C836" s="11"/>
      <c r="D836" s="11"/>
      <c r="E836" s="11"/>
      <c r="F836" s="11"/>
      <c r="G836" s="26"/>
      <c r="H836" s="26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</row>
    <row r="837" spans="1:64" ht="13">
      <c r="A837" s="11"/>
      <c r="B837" s="11"/>
      <c r="C837" s="11"/>
      <c r="D837" s="11"/>
      <c r="E837" s="11"/>
      <c r="F837" s="11"/>
      <c r="G837" s="26"/>
      <c r="H837" s="26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</row>
    <row r="838" spans="1:64" ht="13">
      <c r="A838" s="11"/>
      <c r="B838" s="11"/>
      <c r="C838" s="11"/>
      <c r="D838" s="11"/>
      <c r="E838" s="11"/>
      <c r="F838" s="11"/>
      <c r="G838" s="26"/>
      <c r="H838" s="26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</row>
    <row r="839" spans="1:64" ht="13">
      <c r="A839" s="11"/>
      <c r="B839" s="11"/>
      <c r="C839" s="11"/>
      <c r="D839" s="11"/>
      <c r="E839" s="11"/>
      <c r="F839" s="11"/>
      <c r="G839" s="26"/>
      <c r="H839" s="26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</row>
    <row r="840" spans="1:64" ht="13">
      <c r="A840" s="11"/>
      <c r="B840" s="11"/>
      <c r="C840" s="11"/>
      <c r="D840" s="11"/>
      <c r="E840" s="11"/>
      <c r="F840" s="11"/>
      <c r="G840" s="26"/>
      <c r="H840" s="26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</row>
    <row r="841" spans="1:64" ht="13">
      <c r="A841" s="11"/>
      <c r="B841" s="11"/>
      <c r="C841" s="11"/>
      <c r="D841" s="11"/>
      <c r="E841" s="11"/>
      <c r="F841" s="11"/>
      <c r="G841" s="26"/>
      <c r="H841" s="26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</row>
    <row r="842" spans="1:64" ht="13">
      <c r="A842" s="11"/>
      <c r="B842" s="11"/>
      <c r="C842" s="11"/>
      <c r="D842" s="11"/>
      <c r="E842" s="11"/>
      <c r="F842" s="11"/>
      <c r="G842" s="26"/>
      <c r="H842" s="26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</row>
    <row r="843" spans="1:64" ht="13">
      <c r="A843" s="11"/>
      <c r="B843" s="11"/>
      <c r="C843" s="11"/>
      <c r="D843" s="11"/>
      <c r="E843" s="11"/>
      <c r="F843" s="11"/>
      <c r="G843" s="26"/>
      <c r="H843" s="26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</row>
    <row r="844" spans="1:64" ht="13">
      <c r="A844" s="11"/>
      <c r="B844" s="11"/>
      <c r="C844" s="11"/>
      <c r="D844" s="11"/>
      <c r="E844" s="11"/>
      <c r="F844" s="11"/>
      <c r="G844" s="26"/>
      <c r="H844" s="26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</row>
    <row r="845" spans="1:64" ht="13">
      <c r="A845" s="11"/>
      <c r="B845" s="11"/>
      <c r="C845" s="11"/>
      <c r="D845" s="11"/>
      <c r="E845" s="11"/>
      <c r="F845" s="11"/>
      <c r="G845" s="26"/>
      <c r="H845" s="26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</row>
    <row r="846" spans="1:64" ht="13">
      <c r="A846" s="11"/>
      <c r="B846" s="11"/>
      <c r="C846" s="11"/>
      <c r="D846" s="11"/>
      <c r="E846" s="11"/>
      <c r="F846" s="11"/>
      <c r="G846" s="26"/>
      <c r="H846" s="26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</row>
    <row r="847" spans="1:64" ht="13">
      <c r="A847" s="11"/>
      <c r="B847" s="11"/>
      <c r="C847" s="11"/>
      <c r="D847" s="11"/>
      <c r="E847" s="11"/>
      <c r="F847" s="11"/>
      <c r="G847" s="26"/>
      <c r="H847" s="26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</row>
    <row r="848" spans="1:64" ht="13">
      <c r="A848" s="11"/>
      <c r="B848" s="11"/>
      <c r="C848" s="11"/>
      <c r="D848" s="11"/>
      <c r="E848" s="11"/>
      <c r="F848" s="11"/>
      <c r="G848" s="26"/>
      <c r="H848" s="26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</row>
    <row r="849" spans="1:64" ht="13">
      <c r="A849" s="11"/>
      <c r="B849" s="11"/>
      <c r="C849" s="11"/>
      <c r="D849" s="11"/>
      <c r="E849" s="11"/>
      <c r="F849" s="11"/>
      <c r="G849" s="26"/>
      <c r="H849" s="26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</row>
    <row r="850" spans="1:64" ht="13">
      <c r="A850" s="11"/>
      <c r="B850" s="11"/>
      <c r="C850" s="11"/>
      <c r="D850" s="11"/>
      <c r="E850" s="11"/>
      <c r="F850" s="11"/>
      <c r="G850" s="26"/>
      <c r="H850" s="26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</row>
    <row r="851" spans="1:64" ht="13">
      <c r="A851" s="11"/>
      <c r="B851" s="11"/>
      <c r="C851" s="11"/>
      <c r="D851" s="11"/>
      <c r="E851" s="11"/>
      <c r="F851" s="11"/>
      <c r="G851" s="26"/>
      <c r="H851" s="26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</row>
    <row r="852" spans="1:64" ht="13">
      <c r="A852" s="11"/>
      <c r="B852" s="11"/>
      <c r="C852" s="11"/>
      <c r="D852" s="11"/>
      <c r="E852" s="11"/>
      <c r="F852" s="11"/>
      <c r="G852" s="26"/>
      <c r="H852" s="26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</row>
    <row r="853" spans="1:64" ht="13">
      <c r="A853" s="11"/>
      <c r="B853" s="11"/>
      <c r="C853" s="11"/>
      <c r="D853" s="11"/>
      <c r="E853" s="11"/>
      <c r="F853" s="11"/>
      <c r="G853" s="26"/>
      <c r="H853" s="26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</row>
    <row r="854" spans="1:64" ht="13">
      <c r="A854" s="11"/>
      <c r="B854" s="11"/>
      <c r="C854" s="11"/>
      <c r="D854" s="11"/>
      <c r="E854" s="11"/>
      <c r="F854" s="11"/>
      <c r="G854" s="26"/>
      <c r="H854" s="26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</row>
    <row r="855" spans="1:64" ht="13">
      <c r="A855" s="11"/>
      <c r="B855" s="11"/>
      <c r="C855" s="11"/>
      <c r="D855" s="11"/>
      <c r="E855" s="11"/>
      <c r="F855" s="11"/>
      <c r="G855" s="26"/>
      <c r="H855" s="26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</row>
    <row r="856" spans="1:64" ht="13">
      <c r="A856" s="11"/>
      <c r="B856" s="11"/>
      <c r="C856" s="11"/>
      <c r="D856" s="11"/>
      <c r="E856" s="11"/>
      <c r="F856" s="11"/>
      <c r="G856" s="26"/>
      <c r="H856" s="26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</row>
    <row r="857" spans="1:64" ht="13">
      <c r="A857" s="11"/>
      <c r="B857" s="11"/>
      <c r="C857" s="11"/>
      <c r="D857" s="11"/>
      <c r="E857" s="11"/>
      <c r="F857" s="11"/>
      <c r="G857" s="26"/>
      <c r="H857" s="26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</row>
    <row r="858" spans="1:64" ht="13">
      <c r="A858" s="11"/>
      <c r="B858" s="11"/>
      <c r="C858" s="11"/>
      <c r="D858" s="11"/>
      <c r="E858" s="11"/>
      <c r="F858" s="11"/>
      <c r="G858" s="26"/>
      <c r="H858" s="26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</row>
    <row r="859" spans="1:64" ht="13">
      <c r="A859" s="11"/>
      <c r="B859" s="11"/>
      <c r="C859" s="11"/>
      <c r="D859" s="11"/>
      <c r="E859" s="11"/>
      <c r="F859" s="11"/>
      <c r="G859" s="26"/>
      <c r="H859" s="26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</row>
    <row r="860" spans="1:64" ht="13">
      <c r="A860" s="11"/>
      <c r="B860" s="11"/>
      <c r="C860" s="11"/>
      <c r="D860" s="11"/>
      <c r="E860" s="11"/>
      <c r="F860" s="11"/>
      <c r="G860" s="26"/>
      <c r="H860" s="26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</row>
    <row r="861" spans="1:64" ht="13">
      <c r="A861" s="11"/>
      <c r="B861" s="11"/>
      <c r="C861" s="11"/>
      <c r="D861" s="11"/>
      <c r="E861" s="11"/>
      <c r="F861" s="11"/>
      <c r="G861" s="26"/>
      <c r="H861" s="26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</row>
    <row r="862" spans="1:64" ht="13">
      <c r="A862" s="11"/>
      <c r="B862" s="11"/>
      <c r="C862" s="11"/>
      <c r="D862" s="11"/>
      <c r="E862" s="11"/>
      <c r="F862" s="11"/>
      <c r="G862" s="26"/>
      <c r="H862" s="26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</row>
    <row r="863" spans="1:64" ht="13">
      <c r="A863" s="11"/>
      <c r="B863" s="11"/>
      <c r="C863" s="11"/>
      <c r="D863" s="11"/>
      <c r="E863" s="11"/>
      <c r="F863" s="11"/>
      <c r="G863" s="26"/>
      <c r="H863" s="26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</row>
    <row r="864" spans="1:64" ht="13">
      <c r="A864" s="11"/>
      <c r="B864" s="11"/>
      <c r="C864" s="11"/>
      <c r="D864" s="11"/>
      <c r="E864" s="11"/>
      <c r="F864" s="11"/>
      <c r="G864" s="26"/>
      <c r="H864" s="26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</row>
    <row r="865" spans="1:64" ht="13">
      <c r="A865" s="11"/>
      <c r="B865" s="11"/>
      <c r="C865" s="11"/>
      <c r="D865" s="11"/>
      <c r="E865" s="11"/>
      <c r="F865" s="11"/>
      <c r="G865" s="26"/>
      <c r="H865" s="26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</row>
    <row r="866" spans="1:64" ht="13">
      <c r="A866" s="11"/>
      <c r="B866" s="11"/>
      <c r="C866" s="11"/>
      <c r="D866" s="11"/>
      <c r="E866" s="11"/>
      <c r="F866" s="11"/>
      <c r="G866" s="26"/>
      <c r="H866" s="26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</row>
    <row r="867" spans="1:64" ht="13">
      <c r="A867" s="11"/>
      <c r="B867" s="11"/>
      <c r="C867" s="11"/>
      <c r="D867" s="11"/>
      <c r="E867" s="11"/>
      <c r="F867" s="11"/>
      <c r="G867" s="26"/>
      <c r="H867" s="26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</row>
    <row r="868" spans="1:64" ht="13">
      <c r="A868" s="11"/>
      <c r="B868" s="11"/>
      <c r="C868" s="11"/>
      <c r="D868" s="11"/>
      <c r="E868" s="11"/>
      <c r="F868" s="11"/>
      <c r="G868" s="26"/>
      <c r="H868" s="26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</row>
    <row r="869" spans="1:64" ht="13">
      <c r="A869" s="11"/>
      <c r="B869" s="11"/>
      <c r="C869" s="11"/>
      <c r="D869" s="11"/>
      <c r="E869" s="11"/>
      <c r="F869" s="11"/>
      <c r="G869" s="26"/>
      <c r="H869" s="26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</row>
    <row r="870" spans="1:64" ht="13">
      <c r="A870" s="11"/>
      <c r="B870" s="11"/>
      <c r="C870" s="11"/>
      <c r="D870" s="11"/>
      <c r="E870" s="11"/>
      <c r="F870" s="11"/>
      <c r="G870" s="26"/>
      <c r="H870" s="26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</row>
    <row r="871" spans="1:64" ht="13">
      <c r="A871" s="11"/>
      <c r="B871" s="11"/>
      <c r="C871" s="11"/>
      <c r="D871" s="11"/>
      <c r="E871" s="11"/>
      <c r="F871" s="11"/>
      <c r="G871" s="26"/>
      <c r="H871" s="26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</row>
    <row r="872" spans="1:64" ht="13">
      <c r="A872" s="11"/>
      <c r="B872" s="11"/>
      <c r="C872" s="11"/>
      <c r="D872" s="11"/>
      <c r="E872" s="11"/>
      <c r="F872" s="11"/>
      <c r="G872" s="26"/>
      <c r="H872" s="26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</row>
    <row r="873" spans="1:64" ht="13">
      <c r="A873" s="11"/>
      <c r="B873" s="11"/>
      <c r="C873" s="11"/>
      <c r="D873" s="11"/>
      <c r="E873" s="11"/>
      <c r="F873" s="11"/>
      <c r="G873" s="26"/>
      <c r="H873" s="26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</row>
    <row r="874" spans="1:64" ht="13">
      <c r="A874" s="11"/>
      <c r="B874" s="11"/>
      <c r="C874" s="11"/>
      <c r="D874" s="11"/>
      <c r="E874" s="11"/>
      <c r="F874" s="11"/>
      <c r="G874" s="26"/>
      <c r="H874" s="26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</row>
    <row r="875" spans="1:64" ht="13">
      <c r="A875" s="11"/>
      <c r="B875" s="11"/>
      <c r="C875" s="11"/>
      <c r="D875" s="11"/>
      <c r="E875" s="11"/>
      <c r="F875" s="11"/>
      <c r="G875" s="26"/>
      <c r="H875" s="26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</row>
    <row r="876" spans="1:64" ht="13">
      <c r="A876" s="11"/>
      <c r="B876" s="11"/>
      <c r="C876" s="11"/>
      <c r="D876" s="11"/>
      <c r="E876" s="11"/>
      <c r="F876" s="11"/>
      <c r="G876" s="26"/>
      <c r="H876" s="26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</row>
    <row r="877" spans="1:64" ht="13">
      <c r="A877" s="11"/>
      <c r="B877" s="11"/>
      <c r="C877" s="11"/>
      <c r="D877" s="11"/>
      <c r="E877" s="11"/>
      <c r="F877" s="11"/>
      <c r="G877" s="26"/>
      <c r="H877" s="26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</row>
    <row r="878" spans="1:64" ht="13">
      <c r="A878" s="11"/>
      <c r="B878" s="11"/>
      <c r="C878" s="11"/>
      <c r="D878" s="11"/>
      <c r="E878" s="11"/>
      <c r="F878" s="11"/>
      <c r="G878" s="26"/>
      <c r="H878" s="26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</row>
    <row r="879" spans="1:64" ht="13">
      <c r="A879" s="11"/>
      <c r="B879" s="11"/>
      <c r="C879" s="11"/>
      <c r="D879" s="11"/>
      <c r="E879" s="11"/>
      <c r="F879" s="11"/>
      <c r="G879" s="26"/>
      <c r="H879" s="26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</row>
    <row r="880" spans="1:64" ht="13">
      <c r="A880" s="11"/>
      <c r="B880" s="11"/>
      <c r="C880" s="11"/>
      <c r="D880" s="11"/>
      <c r="E880" s="11"/>
      <c r="F880" s="11"/>
      <c r="G880" s="26"/>
      <c r="H880" s="26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</row>
    <row r="881" spans="1:64" ht="13">
      <c r="A881" s="11"/>
      <c r="B881" s="11"/>
      <c r="C881" s="11"/>
      <c r="D881" s="11"/>
      <c r="E881" s="11"/>
      <c r="F881" s="11"/>
      <c r="G881" s="26"/>
      <c r="H881" s="26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</row>
    <row r="882" spans="1:64" ht="13">
      <c r="A882" s="11"/>
      <c r="B882" s="11"/>
      <c r="C882" s="11"/>
      <c r="D882" s="11"/>
      <c r="E882" s="11"/>
      <c r="F882" s="11"/>
      <c r="G882" s="26"/>
      <c r="H882" s="26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</row>
    <row r="883" spans="1:64" ht="13">
      <c r="A883" s="11"/>
      <c r="B883" s="11"/>
      <c r="C883" s="11"/>
      <c r="D883" s="11"/>
      <c r="E883" s="11"/>
      <c r="F883" s="11"/>
      <c r="G883" s="26"/>
      <c r="H883" s="26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</row>
    <row r="884" spans="1:64" ht="13">
      <c r="A884" s="11"/>
      <c r="B884" s="11"/>
      <c r="C884" s="11"/>
      <c r="D884" s="11"/>
      <c r="E884" s="11"/>
      <c r="F884" s="11"/>
      <c r="G884" s="26"/>
      <c r="H884" s="26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</row>
    <row r="885" spans="1:64" ht="13">
      <c r="A885" s="11"/>
      <c r="B885" s="11"/>
      <c r="C885" s="11"/>
      <c r="D885" s="11"/>
      <c r="E885" s="11"/>
      <c r="F885" s="11"/>
      <c r="G885" s="26"/>
      <c r="H885" s="26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</row>
    <row r="886" spans="1:64" ht="13">
      <c r="A886" s="11"/>
      <c r="B886" s="11"/>
      <c r="C886" s="11"/>
      <c r="D886" s="11"/>
      <c r="E886" s="11"/>
      <c r="F886" s="11"/>
      <c r="G886" s="26"/>
      <c r="H886" s="26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</row>
    <row r="887" spans="1:64" ht="13">
      <c r="A887" s="11"/>
      <c r="B887" s="11"/>
      <c r="C887" s="11"/>
      <c r="D887" s="11"/>
      <c r="E887" s="11"/>
      <c r="F887" s="11"/>
      <c r="G887" s="26"/>
      <c r="H887" s="26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</row>
    <row r="888" spans="1:64" ht="13">
      <c r="A888" s="11"/>
      <c r="B888" s="11"/>
      <c r="C888" s="11"/>
      <c r="D888" s="11"/>
      <c r="E888" s="11"/>
      <c r="F888" s="11"/>
      <c r="G888" s="26"/>
      <c r="H888" s="26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</row>
    <row r="889" spans="1:64" ht="13">
      <c r="A889" s="11"/>
      <c r="B889" s="11"/>
      <c r="C889" s="11"/>
      <c r="D889" s="11"/>
      <c r="E889" s="11"/>
      <c r="F889" s="11"/>
      <c r="G889" s="26"/>
      <c r="H889" s="26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</row>
    <row r="890" spans="1:64" ht="13">
      <c r="A890" s="11"/>
      <c r="B890" s="11"/>
      <c r="C890" s="11"/>
      <c r="D890" s="11"/>
      <c r="E890" s="11"/>
      <c r="F890" s="11"/>
      <c r="G890" s="26"/>
      <c r="H890" s="26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</row>
    <row r="891" spans="1:64" ht="13">
      <c r="A891" s="11"/>
      <c r="B891" s="11"/>
      <c r="C891" s="11"/>
      <c r="D891" s="11"/>
      <c r="E891" s="11"/>
      <c r="F891" s="11"/>
      <c r="G891" s="26"/>
      <c r="H891" s="26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</row>
    <row r="892" spans="1:64" ht="13">
      <c r="A892" s="11"/>
      <c r="B892" s="11"/>
      <c r="C892" s="11"/>
      <c r="D892" s="11"/>
      <c r="E892" s="11"/>
      <c r="F892" s="11"/>
      <c r="G892" s="26"/>
      <c r="H892" s="26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</row>
    <row r="893" spans="1:64" ht="13">
      <c r="A893" s="11"/>
      <c r="B893" s="11"/>
      <c r="C893" s="11"/>
      <c r="D893" s="11"/>
      <c r="E893" s="11"/>
      <c r="F893" s="11"/>
      <c r="G893" s="26"/>
      <c r="H893" s="26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</row>
    <row r="894" spans="1:64" ht="13">
      <c r="A894" s="11"/>
      <c r="B894" s="11"/>
      <c r="C894" s="11"/>
      <c r="D894" s="11"/>
      <c r="E894" s="11"/>
      <c r="F894" s="11"/>
      <c r="G894" s="26"/>
      <c r="H894" s="26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</row>
    <row r="895" spans="1:64" ht="13">
      <c r="A895" s="11"/>
      <c r="B895" s="11"/>
      <c r="C895" s="11"/>
      <c r="D895" s="11"/>
      <c r="E895" s="11"/>
      <c r="F895" s="11"/>
      <c r="G895" s="26"/>
      <c r="H895" s="26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</row>
    <row r="896" spans="1:64" ht="13">
      <c r="A896" s="11"/>
      <c r="B896" s="11"/>
      <c r="C896" s="11"/>
      <c r="D896" s="11"/>
      <c r="E896" s="11"/>
      <c r="F896" s="11"/>
      <c r="G896" s="26"/>
      <c r="H896" s="26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</row>
    <row r="897" spans="1:64" ht="13">
      <c r="A897" s="11"/>
      <c r="B897" s="11"/>
      <c r="C897" s="11"/>
      <c r="D897" s="11"/>
      <c r="E897" s="11"/>
      <c r="F897" s="11"/>
      <c r="G897" s="26"/>
      <c r="H897" s="26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</row>
    <row r="898" spans="1:64" ht="13">
      <c r="A898" s="11"/>
      <c r="B898" s="11"/>
      <c r="C898" s="11"/>
      <c r="D898" s="11"/>
      <c r="E898" s="11"/>
      <c r="F898" s="11"/>
      <c r="G898" s="26"/>
      <c r="H898" s="26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</row>
    <row r="899" spans="1:64" ht="13">
      <c r="A899" s="11"/>
      <c r="B899" s="11"/>
      <c r="C899" s="11"/>
      <c r="D899" s="11"/>
      <c r="E899" s="11"/>
      <c r="F899" s="11"/>
      <c r="G899" s="26"/>
      <c r="H899" s="26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</row>
    <row r="900" spans="1:64" ht="13">
      <c r="A900" s="11"/>
      <c r="B900" s="11"/>
      <c r="C900" s="11"/>
      <c r="D900" s="11"/>
      <c r="E900" s="11"/>
      <c r="F900" s="11"/>
      <c r="G900" s="26"/>
      <c r="H900" s="26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</row>
    <row r="901" spans="1:64" ht="13">
      <c r="A901" s="11"/>
      <c r="B901" s="11"/>
      <c r="C901" s="11"/>
      <c r="D901" s="11"/>
      <c r="E901" s="11"/>
      <c r="F901" s="11"/>
      <c r="G901" s="26"/>
      <c r="H901" s="26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</row>
    <row r="902" spans="1:64" ht="13">
      <c r="A902" s="11"/>
      <c r="B902" s="11"/>
      <c r="C902" s="11"/>
      <c r="D902" s="11"/>
      <c r="E902" s="11"/>
      <c r="F902" s="11"/>
      <c r="G902" s="26"/>
      <c r="H902" s="26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</row>
    <row r="903" spans="1:64" ht="13">
      <c r="A903" s="11"/>
      <c r="B903" s="11"/>
      <c r="C903" s="11"/>
      <c r="D903" s="11"/>
      <c r="E903" s="11"/>
      <c r="F903" s="11"/>
      <c r="G903" s="26"/>
      <c r="H903" s="26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</row>
    <row r="904" spans="1:64" ht="13">
      <c r="A904" s="11"/>
      <c r="B904" s="11"/>
      <c r="C904" s="11"/>
      <c r="D904" s="11"/>
      <c r="E904" s="11"/>
      <c r="F904" s="11"/>
      <c r="G904" s="26"/>
      <c r="H904" s="26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</row>
    <row r="905" spans="1:64" ht="13">
      <c r="A905" s="11"/>
      <c r="B905" s="11"/>
      <c r="C905" s="11"/>
      <c r="D905" s="11"/>
      <c r="E905" s="11"/>
      <c r="F905" s="11"/>
      <c r="G905" s="26"/>
      <c r="H905" s="26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</row>
    <row r="906" spans="1:64" ht="13">
      <c r="A906" s="11"/>
      <c r="B906" s="11"/>
      <c r="C906" s="11"/>
      <c r="D906" s="11"/>
      <c r="E906" s="11"/>
      <c r="F906" s="11"/>
      <c r="G906" s="26"/>
      <c r="H906" s="26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</row>
    <row r="907" spans="1:64" ht="13">
      <c r="A907" s="11"/>
      <c r="B907" s="11"/>
      <c r="C907" s="11"/>
      <c r="D907" s="11"/>
      <c r="E907" s="11"/>
      <c r="F907" s="11"/>
      <c r="G907" s="26"/>
      <c r="H907" s="26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</row>
    <row r="908" spans="1:64" ht="13">
      <c r="A908" s="11"/>
      <c r="B908" s="11"/>
      <c r="C908" s="11"/>
      <c r="D908" s="11"/>
      <c r="E908" s="11"/>
      <c r="F908" s="11"/>
      <c r="G908" s="26"/>
      <c r="H908" s="26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</row>
    <row r="909" spans="1:64" ht="13">
      <c r="A909" s="11"/>
      <c r="B909" s="11"/>
      <c r="C909" s="11"/>
      <c r="D909" s="11"/>
      <c r="E909" s="11"/>
      <c r="F909" s="11"/>
      <c r="G909" s="26"/>
      <c r="H909" s="26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</row>
    <row r="910" spans="1:64" ht="13">
      <c r="A910" s="11"/>
      <c r="B910" s="11"/>
      <c r="C910" s="11"/>
      <c r="D910" s="11"/>
      <c r="E910" s="11"/>
      <c r="F910" s="11"/>
      <c r="G910" s="26"/>
      <c r="H910" s="26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</row>
    <row r="911" spans="1:64" ht="13">
      <c r="A911" s="11"/>
      <c r="B911" s="11"/>
      <c r="C911" s="11"/>
      <c r="D911" s="11"/>
      <c r="E911" s="11"/>
      <c r="F911" s="11"/>
      <c r="G911" s="26"/>
      <c r="H911" s="26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</row>
    <row r="912" spans="1:64" ht="13">
      <c r="A912" s="11"/>
      <c r="B912" s="11"/>
      <c r="C912" s="11"/>
      <c r="D912" s="11"/>
      <c r="E912" s="11"/>
      <c r="F912" s="11"/>
      <c r="G912" s="26"/>
      <c r="H912" s="26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</row>
    <row r="913" spans="1:64" ht="13">
      <c r="A913" s="11"/>
      <c r="B913" s="11"/>
      <c r="C913" s="11"/>
      <c r="D913" s="11"/>
      <c r="E913" s="11"/>
      <c r="F913" s="11"/>
      <c r="G913" s="26"/>
      <c r="H913" s="26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</row>
    <row r="914" spans="1:64" ht="13">
      <c r="A914" s="11"/>
      <c r="B914" s="11"/>
      <c r="C914" s="11"/>
      <c r="D914" s="11"/>
      <c r="E914" s="11"/>
      <c r="F914" s="11"/>
      <c r="G914" s="26"/>
      <c r="H914" s="26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</row>
    <row r="915" spans="1:64" ht="13">
      <c r="A915" s="11"/>
      <c r="B915" s="11"/>
      <c r="C915" s="11"/>
      <c r="D915" s="11"/>
      <c r="E915" s="11"/>
      <c r="F915" s="11"/>
      <c r="G915" s="26"/>
      <c r="H915" s="26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</row>
    <row r="916" spans="1:64" ht="13">
      <c r="A916" s="11"/>
      <c r="B916" s="11"/>
      <c r="C916" s="11"/>
      <c r="D916" s="11"/>
      <c r="E916" s="11"/>
      <c r="F916" s="11"/>
      <c r="G916" s="26"/>
      <c r="H916" s="26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</row>
    <row r="917" spans="1:64" ht="13">
      <c r="A917" s="11"/>
      <c r="B917" s="11"/>
      <c r="C917" s="11"/>
      <c r="D917" s="11"/>
      <c r="E917" s="11"/>
      <c r="F917" s="11"/>
      <c r="G917" s="26"/>
      <c r="H917" s="26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</row>
    <row r="918" spans="1:64" ht="13">
      <c r="A918" s="11"/>
      <c r="B918" s="11"/>
      <c r="C918" s="11"/>
      <c r="D918" s="11"/>
      <c r="E918" s="11"/>
      <c r="F918" s="11"/>
      <c r="G918" s="26"/>
      <c r="H918" s="26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</row>
    <row r="919" spans="1:64" ht="13">
      <c r="A919" s="11"/>
      <c r="B919" s="11"/>
      <c r="C919" s="11"/>
      <c r="D919" s="11"/>
      <c r="E919" s="11"/>
      <c r="F919" s="11"/>
      <c r="G919" s="26"/>
      <c r="H919" s="26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</row>
    <row r="920" spans="1:64" ht="13">
      <c r="A920" s="11"/>
      <c r="B920" s="11"/>
      <c r="C920" s="11"/>
      <c r="D920" s="11"/>
      <c r="E920" s="11"/>
      <c r="F920" s="11"/>
      <c r="G920" s="26"/>
      <c r="H920" s="26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</row>
    <row r="921" spans="1:64" ht="13">
      <c r="A921" s="11"/>
      <c r="B921" s="11"/>
      <c r="C921" s="11"/>
      <c r="D921" s="11"/>
      <c r="E921" s="11"/>
      <c r="F921" s="11"/>
      <c r="G921" s="26"/>
      <c r="H921" s="26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</row>
    <row r="922" spans="1:64" ht="13">
      <c r="A922" s="11"/>
      <c r="B922" s="11"/>
      <c r="C922" s="11"/>
      <c r="D922" s="11"/>
      <c r="E922" s="11"/>
      <c r="F922" s="11"/>
      <c r="G922" s="26"/>
      <c r="H922" s="26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</row>
    <row r="923" spans="1:64" ht="13">
      <c r="A923" s="11"/>
      <c r="B923" s="11"/>
      <c r="C923" s="11"/>
      <c r="D923" s="11"/>
      <c r="E923" s="11"/>
      <c r="F923" s="11"/>
      <c r="G923" s="26"/>
      <c r="H923" s="26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</row>
    <row r="924" spans="1:64" ht="13">
      <c r="A924" s="11"/>
      <c r="B924" s="11"/>
      <c r="C924" s="11"/>
      <c r="D924" s="11"/>
      <c r="E924" s="11"/>
      <c r="F924" s="11"/>
      <c r="G924" s="26"/>
      <c r="H924" s="26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</row>
    <row r="925" spans="1:64" ht="13">
      <c r="A925" s="11"/>
      <c r="B925" s="11"/>
      <c r="C925" s="11"/>
      <c r="D925" s="11"/>
      <c r="E925" s="11"/>
      <c r="F925" s="11"/>
      <c r="G925" s="26"/>
      <c r="H925" s="26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</row>
    <row r="926" spans="1:64" ht="13">
      <c r="A926" s="11"/>
      <c r="B926" s="11"/>
      <c r="C926" s="11"/>
      <c r="D926" s="11"/>
      <c r="E926" s="11"/>
      <c r="F926" s="11"/>
      <c r="G926" s="26"/>
      <c r="H926" s="26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</row>
    <row r="927" spans="1:64" ht="13">
      <c r="A927" s="11"/>
      <c r="B927" s="11"/>
      <c r="C927" s="11"/>
      <c r="D927" s="11"/>
      <c r="E927" s="11"/>
      <c r="F927" s="11"/>
      <c r="G927" s="26"/>
      <c r="H927" s="26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</row>
    <row r="928" spans="1:64" ht="13">
      <c r="A928" s="11"/>
      <c r="B928" s="11"/>
      <c r="C928" s="11"/>
      <c r="D928" s="11"/>
      <c r="E928" s="11"/>
      <c r="F928" s="11"/>
      <c r="G928" s="26"/>
      <c r="H928" s="26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</row>
    <row r="929" spans="1:64" ht="13">
      <c r="A929" s="11"/>
      <c r="B929" s="11"/>
      <c r="C929" s="11"/>
      <c r="D929" s="11"/>
      <c r="E929" s="11"/>
      <c r="F929" s="11"/>
      <c r="G929" s="26"/>
      <c r="H929" s="26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</row>
    <row r="930" spans="1:64" ht="13">
      <c r="A930" s="11"/>
      <c r="B930" s="11"/>
      <c r="C930" s="11"/>
      <c r="D930" s="11"/>
      <c r="E930" s="11"/>
      <c r="F930" s="11"/>
      <c r="G930" s="26"/>
      <c r="H930" s="26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</row>
    <row r="931" spans="1:64" ht="13">
      <c r="A931" s="11"/>
      <c r="B931" s="11"/>
      <c r="C931" s="11"/>
      <c r="D931" s="11"/>
      <c r="E931" s="11"/>
      <c r="F931" s="11"/>
      <c r="G931" s="26"/>
      <c r="H931" s="26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</row>
    <row r="932" spans="1:64" ht="13">
      <c r="A932" s="11"/>
      <c r="B932" s="11"/>
      <c r="C932" s="11"/>
      <c r="D932" s="11"/>
      <c r="E932" s="11"/>
      <c r="F932" s="11"/>
      <c r="G932" s="26"/>
      <c r="H932" s="26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</row>
    <row r="933" spans="1:64" ht="13">
      <c r="A933" s="11"/>
      <c r="B933" s="11"/>
      <c r="C933" s="11"/>
      <c r="D933" s="11"/>
      <c r="E933" s="11"/>
      <c r="F933" s="11"/>
      <c r="G933" s="26"/>
      <c r="H933" s="26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</row>
    <row r="934" spans="1:64" ht="13">
      <c r="A934" s="11"/>
      <c r="B934" s="11"/>
      <c r="C934" s="11"/>
      <c r="D934" s="11"/>
      <c r="E934" s="11"/>
      <c r="F934" s="11"/>
      <c r="G934" s="26"/>
      <c r="H934" s="26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</row>
    <row r="935" spans="1:64" ht="13">
      <c r="A935" s="11"/>
      <c r="B935" s="11"/>
      <c r="C935" s="11"/>
      <c r="D935" s="11"/>
      <c r="E935" s="11"/>
      <c r="F935" s="11"/>
      <c r="G935" s="26"/>
      <c r="H935" s="26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</row>
    <row r="936" spans="1:64" ht="13">
      <c r="A936" s="11"/>
      <c r="B936" s="11"/>
      <c r="C936" s="11"/>
      <c r="D936" s="11"/>
      <c r="E936" s="11"/>
      <c r="F936" s="11"/>
      <c r="G936" s="26"/>
      <c r="H936" s="26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</row>
    <row r="937" spans="1:64" ht="13">
      <c r="A937" s="11"/>
      <c r="B937" s="11"/>
      <c r="C937" s="11"/>
      <c r="D937" s="11"/>
      <c r="E937" s="11"/>
      <c r="F937" s="11"/>
      <c r="G937" s="26"/>
      <c r="H937" s="26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</row>
    <row r="938" spans="1:64" ht="13">
      <c r="A938" s="11"/>
      <c r="B938" s="11"/>
      <c r="C938" s="11"/>
      <c r="D938" s="11"/>
      <c r="E938" s="11"/>
      <c r="F938" s="11"/>
      <c r="G938" s="26"/>
      <c r="H938" s="26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</row>
    <row r="939" spans="1:64" ht="13">
      <c r="A939" s="11"/>
      <c r="B939" s="11"/>
      <c r="C939" s="11"/>
      <c r="D939" s="11"/>
      <c r="E939" s="11"/>
      <c r="F939" s="11"/>
      <c r="G939" s="26"/>
      <c r="H939" s="26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</row>
    <row r="940" spans="1:64" ht="13">
      <c r="A940" s="11"/>
      <c r="B940" s="11"/>
      <c r="C940" s="11"/>
      <c r="D940" s="11"/>
      <c r="E940" s="11"/>
      <c r="F940" s="11"/>
      <c r="G940" s="26"/>
      <c r="H940" s="26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</row>
    <row r="941" spans="1:64" ht="13">
      <c r="A941" s="11"/>
      <c r="B941" s="11"/>
      <c r="C941" s="11"/>
      <c r="D941" s="11"/>
      <c r="E941" s="11"/>
      <c r="F941" s="11"/>
      <c r="G941" s="26"/>
      <c r="H941" s="26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</row>
    <row r="942" spans="1:64" ht="13">
      <c r="A942" s="11"/>
      <c r="B942" s="11"/>
      <c r="C942" s="11"/>
      <c r="D942" s="11"/>
      <c r="E942" s="11"/>
      <c r="F942" s="11"/>
      <c r="G942" s="26"/>
      <c r="H942" s="26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</row>
    <row r="943" spans="1:64" ht="13">
      <c r="A943" s="11"/>
      <c r="B943" s="11"/>
      <c r="C943" s="11"/>
      <c r="D943" s="11"/>
      <c r="E943" s="11"/>
      <c r="F943" s="11"/>
      <c r="G943" s="26"/>
      <c r="H943" s="26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</row>
    <row r="944" spans="1:64" ht="13">
      <c r="A944" s="11"/>
      <c r="B944" s="11"/>
      <c r="C944" s="11"/>
      <c r="D944" s="11"/>
      <c r="E944" s="11"/>
      <c r="F944" s="11"/>
      <c r="G944" s="26"/>
      <c r="H944" s="26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</row>
    <row r="945" spans="1:64" ht="13">
      <c r="A945" s="11"/>
      <c r="B945" s="11"/>
      <c r="C945" s="11"/>
      <c r="D945" s="11"/>
      <c r="E945" s="11"/>
      <c r="F945" s="11"/>
      <c r="G945" s="26"/>
      <c r="H945" s="26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</row>
    <row r="946" spans="1:64" ht="13">
      <c r="A946" s="11"/>
      <c r="B946" s="11"/>
      <c r="C946" s="11"/>
      <c r="D946" s="11"/>
      <c r="E946" s="11"/>
      <c r="F946" s="11"/>
      <c r="G946" s="26"/>
      <c r="H946" s="26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</row>
    <row r="947" spans="1:64" ht="13">
      <c r="A947" s="11"/>
      <c r="B947" s="11"/>
      <c r="C947" s="11"/>
      <c r="D947" s="11"/>
      <c r="E947" s="11"/>
      <c r="F947" s="11"/>
      <c r="G947" s="26"/>
      <c r="H947" s="26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</row>
    <row r="948" spans="1:64" ht="13">
      <c r="A948" s="11"/>
      <c r="B948" s="11"/>
      <c r="C948" s="11"/>
      <c r="D948" s="11"/>
      <c r="E948" s="11"/>
      <c r="F948" s="11"/>
      <c r="G948" s="26"/>
      <c r="H948" s="26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</row>
    <row r="949" spans="1:64" ht="13">
      <c r="A949" s="11"/>
      <c r="B949" s="11"/>
      <c r="C949" s="11"/>
      <c r="D949" s="11"/>
      <c r="E949" s="11"/>
      <c r="F949" s="11"/>
      <c r="G949" s="26"/>
      <c r="H949" s="26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</row>
    <row r="950" spans="1:64" ht="13">
      <c r="A950" s="11"/>
      <c r="B950" s="11"/>
      <c r="C950" s="11"/>
      <c r="D950" s="11"/>
      <c r="E950" s="11"/>
      <c r="F950" s="11"/>
      <c r="G950" s="26"/>
      <c r="H950" s="26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</row>
    <row r="951" spans="1:64" ht="13">
      <c r="A951" s="11"/>
      <c r="B951" s="11"/>
      <c r="C951" s="11"/>
      <c r="D951" s="11"/>
      <c r="E951" s="11"/>
      <c r="F951" s="11"/>
      <c r="G951" s="26"/>
      <c r="H951" s="26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</row>
    <row r="952" spans="1:64" ht="13">
      <c r="A952" s="11"/>
      <c r="B952" s="11"/>
      <c r="C952" s="11"/>
      <c r="D952" s="11"/>
      <c r="E952" s="11"/>
      <c r="F952" s="11"/>
      <c r="G952" s="26"/>
      <c r="H952" s="26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</row>
    <row r="953" spans="1:64" ht="13">
      <c r="A953" s="11"/>
      <c r="B953" s="11"/>
      <c r="C953" s="11"/>
      <c r="D953" s="11"/>
      <c r="E953" s="11"/>
      <c r="F953" s="11"/>
      <c r="G953" s="26"/>
      <c r="H953" s="26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</row>
    <row r="954" spans="1:64" ht="13">
      <c r="A954" s="11"/>
      <c r="B954" s="11"/>
      <c r="C954" s="11"/>
      <c r="D954" s="11"/>
      <c r="E954" s="11"/>
      <c r="F954" s="11"/>
      <c r="G954" s="26"/>
      <c r="H954" s="26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</row>
    <row r="955" spans="1:64" ht="13">
      <c r="A955" s="11"/>
      <c r="B955" s="11"/>
      <c r="C955" s="11"/>
      <c r="D955" s="11"/>
      <c r="E955" s="11"/>
      <c r="F955" s="11"/>
      <c r="G955" s="26"/>
      <c r="H955" s="26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</row>
    <row r="956" spans="1:64" ht="13">
      <c r="A956" s="11"/>
      <c r="B956" s="11"/>
      <c r="C956" s="11"/>
      <c r="D956" s="11"/>
      <c r="E956" s="11"/>
      <c r="F956" s="11"/>
      <c r="G956" s="26"/>
      <c r="H956" s="26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</row>
    <row r="957" spans="1:64" ht="13">
      <c r="A957" s="11"/>
      <c r="B957" s="11"/>
      <c r="C957" s="11"/>
      <c r="D957" s="11"/>
      <c r="E957" s="11"/>
      <c r="F957" s="11"/>
      <c r="G957" s="26"/>
      <c r="H957" s="26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</row>
    <row r="958" spans="1:64" ht="13">
      <c r="A958" s="11"/>
      <c r="B958" s="11"/>
      <c r="C958" s="11"/>
      <c r="D958" s="11"/>
      <c r="E958" s="11"/>
      <c r="F958" s="11"/>
      <c r="G958" s="26"/>
      <c r="H958" s="26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</row>
    <row r="959" spans="1:64" ht="13">
      <c r="A959" s="11"/>
      <c r="B959" s="11"/>
      <c r="C959" s="11"/>
      <c r="D959" s="11"/>
      <c r="E959" s="11"/>
      <c r="F959" s="11"/>
      <c r="G959" s="26"/>
      <c r="H959" s="26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</row>
    <row r="960" spans="1:64" ht="13">
      <c r="A960" s="11"/>
      <c r="B960" s="11"/>
      <c r="C960" s="11"/>
      <c r="D960" s="11"/>
      <c r="E960" s="11"/>
      <c r="F960" s="11"/>
      <c r="G960" s="26"/>
      <c r="H960" s="26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</row>
    <row r="961" spans="1:64" ht="13">
      <c r="A961" s="11"/>
      <c r="B961" s="11"/>
      <c r="C961" s="11"/>
      <c r="D961" s="11"/>
      <c r="E961" s="11"/>
      <c r="F961" s="11"/>
      <c r="G961" s="26"/>
      <c r="H961" s="26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</row>
    <row r="962" spans="1:64" ht="13">
      <c r="A962" s="11"/>
      <c r="B962" s="11"/>
      <c r="C962" s="11"/>
      <c r="D962" s="11"/>
      <c r="E962" s="11"/>
      <c r="F962" s="11"/>
      <c r="G962" s="26"/>
      <c r="H962" s="26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</row>
    <row r="963" spans="1:64" ht="13">
      <c r="A963" s="11"/>
      <c r="B963" s="11"/>
      <c r="C963" s="11"/>
      <c r="D963" s="11"/>
      <c r="E963" s="11"/>
      <c r="F963" s="11"/>
      <c r="G963" s="26"/>
      <c r="H963" s="26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</row>
    <row r="964" spans="1:64" ht="13">
      <c r="A964" s="11"/>
      <c r="B964" s="11"/>
      <c r="C964" s="11"/>
      <c r="D964" s="11"/>
      <c r="E964" s="11"/>
      <c r="F964" s="11"/>
      <c r="G964" s="26"/>
      <c r="H964" s="26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</row>
    <row r="965" spans="1:64" ht="13">
      <c r="A965" s="11"/>
      <c r="B965" s="11"/>
      <c r="C965" s="11"/>
      <c r="D965" s="11"/>
      <c r="E965" s="11"/>
      <c r="F965" s="11"/>
      <c r="G965" s="26"/>
      <c r="H965" s="26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</row>
    <row r="966" spans="1:64" ht="13">
      <c r="A966" s="11"/>
      <c r="B966" s="11"/>
      <c r="C966" s="11"/>
      <c r="D966" s="11"/>
      <c r="E966" s="11"/>
      <c r="F966" s="11"/>
      <c r="G966" s="26"/>
      <c r="H966" s="26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</row>
    <row r="967" spans="1:64" ht="13">
      <c r="A967" s="11"/>
      <c r="B967" s="11"/>
      <c r="C967" s="11"/>
      <c r="D967" s="11"/>
      <c r="E967" s="11"/>
      <c r="F967" s="11"/>
      <c r="G967" s="26"/>
      <c r="H967" s="26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</row>
    <row r="968" spans="1:64" ht="13">
      <c r="A968" s="11"/>
      <c r="B968" s="11"/>
      <c r="C968" s="11"/>
      <c r="D968" s="11"/>
      <c r="E968" s="11"/>
      <c r="F968" s="11"/>
      <c r="G968" s="26"/>
      <c r="H968" s="26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</row>
    <row r="969" spans="1:64" ht="13">
      <c r="A969" s="11"/>
      <c r="B969" s="11"/>
      <c r="C969" s="11"/>
      <c r="D969" s="11"/>
      <c r="E969" s="11"/>
      <c r="F969" s="11"/>
      <c r="G969" s="26"/>
      <c r="H969" s="26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</row>
    <row r="970" spans="1:64" ht="13">
      <c r="A970" s="11"/>
      <c r="B970" s="11"/>
      <c r="C970" s="11"/>
      <c r="D970" s="11"/>
      <c r="E970" s="11"/>
      <c r="F970" s="11"/>
      <c r="G970" s="26"/>
      <c r="H970" s="26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</row>
    <row r="971" spans="1:64" ht="13">
      <c r="A971" s="11"/>
      <c r="B971" s="11"/>
      <c r="C971" s="11"/>
      <c r="D971" s="11"/>
      <c r="E971" s="11"/>
      <c r="F971" s="11"/>
      <c r="G971" s="26"/>
      <c r="H971" s="26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</row>
    <row r="972" spans="1:64" ht="13">
      <c r="A972" s="11"/>
      <c r="B972" s="11"/>
      <c r="C972" s="11"/>
      <c r="D972" s="11"/>
      <c r="E972" s="11"/>
      <c r="F972" s="11"/>
      <c r="G972" s="26"/>
      <c r="H972" s="26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</row>
    <row r="973" spans="1:64" ht="13">
      <c r="A973" s="11"/>
      <c r="B973" s="11"/>
      <c r="C973" s="11"/>
      <c r="D973" s="11"/>
      <c r="E973" s="11"/>
      <c r="F973" s="11"/>
      <c r="G973" s="26"/>
      <c r="H973" s="26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</row>
    <row r="974" spans="1:64" ht="13">
      <c r="A974" s="11"/>
      <c r="B974" s="11"/>
      <c r="C974" s="11"/>
      <c r="D974" s="11"/>
      <c r="E974" s="11"/>
      <c r="F974" s="11"/>
      <c r="G974" s="26"/>
      <c r="H974" s="26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</row>
    <row r="975" spans="1:64" ht="13">
      <c r="A975" s="11"/>
      <c r="B975" s="11"/>
      <c r="C975" s="11"/>
      <c r="D975" s="11"/>
      <c r="E975" s="11"/>
      <c r="F975" s="11"/>
      <c r="G975" s="26"/>
      <c r="H975" s="26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</row>
    <row r="976" spans="1:64" ht="13">
      <c r="A976" s="11"/>
      <c r="B976" s="11"/>
      <c r="C976" s="11"/>
      <c r="D976" s="11"/>
      <c r="E976" s="11"/>
      <c r="F976" s="11"/>
      <c r="G976" s="26"/>
      <c r="H976" s="26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</row>
    <row r="977" spans="1:64" ht="13">
      <c r="A977" s="11"/>
      <c r="B977" s="11"/>
      <c r="C977" s="11"/>
      <c r="D977" s="11"/>
      <c r="E977" s="11"/>
      <c r="F977" s="11"/>
      <c r="G977" s="26"/>
      <c r="H977" s="26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</row>
    <row r="978" spans="1:64" ht="13">
      <c r="A978" s="11"/>
      <c r="B978" s="11"/>
      <c r="C978" s="11"/>
      <c r="D978" s="11"/>
      <c r="E978" s="11"/>
      <c r="F978" s="11"/>
      <c r="G978" s="26"/>
      <c r="H978" s="26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</row>
    <row r="979" spans="1:64" ht="13">
      <c r="A979" s="11"/>
      <c r="B979" s="11"/>
      <c r="C979" s="11"/>
      <c r="D979" s="11"/>
      <c r="E979" s="11"/>
      <c r="F979" s="11"/>
      <c r="G979" s="26"/>
      <c r="H979" s="26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</row>
    <row r="980" spans="1:64" ht="13">
      <c r="A980" s="11"/>
      <c r="B980" s="11"/>
      <c r="C980" s="11"/>
      <c r="D980" s="11"/>
      <c r="E980" s="11"/>
      <c r="F980" s="11"/>
      <c r="G980" s="26"/>
      <c r="H980" s="26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</row>
    <row r="981" spans="1:64" ht="13">
      <c r="A981" s="11"/>
      <c r="B981" s="11"/>
      <c r="C981" s="11"/>
      <c r="D981" s="11"/>
      <c r="E981" s="11"/>
      <c r="F981" s="11"/>
      <c r="G981" s="26"/>
      <c r="H981" s="26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</row>
    <row r="982" spans="1:64" ht="13">
      <c r="A982" s="11"/>
      <c r="B982" s="11"/>
      <c r="C982" s="11"/>
      <c r="D982" s="11"/>
      <c r="E982" s="11"/>
      <c r="F982" s="11"/>
      <c r="G982" s="26"/>
      <c r="H982" s="26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</row>
    <row r="983" spans="1:64" ht="13">
      <c r="A983" s="11"/>
      <c r="B983" s="11"/>
      <c r="C983" s="11"/>
      <c r="D983" s="11"/>
      <c r="E983" s="11"/>
      <c r="F983" s="11"/>
      <c r="G983" s="26"/>
      <c r="H983" s="26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</row>
    <row r="984" spans="1:64" ht="13">
      <c r="A984" s="11"/>
      <c r="B984" s="11"/>
      <c r="C984" s="11"/>
      <c r="D984" s="11"/>
      <c r="E984" s="11"/>
      <c r="F984" s="11"/>
      <c r="G984" s="26"/>
      <c r="H984" s="26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</row>
    <row r="985" spans="1:64" ht="13">
      <c r="A985" s="11"/>
      <c r="B985" s="11"/>
      <c r="C985" s="11"/>
      <c r="D985" s="11"/>
      <c r="E985" s="11"/>
      <c r="F985" s="11"/>
      <c r="G985" s="26"/>
      <c r="H985" s="26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</row>
    <row r="986" spans="1:64" ht="13">
      <c r="A986" s="11"/>
      <c r="B986" s="11"/>
      <c r="C986" s="11"/>
      <c r="D986" s="11"/>
      <c r="E986" s="11"/>
      <c r="F986" s="11"/>
      <c r="G986" s="26"/>
      <c r="H986" s="26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</row>
    <row r="987" spans="1:64" ht="13">
      <c r="A987" s="11"/>
      <c r="B987" s="11"/>
      <c r="C987" s="11"/>
      <c r="D987" s="11"/>
      <c r="E987" s="11"/>
      <c r="F987" s="11"/>
      <c r="G987" s="26"/>
      <c r="H987" s="26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</row>
    <row r="988" spans="1:64" ht="13">
      <c r="A988" s="11"/>
      <c r="B988" s="11"/>
      <c r="C988" s="11"/>
      <c r="D988" s="11"/>
      <c r="E988" s="11"/>
      <c r="F988" s="11"/>
      <c r="G988" s="26"/>
      <c r="H988" s="26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</row>
    <row r="989" spans="1:64" ht="13">
      <c r="A989" s="11"/>
      <c r="B989" s="11"/>
      <c r="C989" s="11"/>
      <c r="D989" s="11"/>
      <c r="E989" s="11"/>
      <c r="F989" s="11"/>
      <c r="G989" s="26"/>
      <c r="H989" s="26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</row>
    <row r="990" spans="1:64" ht="13">
      <c r="A990" s="11"/>
      <c r="B990" s="11"/>
      <c r="C990" s="11"/>
      <c r="D990" s="11"/>
      <c r="E990" s="11"/>
      <c r="F990" s="11"/>
      <c r="G990" s="26"/>
      <c r="H990" s="26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</row>
    <row r="991" spans="1:64" ht="13">
      <c r="A991" s="11"/>
      <c r="B991" s="11"/>
      <c r="C991" s="11"/>
      <c r="D991" s="11"/>
      <c r="E991" s="11"/>
      <c r="F991" s="11"/>
      <c r="G991" s="26"/>
      <c r="H991" s="26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</row>
    <row r="992" spans="1:64" ht="13">
      <c r="A992" s="11"/>
      <c r="B992" s="11"/>
      <c r="C992" s="11"/>
      <c r="D992" s="11"/>
      <c r="E992" s="11"/>
      <c r="F992" s="11"/>
      <c r="G992" s="26"/>
      <c r="H992" s="26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</row>
    <row r="993" spans="1:64" ht="13">
      <c r="A993" s="11"/>
      <c r="B993" s="11"/>
      <c r="C993" s="11"/>
      <c r="D993" s="11"/>
      <c r="E993" s="11"/>
      <c r="F993" s="11"/>
      <c r="G993" s="26"/>
      <c r="H993" s="26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</row>
    <row r="994" spans="1:64" ht="13">
      <c r="A994" s="11"/>
      <c r="B994" s="11"/>
      <c r="C994" s="11"/>
      <c r="D994" s="11"/>
      <c r="E994" s="11"/>
      <c r="F994" s="11"/>
      <c r="G994" s="26"/>
      <c r="H994" s="26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</row>
    <row r="995" spans="1:64" ht="13">
      <c r="A995" s="11"/>
      <c r="B995" s="11"/>
      <c r="C995" s="11"/>
      <c r="D995" s="11"/>
      <c r="E995" s="11"/>
      <c r="F995" s="11"/>
      <c r="G995" s="26"/>
      <c r="H995" s="26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</row>
    <row r="996" spans="1:64" ht="13">
      <c r="A996" s="11"/>
      <c r="B996" s="11"/>
      <c r="C996" s="11"/>
      <c r="D996" s="11"/>
      <c r="E996" s="11"/>
      <c r="F996" s="11"/>
      <c r="G996" s="26"/>
      <c r="H996" s="26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</row>
    <row r="997" spans="1:64" ht="13">
      <c r="A997" s="11"/>
      <c r="B997" s="11"/>
      <c r="C997" s="11"/>
      <c r="D997" s="11"/>
      <c r="E997" s="11"/>
      <c r="F997" s="11"/>
      <c r="G997" s="26"/>
      <c r="H997" s="26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</row>
    <row r="998" spans="1:64" ht="13">
      <c r="A998" s="11"/>
      <c r="B998" s="11"/>
      <c r="C998" s="11"/>
      <c r="D998" s="11"/>
      <c r="E998" s="11"/>
      <c r="F998" s="11"/>
      <c r="G998" s="26"/>
      <c r="H998" s="26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</row>
    <row r="999" spans="1:64" ht="13">
      <c r="A999" s="11"/>
      <c r="B999" s="11"/>
      <c r="C999" s="11"/>
      <c r="D999" s="11"/>
      <c r="E999" s="11"/>
      <c r="F999" s="11"/>
      <c r="G999" s="26"/>
      <c r="H999" s="26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</row>
    <row r="1000" spans="1:64" ht="13">
      <c r="A1000" s="11"/>
      <c r="B1000" s="11"/>
      <c r="C1000" s="11"/>
      <c r="D1000" s="11"/>
      <c r="E1000" s="11"/>
      <c r="F1000" s="11"/>
      <c r="G1000" s="26"/>
      <c r="H1000" s="26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</row>
    <row r="1001" spans="1:64" ht="13">
      <c r="A1001" s="11"/>
      <c r="B1001" s="11"/>
      <c r="C1001" s="11"/>
      <c r="D1001" s="11"/>
      <c r="E1001" s="11"/>
      <c r="F1001" s="11"/>
      <c r="G1001" s="26"/>
      <c r="H1001" s="26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</row>
    <row r="1002" spans="1:64" ht="13">
      <c r="A1002" s="11"/>
      <c r="B1002" s="11"/>
      <c r="C1002" s="11"/>
      <c r="D1002" s="11"/>
      <c r="E1002" s="11"/>
      <c r="F1002" s="11"/>
      <c r="G1002" s="26"/>
      <c r="H1002" s="26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</row>
    <row r="1003" spans="1:64" ht="13">
      <c r="A1003" s="11"/>
      <c r="B1003" s="11"/>
      <c r="C1003" s="11"/>
      <c r="D1003" s="11"/>
      <c r="E1003" s="11"/>
      <c r="F1003" s="11"/>
      <c r="G1003" s="26"/>
      <c r="H1003" s="26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</row>
    <row r="1004" spans="1:64" ht="13">
      <c r="A1004" s="11"/>
      <c r="B1004" s="11"/>
      <c r="C1004" s="11"/>
      <c r="D1004" s="11"/>
      <c r="E1004" s="11"/>
      <c r="F1004" s="11"/>
      <c r="G1004" s="26"/>
      <c r="H1004" s="26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</row>
    <row r="1005" spans="1:64" ht="13">
      <c r="A1005" s="11"/>
      <c r="B1005" s="11"/>
      <c r="C1005" s="11"/>
      <c r="D1005" s="11"/>
      <c r="E1005" s="11"/>
      <c r="F1005" s="11"/>
      <c r="G1005" s="26"/>
      <c r="H1005" s="26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</row>
    <row r="1006" spans="1:64" ht="13">
      <c r="A1006" s="11"/>
      <c r="B1006" s="11"/>
      <c r="C1006" s="11"/>
      <c r="D1006" s="11"/>
      <c r="E1006" s="11"/>
      <c r="F1006" s="11"/>
      <c r="G1006" s="26"/>
      <c r="H1006" s="26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</row>
  </sheetData>
  <mergeCells count="2">
    <mergeCell ref="W37:Y37"/>
    <mergeCell ref="W38:Y38"/>
  </mergeCells>
  <conditionalFormatting sqref="AA2:AA31">
    <cfRule type="colorScale" priority="1">
      <colorScale>
        <cfvo type="min"/>
        <cfvo type="max"/>
        <color rgb="FF999999"/>
        <color rgb="FFFFFFFF"/>
      </colorScale>
    </cfRule>
  </conditionalFormatting>
  <conditionalFormatting sqref="G16">
    <cfRule type="notContainsBlanks" dxfId="2" priority="2">
      <formula>LEN(TRIM(G16))&gt;0</formula>
    </cfRule>
  </conditionalFormatting>
  <printOptions horizontalCentered="1" gridLines="1"/>
  <pageMargins left="0.7" right="0.7" top="0.75" bottom="0.75" header="0" footer="0"/>
  <pageSetup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6640625" customWidth="1"/>
    <col min="2" max="2" width="5.6640625" customWidth="1"/>
    <col min="3" max="3" width="6.6640625" customWidth="1"/>
    <col min="4" max="4" width="11.33203125" customWidth="1"/>
    <col min="5" max="5" width="5.6640625" customWidth="1"/>
    <col min="6" max="6" width="8.1640625" customWidth="1"/>
    <col min="7" max="7" width="8" customWidth="1"/>
    <col min="8" max="8" width="7.1640625" customWidth="1"/>
    <col min="9" max="9" width="8.1640625" customWidth="1"/>
    <col min="10" max="10" width="7.5" customWidth="1"/>
    <col min="11" max="11" width="7.6640625" customWidth="1"/>
    <col min="12" max="12" width="17.33203125" customWidth="1"/>
    <col min="13" max="14" width="8" customWidth="1"/>
    <col min="15" max="15" width="9.5" customWidth="1"/>
    <col min="16" max="20" width="9.1640625" customWidth="1"/>
    <col min="21" max="21" width="6.6640625" customWidth="1"/>
    <col min="22" max="22" width="8.5" customWidth="1"/>
    <col min="23" max="24" width="9.6640625" customWidth="1"/>
    <col min="25" max="25" width="8.83203125" customWidth="1"/>
    <col min="26" max="26" width="9" hidden="1" customWidth="1"/>
    <col min="27" max="27" width="36.1640625" customWidth="1"/>
  </cols>
  <sheetData>
    <row r="1" spans="1:63" ht="15.75" customHeight="1">
      <c r="A1" s="1" t="s">
        <v>0</v>
      </c>
      <c r="B1" s="1" t="s">
        <v>1</v>
      </c>
      <c r="C1" s="1" t="s">
        <v>2</v>
      </c>
      <c r="D1" s="1" t="s">
        <v>4</v>
      </c>
      <c r="E1" s="2" t="s">
        <v>5</v>
      </c>
      <c r="F1" s="3" t="s">
        <v>6</v>
      </c>
      <c r="G1" s="3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1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1" t="s">
        <v>27</v>
      </c>
      <c r="AB1" s="1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</row>
    <row r="2" spans="1:63" ht="15.75" customHeight="1">
      <c r="A2" s="5">
        <v>42705</v>
      </c>
      <c r="B2">
        <v>1629</v>
      </c>
      <c r="C2">
        <v>1702</v>
      </c>
      <c r="D2" s="7" t="str">
        <f t="shared" ref="D2:D10" si="0">CHOOSE(WEEKDAY(A2),"Anne/Fred", "Jane", "Tom","Sue/Panos","Shawn/Orem","Jeff", "Rob")</f>
        <v>Shawn/Orem</v>
      </c>
      <c r="E2" s="7" t="s">
        <v>33</v>
      </c>
      <c r="F2" s="13">
        <v>0.71875</v>
      </c>
      <c r="G2" s="13">
        <v>0.71875</v>
      </c>
      <c r="I2" s="9"/>
      <c r="J2" s="7"/>
      <c r="K2" s="7"/>
      <c r="L2" s="7" t="s">
        <v>72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10">
        <f t="shared" ref="X2:X33" si="1">SUM(M2:P2)</f>
        <v>0</v>
      </c>
      <c r="Y2" s="10">
        <f t="shared" ref="Y2:Y33" si="2">SUM(Q2:T2)</f>
        <v>0</v>
      </c>
      <c r="Z2">
        <v>0.03</v>
      </c>
    </row>
    <row r="3" spans="1:63" ht="15.75" customHeight="1">
      <c r="A3" s="5">
        <v>42706</v>
      </c>
      <c r="B3">
        <v>1628</v>
      </c>
      <c r="C3">
        <v>1702</v>
      </c>
      <c r="D3" s="7" t="str">
        <f t="shared" si="0"/>
        <v>Jeff</v>
      </c>
      <c r="E3" s="7" t="s">
        <v>29</v>
      </c>
      <c r="F3" s="13">
        <v>0.67708333333333337</v>
      </c>
      <c r="G3" s="13">
        <v>0.69791666666666663</v>
      </c>
      <c r="H3" s="7">
        <v>0.5</v>
      </c>
      <c r="I3" s="9">
        <v>0.5</v>
      </c>
      <c r="J3" s="7">
        <v>45</v>
      </c>
      <c r="K3" s="7">
        <v>45</v>
      </c>
      <c r="L3" s="7" t="s">
        <v>73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10">
        <f t="shared" si="1"/>
        <v>0</v>
      </c>
      <c r="Y3" s="10">
        <f t="shared" si="2"/>
        <v>0</v>
      </c>
      <c r="Z3">
        <v>7.0000000000000007E-2</v>
      </c>
    </row>
    <row r="4" spans="1:63" ht="15.75" customHeight="1">
      <c r="A4" s="5">
        <v>42706</v>
      </c>
      <c r="B4">
        <v>1628</v>
      </c>
      <c r="C4">
        <v>1702</v>
      </c>
      <c r="D4" s="7" t="str">
        <f t="shared" si="0"/>
        <v>Jeff</v>
      </c>
      <c r="E4" s="7" t="s">
        <v>29</v>
      </c>
      <c r="F4" s="13">
        <v>0.90625</v>
      </c>
      <c r="G4" s="13">
        <v>0.91666666666666663</v>
      </c>
      <c r="H4" s="7">
        <v>0.25</v>
      </c>
      <c r="I4" s="9">
        <v>0.25</v>
      </c>
      <c r="J4" s="7">
        <v>45</v>
      </c>
      <c r="K4" s="7">
        <v>45</v>
      </c>
      <c r="L4" s="7" t="s">
        <v>74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10">
        <f t="shared" si="1"/>
        <v>0</v>
      </c>
      <c r="Y4" s="10">
        <f t="shared" si="2"/>
        <v>0</v>
      </c>
      <c r="Z4">
        <v>0.13</v>
      </c>
      <c r="AA4" s="7" t="s">
        <v>75</v>
      </c>
    </row>
    <row r="5" spans="1:63" ht="15.75" customHeight="1">
      <c r="A5" s="5">
        <v>42707</v>
      </c>
      <c r="B5">
        <v>1628</v>
      </c>
      <c r="C5">
        <v>1702</v>
      </c>
      <c r="D5" s="7" t="str">
        <f t="shared" si="0"/>
        <v>Rob</v>
      </c>
      <c r="E5" s="7" t="s">
        <v>37</v>
      </c>
      <c r="F5" s="13">
        <v>0.69791666666666663</v>
      </c>
      <c r="G5" s="13">
        <v>0.75</v>
      </c>
      <c r="H5" s="7">
        <v>1.25</v>
      </c>
      <c r="I5" s="9">
        <v>1.25</v>
      </c>
      <c r="J5" s="7">
        <v>48</v>
      </c>
      <c r="K5" s="7">
        <v>47</v>
      </c>
      <c r="L5" s="7" t="s">
        <v>76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10">
        <f t="shared" si="1"/>
        <v>0</v>
      </c>
      <c r="Y5" s="10">
        <f t="shared" si="2"/>
        <v>0</v>
      </c>
      <c r="Z5">
        <v>0.13</v>
      </c>
      <c r="AA5" s="7" t="s">
        <v>77</v>
      </c>
    </row>
    <row r="6" spans="1:63" ht="15.75" customHeight="1">
      <c r="A6" s="5">
        <v>42708</v>
      </c>
      <c r="B6">
        <v>1628</v>
      </c>
      <c r="C6">
        <v>1701</v>
      </c>
      <c r="D6" s="7" t="str">
        <f t="shared" si="0"/>
        <v>Anne/Fred</v>
      </c>
      <c r="E6" s="7" t="s">
        <v>33</v>
      </c>
      <c r="F6" s="13">
        <v>0.70833333333333337</v>
      </c>
      <c r="G6" s="13">
        <v>0.70833333333333337</v>
      </c>
      <c r="I6" s="9"/>
      <c r="J6" s="7">
        <v>42</v>
      </c>
      <c r="K6" s="7"/>
      <c r="L6" s="7" t="s">
        <v>78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10">
        <f t="shared" si="1"/>
        <v>0</v>
      </c>
      <c r="Y6" s="10">
        <f t="shared" si="2"/>
        <v>0</v>
      </c>
      <c r="Z6">
        <v>0.21</v>
      </c>
      <c r="AA6" s="7" t="s">
        <v>79</v>
      </c>
    </row>
    <row r="7" spans="1:63" ht="15.75" customHeight="1">
      <c r="A7" s="12">
        <v>42709</v>
      </c>
      <c r="B7">
        <v>1627</v>
      </c>
      <c r="C7">
        <v>1701</v>
      </c>
      <c r="D7" s="7" t="str">
        <f t="shared" si="0"/>
        <v>Jane</v>
      </c>
      <c r="E7" s="7" t="s">
        <v>33</v>
      </c>
      <c r="F7" s="13">
        <v>0.70833333333333337</v>
      </c>
      <c r="G7" s="13">
        <v>0.70833333333333337</v>
      </c>
      <c r="I7" s="9"/>
      <c r="J7" s="7">
        <v>40</v>
      </c>
      <c r="K7" s="7"/>
      <c r="L7" s="7" t="s">
        <v>80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10">
        <f t="shared" si="1"/>
        <v>0</v>
      </c>
      <c r="Y7" s="10">
        <f t="shared" si="2"/>
        <v>0</v>
      </c>
      <c r="Z7">
        <v>0.28999999999999998</v>
      </c>
    </row>
    <row r="8" spans="1:63" ht="15.75" customHeight="1">
      <c r="A8" s="12">
        <v>42710</v>
      </c>
      <c r="B8">
        <v>1627</v>
      </c>
      <c r="C8">
        <v>1701</v>
      </c>
      <c r="D8" s="7" t="str">
        <f t="shared" si="0"/>
        <v>Tom</v>
      </c>
      <c r="E8" s="7" t="s">
        <v>33</v>
      </c>
      <c r="F8" s="13">
        <v>0.70833333333333337</v>
      </c>
      <c r="G8" s="44">
        <v>0.70833333333333337</v>
      </c>
      <c r="H8" s="7">
        <v>0</v>
      </c>
      <c r="I8" s="9">
        <v>0</v>
      </c>
      <c r="J8" s="7">
        <v>40</v>
      </c>
      <c r="K8" s="7">
        <v>40</v>
      </c>
      <c r="L8" s="7" t="s">
        <v>81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10">
        <f t="shared" si="1"/>
        <v>0</v>
      </c>
      <c r="Y8" s="10">
        <f t="shared" si="2"/>
        <v>0</v>
      </c>
      <c r="Z8">
        <v>0.39</v>
      </c>
      <c r="AA8" s="7"/>
    </row>
    <row r="9" spans="1:63" ht="15.75" customHeight="1">
      <c r="A9" s="12">
        <v>42711</v>
      </c>
      <c r="B9">
        <v>1627</v>
      </c>
      <c r="C9">
        <v>1701</v>
      </c>
      <c r="D9" s="7" t="str">
        <f t="shared" si="0"/>
        <v>Sue/Panos</v>
      </c>
      <c r="E9" s="7" t="s">
        <v>33</v>
      </c>
      <c r="F9" s="13">
        <v>0.58333333333333337</v>
      </c>
      <c r="G9" s="13">
        <v>0.58472222222222225</v>
      </c>
      <c r="H9" s="7">
        <v>0</v>
      </c>
      <c r="I9" s="9">
        <v>0</v>
      </c>
      <c r="J9" s="7">
        <v>35</v>
      </c>
      <c r="K9" s="7"/>
      <c r="L9" s="7" t="s">
        <v>82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10">
        <f t="shared" si="1"/>
        <v>0</v>
      </c>
      <c r="Y9" s="10">
        <f t="shared" si="2"/>
        <v>0</v>
      </c>
      <c r="Z9">
        <v>0.5</v>
      </c>
      <c r="AA9" s="7"/>
    </row>
    <row r="10" spans="1:63" ht="15.75" customHeight="1">
      <c r="A10" s="12">
        <v>42712</v>
      </c>
      <c r="B10">
        <v>1627</v>
      </c>
      <c r="C10">
        <v>1701</v>
      </c>
      <c r="D10" s="7" t="str">
        <f t="shared" si="0"/>
        <v>Shawn/Orem</v>
      </c>
      <c r="E10" s="7" t="s">
        <v>33</v>
      </c>
      <c r="F10" s="23">
        <v>0.70833333333333337</v>
      </c>
      <c r="G10" s="8"/>
      <c r="H10" s="7">
        <v>0</v>
      </c>
      <c r="I10" s="9">
        <v>0</v>
      </c>
      <c r="J10" s="7">
        <v>32</v>
      </c>
      <c r="K10" s="7"/>
      <c r="L10" s="7" t="s">
        <v>83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10">
        <f t="shared" si="1"/>
        <v>0</v>
      </c>
      <c r="Y10" s="10">
        <f t="shared" si="2"/>
        <v>0</v>
      </c>
      <c r="Z10">
        <v>0.61</v>
      </c>
      <c r="AA10" s="7"/>
    </row>
    <row r="11" spans="1:63" ht="15.75" customHeight="1">
      <c r="A11" s="12">
        <v>42713</v>
      </c>
      <c r="B11">
        <v>1627</v>
      </c>
      <c r="C11">
        <v>1701</v>
      </c>
      <c r="D11" s="7" t="s">
        <v>84</v>
      </c>
      <c r="E11" s="7" t="s">
        <v>33</v>
      </c>
      <c r="F11" s="13">
        <v>0.625</v>
      </c>
      <c r="G11" s="13">
        <v>0.66666666666666663</v>
      </c>
      <c r="H11" s="7">
        <v>0</v>
      </c>
      <c r="I11" s="9">
        <v>0</v>
      </c>
      <c r="J11" s="7">
        <v>34</v>
      </c>
      <c r="K11" s="7">
        <v>34</v>
      </c>
      <c r="L11" s="7" t="s">
        <v>85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10">
        <f t="shared" si="1"/>
        <v>0</v>
      </c>
      <c r="Y11" s="10">
        <f t="shared" si="2"/>
        <v>0</v>
      </c>
      <c r="Z11">
        <v>0.71</v>
      </c>
      <c r="AA11" s="7"/>
    </row>
    <row r="12" spans="1:63" ht="15.75" customHeight="1">
      <c r="A12" s="14">
        <v>42714</v>
      </c>
      <c r="B12">
        <v>1627</v>
      </c>
      <c r="C12">
        <v>1701</v>
      </c>
      <c r="D12" s="7" t="str">
        <f t="shared" ref="D12:D17" si="3">CHOOSE(WEEKDAY(A12),"Anne/Fred", "Jane", "Tom","Sue/Panos","Shawn/Orem","Jeff", "Rob")</f>
        <v>Rob</v>
      </c>
      <c r="E12" s="7" t="s">
        <v>33</v>
      </c>
      <c r="F12" s="13">
        <v>0.69791666666666663</v>
      </c>
      <c r="G12" s="13"/>
      <c r="H12" s="7"/>
      <c r="I12" s="9"/>
      <c r="J12" s="7">
        <v>37</v>
      </c>
      <c r="K12" s="7"/>
      <c r="L12" s="7" t="s">
        <v>85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10">
        <f t="shared" si="1"/>
        <v>0</v>
      </c>
      <c r="Y12" s="10">
        <f t="shared" si="2"/>
        <v>0</v>
      </c>
      <c r="Z12">
        <v>0.81</v>
      </c>
    </row>
    <row r="13" spans="1:63" ht="15.75" customHeight="1">
      <c r="A13" s="14">
        <v>42715</v>
      </c>
      <c r="B13">
        <v>1627</v>
      </c>
      <c r="C13">
        <v>1701</v>
      </c>
      <c r="D13" s="7" t="str">
        <f t="shared" si="3"/>
        <v>Anne/Fred</v>
      </c>
      <c r="E13" s="7" t="s">
        <v>33</v>
      </c>
      <c r="F13" s="13">
        <v>0.72916666666666663</v>
      </c>
      <c r="G13" s="13"/>
      <c r="H13" s="7"/>
      <c r="I13" s="9"/>
      <c r="J13" s="7">
        <v>42</v>
      </c>
      <c r="K13" s="7"/>
      <c r="L13" s="7" t="s">
        <v>35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10">
        <f t="shared" si="1"/>
        <v>0</v>
      </c>
      <c r="Y13" s="10">
        <f t="shared" si="2"/>
        <v>0</v>
      </c>
      <c r="Z13">
        <v>0.89</v>
      </c>
      <c r="AA13" s="7"/>
    </row>
    <row r="14" spans="1:63" ht="15.75" customHeight="1">
      <c r="A14" s="14">
        <v>42716</v>
      </c>
      <c r="B14">
        <v>1627</v>
      </c>
      <c r="C14">
        <v>1701</v>
      </c>
      <c r="D14" s="7" t="str">
        <f t="shared" si="3"/>
        <v>Jane</v>
      </c>
      <c r="E14" s="7" t="s">
        <v>33</v>
      </c>
      <c r="F14" s="13">
        <v>0.20833333333333334</v>
      </c>
      <c r="G14" s="13"/>
      <c r="H14" s="7">
        <v>0</v>
      </c>
      <c r="I14" s="9">
        <v>0</v>
      </c>
      <c r="J14" s="7">
        <v>44</v>
      </c>
      <c r="K14" s="7"/>
      <c r="L14" s="7" t="s">
        <v>86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0">
        <f t="shared" si="1"/>
        <v>0</v>
      </c>
      <c r="Y14" s="10">
        <f t="shared" si="2"/>
        <v>0</v>
      </c>
      <c r="Z14">
        <v>0.96</v>
      </c>
      <c r="AA14" s="7"/>
    </row>
    <row r="15" spans="1:63" ht="15.75" customHeight="1">
      <c r="A15" s="15">
        <v>42717</v>
      </c>
      <c r="B15">
        <v>1627</v>
      </c>
      <c r="C15">
        <v>1702</v>
      </c>
      <c r="D15" s="7" t="str">
        <f t="shared" si="3"/>
        <v>Tom</v>
      </c>
      <c r="E15" s="7" t="s">
        <v>33</v>
      </c>
      <c r="F15" s="13">
        <v>0.70833333333333337</v>
      </c>
      <c r="G15" s="13">
        <v>0.70833333333333337</v>
      </c>
      <c r="H15" s="7">
        <v>0</v>
      </c>
      <c r="I15" s="9">
        <v>0</v>
      </c>
      <c r="J15" s="7">
        <v>36</v>
      </c>
      <c r="K15" s="7">
        <v>36</v>
      </c>
      <c r="L15" s="7" t="s">
        <v>81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10">
        <f t="shared" si="1"/>
        <v>0</v>
      </c>
      <c r="Y15" s="10">
        <f t="shared" si="2"/>
        <v>0</v>
      </c>
      <c r="Z15">
        <v>0.99</v>
      </c>
      <c r="AA15" s="7"/>
    </row>
    <row r="16" spans="1:63" ht="15.75" customHeight="1">
      <c r="A16" s="15">
        <v>42718</v>
      </c>
      <c r="B16">
        <v>1628</v>
      </c>
      <c r="C16">
        <v>1702</v>
      </c>
      <c r="D16" s="7" t="str">
        <f t="shared" si="3"/>
        <v>Sue/Panos</v>
      </c>
      <c r="E16" s="7" t="s">
        <v>33</v>
      </c>
      <c r="F16" s="45"/>
      <c r="G16" s="13">
        <v>0.70833333333333337</v>
      </c>
      <c r="H16" s="7"/>
      <c r="I16" s="9"/>
      <c r="J16" s="7">
        <v>32</v>
      </c>
      <c r="K16" s="7"/>
      <c r="L16" s="7" t="s">
        <v>87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10">
        <f t="shared" si="1"/>
        <v>0</v>
      </c>
      <c r="Y16" s="10">
        <f t="shared" si="2"/>
        <v>0</v>
      </c>
      <c r="Z16">
        <v>1</v>
      </c>
    </row>
    <row r="17" spans="1:63" ht="15.75" customHeight="1">
      <c r="A17" s="20">
        <v>42719</v>
      </c>
      <c r="B17">
        <v>1628</v>
      </c>
      <c r="C17">
        <v>1702</v>
      </c>
      <c r="D17" s="7" t="str">
        <f t="shared" si="3"/>
        <v>Shawn/Orem</v>
      </c>
      <c r="E17" s="7" t="s">
        <v>33</v>
      </c>
      <c r="F17" s="13">
        <v>0.70833333333333337</v>
      </c>
      <c r="G17" s="8"/>
      <c r="H17" s="7">
        <v>0</v>
      </c>
      <c r="I17" s="9">
        <v>0</v>
      </c>
      <c r="J17" s="7">
        <v>33</v>
      </c>
      <c r="K17" s="7">
        <v>32</v>
      </c>
      <c r="L17" s="7" t="s">
        <v>88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10">
        <f t="shared" si="1"/>
        <v>0</v>
      </c>
      <c r="Y17" s="10">
        <f t="shared" si="2"/>
        <v>0</v>
      </c>
      <c r="Z17">
        <v>0.97</v>
      </c>
      <c r="AA17" s="7" t="s">
        <v>89</v>
      </c>
    </row>
    <row r="18" spans="1:63" ht="15.75" customHeight="1">
      <c r="A18" s="20">
        <v>42720</v>
      </c>
      <c r="B18">
        <v>1628</v>
      </c>
      <c r="C18">
        <v>1702</v>
      </c>
      <c r="D18" s="7" t="s">
        <v>90</v>
      </c>
      <c r="E18" s="7" t="s">
        <v>33</v>
      </c>
      <c r="F18" s="13">
        <v>0.5625</v>
      </c>
      <c r="G18" s="13">
        <v>0.58333333333333337</v>
      </c>
      <c r="H18" s="7">
        <v>0.5</v>
      </c>
      <c r="I18" s="9">
        <v>0</v>
      </c>
      <c r="J18" s="7">
        <v>38</v>
      </c>
      <c r="K18" s="7">
        <v>38</v>
      </c>
      <c r="L18" s="7" t="s">
        <v>91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10">
        <f t="shared" si="1"/>
        <v>0</v>
      </c>
      <c r="Y18" s="10">
        <f t="shared" si="2"/>
        <v>0</v>
      </c>
      <c r="Z18">
        <v>0.92</v>
      </c>
    </row>
    <row r="19" spans="1:63" ht="15.75" customHeight="1">
      <c r="A19" s="20">
        <v>42721</v>
      </c>
      <c r="B19">
        <v>1628</v>
      </c>
      <c r="C19">
        <v>1703</v>
      </c>
      <c r="D19" s="7" t="str">
        <f t="shared" ref="D19:D33" si="4">CHOOSE(WEEKDAY(A19),"Anne/Fred", "Jane", "Tom","Sue/Panos","Shawn/Orem","Jeff", "Rob")</f>
        <v>Rob</v>
      </c>
      <c r="E19" s="7" t="s">
        <v>33</v>
      </c>
      <c r="F19" s="13"/>
      <c r="G19" s="13"/>
      <c r="H19" s="7"/>
      <c r="I19" s="9"/>
      <c r="J19" s="7">
        <v>36</v>
      </c>
      <c r="K19" s="7"/>
      <c r="L19" s="7" t="s">
        <v>85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10">
        <f t="shared" si="1"/>
        <v>0</v>
      </c>
      <c r="Y19" s="10">
        <f t="shared" si="2"/>
        <v>0</v>
      </c>
      <c r="Z19">
        <v>0.85</v>
      </c>
    </row>
    <row r="20" spans="1:63" ht="15.75" customHeight="1">
      <c r="A20" s="20">
        <v>42722</v>
      </c>
      <c r="B20">
        <v>1630</v>
      </c>
      <c r="C20">
        <v>1703</v>
      </c>
      <c r="D20" s="7" t="str">
        <f t="shared" si="4"/>
        <v>Anne/Fred</v>
      </c>
      <c r="E20" s="7" t="s">
        <v>33</v>
      </c>
      <c r="F20" s="13">
        <v>0.70833333333333337</v>
      </c>
      <c r="G20" s="13"/>
      <c r="H20" s="7"/>
      <c r="I20" s="9"/>
      <c r="J20" s="7">
        <v>32</v>
      </c>
      <c r="K20" s="7"/>
      <c r="L20" s="7" t="s">
        <v>92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10">
        <f t="shared" si="1"/>
        <v>0</v>
      </c>
      <c r="Y20" s="10">
        <f t="shared" si="2"/>
        <v>0</v>
      </c>
      <c r="Z20">
        <v>0.77</v>
      </c>
      <c r="AA20" s="7"/>
    </row>
    <row r="21" spans="1:63" ht="15.75" customHeight="1">
      <c r="A21" s="22">
        <v>42723</v>
      </c>
      <c r="B21" s="16">
        <v>1630</v>
      </c>
      <c r="C21" s="16">
        <v>1703</v>
      </c>
      <c r="D21" s="17" t="str">
        <f t="shared" si="4"/>
        <v>Jane</v>
      </c>
      <c r="E21" s="17" t="s">
        <v>29</v>
      </c>
      <c r="F21" s="18">
        <v>0.1736111111111111</v>
      </c>
      <c r="G21" s="18">
        <v>0.3125</v>
      </c>
      <c r="H21" s="46">
        <v>0.1388888888888889</v>
      </c>
      <c r="I21" s="19">
        <v>3.2</v>
      </c>
      <c r="J21" s="17">
        <v>47</v>
      </c>
      <c r="K21" s="17">
        <v>49</v>
      </c>
      <c r="L21" s="17" t="s">
        <v>93</v>
      </c>
      <c r="M21" s="17">
        <v>1</v>
      </c>
      <c r="N21" s="17">
        <v>7</v>
      </c>
      <c r="O21" s="17">
        <v>0</v>
      </c>
      <c r="P21" s="17">
        <v>1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1</v>
      </c>
      <c r="X21" s="17">
        <f t="shared" si="1"/>
        <v>9</v>
      </c>
      <c r="Y21" s="17">
        <f t="shared" si="2"/>
        <v>0</v>
      </c>
      <c r="Z21">
        <v>0.67</v>
      </c>
      <c r="AA21" s="17" t="s">
        <v>94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 ht="15.75" customHeight="1">
      <c r="A22" s="22">
        <v>42724</v>
      </c>
      <c r="B22" s="16">
        <v>1631</v>
      </c>
      <c r="C22" s="16">
        <v>1704</v>
      </c>
      <c r="D22" s="17" t="str">
        <f t="shared" si="4"/>
        <v>Tom</v>
      </c>
      <c r="E22" s="17" t="s">
        <v>29</v>
      </c>
      <c r="F22" s="18">
        <v>0.67708333333333337</v>
      </c>
      <c r="G22" s="18">
        <v>0.71875</v>
      </c>
      <c r="H22" s="17">
        <v>1</v>
      </c>
      <c r="I22" s="17">
        <v>4.75</v>
      </c>
      <c r="J22" s="17">
        <v>45</v>
      </c>
      <c r="K22" s="17">
        <v>40</v>
      </c>
      <c r="L22" s="17" t="s">
        <v>95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1</v>
      </c>
      <c r="W22" s="17">
        <v>0</v>
      </c>
      <c r="X22" s="17">
        <f t="shared" si="1"/>
        <v>0</v>
      </c>
      <c r="Y22" s="17">
        <f t="shared" si="2"/>
        <v>0</v>
      </c>
      <c r="Z22">
        <v>0.57999999999999996</v>
      </c>
      <c r="AA22" s="17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 ht="15.75" customHeight="1">
      <c r="A23" s="22">
        <v>42725</v>
      </c>
      <c r="B23">
        <v>1631</v>
      </c>
      <c r="C23">
        <v>1704</v>
      </c>
      <c r="D23" s="7" t="str">
        <f t="shared" si="4"/>
        <v>Sue/Panos</v>
      </c>
      <c r="E23" s="7"/>
      <c r="F23" s="23"/>
      <c r="G23" s="47"/>
      <c r="H23" s="47"/>
      <c r="I23" s="9"/>
      <c r="J23" s="7"/>
      <c r="K23" s="7"/>
      <c r="L23" s="7"/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10">
        <f t="shared" si="1"/>
        <v>0</v>
      </c>
      <c r="Y23" s="10">
        <f t="shared" si="2"/>
        <v>0</v>
      </c>
      <c r="Z23">
        <v>0.48</v>
      </c>
    </row>
    <row r="24" spans="1:63" ht="15.75" customHeight="1">
      <c r="A24" s="22">
        <v>42726</v>
      </c>
      <c r="B24">
        <v>1632</v>
      </c>
      <c r="C24">
        <v>1705</v>
      </c>
      <c r="D24" s="7" t="str">
        <f t="shared" si="4"/>
        <v>Shawn/Orem</v>
      </c>
      <c r="E24" s="7" t="s">
        <v>33</v>
      </c>
      <c r="F24" s="13">
        <v>0.69791666666666663</v>
      </c>
      <c r="G24" s="13"/>
      <c r="H24" s="7">
        <v>0</v>
      </c>
      <c r="I24" s="9"/>
      <c r="J24" s="7">
        <v>39</v>
      </c>
      <c r="K24" s="7"/>
      <c r="L24" s="7" t="s">
        <v>96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10">
        <f t="shared" si="1"/>
        <v>0</v>
      </c>
      <c r="Y24" s="10">
        <f t="shared" si="2"/>
        <v>0</v>
      </c>
      <c r="Z24">
        <v>0.38</v>
      </c>
      <c r="AA24" s="7"/>
    </row>
    <row r="25" spans="1:63" ht="15.75" customHeight="1">
      <c r="A25" s="22">
        <v>42727</v>
      </c>
      <c r="B25">
        <v>1633</v>
      </c>
      <c r="C25">
        <v>1706</v>
      </c>
      <c r="D25" s="7" t="str">
        <f t="shared" si="4"/>
        <v>Jeff</v>
      </c>
      <c r="E25" s="7" t="s">
        <v>29</v>
      </c>
      <c r="F25" s="13">
        <v>0.72916666666666663</v>
      </c>
      <c r="G25" s="13">
        <v>0.73958333333333337</v>
      </c>
      <c r="H25" s="7">
        <v>0.25</v>
      </c>
      <c r="I25" s="9">
        <v>0.25</v>
      </c>
      <c r="J25" s="7">
        <v>41</v>
      </c>
      <c r="K25" s="7">
        <v>41</v>
      </c>
      <c r="L25" s="7" t="s">
        <v>97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10">
        <f t="shared" si="1"/>
        <v>0</v>
      </c>
      <c r="Y25" s="10">
        <f t="shared" si="2"/>
        <v>0</v>
      </c>
      <c r="Z25">
        <v>0.28999999999999998</v>
      </c>
      <c r="AA25" s="7"/>
    </row>
    <row r="26" spans="1:63" ht="15.75" customHeight="1">
      <c r="A26" s="24">
        <v>42728</v>
      </c>
      <c r="B26">
        <v>1633</v>
      </c>
      <c r="C26">
        <v>1706</v>
      </c>
      <c r="D26" s="7" t="str">
        <f t="shared" si="4"/>
        <v>Rob</v>
      </c>
      <c r="E26" s="7" t="s">
        <v>33</v>
      </c>
      <c r="F26" s="13">
        <v>0.71875</v>
      </c>
      <c r="G26" s="23"/>
      <c r="H26" s="7"/>
      <c r="I26" s="9"/>
      <c r="J26" s="7">
        <v>35.5</v>
      </c>
      <c r="K26" s="7"/>
      <c r="L26" s="7" t="s">
        <v>98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10">
        <f t="shared" si="1"/>
        <v>0</v>
      </c>
      <c r="Y26" s="10">
        <f t="shared" si="2"/>
        <v>0</v>
      </c>
      <c r="Z26">
        <v>0.21</v>
      </c>
      <c r="AA26" s="7" t="s">
        <v>99</v>
      </c>
      <c r="AB26" s="7"/>
    </row>
    <row r="27" spans="1:63" ht="15.75" customHeight="1">
      <c r="A27" s="24">
        <v>42729</v>
      </c>
      <c r="B27">
        <v>1634</v>
      </c>
      <c r="C27">
        <v>1707</v>
      </c>
      <c r="D27" s="7" t="str">
        <f t="shared" si="4"/>
        <v>Anne/Fred</v>
      </c>
      <c r="E27" s="7" t="s">
        <v>33</v>
      </c>
      <c r="F27" s="13"/>
      <c r="G27" s="13">
        <v>0.70833333333333337</v>
      </c>
      <c r="H27" s="7"/>
      <c r="I27" s="9"/>
      <c r="J27" s="7">
        <v>41</v>
      </c>
      <c r="K27" s="7"/>
      <c r="L27" s="7" t="s">
        <v>35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10">
        <f t="shared" si="1"/>
        <v>0</v>
      </c>
      <c r="Y27" s="10">
        <f t="shared" si="2"/>
        <v>0</v>
      </c>
      <c r="Z27">
        <v>0.14000000000000001</v>
      </c>
    </row>
    <row r="28" spans="1:63" ht="15.75" customHeight="1">
      <c r="A28" s="24">
        <v>42730</v>
      </c>
      <c r="B28">
        <v>1635</v>
      </c>
      <c r="C28">
        <v>1707</v>
      </c>
      <c r="D28" s="7" t="str">
        <f t="shared" si="4"/>
        <v>Jane</v>
      </c>
      <c r="E28" s="7" t="s">
        <v>33</v>
      </c>
      <c r="F28" s="13">
        <v>0.70833333333333337</v>
      </c>
      <c r="G28" s="8"/>
      <c r="H28" s="7"/>
      <c r="I28" s="9"/>
      <c r="J28" s="7">
        <v>39</v>
      </c>
      <c r="K28" s="7"/>
      <c r="L28" s="7" t="s">
        <v>35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10">
        <f t="shared" si="1"/>
        <v>0</v>
      </c>
      <c r="Y28" s="10">
        <f t="shared" si="2"/>
        <v>0</v>
      </c>
      <c r="Z28">
        <v>0.08</v>
      </c>
    </row>
    <row r="29" spans="1:63" ht="15.75" customHeight="1">
      <c r="A29" s="24">
        <v>42731</v>
      </c>
      <c r="B29">
        <v>1636</v>
      </c>
      <c r="C29">
        <v>1708</v>
      </c>
      <c r="D29" s="7" t="str">
        <f t="shared" si="4"/>
        <v>Tom</v>
      </c>
      <c r="E29" s="7" t="s">
        <v>33</v>
      </c>
      <c r="F29" s="13">
        <v>0.70833333333333337</v>
      </c>
      <c r="G29" s="13">
        <v>0.70833333333333337</v>
      </c>
      <c r="H29" s="7">
        <v>0</v>
      </c>
      <c r="I29" s="9">
        <v>0</v>
      </c>
      <c r="J29" s="7">
        <v>40</v>
      </c>
      <c r="K29" s="7">
        <v>40</v>
      </c>
      <c r="L29" s="7" t="s">
        <v>95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10">
        <f t="shared" si="1"/>
        <v>0</v>
      </c>
      <c r="Y29" s="10">
        <f t="shared" si="2"/>
        <v>0</v>
      </c>
      <c r="Z29">
        <v>0.04</v>
      </c>
    </row>
    <row r="30" spans="1:63" ht="15.75" customHeight="1">
      <c r="A30" s="25">
        <v>42732</v>
      </c>
      <c r="B30">
        <v>1636</v>
      </c>
      <c r="C30">
        <v>1709</v>
      </c>
      <c r="D30" s="7" t="str">
        <f t="shared" si="4"/>
        <v>Sue/Panos</v>
      </c>
      <c r="E30" s="7"/>
      <c r="F30" s="13"/>
      <c r="G30" s="8"/>
      <c r="H30" s="7"/>
      <c r="I30" s="9"/>
      <c r="J30" s="7"/>
      <c r="K30" s="7"/>
      <c r="L30" s="7"/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0">
        <f t="shared" si="1"/>
        <v>0</v>
      </c>
      <c r="Y30" s="10">
        <f t="shared" si="2"/>
        <v>0</v>
      </c>
      <c r="Z30">
        <v>0.01</v>
      </c>
      <c r="AB30" s="7"/>
    </row>
    <row r="31" spans="1:63" ht="15.75" customHeight="1">
      <c r="A31" s="25">
        <v>42733</v>
      </c>
      <c r="B31">
        <v>1637</v>
      </c>
      <c r="C31">
        <v>1710</v>
      </c>
      <c r="D31" s="7" t="str">
        <f t="shared" si="4"/>
        <v>Shawn/Orem</v>
      </c>
      <c r="E31" s="7" t="s">
        <v>33</v>
      </c>
      <c r="F31" s="13">
        <v>0.72916666666666663</v>
      </c>
      <c r="G31" s="8"/>
      <c r="H31" s="7"/>
      <c r="I31" s="9"/>
      <c r="J31" s="7">
        <v>39</v>
      </c>
      <c r="K31" s="7"/>
      <c r="L31" s="7" t="s">
        <v>35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10">
        <f t="shared" si="1"/>
        <v>0</v>
      </c>
      <c r="Y31" s="10">
        <f t="shared" si="2"/>
        <v>0</v>
      </c>
      <c r="Z31">
        <v>0</v>
      </c>
      <c r="AA31" s="7" t="s">
        <v>100</v>
      </c>
      <c r="AB31" s="7"/>
    </row>
    <row r="32" spans="1:63" ht="15.75" customHeight="1">
      <c r="A32" s="25">
        <v>42734</v>
      </c>
      <c r="B32">
        <v>1636</v>
      </c>
      <c r="C32">
        <v>1711</v>
      </c>
      <c r="D32" s="7" t="str">
        <f t="shared" si="4"/>
        <v>Jeff</v>
      </c>
      <c r="E32" s="7" t="s">
        <v>29</v>
      </c>
      <c r="F32" s="13">
        <v>0.67708333333333337</v>
      </c>
      <c r="G32" s="13">
        <v>0.68402777777777779</v>
      </c>
      <c r="H32" s="7">
        <v>0.17</v>
      </c>
      <c r="I32" s="9">
        <v>0.17</v>
      </c>
      <c r="J32" s="7">
        <v>41</v>
      </c>
      <c r="K32" s="7">
        <v>41</v>
      </c>
      <c r="L32" s="7" t="s">
        <v>101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10">
        <f t="shared" si="1"/>
        <v>0</v>
      </c>
      <c r="Y32" s="10">
        <f t="shared" si="2"/>
        <v>0</v>
      </c>
      <c r="Z32">
        <v>0.01</v>
      </c>
      <c r="AB32" s="7"/>
    </row>
    <row r="33" spans="1:31" ht="15.75" customHeight="1">
      <c r="A33" s="5">
        <v>42735</v>
      </c>
      <c r="B33">
        <v>1637</v>
      </c>
      <c r="C33">
        <v>1711</v>
      </c>
      <c r="D33" s="7" t="str">
        <f t="shared" si="4"/>
        <v>Rob</v>
      </c>
      <c r="E33" s="7" t="s">
        <v>33</v>
      </c>
      <c r="F33" s="13"/>
      <c r="G33" s="13"/>
      <c r="H33" s="7"/>
      <c r="I33" s="9"/>
      <c r="J33" s="7">
        <v>37</v>
      </c>
      <c r="K33" s="7"/>
      <c r="L33" s="7" t="s">
        <v>102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10">
        <f t="shared" si="1"/>
        <v>0</v>
      </c>
      <c r="Y33" s="10">
        <f t="shared" si="2"/>
        <v>0</v>
      </c>
      <c r="Z33">
        <v>0.04</v>
      </c>
      <c r="AA33" s="7"/>
      <c r="AB33" s="7"/>
    </row>
    <row r="34" spans="1:31" ht="15.75" customHeight="1">
      <c r="F34" s="8"/>
      <c r="G34" s="8"/>
      <c r="Z34" s="7"/>
    </row>
    <row r="35" spans="1:31" ht="15.75" customHeight="1">
      <c r="B35" s="48"/>
      <c r="C35" s="48"/>
      <c r="D35" s="48"/>
      <c r="E35" s="28" t="s">
        <v>56</v>
      </c>
      <c r="F35" s="49"/>
      <c r="H35" s="48">
        <f>SUM(H3:H33)</f>
        <v>4.0588888888888892</v>
      </c>
      <c r="I35" s="50">
        <f>SUM(I2:I33)</f>
        <v>10.37</v>
      </c>
      <c r="J35" s="48"/>
      <c r="K35" s="48"/>
      <c r="L35" s="48"/>
      <c r="M35" s="51">
        <f t="shared" ref="M35:W35" si="5">SUM(M2:M33)</f>
        <v>1</v>
      </c>
      <c r="N35" s="51">
        <f t="shared" si="5"/>
        <v>7</v>
      </c>
      <c r="O35" s="51">
        <f t="shared" si="5"/>
        <v>0</v>
      </c>
      <c r="P35" s="51">
        <f t="shared" si="5"/>
        <v>1</v>
      </c>
      <c r="Q35" s="51">
        <f t="shared" si="5"/>
        <v>0</v>
      </c>
      <c r="R35" s="51">
        <f t="shared" si="5"/>
        <v>0</v>
      </c>
      <c r="S35" s="51">
        <f t="shared" si="5"/>
        <v>0</v>
      </c>
      <c r="T35" s="51">
        <f t="shared" si="5"/>
        <v>0</v>
      </c>
      <c r="U35" s="51">
        <f t="shared" si="5"/>
        <v>0</v>
      </c>
      <c r="V35" s="51">
        <f t="shared" si="5"/>
        <v>1</v>
      </c>
      <c r="W35" s="51">
        <f t="shared" si="5"/>
        <v>1</v>
      </c>
      <c r="X35" s="51">
        <f t="shared" ref="X35:Y35" si="6">SUM(X2:X33)</f>
        <v>9</v>
      </c>
      <c r="Y35" s="51">
        <f t="shared" si="6"/>
        <v>0</v>
      </c>
    </row>
    <row r="36" spans="1:31" ht="15.75" customHeight="1">
      <c r="B36" s="48"/>
      <c r="C36" s="48"/>
      <c r="D36" s="48"/>
      <c r="E36" s="28"/>
      <c r="F36" s="49"/>
      <c r="H36" s="48"/>
      <c r="I36" s="50">
        <f>nov_tot_hrs+dec_tot_hrs</f>
        <v>47.22</v>
      </c>
      <c r="J36" s="48"/>
      <c r="K36" s="48"/>
      <c r="L36" s="48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>
        <f>nov_tot_down+dec_tot_down</f>
        <v>26</v>
      </c>
      <c r="Y36" s="51">
        <f>nov_tot_up+dec_tot_up</f>
        <v>0</v>
      </c>
    </row>
    <row r="37" spans="1:31" ht="15.75" customHeight="1">
      <c r="B37" s="48"/>
      <c r="C37" s="48"/>
      <c r="D37" s="48"/>
      <c r="E37" s="48"/>
      <c r="F37" s="49"/>
      <c r="G37" s="52"/>
      <c r="H37" s="48"/>
      <c r="I37" s="48"/>
      <c r="J37" s="48"/>
      <c r="K37" s="48"/>
      <c r="L37" s="48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31" ht="15.75" customHeight="1">
      <c r="B38" s="48"/>
      <c r="C38" s="53" t="s">
        <v>58</v>
      </c>
      <c r="D38" s="48"/>
      <c r="E38" s="48"/>
      <c r="F38" s="48"/>
      <c r="G38" s="48"/>
      <c r="H38" s="52"/>
      <c r="I38" s="52"/>
      <c r="J38" s="52"/>
      <c r="K38" s="54"/>
      <c r="L38" s="55"/>
      <c r="M38" s="56"/>
      <c r="N38" s="56"/>
      <c r="O38" s="57"/>
      <c r="P38" s="58"/>
      <c r="Q38" s="58"/>
      <c r="R38" s="58"/>
      <c r="S38" s="58"/>
      <c r="T38" s="58"/>
      <c r="U38" s="57"/>
      <c r="V38" s="57"/>
      <c r="W38" s="57"/>
      <c r="X38" s="57"/>
      <c r="Y38" s="57"/>
      <c r="AA38" s="57"/>
      <c r="AB38" s="57"/>
      <c r="AC38" s="57"/>
      <c r="AD38" s="58"/>
      <c r="AE38" s="59"/>
    </row>
    <row r="39" spans="1:31" ht="15.75" customHeight="1">
      <c r="B39" s="48"/>
      <c r="C39" s="52" t="s">
        <v>59</v>
      </c>
      <c r="D39" s="48"/>
      <c r="E39" s="48"/>
      <c r="F39" s="48">
        <f>SUM(13.85+4)</f>
        <v>17.850000000000001</v>
      </c>
      <c r="H39" s="52" t="s">
        <v>60</v>
      </c>
      <c r="J39" s="7">
        <v>9</v>
      </c>
      <c r="L39" s="52" t="s">
        <v>61</v>
      </c>
      <c r="M39" s="7">
        <v>0</v>
      </c>
      <c r="N39" s="56"/>
      <c r="O39" s="57"/>
      <c r="P39" s="58"/>
      <c r="Q39" s="58"/>
      <c r="R39" s="58"/>
      <c r="S39" s="58"/>
      <c r="T39" s="58"/>
      <c r="U39" s="163" t="s">
        <v>62</v>
      </c>
      <c r="V39" s="162"/>
      <c r="W39" s="162"/>
      <c r="X39" s="162"/>
      <c r="Y39" s="57">
        <f>dec_tot_down+nov_tot_down</f>
        <v>26</v>
      </c>
      <c r="Z39" s="57"/>
      <c r="AB39" s="57"/>
      <c r="AC39" s="57"/>
      <c r="AD39" s="58"/>
      <c r="AE39" s="59"/>
    </row>
    <row r="40" spans="1:31" ht="15.75" customHeight="1">
      <c r="B40" s="48"/>
      <c r="C40" s="52" t="s">
        <v>64</v>
      </c>
      <c r="D40" s="48"/>
      <c r="E40" s="48"/>
      <c r="F40" s="60">
        <f>SUM(I35+36.85)</f>
        <v>47.22</v>
      </c>
      <c r="H40" s="52" t="s">
        <v>65</v>
      </c>
      <c r="J40" s="7">
        <v>16</v>
      </c>
      <c r="L40" s="52" t="s">
        <v>66</v>
      </c>
      <c r="M40" s="7">
        <v>0</v>
      </c>
      <c r="N40" s="56"/>
      <c r="O40" s="57"/>
      <c r="P40" s="58"/>
      <c r="Q40" s="58"/>
      <c r="R40" s="58"/>
      <c r="S40" s="58"/>
      <c r="T40" s="58"/>
      <c r="U40" s="163" t="s">
        <v>67</v>
      </c>
      <c r="V40" s="162"/>
      <c r="W40" s="162"/>
      <c r="X40" s="162"/>
      <c r="Y40" s="58">
        <f>dec_tot_up+nov_tot_up</f>
        <v>0</v>
      </c>
      <c r="AB40" s="57"/>
      <c r="AC40" s="57"/>
      <c r="AD40" s="58"/>
      <c r="AE40" s="59"/>
    </row>
    <row r="41" spans="1:31" ht="15.75" customHeight="1">
      <c r="B41" s="48"/>
      <c r="D41" s="48"/>
      <c r="E41" s="48"/>
      <c r="F41" s="48"/>
      <c r="H41" s="52" t="s">
        <v>68</v>
      </c>
      <c r="J41" s="7">
        <v>1</v>
      </c>
      <c r="L41" s="52" t="s">
        <v>69</v>
      </c>
      <c r="M41" s="7">
        <v>0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AA41" s="57"/>
      <c r="AB41" s="57"/>
      <c r="AC41" s="57"/>
      <c r="AD41" s="58"/>
      <c r="AE41" s="59"/>
    </row>
    <row r="42" spans="1:31" ht="15.75" customHeight="1">
      <c r="B42" s="48"/>
      <c r="D42" s="48"/>
      <c r="E42" s="48"/>
      <c r="F42" s="48"/>
      <c r="G42" s="48"/>
      <c r="H42" s="52"/>
      <c r="I42" s="52"/>
      <c r="J42" s="52"/>
      <c r="K42" s="54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8"/>
      <c r="AE42" s="59"/>
    </row>
    <row r="43" spans="1:31" ht="15.75" customHeight="1">
      <c r="B43" s="48"/>
      <c r="C43" s="48"/>
      <c r="J43" s="48"/>
      <c r="K43" s="61" t="s">
        <v>71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E43" s="59"/>
    </row>
    <row r="44" spans="1:31" ht="15.75" customHeight="1">
      <c r="F44" s="8"/>
      <c r="G44" s="8"/>
      <c r="Z44" s="57"/>
    </row>
    <row r="45" spans="1:31" ht="15.75" customHeight="1">
      <c r="F45" s="8"/>
      <c r="G45" s="8"/>
    </row>
    <row r="46" spans="1:31" ht="15.75" customHeight="1">
      <c r="F46" s="8"/>
      <c r="G46" s="8"/>
    </row>
    <row r="47" spans="1:31" ht="15.75" customHeight="1">
      <c r="F47" s="8"/>
      <c r="G47" s="8"/>
    </row>
    <row r="48" spans="1:31" ht="13">
      <c r="F48" s="8"/>
      <c r="G48" s="8"/>
    </row>
    <row r="49" spans="6:7" ht="13">
      <c r="F49" s="8"/>
      <c r="G49" s="8"/>
    </row>
    <row r="50" spans="6:7" ht="13">
      <c r="F50" s="8"/>
      <c r="G50" s="8"/>
    </row>
    <row r="51" spans="6:7" ht="13">
      <c r="F51" s="8"/>
      <c r="G51" s="8"/>
    </row>
    <row r="52" spans="6:7" ht="13">
      <c r="F52" s="8"/>
      <c r="G52" s="8"/>
    </row>
    <row r="53" spans="6:7" ht="13">
      <c r="F53" s="8"/>
      <c r="G53" s="8"/>
    </row>
    <row r="54" spans="6:7" ht="13">
      <c r="F54" s="8"/>
      <c r="G54" s="8"/>
    </row>
    <row r="55" spans="6:7" ht="13">
      <c r="F55" s="8"/>
      <c r="G55" s="8"/>
    </row>
    <row r="56" spans="6:7" ht="13">
      <c r="F56" s="8"/>
      <c r="G56" s="8"/>
    </row>
    <row r="57" spans="6:7" ht="13">
      <c r="F57" s="8"/>
      <c r="G57" s="8"/>
    </row>
    <row r="58" spans="6:7" ht="13">
      <c r="F58" s="8"/>
      <c r="G58" s="8"/>
    </row>
    <row r="59" spans="6:7" ht="13">
      <c r="F59" s="8"/>
      <c r="G59" s="8"/>
    </row>
    <row r="60" spans="6:7" ht="13">
      <c r="F60" s="8"/>
      <c r="G60" s="8"/>
    </row>
    <row r="61" spans="6:7" ht="13">
      <c r="F61" s="8"/>
      <c r="G61" s="8"/>
    </row>
    <row r="62" spans="6:7" ht="13">
      <c r="F62" s="8"/>
      <c r="G62" s="8"/>
    </row>
    <row r="63" spans="6:7" ht="13">
      <c r="F63" s="8"/>
      <c r="G63" s="8"/>
    </row>
    <row r="64" spans="6:7" ht="13">
      <c r="F64" s="8"/>
      <c r="G64" s="8"/>
    </row>
    <row r="65" spans="6:7" ht="13">
      <c r="F65" s="8"/>
      <c r="G65" s="8"/>
    </row>
    <row r="66" spans="6:7" ht="13">
      <c r="F66" s="8"/>
      <c r="G66" s="8"/>
    </row>
    <row r="67" spans="6:7" ht="13">
      <c r="F67" s="8"/>
      <c r="G67" s="8"/>
    </row>
    <row r="68" spans="6:7" ht="13">
      <c r="F68" s="8"/>
      <c r="G68" s="8"/>
    </row>
    <row r="69" spans="6:7" ht="13">
      <c r="F69" s="8"/>
      <c r="G69" s="8"/>
    </row>
    <row r="70" spans="6:7" ht="13">
      <c r="F70" s="8"/>
      <c r="G70" s="8"/>
    </row>
    <row r="71" spans="6:7" ht="13">
      <c r="F71" s="8"/>
      <c r="G71" s="8"/>
    </row>
    <row r="72" spans="6:7" ht="13">
      <c r="F72" s="8"/>
      <c r="G72" s="8"/>
    </row>
    <row r="73" spans="6:7" ht="13">
      <c r="F73" s="8"/>
      <c r="G73" s="8"/>
    </row>
    <row r="74" spans="6:7" ht="13">
      <c r="F74" s="8"/>
      <c r="G74" s="8"/>
    </row>
    <row r="75" spans="6:7" ht="13">
      <c r="F75" s="8"/>
      <c r="G75" s="8"/>
    </row>
    <row r="76" spans="6:7" ht="13">
      <c r="F76" s="8"/>
      <c r="G76" s="8"/>
    </row>
    <row r="77" spans="6:7" ht="13">
      <c r="F77" s="8"/>
      <c r="G77" s="8"/>
    </row>
    <row r="78" spans="6:7" ht="13">
      <c r="F78" s="8"/>
      <c r="G78" s="8"/>
    </row>
    <row r="79" spans="6:7" ht="13">
      <c r="F79" s="8"/>
      <c r="G79" s="8"/>
    </row>
    <row r="80" spans="6:7" ht="13">
      <c r="F80" s="8"/>
      <c r="G80" s="8"/>
    </row>
    <row r="81" spans="6:7" ht="13">
      <c r="F81" s="8"/>
      <c r="G81" s="8"/>
    </row>
    <row r="82" spans="6:7" ht="13">
      <c r="F82" s="8"/>
      <c r="G82" s="8"/>
    </row>
    <row r="83" spans="6:7" ht="13">
      <c r="F83" s="8"/>
      <c r="G83" s="8"/>
    </row>
    <row r="84" spans="6:7" ht="13">
      <c r="F84" s="8"/>
      <c r="G84" s="8"/>
    </row>
    <row r="85" spans="6:7" ht="13">
      <c r="F85" s="8"/>
      <c r="G85" s="8"/>
    </row>
    <row r="86" spans="6:7" ht="13">
      <c r="F86" s="8"/>
      <c r="G86" s="8"/>
    </row>
    <row r="87" spans="6:7" ht="13">
      <c r="F87" s="8"/>
      <c r="G87" s="8"/>
    </row>
    <row r="88" spans="6:7" ht="13">
      <c r="F88" s="8"/>
      <c r="G88" s="8"/>
    </row>
    <row r="89" spans="6:7" ht="13">
      <c r="F89" s="8"/>
      <c r="G89" s="8"/>
    </row>
    <row r="90" spans="6:7" ht="13">
      <c r="F90" s="8"/>
      <c r="G90" s="8"/>
    </row>
    <row r="91" spans="6:7" ht="13">
      <c r="F91" s="8"/>
      <c r="G91" s="8"/>
    </row>
    <row r="92" spans="6:7" ht="13">
      <c r="F92" s="8"/>
      <c r="G92" s="8"/>
    </row>
    <row r="93" spans="6:7" ht="13">
      <c r="F93" s="8"/>
      <c r="G93" s="8"/>
    </row>
    <row r="94" spans="6:7" ht="13">
      <c r="F94" s="8"/>
      <c r="G94" s="8"/>
    </row>
    <row r="95" spans="6:7" ht="13">
      <c r="F95" s="8"/>
      <c r="G95" s="8"/>
    </row>
    <row r="96" spans="6:7" ht="13">
      <c r="F96" s="8"/>
      <c r="G96" s="8"/>
    </row>
    <row r="97" spans="6:7" ht="13">
      <c r="F97" s="8"/>
      <c r="G97" s="8"/>
    </row>
    <row r="98" spans="6:7" ht="13">
      <c r="F98" s="8"/>
      <c r="G98" s="8"/>
    </row>
    <row r="99" spans="6:7" ht="13">
      <c r="F99" s="8"/>
      <c r="G99" s="8"/>
    </row>
    <row r="100" spans="6:7" ht="13">
      <c r="F100" s="8"/>
      <c r="G100" s="8"/>
    </row>
    <row r="101" spans="6:7" ht="13">
      <c r="F101" s="8"/>
      <c r="G101" s="8"/>
    </row>
    <row r="102" spans="6:7" ht="13">
      <c r="F102" s="8"/>
      <c r="G102" s="8"/>
    </row>
    <row r="103" spans="6:7" ht="13">
      <c r="F103" s="8"/>
      <c r="G103" s="8"/>
    </row>
    <row r="104" spans="6:7" ht="13">
      <c r="F104" s="8"/>
      <c r="G104" s="8"/>
    </row>
    <row r="105" spans="6:7" ht="13">
      <c r="F105" s="8"/>
      <c r="G105" s="8"/>
    </row>
    <row r="106" spans="6:7" ht="13">
      <c r="F106" s="8"/>
      <c r="G106" s="8"/>
    </row>
    <row r="107" spans="6:7" ht="13">
      <c r="F107" s="8"/>
      <c r="G107" s="8"/>
    </row>
    <row r="108" spans="6:7" ht="13">
      <c r="F108" s="8"/>
      <c r="G108" s="8"/>
    </row>
    <row r="109" spans="6:7" ht="13">
      <c r="F109" s="8"/>
      <c r="G109" s="8"/>
    </row>
    <row r="110" spans="6:7" ht="13">
      <c r="F110" s="8"/>
      <c r="G110" s="8"/>
    </row>
    <row r="111" spans="6:7" ht="13">
      <c r="F111" s="8"/>
      <c r="G111" s="8"/>
    </row>
    <row r="112" spans="6:7" ht="13">
      <c r="F112" s="8"/>
      <c r="G112" s="8"/>
    </row>
    <row r="113" spans="6:7" ht="13">
      <c r="F113" s="8"/>
      <c r="G113" s="8"/>
    </row>
    <row r="114" spans="6:7" ht="13">
      <c r="F114" s="8"/>
      <c r="G114" s="8"/>
    </row>
    <row r="115" spans="6:7" ht="13">
      <c r="F115" s="8"/>
      <c r="G115" s="8"/>
    </row>
    <row r="116" spans="6:7" ht="13">
      <c r="F116" s="8"/>
      <c r="G116" s="8"/>
    </row>
    <row r="117" spans="6:7" ht="13">
      <c r="F117" s="8"/>
      <c r="G117" s="8"/>
    </row>
    <row r="118" spans="6:7" ht="13">
      <c r="F118" s="8"/>
      <c r="G118" s="8"/>
    </row>
    <row r="119" spans="6:7" ht="13">
      <c r="F119" s="8"/>
      <c r="G119" s="8"/>
    </row>
    <row r="120" spans="6:7" ht="13">
      <c r="F120" s="8"/>
      <c r="G120" s="8"/>
    </row>
    <row r="121" spans="6:7" ht="13">
      <c r="F121" s="8"/>
      <c r="G121" s="8"/>
    </row>
    <row r="122" spans="6:7" ht="13">
      <c r="F122" s="8"/>
      <c r="G122" s="8"/>
    </row>
    <row r="123" spans="6:7" ht="13">
      <c r="F123" s="8"/>
      <c r="G123" s="8"/>
    </row>
    <row r="124" spans="6:7" ht="13">
      <c r="F124" s="8"/>
      <c r="G124" s="8"/>
    </row>
    <row r="125" spans="6:7" ht="13">
      <c r="F125" s="8"/>
      <c r="G125" s="8"/>
    </row>
    <row r="126" spans="6:7" ht="13">
      <c r="F126" s="8"/>
      <c r="G126" s="8"/>
    </row>
    <row r="127" spans="6:7" ht="13">
      <c r="F127" s="8"/>
      <c r="G127" s="8"/>
    </row>
    <row r="128" spans="6:7" ht="13">
      <c r="F128" s="8"/>
      <c r="G128" s="8"/>
    </row>
    <row r="129" spans="6:7" ht="13">
      <c r="F129" s="8"/>
      <c r="G129" s="8"/>
    </row>
    <row r="130" spans="6:7" ht="13">
      <c r="F130" s="8"/>
      <c r="G130" s="8"/>
    </row>
    <row r="131" spans="6:7" ht="13">
      <c r="F131" s="8"/>
      <c r="G131" s="8"/>
    </row>
    <row r="132" spans="6:7" ht="13">
      <c r="F132" s="8"/>
      <c r="G132" s="8"/>
    </row>
    <row r="133" spans="6:7" ht="13">
      <c r="F133" s="8"/>
      <c r="G133" s="8"/>
    </row>
    <row r="134" spans="6:7" ht="13">
      <c r="F134" s="8"/>
      <c r="G134" s="8"/>
    </row>
    <row r="135" spans="6:7" ht="13">
      <c r="F135" s="8"/>
      <c r="G135" s="8"/>
    </row>
    <row r="136" spans="6:7" ht="13">
      <c r="F136" s="8"/>
      <c r="G136" s="8"/>
    </row>
    <row r="137" spans="6:7" ht="13">
      <c r="F137" s="8"/>
      <c r="G137" s="8"/>
    </row>
    <row r="138" spans="6:7" ht="13">
      <c r="F138" s="8"/>
      <c r="G138" s="8"/>
    </row>
    <row r="139" spans="6:7" ht="13">
      <c r="F139" s="8"/>
      <c r="G139" s="8"/>
    </row>
    <row r="140" spans="6:7" ht="13">
      <c r="F140" s="8"/>
      <c r="G140" s="8"/>
    </row>
    <row r="141" spans="6:7" ht="13">
      <c r="F141" s="8"/>
      <c r="G141" s="8"/>
    </row>
    <row r="142" spans="6:7" ht="13">
      <c r="F142" s="8"/>
      <c r="G142" s="8"/>
    </row>
    <row r="143" spans="6:7" ht="13">
      <c r="F143" s="8"/>
      <c r="G143" s="8"/>
    </row>
    <row r="144" spans="6:7" ht="13">
      <c r="F144" s="8"/>
      <c r="G144" s="8"/>
    </row>
    <row r="145" spans="6:7" ht="13">
      <c r="F145" s="8"/>
      <c r="G145" s="8"/>
    </row>
    <row r="146" spans="6:7" ht="13">
      <c r="F146" s="8"/>
      <c r="G146" s="8"/>
    </row>
    <row r="147" spans="6:7" ht="13">
      <c r="F147" s="8"/>
      <c r="G147" s="8"/>
    </row>
    <row r="148" spans="6:7" ht="13">
      <c r="F148" s="8"/>
      <c r="G148" s="8"/>
    </row>
    <row r="149" spans="6:7" ht="13">
      <c r="F149" s="8"/>
      <c r="G149" s="8"/>
    </row>
    <row r="150" spans="6:7" ht="13">
      <c r="F150" s="8"/>
      <c r="G150" s="8"/>
    </row>
    <row r="151" spans="6:7" ht="13">
      <c r="F151" s="8"/>
      <c r="G151" s="8"/>
    </row>
    <row r="152" spans="6:7" ht="13">
      <c r="F152" s="8"/>
      <c r="G152" s="8"/>
    </row>
    <row r="153" spans="6:7" ht="13">
      <c r="F153" s="8"/>
      <c r="G153" s="8"/>
    </row>
    <row r="154" spans="6:7" ht="13">
      <c r="F154" s="8"/>
      <c r="G154" s="8"/>
    </row>
    <row r="155" spans="6:7" ht="13">
      <c r="F155" s="8"/>
      <c r="G155" s="8"/>
    </row>
    <row r="156" spans="6:7" ht="13">
      <c r="F156" s="8"/>
      <c r="G156" s="8"/>
    </row>
    <row r="157" spans="6:7" ht="13">
      <c r="F157" s="8"/>
      <c r="G157" s="8"/>
    </row>
    <row r="158" spans="6:7" ht="13">
      <c r="F158" s="8"/>
      <c r="G158" s="8"/>
    </row>
    <row r="159" spans="6:7" ht="13">
      <c r="F159" s="8"/>
      <c r="G159" s="8"/>
    </row>
    <row r="160" spans="6:7" ht="13">
      <c r="F160" s="8"/>
      <c r="G160" s="8"/>
    </row>
    <row r="161" spans="6:7" ht="13">
      <c r="F161" s="8"/>
      <c r="G161" s="8"/>
    </row>
    <row r="162" spans="6:7" ht="13">
      <c r="F162" s="8"/>
      <c r="G162" s="8"/>
    </row>
    <row r="163" spans="6:7" ht="13">
      <c r="F163" s="8"/>
      <c r="G163" s="8"/>
    </row>
    <row r="164" spans="6:7" ht="13">
      <c r="F164" s="8"/>
      <c r="G164" s="8"/>
    </row>
    <row r="165" spans="6:7" ht="13">
      <c r="F165" s="8"/>
      <c r="G165" s="8"/>
    </row>
    <row r="166" spans="6:7" ht="13">
      <c r="F166" s="8"/>
      <c r="G166" s="8"/>
    </row>
    <row r="167" spans="6:7" ht="13">
      <c r="F167" s="8"/>
      <c r="G167" s="8"/>
    </row>
    <row r="168" spans="6:7" ht="13">
      <c r="F168" s="8"/>
      <c r="G168" s="8"/>
    </row>
    <row r="169" spans="6:7" ht="13">
      <c r="F169" s="8"/>
      <c r="G169" s="8"/>
    </row>
    <row r="170" spans="6:7" ht="13">
      <c r="F170" s="8"/>
      <c r="G170" s="8"/>
    </row>
    <row r="171" spans="6:7" ht="13">
      <c r="F171" s="8"/>
      <c r="G171" s="8"/>
    </row>
    <row r="172" spans="6:7" ht="13">
      <c r="F172" s="8"/>
      <c r="G172" s="8"/>
    </row>
    <row r="173" spans="6:7" ht="13">
      <c r="F173" s="8"/>
      <c r="G173" s="8"/>
    </row>
    <row r="174" spans="6:7" ht="13">
      <c r="F174" s="8"/>
      <c r="G174" s="8"/>
    </row>
    <row r="175" spans="6:7" ht="13">
      <c r="F175" s="8"/>
      <c r="G175" s="8"/>
    </row>
    <row r="176" spans="6:7" ht="13">
      <c r="F176" s="8"/>
      <c r="G176" s="8"/>
    </row>
    <row r="177" spans="6:7" ht="13">
      <c r="F177" s="8"/>
      <c r="G177" s="8"/>
    </row>
    <row r="178" spans="6:7" ht="13">
      <c r="F178" s="8"/>
      <c r="G178" s="8"/>
    </row>
    <row r="179" spans="6:7" ht="13">
      <c r="F179" s="8"/>
      <c r="G179" s="8"/>
    </row>
    <row r="180" spans="6:7" ht="13">
      <c r="F180" s="8"/>
      <c r="G180" s="8"/>
    </row>
    <row r="181" spans="6:7" ht="13">
      <c r="F181" s="8"/>
      <c r="G181" s="8"/>
    </row>
    <row r="182" spans="6:7" ht="13">
      <c r="F182" s="8"/>
      <c r="G182" s="8"/>
    </row>
    <row r="183" spans="6:7" ht="13">
      <c r="F183" s="8"/>
      <c r="G183" s="8"/>
    </row>
    <row r="184" spans="6:7" ht="13">
      <c r="F184" s="8"/>
      <c r="G184" s="8"/>
    </row>
    <row r="185" spans="6:7" ht="13">
      <c r="F185" s="8"/>
      <c r="G185" s="8"/>
    </row>
    <row r="186" spans="6:7" ht="13">
      <c r="F186" s="8"/>
      <c r="G186" s="8"/>
    </row>
    <row r="187" spans="6:7" ht="13">
      <c r="F187" s="8"/>
      <c r="G187" s="8"/>
    </row>
    <row r="188" spans="6:7" ht="13">
      <c r="F188" s="8"/>
      <c r="G188" s="8"/>
    </row>
    <row r="189" spans="6:7" ht="13">
      <c r="F189" s="8"/>
      <c r="G189" s="8"/>
    </row>
    <row r="190" spans="6:7" ht="13">
      <c r="F190" s="8"/>
      <c r="G190" s="8"/>
    </row>
    <row r="191" spans="6:7" ht="13">
      <c r="F191" s="8"/>
      <c r="G191" s="8"/>
    </row>
    <row r="192" spans="6:7" ht="13">
      <c r="F192" s="8"/>
      <c r="G192" s="8"/>
    </row>
    <row r="193" spans="6:7" ht="13">
      <c r="F193" s="8"/>
      <c r="G193" s="8"/>
    </row>
    <row r="194" spans="6:7" ht="13">
      <c r="F194" s="8"/>
      <c r="G194" s="8"/>
    </row>
    <row r="195" spans="6:7" ht="13">
      <c r="F195" s="8"/>
      <c r="G195" s="8"/>
    </row>
    <row r="196" spans="6:7" ht="13">
      <c r="F196" s="8"/>
      <c r="G196" s="8"/>
    </row>
    <row r="197" spans="6:7" ht="13">
      <c r="F197" s="8"/>
      <c r="G197" s="8"/>
    </row>
    <row r="198" spans="6:7" ht="13">
      <c r="F198" s="8"/>
      <c r="G198" s="8"/>
    </row>
    <row r="199" spans="6:7" ht="13">
      <c r="F199" s="8"/>
      <c r="G199" s="8"/>
    </row>
    <row r="200" spans="6:7" ht="13">
      <c r="F200" s="8"/>
      <c r="G200" s="8"/>
    </row>
    <row r="201" spans="6:7" ht="13">
      <c r="F201" s="8"/>
      <c r="G201" s="8"/>
    </row>
    <row r="202" spans="6:7" ht="13">
      <c r="F202" s="8"/>
      <c r="G202" s="8"/>
    </row>
    <row r="203" spans="6:7" ht="13">
      <c r="F203" s="8"/>
      <c r="G203" s="8"/>
    </row>
    <row r="204" spans="6:7" ht="13">
      <c r="F204" s="8"/>
      <c r="G204" s="8"/>
    </row>
    <row r="205" spans="6:7" ht="13">
      <c r="F205" s="8"/>
      <c r="G205" s="8"/>
    </row>
    <row r="206" spans="6:7" ht="13">
      <c r="F206" s="8"/>
      <c r="G206" s="8"/>
    </row>
    <row r="207" spans="6:7" ht="13">
      <c r="F207" s="8"/>
      <c r="G207" s="8"/>
    </row>
    <row r="208" spans="6:7" ht="13">
      <c r="F208" s="8"/>
      <c r="G208" s="8"/>
    </row>
    <row r="209" spans="6:7" ht="13">
      <c r="F209" s="8"/>
      <c r="G209" s="8"/>
    </row>
    <row r="210" spans="6:7" ht="13">
      <c r="F210" s="8"/>
      <c r="G210" s="8"/>
    </row>
    <row r="211" spans="6:7" ht="13">
      <c r="F211" s="8"/>
      <c r="G211" s="8"/>
    </row>
    <row r="212" spans="6:7" ht="13">
      <c r="F212" s="8"/>
      <c r="G212" s="8"/>
    </row>
    <row r="213" spans="6:7" ht="13">
      <c r="F213" s="8"/>
      <c r="G213" s="8"/>
    </row>
    <row r="214" spans="6:7" ht="13">
      <c r="F214" s="8"/>
      <c r="G214" s="8"/>
    </row>
    <row r="215" spans="6:7" ht="13">
      <c r="F215" s="8"/>
      <c r="G215" s="8"/>
    </row>
    <row r="216" spans="6:7" ht="13">
      <c r="F216" s="8"/>
      <c r="G216" s="8"/>
    </row>
    <row r="217" spans="6:7" ht="13">
      <c r="F217" s="8"/>
      <c r="G217" s="8"/>
    </row>
    <row r="218" spans="6:7" ht="13">
      <c r="F218" s="8"/>
      <c r="G218" s="8"/>
    </row>
    <row r="219" spans="6:7" ht="13">
      <c r="F219" s="8"/>
      <c r="G219" s="8"/>
    </row>
    <row r="220" spans="6:7" ht="13">
      <c r="F220" s="8"/>
      <c r="G220" s="8"/>
    </row>
    <row r="221" spans="6:7" ht="13">
      <c r="F221" s="8"/>
      <c r="G221" s="8"/>
    </row>
    <row r="222" spans="6:7" ht="13">
      <c r="F222" s="8"/>
      <c r="G222" s="8"/>
    </row>
    <row r="223" spans="6:7" ht="13">
      <c r="F223" s="8"/>
      <c r="G223" s="8"/>
    </row>
    <row r="224" spans="6:7" ht="13">
      <c r="F224" s="8"/>
      <c r="G224" s="8"/>
    </row>
    <row r="225" spans="6:7" ht="13">
      <c r="F225" s="8"/>
      <c r="G225" s="8"/>
    </row>
    <row r="226" spans="6:7" ht="13">
      <c r="F226" s="8"/>
      <c r="G226" s="8"/>
    </row>
    <row r="227" spans="6:7" ht="13">
      <c r="F227" s="8"/>
      <c r="G227" s="8"/>
    </row>
    <row r="228" spans="6:7" ht="13">
      <c r="F228" s="8"/>
      <c r="G228" s="8"/>
    </row>
    <row r="229" spans="6:7" ht="13">
      <c r="F229" s="8"/>
      <c r="G229" s="8"/>
    </row>
    <row r="230" spans="6:7" ht="13">
      <c r="F230" s="8"/>
      <c r="G230" s="8"/>
    </row>
    <row r="231" spans="6:7" ht="13">
      <c r="F231" s="8"/>
      <c r="G231" s="8"/>
    </row>
    <row r="232" spans="6:7" ht="13">
      <c r="F232" s="8"/>
      <c r="G232" s="8"/>
    </row>
    <row r="233" spans="6:7" ht="13">
      <c r="F233" s="8"/>
      <c r="G233" s="8"/>
    </row>
    <row r="234" spans="6:7" ht="13">
      <c r="F234" s="8"/>
      <c r="G234" s="8"/>
    </row>
    <row r="235" spans="6:7" ht="13">
      <c r="F235" s="8"/>
      <c r="G235" s="8"/>
    </row>
    <row r="236" spans="6:7" ht="13">
      <c r="F236" s="8"/>
      <c r="G236" s="8"/>
    </row>
    <row r="237" spans="6:7" ht="13">
      <c r="F237" s="8"/>
      <c r="G237" s="8"/>
    </row>
    <row r="238" spans="6:7" ht="13">
      <c r="F238" s="8"/>
      <c r="G238" s="8"/>
    </row>
    <row r="239" spans="6:7" ht="13">
      <c r="F239" s="8"/>
      <c r="G239" s="8"/>
    </row>
    <row r="240" spans="6:7" ht="13">
      <c r="F240" s="8"/>
      <c r="G240" s="8"/>
    </row>
    <row r="241" spans="6:7" ht="13">
      <c r="F241" s="8"/>
      <c r="G241" s="8"/>
    </row>
    <row r="242" spans="6:7" ht="13">
      <c r="F242" s="8"/>
      <c r="G242" s="8"/>
    </row>
    <row r="243" spans="6:7" ht="13">
      <c r="F243" s="8"/>
      <c r="G243" s="8"/>
    </row>
    <row r="244" spans="6:7" ht="13">
      <c r="F244" s="8"/>
      <c r="G244" s="8"/>
    </row>
    <row r="245" spans="6:7" ht="13">
      <c r="F245" s="8"/>
      <c r="G245" s="8"/>
    </row>
    <row r="246" spans="6:7" ht="13">
      <c r="F246" s="8"/>
      <c r="G246" s="8"/>
    </row>
    <row r="247" spans="6:7" ht="13">
      <c r="F247" s="8"/>
      <c r="G247" s="8"/>
    </row>
    <row r="248" spans="6:7" ht="13">
      <c r="F248" s="8"/>
      <c r="G248" s="8"/>
    </row>
    <row r="249" spans="6:7" ht="13">
      <c r="F249" s="8"/>
      <c r="G249" s="8"/>
    </row>
    <row r="250" spans="6:7" ht="13">
      <c r="F250" s="8"/>
      <c r="G250" s="8"/>
    </row>
    <row r="251" spans="6:7" ht="13">
      <c r="F251" s="8"/>
      <c r="G251" s="8"/>
    </row>
    <row r="252" spans="6:7" ht="13">
      <c r="F252" s="8"/>
      <c r="G252" s="8"/>
    </row>
    <row r="253" spans="6:7" ht="13">
      <c r="F253" s="8"/>
      <c r="G253" s="8"/>
    </row>
    <row r="254" spans="6:7" ht="13">
      <c r="F254" s="8"/>
      <c r="G254" s="8"/>
    </row>
    <row r="255" spans="6:7" ht="13">
      <c r="F255" s="8"/>
      <c r="G255" s="8"/>
    </row>
    <row r="256" spans="6:7" ht="13">
      <c r="F256" s="8"/>
      <c r="G256" s="8"/>
    </row>
    <row r="257" spans="6:7" ht="13">
      <c r="F257" s="8"/>
      <c r="G257" s="8"/>
    </row>
    <row r="258" spans="6:7" ht="13">
      <c r="F258" s="8"/>
      <c r="G258" s="8"/>
    </row>
    <row r="259" spans="6:7" ht="13">
      <c r="F259" s="8"/>
      <c r="G259" s="8"/>
    </row>
    <row r="260" spans="6:7" ht="13">
      <c r="F260" s="8"/>
      <c r="G260" s="8"/>
    </row>
    <row r="261" spans="6:7" ht="13">
      <c r="F261" s="8"/>
      <c r="G261" s="8"/>
    </row>
    <row r="262" spans="6:7" ht="13">
      <c r="F262" s="8"/>
      <c r="G262" s="8"/>
    </row>
    <row r="263" spans="6:7" ht="13">
      <c r="F263" s="8"/>
      <c r="G263" s="8"/>
    </row>
    <row r="264" spans="6:7" ht="13">
      <c r="F264" s="8"/>
      <c r="G264" s="8"/>
    </row>
    <row r="265" spans="6:7" ht="13">
      <c r="F265" s="8"/>
      <c r="G265" s="8"/>
    </row>
    <row r="266" spans="6:7" ht="13">
      <c r="F266" s="8"/>
      <c r="G266" s="8"/>
    </row>
    <row r="267" spans="6:7" ht="13">
      <c r="F267" s="8"/>
      <c r="G267" s="8"/>
    </row>
    <row r="268" spans="6:7" ht="13">
      <c r="F268" s="8"/>
      <c r="G268" s="8"/>
    </row>
    <row r="269" spans="6:7" ht="13">
      <c r="F269" s="8"/>
      <c r="G269" s="8"/>
    </row>
    <row r="270" spans="6:7" ht="13">
      <c r="F270" s="8"/>
      <c r="G270" s="8"/>
    </row>
    <row r="271" spans="6:7" ht="13">
      <c r="F271" s="8"/>
      <c r="G271" s="8"/>
    </row>
    <row r="272" spans="6:7" ht="13">
      <c r="F272" s="8"/>
      <c r="G272" s="8"/>
    </row>
    <row r="273" spans="6:7" ht="13">
      <c r="F273" s="8"/>
      <c r="G273" s="8"/>
    </row>
    <row r="274" spans="6:7" ht="13">
      <c r="F274" s="8"/>
      <c r="G274" s="8"/>
    </row>
    <row r="275" spans="6:7" ht="13">
      <c r="F275" s="8"/>
      <c r="G275" s="8"/>
    </row>
    <row r="276" spans="6:7" ht="13">
      <c r="F276" s="8"/>
      <c r="G276" s="8"/>
    </row>
    <row r="277" spans="6:7" ht="13">
      <c r="F277" s="8"/>
      <c r="G277" s="8"/>
    </row>
    <row r="278" spans="6:7" ht="13">
      <c r="F278" s="8"/>
      <c r="G278" s="8"/>
    </row>
    <row r="279" spans="6:7" ht="13">
      <c r="F279" s="8"/>
      <c r="G279" s="8"/>
    </row>
    <row r="280" spans="6:7" ht="13">
      <c r="F280" s="8"/>
      <c r="G280" s="8"/>
    </row>
    <row r="281" spans="6:7" ht="13">
      <c r="F281" s="8"/>
      <c r="G281" s="8"/>
    </row>
    <row r="282" spans="6:7" ht="13">
      <c r="F282" s="8"/>
      <c r="G282" s="8"/>
    </row>
    <row r="283" spans="6:7" ht="13">
      <c r="F283" s="8"/>
      <c r="G283" s="8"/>
    </row>
    <row r="284" spans="6:7" ht="13">
      <c r="F284" s="8"/>
      <c r="G284" s="8"/>
    </row>
    <row r="285" spans="6:7" ht="13">
      <c r="F285" s="8"/>
      <c r="G285" s="8"/>
    </row>
    <row r="286" spans="6:7" ht="13">
      <c r="F286" s="8"/>
      <c r="G286" s="8"/>
    </row>
    <row r="287" spans="6:7" ht="13">
      <c r="F287" s="8"/>
      <c r="G287" s="8"/>
    </row>
    <row r="288" spans="6:7" ht="13">
      <c r="F288" s="8"/>
      <c r="G288" s="8"/>
    </row>
    <row r="289" spans="6:7" ht="13">
      <c r="F289" s="8"/>
      <c r="G289" s="8"/>
    </row>
    <row r="290" spans="6:7" ht="13">
      <c r="F290" s="8"/>
      <c r="G290" s="8"/>
    </row>
    <row r="291" spans="6:7" ht="13">
      <c r="F291" s="8"/>
      <c r="G291" s="8"/>
    </row>
    <row r="292" spans="6:7" ht="13">
      <c r="F292" s="8"/>
      <c r="G292" s="8"/>
    </row>
    <row r="293" spans="6:7" ht="13">
      <c r="F293" s="8"/>
      <c r="G293" s="8"/>
    </row>
    <row r="294" spans="6:7" ht="13">
      <c r="F294" s="8"/>
      <c r="G294" s="8"/>
    </row>
    <row r="295" spans="6:7" ht="13">
      <c r="F295" s="8"/>
      <c r="G295" s="8"/>
    </row>
    <row r="296" spans="6:7" ht="13">
      <c r="F296" s="8"/>
      <c r="G296" s="8"/>
    </row>
    <row r="297" spans="6:7" ht="13">
      <c r="F297" s="8"/>
      <c r="G297" s="8"/>
    </row>
    <row r="298" spans="6:7" ht="13">
      <c r="F298" s="8"/>
      <c r="G298" s="8"/>
    </row>
    <row r="299" spans="6:7" ht="13">
      <c r="F299" s="8"/>
      <c r="G299" s="8"/>
    </row>
    <row r="300" spans="6:7" ht="13">
      <c r="F300" s="8"/>
      <c r="G300" s="8"/>
    </row>
    <row r="301" spans="6:7" ht="13">
      <c r="F301" s="8"/>
      <c r="G301" s="8"/>
    </row>
    <row r="302" spans="6:7" ht="13">
      <c r="F302" s="8"/>
      <c r="G302" s="8"/>
    </row>
    <row r="303" spans="6:7" ht="13">
      <c r="F303" s="8"/>
      <c r="G303" s="8"/>
    </row>
    <row r="304" spans="6:7" ht="13">
      <c r="F304" s="8"/>
      <c r="G304" s="8"/>
    </row>
    <row r="305" spans="6:7" ht="13">
      <c r="F305" s="8"/>
      <c r="G305" s="8"/>
    </row>
    <row r="306" spans="6:7" ht="13">
      <c r="F306" s="8"/>
      <c r="G306" s="8"/>
    </row>
    <row r="307" spans="6:7" ht="13">
      <c r="F307" s="8"/>
      <c r="G307" s="8"/>
    </row>
    <row r="308" spans="6:7" ht="13">
      <c r="F308" s="8"/>
      <c r="G308" s="8"/>
    </row>
    <row r="309" spans="6:7" ht="13">
      <c r="F309" s="8"/>
      <c r="G309" s="8"/>
    </row>
    <row r="310" spans="6:7" ht="13">
      <c r="F310" s="8"/>
      <c r="G310" s="8"/>
    </row>
    <row r="311" spans="6:7" ht="13">
      <c r="F311" s="8"/>
      <c r="G311" s="8"/>
    </row>
    <row r="312" spans="6:7" ht="13">
      <c r="F312" s="8"/>
      <c r="G312" s="8"/>
    </row>
    <row r="313" spans="6:7" ht="13">
      <c r="F313" s="8"/>
      <c r="G313" s="8"/>
    </row>
    <row r="314" spans="6:7" ht="13">
      <c r="F314" s="8"/>
      <c r="G314" s="8"/>
    </row>
    <row r="315" spans="6:7" ht="13">
      <c r="F315" s="8"/>
      <c r="G315" s="8"/>
    </row>
    <row r="316" spans="6:7" ht="13">
      <c r="F316" s="8"/>
      <c r="G316" s="8"/>
    </row>
    <row r="317" spans="6:7" ht="13">
      <c r="F317" s="8"/>
      <c r="G317" s="8"/>
    </row>
    <row r="318" spans="6:7" ht="13">
      <c r="F318" s="8"/>
      <c r="G318" s="8"/>
    </row>
    <row r="319" spans="6:7" ht="13">
      <c r="F319" s="8"/>
      <c r="G319" s="8"/>
    </row>
    <row r="320" spans="6:7" ht="13">
      <c r="F320" s="8"/>
      <c r="G320" s="8"/>
    </row>
    <row r="321" spans="6:7" ht="13">
      <c r="F321" s="8"/>
      <c r="G321" s="8"/>
    </row>
    <row r="322" spans="6:7" ht="13">
      <c r="F322" s="8"/>
      <c r="G322" s="8"/>
    </row>
    <row r="323" spans="6:7" ht="13">
      <c r="F323" s="8"/>
      <c r="G323" s="8"/>
    </row>
    <row r="324" spans="6:7" ht="13">
      <c r="F324" s="8"/>
      <c r="G324" s="8"/>
    </row>
    <row r="325" spans="6:7" ht="13">
      <c r="F325" s="8"/>
      <c r="G325" s="8"/>
    </row>
    <row r="326" spans="6:7" ht="13">
      <c r="F326" s="8"/>
      <c r="G326" s="8"/>
    </row>
    <row r="327" spans="6:7" ht="13">
      <c r="F327" s="8"/>
      <c r="G327" s="8"/>
    </row>
    <row r="328" spans="6:7" ht="13">
      <c r="F328" s="8"/>
      <c r="G328" s="8"/>
    </row>
    <row r="329" spans="6:7" ht="13">
      <c r="F329" s="8"/>
      <c r="G329" s="8"/>
    </row>
    <row r="330" spans="6:7" ht="13">
      <c r="F330" s="8"/>
      <c r="G330" s="8"/>
    </row>
    <row r="331" spans="6:7" ht="13">
      <c r="F331" s="8"/>
      <c r="G331" s="8"/>
    </row>
    <row r="332" spans="6:7" ht="13">
      <c r="F332" s="8"/>
      <c r="G332" s="8"/>
    </row>
    <row r="333" spans="6:7" ht="13">
      <c r="F333" s="8"/>
      <c r="G333" s="8"/>
    </row>
    <row r="334" spans="6:7" ht="13">
      <c r="F334" s="8"/>
      <c r="G334" s="8"/>
    </row>
    <row r="335" spans="6:7" ht="13">
      <c r="F335" s="8"/>
      <c r="G335" s="8"/>
    </row>
    <row r="336" spans="6:7" ht="13">
      <c r="F336" s="8"/>
      <c r="G336" s="8"/>
    </row>
    <row r="337" spans="6:7" ht="13">
      <c r="F337" s="8"/>
      <c r="G337" s="8"/>
    </row>
    <row r="338" spans="6:7" ht="13">
      <c r="F338" s="8"/>
      <c r="G338" s="8"/>
    </row>
    <row r="339" spans="6:7" ht="13">
      <c r="F339" s="8"/>
      <c r="G339" s="8"/>
    </row>
    <row r="340" spans="6:7" ht="13">
      <c r="F340" s="8"/>
      <c r="G340" s="8"/>
    </row>
    <row r="341" spans="6:7" ht="13">
      <c r="F341" s="8"/>
      <c r="G341" s="8"/>
    </row>
    <row r="342" spans="6:7" ht="13">
      <c r="F342" s="8"/>
      <c r="G342" s="8"/>
    </row>
    <row r="343" spans="6:7" ht="13">
      <c r="F343" s="8"/>
      <c r="G343" s="8"/>
    </row>
    <row r="344" spans="6:7" ht="13">
      <c r="F344" s="8"/>
      <c r="G344" s="8"/>
    </row>
    <row r="345" spans="6:7" ht="13">
      <c r="F345" s="8"/>
      <c r="G345" s="8"/>
    </row>
    <row r="346" spans="6:7" ht="13">
      <c r="F346" s="8"/>
      <c r="G346" s="8"/>
    </row>
    <row r="347" spans="6:7" ht="13">
      <c r="F347" s="8"/>
      <c r="G347" s="8"/>
    </row>
    <row r="348" spans="6:7" ht="13">
      <c r="F348" s="8"/>
      <c r="G348" s="8"/>
    </row>
    <row r="349" spans="6:7" ht="13">
      <c r="F349" s="8"/>
      <c r="G349" s="8"/>
    </row>
    <row r="350" spans="6:7" ht="13">
      <c r="F350" s="8"/>
      <c r="G350" s="8"/>
    </row>
    <row r="351" spans="6:7" ht="13">
      <c r="F351" s="8"/>
      <c r="G351" s="8"/>
    </row>
    <row r="352" spans="6:7" ht="13">
      <c r="F352" s="8"/>
      <c r="G352" s="8"/>
    </row>
    <row r="353" spans="6:7" ht="13">
      <c r="F353" s="8"/>
      <c r="G353" s="8"/>
    </row>
    <row r="354" spans="6:7" ht="13">
      <c r="F354" s="8"/>
      <c r="G354" s="8"/>
    </row>
    <row r="355" spans="6:7" ht="13">
      <c r="F355" s="8"/>
      <c r="G355" s="8"/>
    </row>
    <row r="356" spans="6:7" ht="13">
      <c r="F356" s="8"/>
      <c r="G356" s="8"/>
    </row>
    <row r="357" spans="6:7" ht="13">
      <c r="F357" s="8"/>
      <c r="G357" s="8"/>
    </row>
    <row r="358" spans="6:7" ht="13">
      <c r="F358" s="8"/>
      <c r="G358" s="8"/>
    </row>
    <row r="359" spans="6:7" ht="13">
      <c r="F359" s="8"/>
      <c r="G359" s="8"/>
    </row>
    <row r="360" spans="6:7" ht="13">
      <c r="F360" s="8"/>
      <c r="G360" s="8"/>
    </row>
    <row r="361" spans="6:7" ht="13">
      <c r="F361" s="8"/>
      <c r="G361" s="8"/>
    </row>
    <row r="362" spans="6:7" ht="13">
      <c r="F362" s="8"/>
      <c r="G362" s="8"/>
    </row>
    <row r="363" spans="6:7" ht="13">
      <c r="F363" s="8"/>
      <c r="G363" s="8"/>
    </row>
    <row r="364" spans="6:7" ht="13">
      <c r="F364" s="8"/>
      <c r="G364" s="8"/>
    </row>
    <row r="365" spans="6:7" ht="13">
      <c r="F365" s="8"/>
      <c r="G365" s="8"/>
    </row>
    <row r="366" spans="6:7" ht="13">
      <c r="F366" s="8"/>
      <c r="G366" s="8"/>
    </row>
    <row r="367" spans="6:7" ht="13">
      <c r="F367" s="8"/>
      <c r="G367" s="8"/>
    </row>
    <row r="368" spans="6:7" ht="13">
      <c r="F368" s="8"/>
      <c r="G368" s="8"/>
    </row>
    <row r="369" spans="6:7" ht="13">
      <c r="F369" s="8"/>
      <c r="G369" s="8"/>
    </row>
    <row r="370" spans="6:7" ht="13">
      <c r="F370" s="8"/>
      <c r="G370" s="8"/>
    </row>
    <row r="371" spans="6:7" ht="13">
      <c r="F371" s="8"/>
      <c r="G371" s="8"/>
    </row>
    <row r="372" spans="6:7" ht="13">
      <c r="F372" s="8"/>
      <c r="G372" s="8"/>
    </row>
    <row r="373" spans="6:7" ht="13">
      <c r="F373" s="8"/>
      <c r="G373" s="8"/>
    </row>
    <row r="374" spans="6:7" ht="13">
      <c r="F374" s="8"/>
      <c r="G374" s="8"/>
    </row>
    <row r="375" spans="6:7" ht="13">
      <c r="F375" s="8"/>
      <c r="G375" s="8"/>
    </row>
    <row r="376" spans="6:7" ht="13">
      <c r="F376" s="8"/>
      <c r="G376" s="8"/>
    </row>
    <row r="377" spans="6:7" ht="13">
      <c r="F377" s="8"/>
      <c r="G377" s="8"/>
    </row>
    <row r="378" spans="6:7" ht="13">
      <c r="F378" s="8"/>
      <c r="G378" s="8"/>
    </row>
    <row r="379" spans="6:7" ht="13">
      <c r="F379" s="8"/>
      <c r="G379" s="8"/>
    </row>
    <row r="380" spans="6:7" ht="13">
      <c r="F380" s="8"/>
      <c r="G380" s="8"/>
    </row>
    <row r="381" spans="6:7" ht="13">
      <c r="F381" s="8"/>
      <c r="G381" s="8"/>
    </row>
    <row r="382" spans="6:7" ht="13">
      <c r="F382" s="8"/>
      <c r="G382" s="8"/>
    </row>
    <row r="383" spans="6:7" ht="13">
      <c r="F383" s="8"/>
      <c r="G383" s="8"/>
    </row>
    <row r="384" spans="6:7" ht="13">
      <c r="F384" s="8"/>
      <c r="G384" s="8"/>
    </row>
    <row r="385" spans="6:7" ht="13">
      <c r="F385" s="8"/>
      <c r="G385" s="8"/>
    </row>
    <row r="386" spans="6:7" ht="13">
      <c r="F386" s="8"/>
      <c r="G386" s="8"/>
    </row>
    <row r="387" spans="6:7" ht="13">
      <c r="F387" s="8"/>
      <c r="G387" s="8"/>
    </row>
    <row r="388" spans="6:7" ht="13">
      <c r="F388" s="8"/>
      <c r="G388" s="8"/>
    </row>
    <row r="389" spans="6:7" ht="13">
      <c r="F389" s="8"/>
      <c r="G389" s="8"/>
    </row>
    <row r="390" spans="6:7" ht="13">
      <c r="F390" s="8"/>
      <c r="G390" s="8"/>
    </row>
    <row r="391" spans="6:7" ht="13">
      <c r="F391" s="8"/>
      <c r="G391" s="8"/>
    </row>
    <row r="392" spans="6:7" ht="13">
      <c r="F392" s="8"/>
      <c r="G392" s="8"/>
    </row>
    <row r="393" spans="6:7" ht="13">
      <c r="F393" s="8"/>
      <c r="G393" s="8"/>
    </row>
    <row r="394" spans="6:7" ht="13">
      <c r="F394" s="8"/>
      <c r="G394" s="8"/>
    </row>
    <row r="395" spans="6:7" ht="13">
      <c r="F395" s="8"/>
      <c r="G395" s="8"/>
    </row>
    <row r="396" spans="6:7" ht="13">
      <c r="F396" s="8"/>
      <c r="G396" s="8"/>
    </row>
    <row r="397" spans="6:7" ht="13">
      <c r="F397" s="8"/>
      <c r="G397" s="8"/>
    </row>
    <row r="398" spans="6:7" ht="13">
      <c r="F398" s="8"/>
      <c r="G398" s="8"/>
    </row>
    <row r="399" spans="6:7" ht="13">
      <c r="F399" s="8"/>
      <c r="G399" s="8"/>
    </row>
    <row r="400" spans="6:7" ht="13">
      <c r="F400" s="8"/>
      <c r="G400" s="8"/>
    </row>
    <row r="401" spans="6:7" ht="13">
      <c r="F401" s="8"/>
      <c r="G401" s="8"/>
    </row>
    <row r="402" spans="6:7" ht="13">
      <c r="F402" s="8"/>
      <c r="G402" s="8"/>
    </row>
    <row r="403" spans="6:7" ht="13">
      <c r="F403" s="8"/>
      <c r="G403" s="8"/>
    </row>
    <row r="404" spans="6:7" ht="13">
      <c r="F404" s="8"/>
      <c r="G404" s="8"/>
    </row>
    <row r="405" spans="6:7" ht="13">
      <c r="F405" s="8"/>
      <c r="G405" s="8"/>
    </row>
    <row r="406" spans="6:7" ht="13">
      <c r="F406" s="8"/>
      <c r="G406" s="8"/>
    </row>
    <row r="407" spans="6:7" ht="13">
      <c r="F407" s="8"/>
      <c r="G407" s="8"/>
    </row>
    <row r="408" spans="6:7" ht="13">
      <c r="F408" s="8"/>
      <c r="G408" s="8"/>
    </row>
    <row r="409" spans="6:7" ht="13">
      <c r="F409" s="8"/>
      <c r="G409" s="8"/>
    </row>
    <row r="410" spans="6:7" ht="13">
      <c r="F410" s="8"/>
      <c r="G410" s="8"/>
    </row>
    <row r="411" spans="6:7" ht="13">
      <c r="F411" s="8"/>
      <c r="G411" s="8"/>
    </row>
    <row r="412" spans="6:7" ht="13">
      <c r="F412" s="8"/>
      <c r="G412" s="8"/>
    </row>
    <row r="413" spans="6:7" ht="13">
      <c r="F413" s="8"/>
      <c r="G413" s="8"/>
    </row>
    <row r="414" spans="6:7" ht="13">
      <c r="F414" s="8"/>
      <c r="G414" s="8"/>
    </row>
    <row r="415" spans="6:7" ht="13">
      <c r="F415" s="8"/>
      <c r="G415" s="8"/>
    </row>
    <row r="416" spans="6:7" ht="13">
      <c r="F416" s="8"/>
      <c r="G416" s="8"/>
    </row>
    <row r="417" spans="6:7" ht="13">
      <c r="F417" s="8"/>
      <c r="G417" s="8"/>
    </row>
    <row r="418" spans="6:7" ht="13">
      <c r="F418" s="8"/>
      <c r="G418" s="8"/>
    </row>
    <row r="419" spans="6:7" ht="13">
      <c r="F419" s="8"/>
      <c r="G419" s="8"/>
    </row>
    <row r="420" spans="6:7" ht="13">
      <c r="F420" s="8"/>
      <c r="G420" s="8"/>
    </row>
    <row r="421" spans="6:7" ht="13">
      <c r="F421" s="8"/>
      <c r="G421" s="8"/>
    </row>
    <row r="422" spans="6:7" ht="13">
      <c r="F422" s="8"/>
      <c r="G422" s="8"/>
    </row>
    <row r="423" spans="6:7" ht="13">
      <c r="F423" s="8"/>
      <c r="G423" s="8"/>
    </row>
    <row r="424" spans="6:7" ht="13">
      <c r="F424" s="8"/>
      <c r="G424" s="8"/>
    </row>
    <row r="425" spans="6:7" ht="13">
      <c r="F425" s="8"/>
      <c r="G425" s="8"/>
    </row>
    <row r="426" spans="6:7" ht="13">
      <c r="F426" s="8"/>
      <c r="G426" s="8"/>
    </row>
    <row r="427" spans="6:7" ht="13">
      <c r="F427" s="8"/>
      <c r="G427" s="8"/>
    </row>
    <row r="428" spans="6:7" ht="13">
      <c r="F428" s="8"/>
      <c r="G428" s="8"/>
    </row>
    <row r="429" spans="6:7" ht="13">
      <c r="F429" s="8"/>
      <c r="G429" s="8"/>
    </row>
    <row r="430" spans="6:7" ht="13">
      <c r="F430" s="8"/>
      <c r="G430" s="8"/>
    </row>
    <row r="431" spans="6:7" ht="13">
      <c r="F431" s="8"/>
      <c r="G431" s="8"/>
    </row>
    <row r="432" spans="6:7" ht="13">
      <c r="F432" s="8"/>
      <c r="G432" s="8"/>
    </row>
    <row r="433" spans="6:7" ht="13">
      <c r="F433" s="8"/>
      <c r="G433" s="8"/>
    </row>
    <row r="434" spans="6:7" ht="13">
      <c r="F434" s="8"/>
      <c r="G434" s="8"/>
    </row>
    <row r="435" spans="6:7" ht="13">
      <c r="F435" s="8"/>
      <c r="G435" s="8"/>
    </row>
    <row r="436" spans="6:7" ht="13">
      <c r="F436" s="8"/>
      <c r="G436" s="8"/>
    </row>
    <row r="437" spans="6:7" ht="13">
      <c r="F437" s="8"/>
      <c r="G437" s="8"/>
    </row>
    <row r="438" spans="6:7" ht="13">
      <c r="F438" s="8"/>
      <c r="G438" s="8"/>
    </row>
    <row r="439" spans="6:7" ht="13">
      <c r="F439" s="8"/>
      <c r="G439" s="8"/>
    </row>
    <row r="440" spans="6:7" ht="13">
      <c r="F440" s="8"/>
      <c r="G440" s="8"/>
    </row>
    <row r="441" spans="6:7" ht="13">
      <c r="F441" s="8"/>
      <c r="G441" s="8"/>
    </row>
    <row r="442" spans="6:7" ht="13">
      <c r="F442" s="8"/>
      <c r="G442" s="8"/>
    </row>
    <row r="443" spans="6:7" ht="13">
      <c r="F443" s="8"/>
      <c r="G443" s="8"/>
    </row>
    <row r="444" spans="6:7" ht="13">
      <c r="F444" s="8"/>
      <c r="G444" s="8"/>
    </row>
    <row r="445" spans="6:7" ht="13">
      <c r="F445" s="8"/>
      <c r="G445" s="8"/>
    </row>
    <row r="446" spans="6:7" ht="13">
      <c r="F446" s="8"/>
      <c r="G446" s="8"/>
    </row>
    <row r="447" spans="6:7" ht="13">
      <c r="F447" s="8"/>
      <c r="G447" s="8"/>
    </row>
    <row r="448" spans="6:7" ht="13">
      <c r="F448" s="8"/>
      <c r="G448" s="8"/>
    </row>
    <row r="449" spans="6:7" ht="13">
      <c r="F449" s="8"/>
      <c r="G449" s="8"/>
    </row>
    <row r="450" spans="6:7" ht="13">
      <c r="F450" s="8"/>
      <c r="G450" s="8"/>
    </row>
    <row r="451" spans="6:7" ht="13">
      <c r="F451" s="8"/>
      <c r="G451" s="8"/>
    </row>
    <row r="452" spans="6:7" ht="13">
      <c r="F452" s="8"/>
      <c r="G452" s="8"/>
    </row>
    <row r="453" spans="6:7" ht="13">
      <c r="F453" s="8"/>
      <c r="G453" s="8"/>
    </row>
    <row r="454" spans="6:7" ht="13">
      <c r="F454" s="8"/>
      <c r="G454" s="8"/>
    </row>
    <row r="455" spans="6:7" ht="13">
      <c r="F455" s="8"/>
      <c r="G455" s="8"/>
    </row>
    <row r="456" spans="6:7" ht="13">
      <c r="F456" s="8"/>
      <c r="G456" s="8"/>
    </row>
    <row r="457" spans="6:7" ht="13">
      <c r="F457" s="8"/>
      <c r="G457" s="8"/>
    </row>
    <row r="458" spans="6:7" ht="13">
      <c r="F458" s="8"/>
      <c r="G458" s="8"/>
    </row>
    <row r="459" spans="6:7" ht="13">
      <c r="F459" s="8"/>
      <c r="G459" s="8"/>
    </row>
    <row r="460" spans="6:7" ht="13">
      <c r="F460" s="8"/>
      <c r="G460" s="8"/>
    </row>
    <row r="461" spans="6:7" ht="13">
      <c r="F461" s="8"/>
      <c r="G461" s="8"/>
    </row>
    <row r="462" spans="6:7" ht="13">
      <c r="F462" s="8"/>
      <c r="G462" s="8"/>
    </row>
    <row r="463" spans="6:7" ht="13">
      <c r="F463" s="8"/>
      <c r="G463" s="8"/>
    </row>
    <row r="464" spans="6:7" ht="13">
      <c r="F464" s="8"/>
      <c r="G464" s="8"/>
    </row>
    <row r="465" spans="6:7" ht="13">
      <c r="F465" s="8"/>
      <c r="G465" s="8"/>
    </row>
    <row r="466" spans="6:7" ht="13">
      <c r="F466" s="8"/>
      <c r="G466" s="8"/>
    </row>
    <row r="467" spans="6:7" ht="13">
      <c r="F467" s="8"/>
      <c r="G467" s="8"/>
    </row>
    <row r="468" spans="6:7" ht="13">
      <c r="F468" s="8"/>
      <c r="G468" s="8"/>
    </row>
    <row r="469" spans="6:7" ht="13">
      <c r="F469" s="8"/>
      <c r="G469" s="8"/>
    </row>
    <row r="470" spans="6:7" ht="13">
      <c r="F470" s="8"/>
      <c r="G470" s="8"/>
    </row>
    <row r="471" spans="6:7" ht="13">
      <c r="F471" s="8"/>
      <c r="G471" s="8"/>
    </row>
    <row r="472" spans="6:7" ht="13">
      <c r="F472" s="8"/>
      <c r="G472" s="8"/>
    </row>
    <row r="473" spans="6:7" ht="13">
      <c r="F473" s="8"/>
      <c r="G473" s="8"/>
    </row>
    <row r="474" spans="6:7" ht="13">
      <c r="F474" s="8"/>
      <c r="G474" s="8"/>
    </row>
    <row r="475" spans="6:7" ht="13">
      <c r="F475" s="8"/>
      <c r="G475" s="8"/>
    </row>
    <row r="476" spans="6:7" ht="13">
      <c r="F476" s="8"/>
      <c r="G476" s="8"/>
    </row>
    <row r="477" spans="6:7" ht="13">
      <c r="F477" s="8"/>
      <c r="G477" s="8"/>
    </row>
    <row r="478" spans="6:7" ht="13">
      <c r="F478" s="8"/>
      <c r="G478" s="8"/>
    </row>
    <row r="479" spans="6:7" ht="13">
      <c r="F479" s="8"/>
      <c r="G479" s="8"/>
    </row>
    <row r="480" spans="6:7" ht="13">
      <c r="F480" s="8"/>
      <c r="G480" s="8"/>
    </row>
    <row r="481" spans="6:7" ht="13">
      <c r="F481" s="8"/>
      <c r="G481" s="8"/>
    </row>
    <row r="482" spans="6:7" ht="13">
      <c r="F482" s="8"/>
      <c r="G482" s="8"/>
    </row>
    <row r="483" spans="6:7" ht="13">
      <c r="F483" s="8"/>
      <c r="G483" s="8"/>
    </row>
    <row r="484" spans="6:7" ht="13">
      <c r="F484" s="8"/>
      <c r="G484" s="8"/>
    </row>
    <row r="485" spans="6:7" ht="13">
      <c r="F485" s="8"/>
      <c r="G485" s="8"/>
    </row>
    <row r="486" spans="6:7" ht="13">
      <c r="F486" s="8"/>
      <c r="G486" s="8"/>
    </row>
    <row r="487" spans="6:7" ht="13">
      <c r="F487" s="8"/>
      <c r="G487" s="8"/>
    </row>
    <row r="488" spans="6:7" ht="13">
      <c r="F488" s="8"/>
      <c r="G488" s="8"/>
    </row>
    <row r="489" spans="6:7" ht="13">
      <c r="F489" s="8"/>
      <c r="G489" s="8"/>
    </row>
    <row r="490" spans="6:7" ht="13">
      <c r="F490" s="8"/>
      <c r="G490" s="8"/>
    </row>
    <row r="491" spans="6:7" ht="13">
      <c r="F491" s="8"/>
      <c r="G491" s="8"/>
    </row>
    <row r="492" spans="6:7" ht="13">
      <c r="F492" s="8"/>
      <c r="G492" s="8"/>
    </row>
    <row r="493" spans="6:7" ht="13">
      <c r="F493" s="8"/>
      <c r="G493" s="8"/>
    </row>
    <row r="494" spans="6:7" ht="13">
      <c r="F494" s="8"/>
      <c r="G494" s="8"/>
    </row>
    <row r="495" spans="6:7" ht="13">
      <c r="F495" s="8"/>
      <c r="G495" s="8"/>
    </row>
    <row r="496" spans="6:7" ht="13">
      <c r="F496" s="8"/>
      <c r="G496" s="8"/>
    </row>
    <row r="497" spans="6:7" ht="13">
      <c r="F497" s="8"/>
      <c r="G497" s="8"/>
    </row>
    <row r="498" spans="6:7" ht="13">
      <c r="F498" s="8"/>
      <c r="G498" s="8"/>
    </row>
    <row r="499" spans="6:7" ht="13">
      <c r="F499" s="8"/>
      <c r="G499" s="8"/>
    </row>
    <row r="500" spans="6:7" ht="13">
      <c r="F500" s="8"/>
      <c r="G500" s="8"/>
    </row>
    <row r="501" spans="6:7" ht="13">
      <c r="F501" s="8"/>
      <c r="G501" s="8"/>
    </row>
    <row r="502" spans="6:7" ht="13">
      <c r="F502" s="8"/>
      <c r="G502" s="8"/>
    </row>
    <row r="503" spans="6:7" ht="13">
      <c r="F503" s="8"/>
      <c r="G503" s="8"/>
    </row>
    <row r="504" spans="6:7" ht="13">
      <c r="F504" s="8"/>
      <c r="G504" s="8"/>
    </row>
    <row r="505" spans="6:7" ht="13">
      <c r="F505" s="8"/>
      <c r="G505" s="8"/>
    </row>
    <row r="506" spans="6:7" ht="13">
      <c r="F506" s="8"/>
      <c r="G506" s="8"/>
    </row>
    <row r="507" spans="6:7" ht="13">
      <c r="F507" s="8"/>
      <c r="G507" s="8"/>
    </row>
    <row r="508" spans="6:7" ht="13">
      <c r="F508" s="8"/>
      <c r="G508" s="8"/>
    </row>
    <row r="509" spans="6:7" ht="13">
      <c r="F509" s="8"/>
      <c r="G509" s="8"/>
    </row>
    <row r="510" spans="6:7" ht="13">
      <c r="F510" s="8"/>
      <c r="G510" s="8"/>
    </row>
    <row r="511" spans="6:7" ht="13">
      <c r="F511" s="8"/>
      <c r="G511" s="8"/>
    </row>
    <row r="512" spans="6:7" ht="13">
      <c r="F512" s="8"/>
      <c r="G512" s="8"/>
    </row>
    <row r="513" spans="6:7" ht="13">
      <c r="F513" s="8"/>
      <c r="G513" s="8"/>
    </row>
    <row r="514" spans="6:7" ht="13">
      <c r="F514" s="8"/>
      <c r="G514" s="8"/>
    </row>
    <row r="515" spans="6:7" ht="13">
      <c r="F515" s="8"/>
      <c r="G515" s="8"/>
    </row>
    <row r="516" spans="6:7" ht="13">
      <c r="F516" s="8"/>
      <c r="G516" s="8"/>
    </row>
    <row r="517" spans="6:7" ht="13">
      <c r="F517" s="8"/>
      <c r="G517" s="8"/>
    </row>
    <row r="518" spans="6:7" ht="13">
      <c r="F518" s="8"/>
      <c r="G518" s="8"/>
    </row>
    <row r="519" spans="6:7" ht="13">
      <c r="F519" s="8"/>
      <c r="G519" s="8"/>
    </row>
    <row r="520" spans="6:7" ht="13">
      <c r="F520" s="8"/>
      <c r="G520" s="8"/>
    </row>
    <row r="521" spans="6:7" ht="13">
      <c r="F521" s="8"/>
      <c r="G521" s="8"/>
    </row>
    <row r="522" spans="6:7" ht="13">
      <c r="F522" s="8"/>
      <c r="G522" s="8"/>
    </row>
    <row r="523" spans="6:7" ht="13">
      <c r="F523" s="8"/>
      <c r="G523" s="8"/>
    </row>
    <row r="524" spans="6:7" ht="13">
      <c r="F524" s="8"/>
      <c r="G524" s="8"/>
    </row>
    <row r="525" spans="6:7" ht="13">
      <c r="F525" s="8"/>
      <c r="G525" s="8"/>
    </row>
    <row r="526" spans="6:7" ht="13">
      <c r="F526" s="8"/>
      <c r="G526" s="8"/>
    </row>
    <row r="527" spans="6:7" ht="13">
      <c r="F527" s="8"/>
      <c r="G527" s="8"/>
    </row>
    <row r="528" spans="6:7" ht="13">
      <c r="F528" s="8"/>
      <c r="G528" s="8"/>
    </row>
    <row r="529" spans="6:7" ht="13">
      <c r="F529" s="8"/>
      <c r="G529" s="8"/>
    </row>
    <row r="530" spans="6:7" ht="13">
      <c r="F530" s="8"/>
      <c r="G530" s="8"/>
    </row>
    <row r="531" spans="6:7" ht="13">
      <c r="F531" s="8"/>
      <c r="G531" s="8"/>
    </row>
    <row r="532" spans="6:7" ht="13">
      <c r="F532" s="8"/>
      <c r="G532" s="8"/>
    </row>
    <row r="533" spans="6:7" ht="13">
      <c r="F533" s="8"/>
      <c r="G533" s="8"/>
    </row>
    <row r="534" spans="6:7" ht="13">
      <c r="F534" s="8"/>
      <c r="G534" s="8"/>
    </row>
    <row r="535" spans="6:7" ht="13">
      <c r="F535" s="8"/>
      <c r="G535" s="8"/>
    </row>
    <row r="536" spans="6:7" ht="13">
      <c r="F536" s="8"/>
      <c r="G536" s="8"/>
    </row>
    <row r="537" spans="6:7" ht="13">
      <c r="F537" s="8"/>
      <c r="G537" s="8"/>
    </row>
    <row r="538" spans="6:7" ht="13">
      <c r="F538" s="8"/>
      <c r="G538" s="8"/>
    </row>
    <row r="539" spans="6:7" ht="13">
      <c r="F539" s="8"/>
      <c r="G539" s="8"/>
    </row>
    <row r="540" spans="6:7" ht="13">
      <c r="F540" s="8"/>
      <c r="G540" s="8"/>
    </row>
    <row r="541" spans="6:7" ht="13">
      <c r="F541" s="8"/>
      <c r="G541" s="8"/>
    </row>
    <row r="542" spans="6:7" ht="13">
      <c r="F542" s="8"/>
      <c r="G542" s="8"/>
    </row>
    <row r="543" spans="6:7" ht="13">
      <c r="F543" s="8"/>
      <c r="G543" s="8"/>
    </row>
    <row r="544" spans="6:7" ht="13">
      <c r="F544" s="8"/>
      <c r="G544" s="8"/>
    </row>
    <row r="545" spans="6:7" ht="13">
      <c r="F545" s="8"/>
      <c r="G545" s="8"/>
    </row>
    <row r="546" spans="6:7" ht="13">
      <c r="F546" s="8"/>
      <c r="G546" s="8"/>
    </row>
    <row r="547" spans="6:7" ht="13">
      <c r="F547" s="8"/>
      <c r="G547" s="8"/>
    </row>
    <row r="548" spans="6:7" ht="13">
      <c r="F548" s="8"/>
      <c r="G548" s="8"/>
    </row>
    <row r="549" spans="6:7" ht="13">
      <c r="F549" s="8"/>
      <c r="G549" s="8"/>
    </row>
    <row r="550" spans="6:7" ht="13">
      <c r="F550" s="8"/>
      <c r="G550" s="8"/>
    </row>
    <row r="551" spans="6:7" ht="13">
      <c r="F551" s="8"/>
      <c r="G551" s="8"/>
    </row>
    <row r="552" spans="6:7" ht="13">
      <c r="F552" s="8"/>
      <c r="G552" s="8"/>
    </row>
    <row r="553" spans="6:7" ht="13">
      <c r="F553" s="8"/>
      <c r="G553" s="8"/>
    </row>
    <row r="554" spans="6:7" ht="13">
      <c r="F554" s="8"/>
      <c r="G554" s="8"/>
    </row>
    <row r="555" spans="6:7" ht="13">
      <c r="F555" s="8"/>
      <c r="G555" s="8"/>
    </row>
    <row r="556" spans="6:7" ht="13">
      <c r="F556" s="8"/>
      <c r="G556" s="8"/>
    </row>
    <row r="557" spans="6:7" ht="13">
      <c r="F557" s="8"/>
      <c r="G557" s="8"/>
    </row>
    <row r="558" spans="6:7" ht="13">
      <c r="F558" s="8"/>
      <c r="G558" s="8"/>
    </row>
    <row r="559" spans="6:7" ht="13">
      <c r="F559" s="8"/>
      <c r="G559" s="8"/>
    </row>
    <row r="560" spans="6:7" ht="13">
      <c r="F560" s="8"/>
      <c r="G560" s="8"/>
    </row>
    <row r="561" spans="6:7" ht="13">
      <c r="F561" s="8"/>
      <c r="G561" s="8"/>
    </row>
    <row r="562" spans="6:7" ht="13">
      <c r="F562" s="8"/>
      <c r="G562" s="8"/>
    </row>
    <row r="563" spans="6:7" ht="13">
      <c r="F563" s="8"/>
      <c r="G563" s="8"/>
    </row>
    <row r="564" spans="6:7" ht="13">
      <c r="F564" s="8"/>
      <c r="G564" s="8"/>
    </row>
    <row r="565" spans="6:7" ht="13">
      <c r="F565" s="8"/>
      <c r="G565" s="8"/>
    </row>
    <row r="566" spans="6:7" ht="13">
      <c r="F566" s="8"/>
      <c r="G566" s="8"/>
    </row>
    <row r="567" spans="6:7" ht="13">
      <c r="F567" s="8"/>
      <c r="G567" s="8"/>
    </row>
    <row r="568" spans="6:7" ht="13">
      <c r="F568" s="8"/>
      <c r="G568" s="8"/>
    </row>
    <row r="569" spans="6:7" ht="13">
      <c r="F569" s="8"/>
      <c r="G569" s="8"/>
    </row>
    <row r="570" spans="6:7" ht="13">
      <c r="F570" s="8"/>
      <c r="G570" s="8"/>
    </row>
    <row r="571" spans="6:7" ht="13">
      <c r="F571" s="8"/>
      <c r="G571" s="8"/>
    </row>
    <row r="572" spans="6:7" ht="13">
      <c r="F572" s="8"/>
      <c r="G572" s="8"/>
    </row>
    <row r="573" spans="6:7" ht="13">
      <c r="F573" s="8"/>
      <c r="G573" s="8"/>
    </row>
    <row r="574" spans="6:7" ht="13">
      <c r="F574" s="8"/>
      <c r="G574" s="8"/>
    </row>
    <row r="575" spans="6:7" ht="13">
      <c r="F575" s="8"/>
      <c r="G575" s="8"/>
    </row>
    <row r="576" spans="6:7" ht="13">
      <c r="F576" s="8"/>
      <c r="G576" s="8"/>
    </row>
    <row r="577" spans="6:7" ht="13">
      <c r="F577" s="8"/>
      <c r="G577" s="8"/>
    </row>
    <row r="578" spans="6:7" ht="13">
      <c r="F578" s="8"/>
      <c r="G578" s="8"/>
    </row>
    <row r="579" spans="6:7" ht="13">
      <c r="F579" s="8"/>
      <c r="G579" s="8"/>
    </row>
    <row r="580" spans="6:7" ht="13">
      <c r="F580" s="8"/>
      <c r="G580" s="8"/>
    </row>
    <row r="581" spans="6:7" ht="13">
      <c r="F581" s="8"/>
      <c r="G581" s="8"/>
    </row>
    <row r="582" spans="6:7" ht="13">
      <c r="F582" s="8"/>
      <c r="G582" s="8"/>
    </row>
    <row r="583" spans="6:7" ht="13">
      <c r="F583" s="8"/>
      <c r="G583" s="8"/>
    </row>
    <row r="584" spans="6:7" ht="13">
      <c r="F584" s="8"/>
      <c r="G584" s="8"/>
    </row>
    <row r="585" spans="6:7" ht="13">
      <c r="F585" s="8"/>
      <c r="G585" s="8"/>
    </row>
    <row r="586" spans="6:7" ht="13">
      <c r="F586" s="8"/>
      <c r="G586" s="8"/>
    </row>
    <row r="587" spans="6:7" ht="13">
      <c r="F587" s="8"/>
      <c r="G587" s="8"/>
    </row>
    <row r="588" spans="6:7" ht="13">
      <c r="F588" s="8"/>
      <c r="G588" s="8"/>
    </row>
    <row r="589" spans="6:7" ht="13">
      <c r="F589" s="8"/>
      <c r="G589" s="8"/>
    </row>
    <row r="590" spans="6:7" ht="13">
      <c r="F590" s="8"/>
      <c r="G590" s="8"/>
    </row>
    <row r="591" spans="6:7" ht="13">
      <c r="F591" s="8"/>
      <c r="G591" s="8"/>
    </row>
    <row r="592" spans="6:7" ht="13">
      <c r="F592" s="8"/>
      <c r="G592" s="8"/>
    </row>
    <row r="593" spans="6:7" ht="13">
      <c r="F593" s="8"/>
      <c r="G593" s="8"/>
    </row>
    <row r="594" spans="6:7" ht="13">
      <c r="F594" s="8"/>
      <c r="G594" s="8"/>
    </row>
    <row r="595" spans="6:7" ht="13">
      <c r="F595" s="8"/>
      <c r="G595" s="8"/>
    </row>
    <row r="596" spans="6:7" ht="13">
      <c r="F596" s="8"/>
      <c r="G596" s="8"/>
    </row>
    <row r="597" spans="6:7" ht="13">
      <c r="F597" s="8"/>
      <c r="G597" s="8"/>
    </row>
    <row r="598" spans="6:7" ht="13">
      <c r="F598" s="8"/>
      <c r="G598" s="8"/>
    </row>
    <row r="599" spans="6:7" ht="13">
      <c r="F599" s="8"/>
      <c r="G599" s="8"/>
    </row>
    <row r="600" spans="6:7" ht="13">
      <c r="F600" s="8"/>
      <c r="G600" s="8"/>
    </row>
    <row r="601" spans="6:7" ht="13">
      <c r="F601" s="8"/>
      <c r="G601" s="8"/>
    </row>
    <row r="602" spans="6:7" ht="13">
      <c r="F602" s="8"/>
      <c r="G602" s="8"/>
    </row>
    <row r="603" spans="6:7" ht="13">
      <c r="F603" s="8"/>
      <c r="G603" s="8"/>
    </row>
    <row r="604" spans="6:7" ht="13">
      <c r="F604" s="8"/>
      <c r="G604" s="8"/>
    </row>
    <row r="605" spans="6:7" ht="13">
      <c r="F605" s="8"/>
      <c r="G605" s="8"/>
    </row>
    <row r="606" spans="6:7" ht="13">
      <c r="F606" s="8"/>
      <c r="G606" s="8"/>
    </row>
    <row r="607" spans="6:7" ht="13">
      <c r="F607" s="8"/>
      <c r="G607" s="8"/>
    </row>
    <row r="608" spans="6:7" ht="13">
      <c r="F608" s="8"/>
      <c r="G608" s="8"/>
    </row>
    <row r="609" spans="6:7" ht="13">
      <c r="F609" s="8"/>
      <c r="G609" s="8"/>
    </row>
    <row r="610" spans="6:7" ht="13">
      <c r="F610" s="8"/>
      <c r="G610" s="8"/>
    </row>
    <row r="611" spans="6:7" ht="13">
      <c r="F611" s="8"/>
      <c r="G611" s="8"/>
    </row>
    <row r="612" spans="6:7" ht="13">
      <c r="F612" s="8"/>
      <c r="G612" s="8"/>
    </row>
    <row r="613" spans="6:7" ht="13">
      <c r="F613" s="8"/>
      <c r="G613" s="8"/>
    </row>
    <row r="614" spans="6:7" ht="13">
      <c r="F614" s="8"/>
      <c r="G614" s="8"/>
    </row>
    <row r="615" spans="6:7" ht="13">
      <c r="F615" s="8"/>
      <c r="G615" s="8"/>
    </row>
    <row r="616" spans="6:7" ht="13">
      <c r="F616" s="8"/>
      <c r="G616" s="8"/>
    </row>
    <row r="617" spans="6:7" ht="13">
      <c r="F617" s="8"/>
      <c r="G617" s="8"/>
    </row>
    <row r="618" spans="6:7" ht="13">
      <c r="F618" s="8"/>
      <c r="G618" s="8"/>
    </row>
    <row r="619" spans="6:7" ht="13">
      <c r="F619" s="8"/>
      <c r="G619" s="8"/>
    </row>
    <row r="620" spans="6:7" ht="13">
      <c r="F620" s="8"/>
      <c r="G620" s="8"/>
    </row>
    <row r="621" spans="6:7" ht="13">
      <c r="F621" s="8"/>
      <c r="G621" s="8"/>
    </row>
    <row r="622" spans="6:7" ht="13">
      <c r="F622" s="8"/>
      <c r="G622" s="8"/>
    </row>
    <row r="623" spans="6:7" ht="13">
      <c r="F623" s="8"/>
      <c r="G623" s="8"/>
    </row>
    <row r="624" spans="6:7" ht="13">
      <c r="F624" s="8"/>
      <c r="G624" s="8"/>
    </row>
    <row r="625" spans="6:7" ht="13">
      <c r="F625" s="8"/>
      <c r="G625" s="8"/>
    </row>
    <row r="626" spans="6:7" ht="13">
      <c r="F626" s="8"/>
      <c r="G626" s="8"/>
    </row>
    <row r="627" spans="6:7" ht="13">
      <c r="F627" s="8"/>
      <c r="G627" s="8"/>
    </row>
    <row r="628" spans="6:7" ht="13">
      <c r="F628" s="8"/>
      <c r="G628" s="8"/>
    </row>
    <row r="629" spans="6:7" ht="13">
      <c r="F629" s="8"/>
      <c r="G629" s="8"/>
    </row>
    <row r="630" spans="6:7" ht="13">
      <c r="F630" s="8"/>
      <c r="G630" s="8"/>
    </row>
    <row r="631" spans="6:7" ht="13">
      <c r="F631" s="8"/>
      <c r="G631" s="8"/>
    </row>
    <row r="632" spans="6:7" ht="13">
      <c r="F632" s="8"/>
      <c r="G632" s="8"/>
    </row>
    <row r="633" spans="6:7" ht="13">
      <c r="F633" s="8"/>
      <c r="G633" s="8"/>
    </row>
    <row r="634" spans="6:7" ht="13">
      <c r="F634" s="8"/>
      <c r="G634" s="8"/>
    </row>
    <row r="635" spans="6:7" ht="13">
      <c r="F635" s="8"/>
      <c r="G635" s="8"/>
    </row>
    <row r="636" spans="6:7" ht="13">
      <c r="F636" s="8"/>
      <c r="G636" s="8"/>
    </row>
    <row r="637" spans="6:7" ht="13">
      <c r="F637" s="8"/>
      <c r="G637" s="8"/>
    </row>
    <row r="638" spans="6:7" ht="13">
      <c r="F638" s="8"/>
      <c r="G638" s="8"/>
    </row>
    <row r="639" spans="6:7" ht="13">
      <c r="F639" s="8"/>
      <c r="G639" s="8"/>
    </row>
    <row r="640" spans="6:7" ht="13">
      <c r="F640" s="8"/>
      <c r="G640" s="8"/>
    </row>
    <row r="641" spans="6:7" ht="13">
      <c r="F641" s="8"/>
      <c r="G641" s="8"/>
    </row>
    <row r="642" spans="6:7" ht="13">
      <c r="F642" s="8"/>
      <c r="G642" s="8"/>
    </row>
    <row r="643" spans="6:7" ht="13">
      <c r="F643" s="8"/>
      <c r="G643" s="8"/>
    </row>
    <row r="644" spans="6:7" ht="13">
      <c r="F644" s="8"/>
      <c r="G644" s="8"/>
    </row>
    <row r="645" spans="6:7" ht="13">
      <c r="F645" s="8"/>
      <c r="G645" s="8"/>
    </row>
    <row r="646" spans="6:7" ht="13">
      <c r="F646" s="8"/>
      <c r="G646" s="8"/>
    </row>
    <row r="647" spans="6:7" ht="13">
      <c r="F647" s="8"/>
      <c r="G647" s="8"/>
    </row>
    <row r="648" spans="6:7" ht="13">
      <c r="F648" s="8"/>
      <c r="G648" s="8"/>
    </row>
    <row r="649" spans="6:7" ht="13">
      <c r="F649" s="8"/>
      <c r="G649" s="8"/>
    </row>
    <row r="650" spans="6:7" ht="13">
      <c r="F650" s="8"/>
      <c r="G650" s="8"/>
    </row>
    <row r="651" spans="6:7" ht="13">
      <c r="F651" s="8"/>
      <c r="G651" s="8"/>
    </row>
    <row r="652" spans="6:7" ht="13">
      <c r="F652" s="8"/>
      <c r="G652" s="8"/>
    </row>
    <row r="653" spans="6:7" ht="13">
      <c r="F653" s="8"/>
      <c r="G653" s="8"/>
    </row>
    <row r="654" spans="6:7" ht="13">
      <c r="F654" s="8"/>
      <c r="G654" s="8"/>
    </row>
    <row r="655" spans="6:7" ht="13">
      <c r="F655" s="8"/>
      <c r="G655" s="8"/>
    </row>
    <row r="656" spans="6:7" ht="13">
      <c r="F656" s="8"/>
      <c r="G656" s="8"/>
    </row>
    <row r="657" spans="6:7" ht="13">
      <c r="F657" s="8"/>
      <c r="G657" s="8"/>
    </row>
    <row r="658" spans="6:7" ht="13">
      <c r="F658" s="8"/>
      <c r="G658" s="8"/>
    </row>
    <row r="659" spans="6:7" ht="13">
      <c r="F659" s="8"/>
      <c r="G659" s="8"/>
    </row>
    <row r="660" spans="6:7" ht="13">
      <c r="F660" s="8"/>
      <c r="G660" s="8"/>
    </row>
    <row r="661" spans="6:7" ht="13">
      <c r="F661" s="8"/>
      <c r="G661" s="8"/>
    </row>
    <row r="662" spans="6:7" ht="13">
      <c r="F662" s="8"/>
      <c r="G662" s="8"/>
    </row>
    <row r="663" spans="6:7" ht="13">
      <c r="F663" s="8"/>
      <c r="G663" s="8"/>
    </row>
    <row r="664" spans="6:7" ht="13">
      <c r="F664" s="8"/>
      <c r="G664" s="8"/>
    </row>
    <row r="665" spans="6:7" ht="13">
      <c r="F665" s="8"/>
      <c r="G665" s="8"/>
    </row>
    <row r="666" spans="6:7" ht="13">
      <c r="F666" s="8"/>
      <c r="G666" s="8"/>
    </row>
    <row r="667" spans="6:7" ht="13">
      <c r="F667" s="8"/>
      <c r="G667" s="8"/>
    </row>
    <row r="668" spans="6:7" ht="13">
      <c r="F668" s="8"/>
      <c r="G668" s="8"/>
    </row>
    <row r="669" spans="6:7" ht="13">
      <c r="F669" s="8"/>
      <c r="G669" s="8"/>
    </row>
    <row r="670" spans="6:7" ht="13">
      <c r="F670" s="8"/>
      <c r="G670" s="8"/>
    </row>
    <row r="671" spans="6:7" ht="13">
      <c r="F671" s="8"/>
      <c r="G671" s="8"/>
    </row>
    <row r="672" spans="6:7" ht="13">
      <c r="F672" s="8"/>
      <c r="G672" s="8"/>
    </row>
    <row r="673" spans="6:7" ht="13">
      <c r="F673" s="8"/>
      <c r="G673" s="8"/>
    </row>
    <row r="674" spans="6:7" ht="13">
      <c r="F674" s="8"/>
      <c r="G674" s="8"/>
    </row>
    <row r="675" spans="6:7" ht="13">
      <c r="F675" s="8"/>
      <c r="G675" s="8"/>
    </row>
    <row r="676" spans="6:7" ht="13">
      <c r="F676" s="8"/>
      <c r="G676" s="8"/>
    </row>
    <row r="677" spans="6:7" ht="13">
      <c r="F677" s="8"/>
      <c r="G677" s="8"/>
    </row>
    <row r="678" spans="6:7" ht="13">
      <c r="F678" s="8"/>
      <c r="G678" s="8"/>
    </row>
    <row r="679" spans="6:7" ht="13">
      <c r="F679" s="8"/>
      <c r="G679" s="8"/>
    </row>
    <row r="680" spans="6:7" ht="13">
      <c r="F680" s="8"/>
      <c r="G680" s="8"/>
    </row>
    <row r="681" spans="6:7" ht="13">
      <c r="F681" s="8"/>
      <c r="G681" s="8"/>
    </row>
    <row r="682" spans="6:7" ht="13">
      <c r="F682" s="8"/>
      <c r="G682" s="8"/>
    </row>
    <row r="683" spans="6:7" ht="13">
      <c r="F683" s="8"/>
      <c r="G683" s="8"/>
    </row>
    <row r="684" spans="6:7" ht="13">
      <c r="F684" s="8"/>
      <c r="G684" s="8"/>
    </row>
    <row r="685" spans="6:7" ht="13">
      <c r="F685" s="8"/>
      <c r="G685" s="8"/>
    </row>
    <row r="686" spans="6:7" ht="13">
      <c r="F686" s="8"/>
      <c r="G686" s="8"/>
    </row>
    <row r="687" spans="6:7" ht="13">
      <c r="F687" s="8"/>
      <c r="G687" s="8"/>
    </row>
    <row r="688" spans="6:7" ht="13">
      <c r="F688" s="8"/>
      <c r="G688" s="8"/>
    </row>
    <row r="689" spans="6:7" ht="13">
      <c r="F689" s="8"/>
      <c r="G689" s="8"/>
    </row>
    <row r="690" spans="6:7" ht="13">
      <c r="F690" s="8"/>
      <c r="G690" s="8"/>
    </row>
    <row r="691" spans="6:7" ht="13">
      <c r="F691" s="8"/>
      <c r="G691" s="8"/>
    </row>
    <row r="692" spans="6:7" ht="13">
      <c r="F692" s="8"/>
      <c r="G692" s="8"/>
    </row>
    <row r="693" spans="6:7" ht="13">
      <c r="F693" s="8"/>
      <c r="G693" s="8"/>
    </row>
    <row r="694" spans="6:7" ht="13">
      <c r="F694" s="8"/>
      <c r="G694" s="8"/>
    </row>
    <row r="695" spans="6:7" ht="13">
      <c r="F695" s="8"/>
      <c r="G695" s="8"/>
    </row>
    <row r="696" spans="6:7" ht="13">
      <c r="F696" s="8"/>
      <c r="G696" s="8"/>
    </row>
    <row r="697" spans="6:7" ht="13">
      <c r="F697" s="8"/>
      <c r="G697" s="8"/>
    </row>
    <row r="698" spans="6:7" ht="13">
      <c r="F698" s="8"/>
      <c r="G698" s="8"/>
    </row>
    <row r="699" spans="6:7" ht="13">
      <c r="F699" s="8"/>
      <c r="G699" s="8"/>
    </row>
    <row r="700" spans="6:7" ht="13">
      <c r="F700" s="8"/>
      <c r="G700" s="8"/>
    </row>
    <row r="701" spans="6:7" ht="13">
      <c r="F701" s="8"/>
      <c r="G701" s="8"/>
    </row>
    <row r="702" spans="6:7" ht="13">
      <c r="F702" s="8"/>
      <c r="G702" s="8"/>
    </row>
    <row r="703" spans="6:7" ht="13">
      <c r="F703" s="8"/>
      <c r="G703" s="8"/>
    </row>
    <row r="704" spans="6:7" ht="13">
      <c r="F704" s="8"/>
      <c r="G704" s="8"/>
    </row>
    <row r="705" spans="6:7" ht="13">
      <c r="F705" s="8"/>
      <c r="G705" s="8"/>
    </row>
    <row r="706" spans="6:7" ht="13">
      <c r="F706" s="8"/>
      <c r="G706" s="8"/>
    </row>
    <row r="707" spans="6:7" ht="13">
      <c r="F707" s="8"/>
      <c r="G707" s="8"/>
    </row>
    <row r="708" spans="6:7" ht="13">
      <c r="F708" s="8"/>
      <c r="G708" s="8"/>
    </row>
    <row r="709" spans="6:7" ht="13">
      <c r="F709" s="8"/>
      <c r="G709" s="8"/>
    </row>
    <row r="710" spans="6:7" ht="13">
      <c r="F710" s="8"/>
      <c r="G710" s="8"/>
    </row>
    <row r="711" spans="6:7" ht="13">
      <c r="F711" s="8"/>
      <c r="G711" s="8"/>
    </row>
    <row r="712" spans="6:7" ht="13">
      <c r="F712" s="8"/>
      <c r="G712" s="8"/>
    </row>
    <row r="713" spans="6:7" ht="13">
      <c r="F713" s="8"/>
      <c r="G713" s="8"/>
    </row>
    <row r="714" spans="6:7" ht="13">
      <c r="F714" s="8"/>
      <c r="G714" s="8"/>
    </row>
    <row r="715" spans="6:7" ht="13">
      <c r="F715" s="8"/>
      <c r="G715" s="8"/>
    </row>
    <row r="716" spans="6:7" ht="13">
      <c r="F716" s="8"/>
      <c r="G716" s="8"/>
    </row>
    <row r="717" spans="6:7" ht="13">
      <c r="F717" s="8"/>
      <c r="G717" s="8"/>
    </row>
    <row r="718" spans="6:7" ht="13">
      <c r="F718" s="8"/>
      <c r="G718" s="8"/>
    </row>
    <row r="719" spans="6:7" ht="13">
      <c r="F719" s="8"/>
      <c r="G719" s="8"/>
    </row>
    <row r="720" spans="6:7" ht="13">
      <c r="F720" s="8"/>
      <c r="G720" s="8"/>
    </row>
    <row r="721" spans="6:7" ht="13">
      <c r="F721" s="8"/>
      <c r="G721" s="8"/>
    </row>
    <row r="722" spans="6:7" ht="13">
      <c r="F722" s="8"/>
      <c r="G722" s="8"/>
    </row>
    <row r="723" spans="6:7" ht="13">
      <c r="F723" s="8"/>
      <c r="G723" s="8"/>
    </row>
    <row r="724" spans="6:7" ht="13">
      <c r="F724" s="8"/>
      <c r="G724" s="8"/>
    </row>
    <row r="725" spans="6:7" ht="13">
      <c r="F725" s="8"/>
      <c r="G725" s="8"/>
    </row>
    <row r="726" spans="6:7" ht="13">
      <c r="F726" s="8"/>
      <c r="G726" s="8"/>
    </row>
    <row r="727" spans="6:7" ht="13">
      <c r="F727" s="8"/>
      <c r="G727" s="8"/>
    </row>
    <row r="728" spans="6:7" ht="13">
      <c r="F728" s="8"/>
      <c r="G728" s="8"/>
    </row>
    <row r="729" spans="6:7" ht="13">
      <c r="F729" s="8"/>
      <c r="G729" s="8"/>
    </row>
    <row r="730" spans="6:7" ht="13">
      <c r="F730" s="8"/>
      <c r="G730" s="8"/>
    </row>
    <row r="731" spans="6:7" ht="13">
      <c r="F731" s="8"/>
      <c r="G731" s="8"/>
    </row>
    <row r="732" spans="6:7" ht="13">
      <c r="F732" s="8"/>
      <c r="G732" s="8"/>
    </row>
    <row r="733" spans="6:7" ht="13">
      <c r="F733" s="8"/>
      <c r="G733" s="8"/>
    </row>
    <row r="734" spans="6:7" ht="13">
      <c r="F734" s="8"/>
      <c r="G734" s="8"/>
    </row>
    <row r="735" spans="6:7" ht="13">
      <c r="F735" s="8"/>
      <c r="G735" s="8"/>
    </row>
    <row r="736" spans="6:7" ht="13">
      <c r="F736" s="8"/>
      <c r="G736" s="8"/>
    </row>
    <row r="737" spans="6:7" ht="13">
      <c r="F737" s="8"/>
      <c r="G737" s="8"/>
    </row>
    <row r="738" spans="6:7" ht="13">
      <c r="F738" s="8"/>
      <c r="G738" s="8"/>
    </row>
    <row r="739" spans="6:7" ht="13">
      <c r="F739" s="8"/>
      <c r="G739" s="8"/>
    </row>
    <row r="740" spans="6:7" ht="13">
      <c r="F740" s="8"/>
      <c r="G740" s="8"/>
    </row>
    <row r="741" spans="6:7" ht="13">
      <c r="F741" s="8"/>
      <c r="G741" s="8"/>
    </row>
    <row r="742" spans="6:7" ht="13">
      <c r="F742" s="8"/>
      <c r="G742" s="8"/>
    </row>
    <row r="743" spans="6:7" ht="13">
      <c r="F743" s="8"/>
      <c r="G743" s="8"/>
    </row>
    <row r="744" spans="6:7" ht="13">
      <c r="F744" s="8"/>
      <c r="G744" s="8"/>
    </row>
    <row r="745" spans="6:7" ht="13">
      <c r="F745" s="8"/>
      <c r="G745" s="8"/>
    </row>
    <row r="746" spans="6:7" ht="13">
      <c r="F746" s="8"/>
      <c r="G746" s="8"/>
    </row>
    <row r="747" spans="6:7" ht="13">
      <c r="F747" s="8"/>
      <c r="G747" s="8"/>
    </row>
    <row r="748" spans="6:7" ht="13">
      <c r="F748" s="8"/>
      <c r="G748" s="8"/>
    </row>
    <row r="749" spans="6:7" ht="13">
      <c r="F749" s="8"/>
      <c r="G749" s="8"/>
    </row>
    <row r="750" spans="6:7" ht="13">
      <c r="F750" s="8"/>
      <c r="G750" s="8"/>
    </row>
    <row r="751" spans="6:7" ht="13">
      <c r="F751" s="8"/>
      <c r="G751" s="8"/>
    </row>
    <row r="752" spans="6:7" ht="13">
      <c r="F752" s="8"/>
      <c r="G752" s="8"/>
    </row>
    <row r="753" spans="6:7" ht="13">
      <c r="F753" s="8"/>
      <c r="G753" s="8"/>
    </row>
    <row r="754" spans="6:7" ht="13">
      <c r="F754" s="8"/>
      <c r="G754" s="8"/>
    </row>
    <row r="755" spans="6:7" ht="13">
      <c r="F755" s="8"/>
      <c r="G755" s="8"/>
    </row>
    <row r="756" spans="6:7" ht="13">
      <c r="F756" s="8"/>
      <c r="G756" s="8"/>
    </row>
    <row r="757" spans="6:7" ht="13">
      <c r="F757" s="8"/>
      <c r="G757" s="8"/>
    </row>
    <row r="758" spans="6:7" ht="13">
      <c r="F758" s="8"/>
      <c r="G758" s="8"/>
    </row>
    <row r="759" spans="6:7" ht="13">
      <c r="F759" s="8"/>
      <c r="G759" s="8"/>
    </row>
    <row r="760" spans="6:7" ht="13">
      <c r="F760" s="8"/>
      <c r="G760" s="8"/>
    </row>
    <row r="761" spans="6:7" ht="13">
      <c r="F761" s="8"/>
      <c r="G761" s="8"/>
    </row>
    <row r="762" spans="6:7" ht="13">
      <c r="F762" s="8"/>
      <c r="G762" s="8"/>
    </row>
    <row r="763" spans="6:7" ht="13">
      <c r="F763" s="8"/>
      <c r="G763" s="8"/>
    </row>
    <row r="764" spans="6:7" ht="13">
      <c r="F764" s="8"/>
      <c r="G764" s="8"/>
    </row>
    <row r="765" spans="6:7" ht="13">
      <c r="F765" s="8"/>
      <c r="G765" s="8"/>
    </row>
    <row r="766" spans="6:7" ht="13">
      <c r="F766" s="8"/>
      <c r="G766" s="8"/>
    </row>
    <row r="767" spans="6:7" ht="13">
      <c r="F767" s="8"/>
      <c r="G767" s="8"/>
    </row>
    <row r="768" spans="6:7" ht="13">
      <c r="F768" s="8"/>
      <c r="G768" s="8"/>
    </row>
    <row r="769" spans="6:7" ht="13">
      <c r="F769" s="8"/>
      <c r="G769" s="8"/>
    </row>
    <row r="770" spans="6:7" ht="13">
      <c r="F770" s="8"/>
      <c r="G770" s="8"/>
    </row>
    <row r="771" spans="6:7" ht="13">
      <c r="F771" s="8"/>
      <c r="G771" s="8"/>
    </row>
    <row r="772" spans="6:7" ht="13">
      <c r="F772" s="8"/>
      <c r="G772" s="8"/>
    </row>
    <row r="773" spans="6:7" ht="13">
      <c r="F773" s="8"/>
      <c r="G773" s="8"/>
    </row>
    <row r="774" spans="6:7" ht="13">
      <c r="F774" s="8"/>
      <c r="G774" s="8"/>
    </row>
    <row r="775" spans="6:7" ht="13">
      <c r="F775" s="8"/>
      <c r="G775" s="8"/>
    </row>
    <row r="776" spans="6:7" ht="13">
      <c r="F776" s="8"/>
      <c r="G776" s="8"/>
    </row>
    <row r="777" spans="6:7" ht="13">
      <c r="F777" s="8"/>
      <c r="G777" s="8"/>
    </row>
    <row r="778" spans="6:7" ht="13">
      <c r="F778" s="8"/>
      <c r="G778" s="8"/>
    </row>
    <row r="779" spans="6:7" ht="13">
      <c r="F779" s="8"/>
      <c r="G779" s="8"/>
    </row>
    <row r="780" spans="6:7" ht="13">
      <c r="F780" s="8"/>
      <c r="G780" s="8"/>
    </row>
    <row r="781" spans="6:7" ht="13">
      <c r="F781" s="8"/>
      <c r="G781" s="8"/>
    </row>
    <row r="782" spans="6:7" ht="13">
      <c r="F782" s="8"/>
      <c r="G782" s="8"/>
    </row>
    <row r="783" spans="6:7" ht="13">
      <c r="F783" s="8"/>
      <c r="G783" s="8"/>
    </row>
    <row r="784" spans="6:7" ht="13">
      <c r="F784" s="8"/>
      <c r="G784" s="8"/>
    </row>
    <row r="785" spans="6:7" ht="13">
      <c r="F785" s="8"/>
      <c r="G785" s="8"/>
    </row>
    <row r="786" spans="6:7" ht="13">
      <c r="F786" s="8"/>
      <c r="G786" s="8"/>
    </row>
    <row r="787" spans="6:7" ht="13">
      <c r="F787" s="8"/>
      <c r="G787" s="8"/>
    </row>
    <row r="788" spans="6:7" ht="13">
      <c r="F788" s="8"/>
      <c r="G788" s="8"/>
    </row>
    <row r="789" spans="6:7" ht="13">
      <c r="F789" s="8"/>
      <c r="G789" s="8"/>
    </row>
    <row r="790" spans="6:7" ht="13">
      <c r="F790" s="8"/>
      <c r="G790" s="8"/>
    </row>
    <row r="791" spans="6:7" ht="13">
      <c r="F791" s="8"/>
      <c r="G791" s="8"/>
    </row>
    <row r="792" spans="6:7" ht="13">
      <c r="F792" s="8"/>
      <c r="G792" s="8"/>
    </row>
    <row r="793" spans="6:7" ht="13">
      <c r="F793" s="8"/>
      <c r="G793" s="8"/>
    </row>
    <row r="794" spans="6:7" ht="13">
      <c r="F794" s="8"/>
      <c r="G794" s="8"/>
    </row>
    <row r="795" spans="6:7" ht="13">
      <c r="F795" s="8"/>
      <c r="G795" s="8"/>
    </row>
    <row r="796" spans="6:7" ht="13">
      <c r="F796" s="8"/>
      <c r="G796" s="8"/>
    </row>
    <row r="797" spans="6:7" ht="13">
      <c r="F797" s="8"/>
      <c r="G797" s="8"/>
    </row>
    <row r="798" spans="6:7" ht="13">
      <c r="F798" s="8"/>
      <c r="G798" s="8"/>
    </row>
    <row r="799" spans="6:7" ht="13">
      <c r="F799" s="8"/>
      <c r="G799" s="8"/>
    </row>
    <row r="800" spans="6:7" ht="13">
      <c r="F800" s="8"/>
      <c r="G800" s="8"/>
    </row>
    <row r="801" spans="6:7" ht="13">
      <c r="F801" s="8"/>
      <c r="G801" s="8"/>
    </row>
    <row r="802" spans="6:7" ht="13">
      <c r="F802" s="8"/>
      <c r="G802" s="8"/>
    </row>
    <row r="803" spans="6:7" ht="13">
      <c r="F803" s="8"/>
      <c r="G803" s="8"/>
    </row>
    <row r="804" spans="6:7" ht="13">
      <c r="F804" s="8"/>
      <c r="G804" s="8"/>
    </row>
    <row r="805" spans="6:7" ht="13">
      <c r="F805" s="8"/>
      <c r="G805" s="8"/>
    </row>
    <row r="806" spans="6:7" ht="13">
      <c r="F806" s="8"/>
      <c r="G806" s="8"/>
    </row>
    <row r="807" spans="6:7" ht="13">
      <c r="F807" s="8"/>
      <c r="G807" s="8"/>
    </row>
    <row r="808" spans="6:7" ht="13">
      <c r="F808" s="8"/>
      <c r="G808" s="8"/>
    </row>
    <row r="809" spans="6:7" ht="13">
      <c r="F809" s="8"/>
      <c r="G809" s="8"/>
    </row>
    <row r="810" spans="6:7" ht="13">
      <c r="F810" s="8"/>
      <c r="G810" s="8"/>
    </row>
    <row r="811" spans="6:7" ht="13">
      <c r="F811" s="8"/>
      <c r="G811" s="8"/>
    </row>
    <row r="812" spans="6:7" ht="13">
      <c r="F812" s="8"/>
      <c r="G812" s="8"/>
    </row>
    <row r="813" spans="6:7" ht="13">
      <c r="F813" s="8"/>
      <c r="G813" s="8"/>
    </row>
    <row r="814" spans="6:7" ht="13">
      <c r="F814" s="8"/>
      <c r="G814" s="8"/>
    </row>
    <row r="815" spans="6:7" ht="13">
      <c r="F815" s="8"/>
      <c r="G815" s="8"/>
    </row>
    <row r="816" spans="6:7" ht="13">
      <c r="F816" s="8"/>
      <c r="G816" s="8"/>
    </row>
    <row r="817" spans="6:7" ht="13">
      <c r="F817" s="8"/>
      <c r="G817" s="8"/>
    </row>
    <row r="818" spans="6:7" ht="13">
      <c r="F818" s="8"/>
      <c r="G818" s="8"/>
    </row>
    <row r="819" spans="6:7" ht="13">
      <c r="F819" s="8"/>
      <c r="G819" s="8"/>
    </row>
    <row r="820" spans="6:7" ht="13">
      <c r="F820" s="8"/>
      <c r="G820" s="8"/>
    </row>
    <row r="821" spans="6:7" ht="13">
      <c r="F821" s="8"/>
      <c r="G821" s="8"/>
    </row>
    <row r="822" spans="6:7" ht="13">
      <c r="F822" s="8"/>
      <c r="G822" s="8"/>
    </row>
    <row r="823" spans="6:7" ht="13">
      <c r="F823" s="8"/>
      <c r="G823" s="8"/>
    </row>
    <row r="824" spans="6:7" ht="13">
      <c r="F824" s="8"/>
      <c r="G824" s="8"/>
    </row>
    <row r="825" spans="6:7" ht="13">
      <c r="F825" s="8"/>
      <c r="G825" s="8"/>
    </row>
    <row r="826" spans="6:7" ht="13">
      <c r="F826" s="8"/>
      <c r="G826" s="8"/>
    </row>
    <row r="827" spans="6:7" ht="13">
      <c r="F827" s="8"/>
      <c r="G827" s="8"/>
    </row>
    <row r="828" spans="6:7" ht="13">
      <c r="F828" s="8"/>
      <c r="G828" s="8"/>
    </row>
    <row r="829" spans="6:7" ht="13">
      <c r="F829" s="8"/>
      <c r="G829" s="8"/>
    </row>
    <row r="830" spans="6:7" ht="13">
      <c r="F830" s="8"/>
      <c r="G830" s="8"/>
    </row>
    <row r="831" spans="6:7" ht="13">
      <c r="F831" s="8"/>
      <c r="G831" s="8"/>
    </row>
    <row r="832" spans="6:7" ht="13">
      <c r="F832" s="8"/>
      <c r="G832" s="8"/>
    </row>
    <row r="833" spans="6:7" ht="13">
      <c r="F833" s="8"/>
      <c r="G833" s="8"/>
    </row>
    <row r="834" spans="6:7" ht="13">
      <c r="F834" s="8"/>
      <c r="G834" s="8"/>
    </row>
    <row r="835" spans="6:7" ht="13">
      <c r="F835" s="8"/>
      <c r="G835" s="8"/>
    </row>
    <row r="836" spans="6:7" ht="13">
      <c r="F836" s="8"/>
      <c r="G836" s="8"/>
    </row>
    <row r="837" spans="6:7" ht="13">
      <c r="F837" s="8"/>
      <c r="G837" s="8"/>
    </row>
    <row r="838" spans="6:7" ht="13">
      <c r="F838" s="8"/>
      <c r="G838" s="8"/>
    </row>
    <row r="839" spans="6:7" ht="13">
      <c r="F839" s="8"/>
      <c r="G839" s="8"/>
    </row>
    <row r="840" spans="6:7" ht="13">
      <c r="F840" s="8"/>
      <c r="G840" s="8"/>
    </row>
    <row r="841" spans="6:7" ht="13">
      <c r="F841" s="8"/>
      <c r="G841" s="8"/>
    </row>
    <row r="842" spans="6:7" ht="13">
      <c r="F842" s="8"/>
      <c r="G842" s="8"/>
    </row>
    <row r="843" spans="6:7" ht="13">
      <c r="F843" s="8"/>
      <c r="G843" s="8"/>
    </row>
    <row r="844" spans="6:7" ht="13">
      <c r="F844" s="8"/>
      <c r="G844" s="8"/>
    </row>
    <row r="845" spans="6:7" ht="13">
      <c r="F845" s="8"/>
      <c r="G845" s="8"/>
    </row>
    <row r="846" spans="6:7" ht="13">
      <c r="F846" s="8"/>
      <c r="G846" s="8"/>
    </row>
    <row r="847" spans="6:7" ht="13">
      <c r="F847" s="8"/>
      <c r="G847" s="8"/>
    </row>
    <row r="848" spans="6:7" ht="13">
      <c r="F848" s="8"/>
      <c r="G848" s="8"/>
    </row>
    <row r="849" spans="6:7" ht="13">
      <c r="F849" s="8"/>
      <c r="G849" s="8"/>
    </row>
    <row r="850" spans="6:7" ht="13">
      <c r="F850" s="8"/>
      <c r="G850" s="8"/>
    </row>
    <row r="851" spans="6:7" ht="13">
      <c r="F851" s="8"/>
      <c r="G851" s="8"/>
    </row>
    <row r="852" spans="6:7" ht="13">
      <c r="F852" s="8"/>
      <c r="G852" s="8"/>
    </row>
    <row r="853" spans="6:7" ht="13">
      <c r="F853" s="8"/>
      <c r="G853" s="8"/>
    </row>
    <row r="854" spans="6:7" ht="13">
      <c r="F854" s="8"/>
      <c r="G854" s="8"/>
    </row>
    <row r="855" spans="6:7" ht="13">
      <c r="F855" s="8"/>
      <c r="G855" s="8"/>
    </row>
    <row r="856" spans="6:7" ht="13">
      <c r="F856" s="8"/>
      <c r="G856" s="8"/>
    </row>
    <row r="857" spans="6:7" ht="13">
      <c r="F857" s="8"/>
      <c r="G857" s="8"/>
    </row>
    <row r="858" spans="6:7" ht="13">
      <c r="F858" s="8"/>
      <c r="G858" s="8"/>
    </row>
    <row r="859" spans="6:7" ht="13">
      <c r="F859" s="8"/>
      <c r="G859" s="8"/>
    </row>
    <row r="860" spans="6:7" ht="13">
      <c r="F860" s="8"/>
      <c r="G860" s="8"/>
    </row>
    <row r="861" spans="6:7" ht="13">
      <c r="F861" s="8"/>
      <c r="G861" s="8"/>
    </row>
    <row r="862" spans="6:7" ht="13">
      <c r="F862" s="8"/>
      <c r="G862" s="8"/>
    </row>
    <row r="863" spans="6:7" ht="13">
      <c r="F863" s="8"/>
      <c r="G863" s="8"/>
    </row>
    <row r="864" spans="6:7" ht="13">
      <c r="F864" s="8"/>
      <c r="G864" s="8"/>
    </row>
    <row r="865" spans="6:7" ht="13">
      <c r="F865" s="8"/>
      <c r="G865" s="8"/>
    </row>
    <row r="866" spans="6:7" ht="13">
      <c r="F866" s="8"/>
      <c r="G866" s="8"/>
    </row>
    <row r="867" spans="6:7" ht="13">
      <c r="F867" s="8"/>
      <c r="G867" s="8"/>
    </row>
    <row r="868" spans="6:7" ht="13">
      <c r="F868" s="8"/>
      <c r="G868" s="8"/>
    </row>
    <row r="869" spans="6:7" ht="13">
      <c r="F869" s="8"/>
      <c r="G869" s="8"/>
    </row>
    <row r="870" spans="6:7" ht="13">
      <c r="F870" s="8"/>
      <c r="G870" s="8"/>
    </row>
    <row r="871" spans="6:7" ht="13">
      <c r="F871" s="8"/>
      <c r="G871" s="8"/>
    </row>
    <row r="872" spans="6:7" ht="13">
      <c r="F872" s="8"/>
      <c r="G872" s="8"/>
    </row>
    <row r="873" spans="6:7" ht="13">
      <c r="F873" s="8"/>
      <c r="G873" s="8"/>
    </row>
    <row r="874" spans="6:7" ht="13">
      <c r="F874" s="8"/>
      <c r="G874" s="8"/>
    </row>
    <row r="875" spans="6:7" ht="13">
      <c r="F875" s="8"/>
      <c r="G875" s="8"/>
    </row>
    <row r="876" spans="6:7" ht="13">
      <c r="F876" s="8"/>
      <c r="G876" s="8"/>
    </row>
    <row r="877" spans="6:7" ht="13">
      <c r="F877" s="8"/>
      <c r="G877" s="8"/>
    </row>
    <row r="878" spans="6:7" ht="13">
      <c r="F878" s="8"/>
      <c r="G878" s="8"/>
    </row>
    <row r="879" spans="6:7" ht="13">
      <c r="F879" s="8"/>
      <c r="G879" s="8"/>
    </row>
    <row r="880" spans="6:7" ht="13">
      <c r="F880" s="8"/>
      <c r="G880" s="8"/>
    </row>
    <row r="881" spans="6:7" ht="13">
      <c r="F881" s="8"/>
      <c r="G881" s="8"/>
    </row>
    <row r="882" spans="6:7" ht="13">
      <c r="F882" s="8"/>
      <c r="G882" s="8"/>
    </row>
    <row r="883" spans="6:7" ht="13">
      <c r="F883" s="8"/>
      <c r="G883" s="8"/>
    </row>
    <row r="884" spans="6:7" ht="13">
      <c r="F884" s="8"/>
      <c r="G884" s="8"/>
    </row>
    <row r="885" spans="6:7" ht="13">
      <c r="F885" s="8"/>
      <c r="G885" s="8"/>
    </row>
    <row r="886" spans="6:7" ht="13">
      <c r="F886" s="8"/>
      <c r="G886" s="8"/>
    </row>
    <row r="887" spans="6:7" ht="13">
      <c r="F887" s="8"/>
      <c r="G887" s="8"/>
    </row>
    <row r="888" spans="6:7" ht="13">
      <c r="F888" s="8"/>
      <c r="G888" s="8"/>
    </row>
    <row r="889" spans="6:7" ht="13">
      <c r="F889" s="8"/>
      <c r="G889" s="8"/>
    </row>
    <row r="890" spans="6:7" ht="13">
      <c r="F890" s="8"/>
      <c r="G890" s="8"/>
    </row>
    <row r="891" spans="6:7" ht="13">
      <c r="F891" s="8"/>
      <c r="G891" s="8"/>
    </row>
    <row r="892" spans="6:7" ht="13">
      <c r="F892" s="8"/>
      <c r="G892" s="8"/>
    </row>
    <row r="893" spans="6:7" ht="13">
      <c r="F893" s="8"/>
      <c r="G893" s="8"/>
    </row>
    <row r="894" spans="6:7" ht="13">
      <c r="F894" s="8"/>
      <c r="G894" s="8"/>
    </row>
    <row r="895" spans="6:7" ht="13">
      <c r="F895" s="8"/>
      <c r="G895" s="8"/>
    </row>
    <row r="896" spans="6:7" ht="13">
      <c r="F896" s="8"/>
      <c r="G896" s="8"/>
    </row>
    <row r="897" spans="6:7" ht="13">
      <c r="F897" s="8"/>
      <c r="G897" s="8"/>
    </row>
    <row r="898" spans="6:7" ht="13">
      <c r="F898" s="8"/>
      <c r="G898" s="8"/>
    </row>
    <row r="899" spans="6:7" ht="13">
      <c r="F899" s="8"/>
      <c r="G899" s="8"/>
    </row>
    <row r="900" spans="6:7" ht="13">
      <c r="F900" s="8"/>
      <c r="G900" s="8"/>
    </row>
    <row r="901" spans="6:7" ht="13">
      <c r="F901" s="8"/>
      <c r="G901" s="8"/>
    </row>
    <row r="902" spans="6:7" ht="13">
      <c r="F902" s="8"/>
      <c r="G902" s="8"/>
    </row>
    <row r="903" spans="6:7" ht="13">
      <c r="F903" s="8"/>
      <c r="G903" s="8"/>
    </row>
    <row r="904" spans="6:7" ht="13">
      <c r="F904" s="8"/>
      <c r="G904" s="8"/>
    </row>
    <row r="905" spans="6:7" ht="13">
      <c r="F905" s="8"/>
      <c r="G905" s="8"/>
    </row>
    <row r="906" spans="6:7" ht="13">
      <c r="F906" s="8"/>
      <c r="G906" s="8"/>
    </row>
    <row r="907" spans="6:7" ht="13">
      <c r="F907" s="8"/>
      <c r="G907" s="8"/>
    </row>
    <row r="908" spans="6:7" ht="13">
      <c r="F908" s="8"/>
      <c r="G908" s="8"/>
    </row>
    <row r="909" spans="6:7" ht="13">
      <c r="F909" s="8"/>
      <c r="G909" s="8"/>
    </row>
    <row r="910" spans="6:7" ht="13">
      <c r="F910" s="8"/>
      <c r="G910" s="8"/>
    </row>
    <row r="911" spans="6:7" ht="13">
      <c r="F911" s="8"/>
      <c r="G911" s="8"/>
    </row>
    <row r="912" spans="6:7" ht="13">
      <c r="F912" s="8"/>
      <c r="G912" s="8"/>
    </row>
    <row r="913" spans="6:7" ht="13">
      <c r="F913" s="8"/>
      <c r="G913" s="8"/>
    </row>
    <row r="914" spans="6:7" ht="13">
      <c r="F914" s="8"/>
      <c r="G914" s="8"/>
    </row>
    <row r="915" spans="6:7" ht="13">
      <c r="F915" s="8"/>
      <c r="G915" s="8"/>
    </row>
    <row r="916" spans="6:7" ht="13">
      <c r="F916" s="8"/>
      <c r="G916" s="8"/>
    </row>
    <row r="917" spans="6:7" ht="13">
      <c r="F917" s="8"/>
      <c r="G917" s="8"/>
    </row>
    <row r="918" spans="6:7" ht="13">
      <c r="F918" s="8"/>
      <c r="G918" s="8"/>
    </row>
    <row r="919" spans="6:7" ht="13">
      <c r="F919" s="8"/>
      <c r="G919" s="8"/>
    </row>
    <row r="920" spans="6:7" ht="13">
      <c r="F920" s="8"/>
      <c r="G920" s="8"/>
    </row>
    <row r="921" spans="6:7" ht="13">
      <c r="F921" s="8"/>
      <c r="G921" s="8"/>
    </row>
    <row r="922" spans="6:7" ht="13">
      <c r="F922" s="8"/>
      <c r="G922" s="8"/>
    </row>
    <row r="923" spans="6:7" ht="13">
      <c r="F923" s="8"/>
      <c r="G923" s="8"/>
    </row>
    <row r="924" spans="6:7" ht="13">
      <c r="F924" s="8"/>
      <c r="G924" s="8"/>
    </row>
    <row r="925" spans="6:7" ht="13">
      <c r="F925" s="8"/>
      <c r="G925" s="8"/>
    </row>
    <row r="926" spans="6:7" ht="13">
      <c r="F926" s="8"/>
      <c r="G926" s="8"/>
    </row>
    <row r="927" spans="6:7" ht="13">
      <c r="F927" s="8"/>
      <c r="G927" s="8"/>
    </row>
    <row r="928" spans="6:7" ht="13">
      <c r="F928" s="8"/>
      <c r="G928" s="8"/>
    </row>
    <row r="929" spans="6:7" ht="13">
      <c r="F929" s="8"/>
      <c r="G929" s="8"/>
    </row>
    <row r="930" spans="6:7" ht="13">
      <c r="F930" s="8"/>
      <c r="G930" s="8"/>
    </row>
    <row r="931" spans="6:7" ht="13">
      <c r="F931" s="8"/>
      <c r="G931" s="8"/>
    </row>
    <row r="932" spans="6:7" ht="13">
      <c r="F932" s="8"/>
      <c r="G932" s="8"/>
    </row>
    <row r="933" spans="6:7" ht="13">
      <c r="F933" s="8"/>
      <c r="G933" s="8"/>
    </row>
    <row r="934" spans="6:7" ht="13">
      <c r="F934" s="8"/>
      <c r="G934" s="8"/>
    </row>
    <row r="935" spans="6:7" ht="13">
      <c r="F935" s="8"/>
      <c r="G935" s="8"/>
    </row>
    <row r="936" spans="6:7" ht="13">
      <c r="F936" s="8"/>
      <c r="G936" s="8"/>
    </row>
    <row r="937" spans="6:7" ht="13">
      <c r="F937" s="8"/>
      <c r="G937" s="8"/>
    </row>
    <row r="938" spans="6:7" ht="13">
      <c r="F938" s="8"/>
      <c r="G938" s="8"/>
    </row>
    <row r="939" spans="6:7" ht="13">
      <c r="F939" s="8"/>
      <c r="G939" s="8"/>
    </row>
    <row r="940" spans="6:7" ht="13">
      <c r="F940" s="8"/>
      <c r="G940" s="8"/>
    </row>
    <row r="941" spans="6:7" ht="13">
      <c r="F941" s="8"/>
      <c r="G941" s="8"/>
    </row>
    <row r="942" spans="6:7" ht="13">
      <c r="F942" s="8"/>
      <c r="G942" s="8"/>
    </row>
    <row r="943" spans="6:7" ht="13">
      <c r="F943" s="8"/>
      <c r="G943" s="8"/>
    </row>
    <row r="944" spans="6:7" ht="13">
      <c r="F944" s="8"/>
      <c r="G944" s="8"/>
    </row>
    <row r="945" spans="6:7" ht="13">
      <c r="F945" s="8"/>
      <c r="G945" s="8"/>
    </row>
    <row r="946" spans="6:7" ht="13">
      <c r="F946" s="8"/>
      <c r="G946" s="8"/>
    </row>
    <row r="947" spans="6:7" ht="13">
      <c r="F947" s="8"/>
      <c r="G947" s="8"/>
    </row>
    <row r="948" spans="6:7" ht="13">
      <c r="F948" s="8"/>
      <c r="G948" s="8"/>
    </row>
    <row r="949" spans="6:7" ht="13">
      <c r="F949" s="8"/>
      <c r="G949" s="8"/>
    </row>
    <row r="950" spans="6:7" ht="13">
      <c r="F950" s="8"/>
      <c r="G950" s="8"/>
    </row>
    <row r="951" spans="6:7" ht="13">
      <c r="F951" s="8"/>
      <c r="G951" s="8"/>
    </row>
    <row r="952" spans="6:7" ht="13">
      <c r="F952" s="8"/>
      <c r="G952" s="8"/>
    </row>
    <row r="953" spans="6:7" ht="13">
      <c r="F953" s="8"/>
      <c r="G953" s="8"/>
    </row>
    <row r="954" spans="6:7" ht="13">
      <c r="F954" s="8"/>
      <c r="G954" s="8"/>
    </row>
    <row r="955" spans="6:7" ht="13">
      <c r="F955" s="8"/>
      <c r="G955" s="8"/>
    </row>
    <row r="956" spans="6:7" ht="13">
      <c r="F956" s="8"/>
      <c r="G956" s="8"/>
    </row>
    <row r="957" spans="6:7" ht="13">
      <c r="F957" s="8"/>
      <c r="G957" s="8"/>
    </row>
    <row r="958" spans="6:7" ht="13">
      <c r="F958" s="8"/>
      <c r="G958" s="8"/>
    </row>
    <row r="959" spans="6:7" ht="13">
      <c r="F959" s="8"/>
      <c r="G959" s="8"/>
    </row>
    <row r="960" spans="6:7" ht="13">
      <c r="F960" s="8"/>
      <c r="G960" s="8"/>
    </row>
    <row r="961" spans="6:7" ht="13">
      <c r="F961" s="8"/>
      <c r="G961" s="8"/>
    </row>
    <row r="962" spans="6:7" ht="13">
      <c r="F962" s="8"/>
      <c r="G962" s="8"/>
    </row>
    <row r="963" spans="6:7" ht="13">
      <c r="F963" s="8"/>
      <c r="G963" s="8"/>
    </row>
    <row r="964" spans="6:7" ht="13">
      <c r="F964" s="8"/>
      <c r="G964" s="8"/>
    </row>
    <row r="965" spans="6:7" ht="13">
      <c r="F965" s="8"/>
      <c r="G965" s="8"/>
    </row>
    <row r="966" spans="6:7" ht="13">
      <c r="F966" s="8"/>
      <c r="G966" s="8"/>
    </row>
    <row r="967" spans="6:7" ht="13">
      <c r="F967" s="8"/>
      <c r="G967" s="8"/>
    </row>
    <row r="968" spans="6:7" ht="13">
      <c r="F968" s="8"/>
      <c r="G968" s="8"/>
    </row>
    <row r="969" spans="6:7" ht="13">
      <c r="F969" s="8"/>
      <c r="G969" s="8"/>
    </row>
    <row r="970" spans="6:7" ht="13">
      <c r="F970" s="8"/>
      <c r="G970" s="8"/>
    </row>
    <row r="971" spans="6:7" ht="13">
      <c r="F971" s="8"/>
      <c r="G971" s="8"/>
    </row>
    <row r="972" spans="6:7" ht="13">
      <c r="F972" s="8"/>
      <c r="G972" s="8"/>
    </row>
    <row r="973" spans="6:7" ht="13">
      <c r="F973" s="8"/>
      <c r="G973" s="8"/>
    </row>
    <row r="974" spans="6:7" ht="13">
      <c r="F974" s="8"/>
      <c r="G974" s="8"/>
    </row>
    <row r="975" spans="6:7" ht="13">
      <c r="F975" s="8"/>
      <c r="G975" s="8"/>
    </row>
    <row r="976" spans="6:7" ht="13">
      <c r="F976" s="8"/>
      <c r="G976" s="8"/>
    </row>
    <row r="977" spans="6:7" ht="13">
      <c r="F977" s="8"/>
      <c r="G977" s="8"/>
    </row>
    <row r="978" spans="6:7" ht="13">
      <c r="F978" s="8"/>
      <c r="G978" s="8"/>
    </row>
    <row r="979" spans="6:7" ht="13">
      <c r="F979" s="8"/>
      <c r="G979" s="8"/>
    </row>
    <row r="980" spans="6:7" ht="13">
      <c r="F980" s="8"/>
      <c r="G980" s="8"/>
    </row>
    <row r="981" spans="6:7" ht="13">
      <c r="F981" s="8"/>
      <c r="G981" s="8"/>
    </row>
    <row r="982" spans="6:7" ht="13">
      <c r="F982" s="8"/>
      <c r="G982" s="8"/>
    </row>
    <row r="983" spans="6:7" ht="13">
      <c r="F983" s="8"/>
      <c r="G983" s="8"/>
    </row>
    <row r="984" spans="6:7" ht="13">
      <c r="F984" s="8"/>
      <c r="G984" s="8"/>
    </row>
    <row r="985" spans="6:7" ht="13">
      <c r="F985" s="8"/>
      <c r="G985" s="8"/>
    </row>
    <row r="986" spans="6:7" ht="13">
      <c r="F986" s="8"/>
      <c r="G986" s="8"/>
    </row>
    <row r="987" spans="6:7" ht="13">
      <c r="F987" s="8"/>
      <c r="G987" s="8"/>
    </row>
    <row r="988" spans="6:7" ht="13">
      <c r="F988" s="8"/>
      <c r="G988" s="8"/>
    </row>
    <row r="989" spans="6:7" ht="13">
      <c r="F989" s="8"/>
      <c r="G989" s="8"/>
    </row>
    <row r="990" spans="6:7" ht="13">
      <c r="F990" s="8"/>
      <c r="G990" s="8"/>
    </row>
    <row r="991" spans="6:7" ht="13">
      <c r="F991" s="8"/>
      <c r="G991" s="8"/>
    </row>
    <row r="992" spans="6:7" ht="13">
      <c r="F992" s="8"/>
      <c r="G992" s="8"/>
    </row>
    <row r="993" spans="6:7" ht="13">
      <c r="F993" s="8"/>
      <c r="G993" s="8"/>
    </row>
    <row r="994" spans="6:7" ht="13">
      <c r="F994" s="8"/>
      <c r="G994" s="8"/>
    </row>
    <row r="995" spans="6:7" ht="13">
      <c r="F995" s="8"/>
      <c r="G995" s="8"/>
    </row>
    <row r="996" spans="6:7" ht="13">
      <c r="F996" s="8"/>
      <c r="G996" s="8"/>
    </row>
    <row r="997" spans="6:7" ht="13">
      <c r="F997" s="8"/>
      <c r="G997" s="8"/>
    </row>
    <row r="998" spans="6:7" ht="13">
      <c r="F998" s="8"/>
      <c r="G998" s="8"/>
    </row>
    <row r="999" spans="6:7" ht="13">
      <c r="F999" s="8"/>
      <c r="G999" s="8"/>
    </row>
    <row r="1000" spans="6:7" ht="13">
      <c r="F1000" s="8"/>
      <c r="G1000" s="8"/>
    </row>
    <row r="1001" spans="6:7" ht="13">
      <c r="F1001" s="8"/>
      <c r="G1001" s="8"/>
    </row>
    <row r="1002" spans="6:7" ht="13">
      <c r="F1002" s="8"/>
      <c r="G1002" s="8"/>
    </row>
    <row r="1003" spans="6:7" ht="13">
      <c r="F1003" s="8"/>
      <c r="G1003" s="8"/>
    </row>
    <row r="1004" spans="6:7" ht="13">
      <c r="F1004" s="8"/>
      <c r="G1004" s="8"/>
    </row>
    <row r="1005" spans="6:7" ht="13">
      <c r="F1005" s="8"/>
      <c r="G1005" s="8"/>
    </row>
    <row r="1006" spans="6:7" ht="13">
      <c r="F1006" s="8"/>
      <c r="G1006" s="8"/>
    </row>
    <row r="1007" spans="6:7" ht="13">
      <c r="F1007" s="8"/>
      <c r="G1007" s="8"/>
    </row>
    <row r="1008" spans="6:7" ht="13">
      <c r="F1008" s="8"/>
      <c r="G1008" s="8"/>
    </row>
  </sheetData>
  <mergeCells count="2">
    <mergeCell ref="U39:X39"/>
    <mergeCell ref="U40:X40"/>
  </mergeCells>
  <conditionalFormatting sqref="Z2:Z33">
    <cfRule type="colorScale" priority="1">
      <colorScale>
        <cfvo type="min"/>
        <cfvo type="max"/>
        <color rgb="FF999999"/>
        <color rgb="FFFFFFFF"/>
      </colorScale>
    </cfRule>
  </conditionalFormatting>
  <conditionalFormatting sqref="F17">
    <cfRule type="notContainsBlanks" dxfId="1" priority="2">
      <formula>LEN(TRIM(F17))&gt;0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6.1640625" customWidth="1"/>
    <col min="3" max="3" width="6.83203125" customWidth="1"/>
    <col min="4" max="4" width="11.33203125" customWidth="1"/>
    <col min="5" max="5" width="6.5" customWidth="1"/>
    <col min="6" max="6" width="6.6640625" customWidth="1"/>
    <col min="7" max="7" width="7.83203125" customWidth="1"/>
    <col min="8" max="8" width="7.33203125" customWidth="1"/>
    <col min="9" max="9" width="5.33203125" customWidth="1"/>
    <col min="10" max="10" width="5.6640625" customWidth="1"/>
    <col min="11" max="11" width="5.33203125" customWidth="1"/>
    <col min="12" max="12" width="15" customWidth="1"/>
    <col min="13" max="23" width="8.83203125" customWidth="1"/>
    <col min="24" max="24" width="7.6640625" customWidth="1"/>
    <col min="25" max="25" width="6" customWidth="1"/>
    <col min="26" max="26" width="6.33203125" customWidth="1"/>
    <col min="27" max="27" width="7.6640625" customWidth="1"/>
    <col min="28" max="28" width="7.1640625" hidden="1" customWidth="1"/>
    <col min="29" max="29" width="54" customWidth="1"/>
  </cols>
  <sheetData>
    <row r="1" spans="1:49" ht="42">
      <c r="A1" s="2" t="s">
        <v>0</v>
      </c>
      <c r="B1" s="2" t="s">
        <v>1</v>
      </c>
      <c r="C1" s="6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103</v>
      </c>
      <c r="K1" s="2" t="s">
        <v>11</v>
      </c>
      <c r="L1" s="2" t="s">
        <v>12</v>
      </c>
      <c r="M1" s="63" t="s">
        <v>13</v>
      </c>
      <c r="N1" s="63" t="s">
        <v>14</v>
      </c>
      <c r="O1" s="63" t="s">
        <v>104</v>
      </c>
      <c r="P1" s="63" t="s">
        <v>105</v>
      </c>
      <c r="Q1" s="63" t="s">
        <v>106</v>
      </c>
      <c r="R1" s="63" t="s">
        <v>107</v>
      </c>
      <c r="S1" s="63" t="s">
        <v>108</v>
      </c>
      <c r="T1" s="63" t="s">
        <v>109</v>
      </c>
      <c r="U1" s="63" t="s">
        <v>110</v>
      </c>
      <c r="V1" s="63" t="s">
        <v>111</v>
      </c>
      <c r="W1" s="63" t="s">
        <v>112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117</v>
      </c>
      <c r="AC1" s="2" t="s">
        <v>27</v>
      </c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</row>
    <row r="2" spans="1:49" ht="13">
      <c r="A2" s="5">
        <v>42736</v>
      </c>
      <c r="B2">
        <v>1638</v>
      </c>
      <c r="C2">
        <v>1712</v>
      </c>
      <c r="D2" s="7" t="str">
        <f t="shared" ref="D2:D32" si="0">CHOOSE(WEEKDAY(A2),"Anne/Fred", "Jane", "Tom","Sue/Panos","Shawn/Orem","Jeff", "Rob")</f>
        <v>Anne/Fred</v>
      </c>
      <c r="E2" s="1" t="s">
        <v>33</v>
      </c>
      <c r="F2" s="47">
        <v>0.20833333333333334</v>
      </c>
      <c r="I2" s="9"/>
      <c r="J2" s="7">
        <v>31</v>
      </c>
      <c r="K2" s="7"/>
      <c r="L2" s="7" t="s">
        <v>118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65">
        <v>0</v>
      </c>
      <c r="Y2" s="10">
        <f t="shared" ref="Y2:Y32" si="1">SUM(M2:P2)</f>
        <v>0</v>
      </c>
      <c r="Z2" s="10">
        <f t="shared" ref="Z2:Z32" si="2">SUM(Q2:T2)</f>
        <v>0</v>
      </c>
      <c r="AA2" s="66">
        <f t="shared" ref="AA2:AA32" si="3">SUM(M2:U2)</f>
        <v>0</v>
      </c>
      <c r="AB2" s="67">
        <v>0.09</v>
      </c>
      <c r="AC2">
        <f>SUM(N2:V2)</f>
        <v>0</v>
      </c>
    </row>
    <row r="3" spans="1:49" ht="13">
      <c r="A3" s="5">
        <v>42737</v>
      </c>
      <c r="B3">
        <v>1639</v>
      </c>
      <c r="C3">
        <v>1713</v>
      </c>
      <c r="D3" s="7" t="str">
        <f t="shared" si="0"/>
        <v>Jane</v>
      </c>
      <c r="E3" s="1" t="s">
        <v>33</v>
      </c>
      <c r="I3" s="9"/>
      <c r="J3" s="7"/>
      <c r="K3" s="7"/>
      <c r="L3" s="7"/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65">
        <v>0</v>
      </c>
      <c r="Y3" s="10">
        <f t="shared" si="1"/>
        <v>0</v>
      </c>
      <c r="Z3" s="10">
        <f t="shared" si="2"/>
        <v>0</v>
      </c>
      <c r="AA3" s="66">
        <f t="shared" si="3"/>
        <v>0</v>
      </c>
      <c r="AB3" s="67">
        <v>0.16</v>
      </c>
      <c r="AC3" s="68"/>
    </row>
    <row r="4" spans="1:49" ht="13">
      <c r="A4" s="5">
        <v>42738</v>
      </c>
      <c r="B4">
        <v>1640</v>
      </c>
      <c r="C4">
        <v>1714</v>
      </c>
      <c r="D4" s="7" t="str">
        <f t="shared" si="0"/>
        <v>Tom</v>
      </c>
      <c r="E4" s="1" t="s">
        <v>33</v>
      </c>
      <c r="F4" s="23">
        <v>0.70833333333333337</v>
      </c>
      <c r="G4" s="23">
        <v>0.70833333333333337</v>
      </c>
      <c r="H4" s="7">
        <v>0</v>
      </c>
      <c r="I4" s="9">
        <v>0</v>
      </c>
      <c r="J4" s="7">
        <v>32</v>
      </c>
      <c r="K4" s="7">
        <v>32</v>
      </c>
      <c r="L4" s="7" t="s">
        <v>119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65">
        <v>0</v>
      </c>
      <c r="Y4" s="10">
        <f t="shared" si="1"/>
        <v>0</v>
      </c>
      <c r="Z4" s="10">
        <f t="shared" si="2"/>
        <v>0</v>
      </c>
      <c r="AA4" s="66">
        <f t="shared" si="3"/>
        <v>0</v>
      </c>
      <c r="AB4" s="67">
        <v>0.24</v>
      </c>
      <c r="AC4" s="59"/>
    </row>
    <row r="5" spans="1:49" ht="13">
      <c r="A5" s="12">
        <v>42739</v>
      </c>
      <c r="B5">
        <v>1641</v>
      </c>
      <c r="C5">
        <v>1715</v>
      </c>
      <c r="D5" s="7" t="str">
        <f t="shared" si="0"/>
        <v>Sue/Panos</v>
      </c>
      <c r="E5" s="1" t="s">
        <v>33</v>
      </c>
      <c r="I5" s="9"/>
      <c r="J5" s="7"/>
      <c r="K5" s="7"/>
      <c r="L5" s="7"/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65">
        <v>0</v>
      </c>
      <c r="Y5" s="10">
        <f t="shared" si="1"/>
        <v>0</v>
      </c>
      <c r="Z5" s="10">
        <f t="shared" si="2"/>
        <v>0</v>
      </c>
      <c r="AA5" s="66">
        <f t="shared" si="3"/>
        <v>0</v>
      </c>
      <c r="AB5" s="67">
        <v>0.34</v>
      </c>
      <c r="AC5" s="59"/>
    </row>
    <row r="6" spans="1:49" ht="13">
      <c r="A6" s="12">
        <v>42740</v>
      </c>
      <c r="B6">
        <v>1642</v>
      </c>
      <c r="C6">
        <v>1716</v>
      </c>
      <c r="D6" s="7" t="str">
        <f t="shared" si="0"/>
        <v>Shawn/Orem</v>
      </c>
      <c r="E6" s="1" t="s">
        <v>33</v>
      </c>
      <c r="I6" s="9"/>
      <c r="J6" s="7"/>
      <c r="K6" s="7"/>
      <c r="L6" s="7"/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65">
        <v>0</v>
      </c>
      <c r="Y6" s="10">
        <f t="shared" si="1"/>
        <v>0</v>
      </c>
      <c r="Z6" s="10">
        <f t="shared" si="2"/>
        <v>0</v>
      </c>
      <c r="AA6" s="66">
        <f t="shared" si="3"/>
        <v>0</v>
      </c>
      <c r="AB6" s="67">
        <v>0.45</v>
      </c>
      <c r="AC6" s="59"/>
    </row>
    <row r="7" spans="1:49" ht="14">
      <c r="A7" s="12">
        <v>42741</v>
      </c>
      <c r="B7">
        <v>1643</v>
      </c>
      <c r="C7">
        <v>1717</v>
      </c>
      <c r="D7" s="7" t="str">
        <f t="shared" si="0"/>
        <v>Jeff</v>
      </c>
      <c r="E7" s="1" t="s">
        <v>33</v>
      </c>
      <c r="F7" s="47"/>
      <c r="I7" s="9"/>
      <c r="J7" s="7"/>
      <c r="K7" s="7"/>
      <c r="L7" s="7" t="s">
        <v>120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65">
        <v>0</v>
      </c>
      <c r="Y7" s="10">
        <f t="shared" si="1"/>
        <v>0</v>
      </c>
      <c r="Z7" s="10">
        <f t="shared" si="2"/>
        <v>0</v>
      </c>
      <c r="AA7" s="66">
        <f t="shared" si="3"/>
        <v>0</v>
      </c>
      <c r="AB7" s="67">
        <v>0.56000000000000005</v>
      </c>
      <c r="AC7" s="68" t="s">
        <v>121</v>
      </c>
    </row>
    <row r="8" spans="1:49" ht="13">
      <c r="A8" s="12">
        <v>42742</v>
      </c>
      <c r="B8">
        <v>1644</v>
      </c>
      <c r="C8">
        <v>1718</v>
      </c>
      <c r="D8" s="7" t="str">
        <f t="shared" si="0"/>
        <v>Rob</v>
      </c>
      <c r="E8" s="1" t="s">
        <v>33</v>
      </c>
      <c r="F8" s="47"/>
      <c r="G8" s="47"/>
      <c r="H8" s="7"/>
      <c r="I8" s="9"/>
      <c r="J8" s="7" t="s">
        <v>122</v>
      </c>
      <c r="K8" s="7"/>
      <c r="L8" s="7"/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65">
        <v>0</v>
      </c>
      <c r="Y8" s="10">
        <f t="shared" si="1"/>
        <v>0</v>
      </c>
      <c r="Z8" s="10">
        <f t="shared" si="2"/>
        <v>0</v>
      </c>
      <c r="AA8" s="66">
        <f t="shared" si="3"/>
        <v>0</v>
      </c>
      <c r="AB8" s="67">
        <v>0.67</v>
      </c>
      <c r="AC8" s="68"/>
    </row>
    <row r="9" spans="1:49" ht="13">
      <c r="A9" s="14">
        <v>42743</v>
      </c>
      <c r="B9">
        <v>1646</v>
      </c>
      <c r="C9">
        <v>1719</v>
      </c>
      <c r="D9" s="7" t="str">
        <f t="shared" si="0"/>
        <v>Anne/Fred</v>
      </c>
      <c r="E9" s="1" t="s">
        <v>33</v>
      </c>
      <c r="F9" s="47">
        <v>0.20833333333333334</v>
      </c>
      <c r="I9" s="9"/>
      <c r="J9" s="7" t="s">
        <v>123</v>
      </c>
      <c r="K9" s="7"/>
      <c r="L9" s="7" t="s">
        <v>124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65">
        <v>0</v>
      </c>
      <c r="Y9" s="10">
        <f t="shared" si="1"/>
        <v>0</v>
      </c>
      <c r="Z9" s="10">
        <f t="shared" si="2"/>
        <v>0</v>
      </c>
      <c r="AA9" s="66">
        <f t="shared" si="3"/>
        <v>0</v>
      </c>
      <c r="AB9" s="67">
        <v>0.77</v>
      </c>
      <c r="AC9" s="59"/>
    </row>
    <row r="10" spans="1:49" ht="13">
      <c r="A10" s="14">
        <v>42744</v>
      </c>
      <c r="B10">
        <v>1647</v>
      </c>
      <c r="C10">
        <v>1720</v>
      </c>
      <c r="D10" s="7" t="str">
        <f t="shared" si="0"/>
        <v>Jane</v>
      </c>
      <c r="E10" s="1" t="s">
        <v>33</v>
      </c>
      <c r="F10" s="47">
        <v>0.20833333333333334</v>
      </c>
      <c r="I10" s="9"/>
      <c r="J10" s="7">
        <v>39</v>
      </c>
      <c r="K10" s="7"/>
      <c r="L10" s="7" t="s">
        <v>125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65">
        <v>0</v>
      </c>
      <c r="Y10" s="10">
        <f t="shared" si="1"/>
        <v>0</v>
      </c>
      <c r="Z10" s="10">
        <f t="shared" si="2"/>
        <v>0</v>
      </c>
      <c r="AA10" s="66">
        <f t="shared" si="3"/>
        <v>0</v>
      </c>
      <c r="AB10" s="67">
        <v>0.86</v>
      </c>
      <c r="AC10" s="59"/>
    </row>
    <row r="11" spans="1:49" ht="13">
      <c r="A11" s="14">
        <v>42745</v>
      </c>
      <c r="B11">
        <v>1648</v>
      </c>
      <c r="C11">
        <v>1721</v>
      </c>
      <c r="D11" s="7" t="str">
        <f t="shared" si="0"/>
        <v>Tom</v>
      </c>
      <c r="E11" s="1" t="s">
        <v>33</v>
      </c>
      <c r="F11" s="69">
        <v>0.70833333333333337</v>
      </c>
      <c r="G11" s="70">
        <v>0.70833333333333337</v>
      </c>
      <c r="H11" s="7">
        <v>0</v>
      </c>
      <c r="I11" s="9">
        <v>0</v>
      </c>
      <c r="J11" s="7" t="s">
        <v>126</v>
      </c>
      <c r="K11" s="7">
        <v>34</v>
      </c>
      <c r="L11" s="7" t="s">
        <v>127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65">
        <v>0</v>
      </c>
      <c r="Y11" s="10">
        <f t="shared" si="1"/>
        <v>0</v>
      </c>
      <c r="Z11" s="10">
        <f t="shared" si="2"/>
        <v>0</v>
      </c>
      <c r="AA11" s="66">
        <f t="shared" si="3"/>
        <v>0</v>
      </c>
      <c r="AB11" s="67">
        <v>0.93</v>
      </c>
      <c r="AC11" s="68"/>
    </row>
    <row r="12" spans="1:49" ht="13">
      <c r="A12" s="71">
        <v>42746</v>
      </c>
      <c r="B12">
        <v>1649</v>
      </c>
      <c r="C12">
        <v>1722</v>
      </c>
      <c r="D12" s="7" t="str">
        <f t="shared" si="0"/>
        <v>Sue/Panos</v>
      </c>
      <c r="E12" s="1" t="s">
        <v>33</v>
      </c>
      <c r="F12" s="47"/>
      <c r="G12" s="47"/>
      <c r="H12" s="7"/>
      <c r="I12" s="9"/>
      <c r="J12" s="7" t="s">
        <v>122</v>
      </c>
      <c r="K12" s="7"/>
      <c r="L12" s="7" t="s">
        <v>128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65">
        <v>0</v>
      </c>
      <c r="Y12" s="10">
        <f t="shared" si="1"/>
        <v>0</v>
      </c>
      <c r="Z12" s="10">
        <f t="shared" si="2"/>
        <v>0</v>
      </c>
      <c r="AA12" s="66">
        <f t="shared" si="3"/>
        <v>0</v>
      </c>
      <c r="AB12" s="67">
        <v>0.98</v>
      </c>
      <c r="AC12" s="68"/>
    </row>
    <row r="13" spans="1:49" ht="16.5" customHeight="1">
      <c r="A13" s="71">
        <v>42747</v>
      </c>
      <c r="B13">
        <v>1650</v>
      </c>
      <c r="C13">
        <v>1724</v>
      </c>
      <c r="D13" s="7" t="str">
        <f t="shared" si="0"/>
        <v>Shawn/Orem</v>
      </c>
      <c r="E13" s="1" t="s">
        <v>33</v>
      </c>
      <c r="F13" s="47"/>
      <c r="G13" s="47"/>
      <c r="H13" s="7"/>
      <c r="I13" s="9"/>
      <c r="J13" s="7" t="s">
        <v>129</v>
      </c>
      <c r="K13" s="7"/>
      <c r="L13" s="68"/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65">
        <v>0</v>
      </c>
      <c r="Y13" s="10">
        <f t="shared" si="1"/>
        <v>0</v>
      </c>
      <c r="Z13" s="10">
        <f t="shared" si="2"/>
        <v>0</v>
      </c>
      <c r="AA13" s="66">
        <f t="shared" si="3"/>
        <v>0</v>
      </c>
      <c r="AB13" s="67">
        <v>1</v>
      </c>
      <c r="AC13" s="68"/>
    </row>
    <row r="14" spans="1:49" ht="14">
      <c r="A14" s="71">
        <v>42748</v>
      </c>
      <c r="B14">
        <v>1652</v>
      </c>
      <c r="C14">
        <v>1725</v>
      </c>
      <c r="D14" s="7" t="str">
        <f t="shared" si="0"/>
        <v>Jeff</v>
      </c>
      <c r="E14" s="1" t="s">
        <v>33</v>
      </c>
      <c r="F14" s="47">
        <v>0.20833333333333334</v>
      </c>
      <c r="G14" s="7"/>
      <c r="H14" s="7">
        <v>0</v>
      </c>
      <c r="I14" s="9">
        <v>0</v>
      </c>
      <c r="J14" s="7">
        <v>24</v>
      </c>
      <c r="K14" s="7"/>
      <c r="L14" s="7" t="s">
        <v>130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65">
        <v>0</v>
      </c>
      <c r="Y14" s="10">
        <f t="shared" si="1"/>
        <v>0</v>
      </c>
      <c r="Z14" s="10">
        <f t="shared" si="2"/>
        <v>0</v>
      </c>
      <c r="AA14" s="66">
        <f t="shared" si="3"/>
        <v>0</v>
      </c>
      <c r="AB14" s="67">
        <v>0.99</v>
      </c>
      <c r="AC14" s="68" t="s">
        <v>131</v>
      </c>
    </row>
    <row r="15" spans="1:49" ht="13">
      <c r="A15" s="72">
        <v>42749</v>
      </c>
      <c r="B15">
        <v>1653</v>
      </c>
      <c r="C15">
        <v>1726</v>
      </c>
      <c r="D15" s="7" t="str">
        <f t="shared" si="0"/>
        <v>Rob</v>
      </c>
      <c r="E15" s="1" t="s">
        <v>33</v>
      </c>
      <c r="F15" s="47"/>
      <c r="G15" s="47"/>
      <c r="H15" s="7"/>
      <c r="I15" s="9"/>
      <c r="J15" s="7">
        <v>25</v>
      </c>
      <c r="K15" s="7"/>
      <c r="L15" s="7"/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65">
        <v>0</v>
      </c>
      <c r="Y15" s="10">
        <f t="shared" si="1"/>
        <v>0</v>
      </c>
      <c r="Z15" s="10">
        <f t="shared" si="2"/>
        <v>0</v>
      </c>
      <c r="AA15" s="66">
        <f t="shared" si="3"/>
        <v>0</v>
      </c>
      <c r="AB15" s="67">
        <v>0.96</v>
      </c>
      <c r="AC15" s="68"/>
    </row>
    <row r="16" spans="1:49" ht="13">
      <c r="A16" s="72">
        <v>42750</v>
      </c>
      <c r="B16">
        <v>1654</v>
      </c>
      <c r="C16">
        <v>1727</v>
      </c>
      <c r="D16" s="7" t="str">
        <f t="shared" si="0"/>
        <v>Anne/Fred</v>
      </c>
      <c r="E16" s="1" t="s">
        <v>33</v>
      </c>
      <c r="F16" s="73">
        <v>0.20833333333333334</v>
      </c>
      <c r="G16" s="74"/>
      <c r="H16" s="7"/>
      <c r="I16" s="9"/>
      <c r="J16" s="74">
        <v>26</v>
      </c>
      <c r="K16" s="7"/>
      <c r="L16" s="7"/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65">
        <v>0</v>
      </c>
      <c r="Y16" s="10">
        <f t="shared" si="1"/>
        <v>0</v>
      </c>
      <c r="Z16" s="10">
        <f t="shared" si="2"/>
        <v>0</v>
      </c>
      <c r="AA16" s="66">
        <f t="shared" si="3"/>
        <v>0</v>
      </c>
      <c r="AB16" s="67">
        <v>0.9</v>
      </c>
      <c r="AC16" s="68"/>
    </row>
    <row r="17" spans="1:49" ht="13">
      <c r="A17" s="72">
        <v>42751</v>
      </c>
      <c r="B17">
        <v>1655</v>
      </c>
      <c r="C17">
        <v>1728</v>
      </c>
      <c r="D17" s="7" t="str">
        <f t="shared" si="0"/>
        <v>Jane</v>
      </c>
      <c r="E17" s="1" t="s">
        <v>33</v>
      </c>
      <c r="F17" s="47"/>
      <c r="G17" s="47"/>
      <c r="H17" s="7"/>
      <c r="I17" s="9"/>
      <c r="J17" s="74">
        <v>27</v>
      </c>
      <c r="K17" s="7"/>
      <c r="L17" s="7"/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65">
        <v>0</v>
      </c>
      <c r="Y17" s="10">
        <f t="shared" si="1"/>
        <v>0</v>
      </c>
      <c r="Z17" s="10">
        <f t="shared" si="2"/>
        <v>0</v>
      </c>
      <c r="AA17" s="66">
        <f t="shared" si="3"/>
        <v>0</v>
      </c>
      <c r="AB17" s="67">
        <v>0.83</v>
      </c>
      <c r="AC17" s="68"/>
    </row>
    <row r="18" spans="1:49" ht="13">
      <c r="A18" s="75">
        <v>42752</v>
      </c>
      <c r="B18">
        <v>1657</v>
      </c>
      <c r="C18">
        <v>1730</v>
      </c>
      <c r="D18" s="7" t="str">
        <f t="shared" si="0"/>
        <v>Tom</v>
      </c>
      <c r="E18" s="1" t="s">
        <v>33</v>
      </c>
      <c r="F18" s="13">
        <v>0.70833333333333337</v>
      </c>
      <c r="G18" s="13">
        <v>0.70833333333333337</v>
      </c>
      <c r="H18" s="7">
        <v>0</v>
      </c>
      <c r="I18" s="9">
        <v>0</v>
      </c>
      <c r="J18" s="74">
        <v>30</v>
      </c>
      <c r="K18" s="7">
        <v>30</v>
      </c>
      <c r="L18" s="7" t="s">
        <v>132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65">
        <v>0</v>
      </c>
      <c r="Y18" s="10">
        <f t="shared" si="1"/>
        <v>0</v>
      </c>
      <c r="Z18" s="10">
        <f t="shared" si="2"/>
        <v>0</v>
      </c>
      <c r="AA18" s="66">
        <f t="shared" si="3"/>
        <v>0</v>
      </c>
      <c r="AB18" s="67">
        <v>0.74</v>
      </c>
      <c r="AC18" s="68"/>
    </row>
    <row r="19" spans="1:49" ht="13">
      <c r="A19" s="75">
        <v>42753</v>
      </c>
      <c r="B19">
        <v>1658</v>
      </c>
      <c r="C19">
        <v>1731</v>
      </c>
      <c r="D19" s="7" t="str">
        <f t="shared" si="0"/>
        <v>Sue/Panos</v>
      </c>
      <c r="E19" s="1" t="s">
        <v>33</v>
      </c>
      <c r="F19" s="47"/>
      <c r="G19" s="47"/>
      <c r="H19" s="7">
        <v>0</v>
      </c>
      <c r="I19" s="9"/>
      <c r="J19" s="74">
        <v>42</v>
      </c>
      <c r="K19" s="7"/>
      <c r="L19" s="7" t="s">
        <v>133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65">
        <v>0</v>
      </c>
      <c r="Y19" s="10">
        <f t="shared" si="1"/>
        <v>0</v>
      </c>
      <c r="Z19" s="10">
        <f t="shared" si="2"/>
        <v>0</v>
      </c>
      <c r="AA19" s="66">
        <f t="shared" si="3"/>
        <v>0</v>
      </c>
      <c r="AB19" s="67">
        <v>0.65</v>
      </c>
      <c r="AC19" s="68"/>
    </row>
    <row r="20" spans="1:49" ht="14">
      <c r="A20" s="75">
        <v>42754</v>
      </c>
      <c r="B20">
        <v>1659</v>
      </c>
      <c r="C20">
        <v>1732</v>
      </c>
      <c r="D20" s="7" t="str">
        <f t="shared" si="0"/>
        <v>Shawn/Orem</v>
      </c>
      <c r="E20" s="1" t="s">
        <v>29</v>
      </c>
      <c r="F20" s="47">
        <v>0.1736111111111111</v>
      </c>
      <c r="G20" s="47">
        <v>0.25694444444444442</v>
      </c>
      <c r="H20" s="7">
        <v>2</v>
      </c>
      <c r="I20" s="9">
        <v>7.33</v>
      </c>
      <c r="J20" s="74">
        <v>45</v>
      </c>
      <c r="K20" s="7">
        <v>42</v>
      </c>
      <c r="L20" s="7" t="s">
        <v>134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65">
        <v>0</v>
      </c>
      <c r="Y20" s="10">
        <f t="shared" si="1"/>
        <v>0</v>
      </c>
      <c r="Z20" s="10">
        <f t="shared" si="2"/>
        <v>0</v>
      </c>
      <c r="AA20" s="66">
        <f t="shared" si="3"/>
        <v>0</v>
      </c>
      <c r="AB20" s="67">
        <v>0.56000000000000005</v>
      </c>
      <c r="AC20" s="68" t="s">
        <v>135</v>
      </c>
    </row>
    <row r="21" spans="1:49" ht="14">
      <c r="A21" s="75">
        <v>42755</v>
      </c>
      <c r="B21">
        <v>1701</v>
      </c>
      <c r="C21">
        <v>1733</v>
      </c>
      <c r="D21" s="7" t="str">
        <f t="shared" si="0"/>
        <v>Jeff</v>
      </c>
      <c r="E21" s="1" t="s">
        <v>29</v>
      </c>
      <c r="F21" s="47">
        <v>0.21875</v>
      </c>
      <c r="G21" s="47">
        <v>0.24305555555555555</v>
      </c>
      <c r="H21" s="7">
        <v>0.57999999999999996</v>
      </c>
      <c r="I21" s="9">
        <v>1.17</v>
      </c>
      <c r="J21" s="74">
        <v>39</v>
      </c>
      <c r="K21" s="7"/>
      <c r="L21" s="7" t="s">
        <v>136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65">
        <v>0</v>
      </c>
      <c r="Y21" s="10">
        <f t="shared" si="1"/>
        <v>0</v>
      </c>
      <c r="Z21" s="10">
        <f t="shared" si="2"/>
        <v>0</v>
      </c>
      <c r="AA21" s="66">
        <f t="shared" si="3"/>
        <v>0</v>
      </c>
      <c r="AB21" s="67">
        <v>0.46</v>
      </c>
      <c r="AC21" s="68" t="s">
        <v>137</v>
      </c>
    </row>
    <row r="22" spans="1:49" ht="13">
      <c r="A22" s="75">
        <v>42756</v>
      </c>
      <c r="B22" s="16">
        <v>1702</v>
      </c>
      <c r="C22" s="16">
        <v>1735</v>
      </c>
      <c r="D22" s="17" t="str">
        <f t="shared" si="0"/>
        <v>Rob</v>
      </c>
      <c r="E22" s="76" t="s">
        <v>37</v>
      </c>
      <c r="F22" s="17" t="s">
        <v>138</v>
      </c>
      <c r="G22" s="46">
        <v>0.44791666666666669</v>
      </c>
      <c r="H22" s="17" t="s">
        <v>139</v>
      </c>
      <c r="I22" s="19">
        <v>19.75</v>
      </c>
      <c r="J22" s="77" t="s">
        <v>140</v>
      </c>
      <c r="K22" s="17">
        <v>38</v>
      </c>
      <c r="L22" s="17" t="s">
        <v>141</v>
      </c>
      <c r="M22" s="17">
        <v>17</v>
      </c>
      <c r="N22" s="17">
        <v>88</v>
      </c>
      <c r="O22" s="17">
        <v>1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2</v>
      </c>
      <c r="X22" s="65">
        <v>14</v>
      </c>
      <c r="Y22" s="17">
        <f t="shared" si="1"/>
        <v>106</v>
      </c>
      <c r="Z22" s="17">
        <f t="shared" si="2"/>
        <v>0</v>
      </c>
      <c r="AA22" s="66">
        <f t="shared" si="3"/>
        <v>106</v>
      </c>
      <c r="AB22" s="67">
        <v>0.37</v>
      </c>
      <c r="AC22" s="78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14">
      <c r="A23" s="75">
        <v>42757</v>
      </c>
      <c r="B23">
        <v>1704</v>
      </c>
      <c r="C23">
        <v>1736</v>
      </c>
      <c r="D23" s="7" t="str">
        <f t="shared" si="0"/>
        <v>Anne/Fred</v>
      </c>
      <c r="E23" s="1" t="s">
        <v>29</v>
      </c>
      <c r="F23" s="73">
        <v>0.22222222222222221</v>
      </c>
      <c r="G23" s="73">
        <v>0.25</v>
      </c>
      <c r="H23" s="79">
        <v>42798</v>
      </c>
      <c r="I23" s="9">
        <v>1</v>
      </c>
      <c r="J23" s="74">
        <v>40</v>
      </c>
      <c r="K23" s="7">
        <v>38</v>
      </c>
      <c r="L23" s="7" t="s">
        <v>142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65">
        <v>0</v>
      </c>
      <c r="Y23" s="10">
        <f t="shared" si="1"/>
        <v>0</v>
      </c>
      <c r="Z23" s="10">
        <f t="shared" si="2"/>
        <v>0</v>
      </c>
      <c r="AA23" s="66">
        <f t="shared" si="3"/>
        <v>0</v>
      </c>
      <c r="AB23" s="67">
        <v>0.28000000000000003</v>
      </c>
      <c r="AC23" s="68" t="s">
        <v>143</v>
      </c>
    </row>
    <row r="24" spans="1:49" ht="13">
      <c r="A24" s="80">
        <v>42758</v>
      </c>
      <c r="B24">
        <v>1705</v>
      </c>
      <c r="C24">
        <v>1737</v>
      </c>
      <c r="D24" s="7" t="str">
        <f t="shared" si="0"/>
        <v>Jane</v>
      </c>
      <c r="E24" s="1" t="s">
        <v>29</v>
      </c>
      <c r="F24" s="73">
        <v>0.2361111111111111</v>
      </c>
      <c r="G24" s="73">
        <v>0.26041666666666669</v>
      </c>
      <c r="H24" s="7">
        <v>0.7</v>
      </c>
      <c r="I24" s="9"/>
      <c r="J24" s="74">
        <v>44</v>
      </c>
      <c r="K24" s="7">
        <v>40</v>
      </c>
      <c r="L24" s="7" t="s">
        <v>35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65">
        <v>0</v>
      </c>
      <c r="Y24" s="10">
        <f t="shared" si="1"/>
        <v>0</v>
      </c>
      <c r="Z24" s="10">
        <f t="shared" si="2"/>
        <v>0</v>
      </c>
      <c r="AA24" s="66">
        <f t="shared" si="3"/>
        <v>0</v>
      </c>
      <c r="AB24" s="67">
        <v>0.2</v>
      </c>
      <c r="AC24" s="59"/>
    </row>
    <row r="25" spans="1:49" ht="14">
      <c r="A25" s="80">
        <v>42759</v>
      </c>
      <c r="B25">
        <v>1706</v>
      </c>
      <c r="C25">
        <v>1739</v>
      </c>
      <c r="D25" s="7" t="str">
        <f t="shared" si="0"/>
        <v>Tom</v>
      </c>
      <c r="E25" s="1" t="s">
        <v>29</v>
      </c>
      <c r="F25" s="81">
        <v>0.71875</v>
      </c>
      <c r="G25" s="81">
        <v>0.72916666666666663</v>
      </c>
      <c r="H25" s="7">
        <v>0.25</v>
      </c>
      <c r="I25" s="9">
        <v>0</v>
      </c>
      <c r="J25" s="74">
        <v>32</v>
      </c>
      <c r="K25" s="7">
        <v>32</v>
      </c>
      <c r="L25" s="68" t="s">
        <v>119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65">
        <v>0</v>
      </c>
      <c r="Y25" s="10">
        <f t="shared" si="1"/>
        <v>0</v>
      </c>
      <c r="Z25" s="10">
        <f t="shared" si="2"/>
        <v>0</v>
      </c>
      <c r="AA25" s="66">
        <f t="shared" si="3"/>
        <v>0</v>
      </c>
      <c r="AB25" s="67">
        <v>0.13</v>
      </c>
      <c r="AC25" s="68"/>
    </row>
    <row r="26" spans="1:49" ht="14">
      <c r="A26" s="80">
        <v>42760</v>
      </c>
      <c r="B26" s="16">
        <v>1708</v>
      </c>
      <c r="C26" s="16">
        <v>1740</v>
      </c>
      <c r="D26" s="17" t="str">
        <f t="shared" si="0"/>
        <v>Sue/Panos</v>
      </c>
      <c r="E26" s="76" t="s">
        <v>29</v>
      </c>
      <c r="F26" s="82">
        <v>0.35416666666666669</v>
      </c>
      <c r="G26" s="82">
        <v>0.3611111111111111</v>
      </c>
      <c r="H26" s="17"/>
      <c r="I26" s="19"/>
      <c r="J26" s="77">
        <v>41</v>
      </c>
      <c r="K26" s="17">
        <v>39</v>
      </c>
      <c r="L26" s="17" t="s">
        <v>144</v>
      </c>
      <c r="M26" s="17">
        <v>1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65">
        <v>0</v>
      </c>
      <c r="Y26" s="17">
        <f t="shared" si="1"/>
        <v>1</v>
      </c>
      <c r="Z26" s="17">
        <f t="shared" si="2"/>
        <v>0</v>
      </c>
      <c r="AA26" s="66">
        <f t="shared" si="3"/>
        <v>1</v>
      </c>
      <c r="AB26" s="67">
        <v>7.0000000000000007E-2</v>
      </c>
      <c r="AC26" s="78" t="s">
        <v>145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14">
      <c r="A27" s="80">
        <v>42761</v>
      </c>
      <c r="B27" s="16">
        <v>1709</v>
      </c>
      <c r="C27" s="16">
        <v>1741</v>
      </c>
      <c r="D27" s="17" t="str">
        <f t="shared" si="0"/>
        <v>Shawn/Orem</v>
      </c>
      <c r="E27" s="76" t="s">
        <v>29</v>
      </c>
      <c r="F27" s="46">
        <v>0.28125</v>
      </c>
      <c r="G27" s="46">
        <v>0.34375</v>
      </c>
      <c r="H27" s="17">
        <v>1.5</v>
      </c>
      <c r="I27" s="19">
        <v>3</v>
      </c>
      <c r="J27" s="77">
        <v>42</v>
      </c>
      <c r="K27" s="17">
        <v>42</v>
      </c>
      <c r="L27" s="17" t="s">
        <v>35</v>
      </c>
      <c r="M27" s="17">
        <v>2</v>
      </c>
      <c r="N27" s="17">
        <v>4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65">
        <v>0</v>
      </c>
      <c r="Y27" s="17">
        <f t="shared" si="1"/>
        <v>6</v>
      </c>
      <c r="Z27" s="17">
        <f t="shared" si="2"/>
        <v>0</v>
      </c>
      <c r="AA27" s="66">
        <f t="shared" si="3"/>
        <v>6</v>
      </c>
      <c r="AB27" s="67">
        <v>0.03</v>
      </c>
      <c r="AC27" s="78" t="s">
        <v>146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28">
      <c r="A28" s="25">
        <v>42762</v>
      </c>
      <c r="B28">
        <v>1711</v>
      </c>
      <c r="C28">
        <v>1743</v>
      </c>
      <c r="D28" s="7" t="str">
        <f t="shared" si="0"/>
        <v>Jeff</v>
      </c>
      <c r="E28" s="1" t="s">
        <v>29</v>
      </c>
      <c r="F28" s="7" t="s">
        <v>147</v>
      </c>
      <c r="G28" s="7" t="s">
        <v>148</v>
      </c>
      <c r="H28" s="7">
        <v>1.75</v>
      </c>
      <c r="I28" s="9">
        <v>4.25</v>
      </c>
      <c r="J28" s="74">
        <v>39</v>
      </c>
      <c r="K28" s="7">
        <v>36</v>
      </c>
      <c r="L28" s="7" t="s">
        <v>149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65">
        <v>0</v>
      </c>
      <c r="Y28" s="10">
        <f t="shared" si="1"/>
        <v>0</v>
      </c>
      <c r="Z28" s="10">
        <f t="shared" si="2"/>
        <v>0</v>
      </c>
      <c r="AA28" s="66">
        <f t="shared" si="3"/>
        <v>0</v>
      </c>
      <c r="AB28" s="67">
        <v>0.01</v>
      </c>
      <c r="AC28" s="68" t="s">
        <v>150</v>
      </c>
    </row>
    <row r="29" spans="1:49" ht="13">
      <c r="A29" s="25">
        <v>42763</v>
      </c>
      <c r="B29">
        <v>1712</v>
      </c>
      <c r="C29">
        <v>1744</v>
      </c>
      <c r="D29" s="7" t="str">
        <f t="shared" si="0"/>
        <v>Rob</v>
      </c>
      <c r="E29" s="1" t="s">
        <v>37</v>
      </c>
      <c r="F29" s="23">
        <v>0.72916666666666663</v>
      </c>
      <c r="G29" s="23">
        <v>0.73958333333333337</v>
      </c>
      <c r="H29" s="7">
        <v>0.25</v>
      </c>
      <c r="I29" s="9">
        <v>0.5</v>
      </c>
      <c r="J29" s="74">
        <v>39</v>
      </c>
      <c r="K29" s="7">
        <v>38</v>
      </c>
      <c r="L29" s="7"/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65">
        <v>0</v>
      </c>
      <c r="Y29" s="10">
        <f t="shared" si="1"/>
        <v>0</v>
      </c>
      <c r="Z29" s="10">
        <f t="shared" si="2"/>
        <v>0</v>
      </c>
      <c r="AA29" s="66">
        <f t="shared" si="3"/>
        <v>0</v>
      </c>
      <c r="AB29" s="67">
        <v>0</v>
      </c>
      <c r="AC29" s="68"/>
    </row>
    <row r="30" spans="1:49" ht="13">
      <c r="A30" s="25">
        <v>42764</v>
      </c>
      <c r="B30">
        <v>1713</v>
      </c>
      <c r="C30">
        <v>1745</v>
      </c>
      <c r="D30" s="7" t="str">
        <f t="shared" si="0"/>
        <v>Anne/Fred</v>
      </c>
      <c r="E30" s="1" t="s">
        <v>29</v>
      </c>
      <c r="F30" s="47">
        <v>0.73611111111111116</v>
      </c>
      <c r="G30" s="47">
        <v>0.78819444444444442</v>
      </c>
      <c r="H30" s="7">
        <v>1.25</v>
      </c>
      <c r="I30" s="9">
        <v>3.25</v>
      </c>
      <c r="J30" s="74">
        <v>43</v>
      </c>
      <c r="K30" s="7">
        <v>41.5</v>
      </c>
      <c r="L30" s="7" t="s">
        <v>151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65">
        <v>0</v>
      </c>
      <c r="Y30" s="10">
        <f t="shared" si="1"/>
        <v>0</v>
      </c>
      <c r="Z30" s="10">
        <f t="shared" si="2"/>
        <v>0</v>
      </c>
      <c r="AA30" s="66">
        <f t="shared" si="3"/>
        <v>0</v>
      </c>
      <c r="AB30" s="67">
        <v>0.02</v>
      </c>
      <c r="AC30" s="68"/>
    </row>
    <row r="31" spans="1:49" ht="13">
      <c r="A31" s="5">
        <v>42765</v>
      </c>
      <c r="B31">
        <v>1715</v>
      </c>
      <c r="C31">
        <v>1747</v>
      </c>
      <c r="D31" s="7" t="str">
        <f t="shared" si="0"/>
        <v>Jane</v>
      </c>
      <c r="E31" s="1" t="s">
        <v>29</v>
      </c>
      <c r="F31" s="47">
        <v>0.24305555555555555</v>
      </c>
      <c r="G31" s="7">
        <v>8</v>
      </c>
      <c r="H31" s="47">
        <v>9.7222222222222224E-2</v>
      </c>
      <c r="I31" s="9">
        <v>14</v>
      </c>
      <c r="J31" s="74">
        <v>44</v>
      </c>
      <c r="K31" s="7">
        <v>43</v>
      </c>
      <c r="L31" s="7" t="s">
        <v>152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65">
        <v>0</v>
      </c>
      <c r="Y31" s="10">
        <f t="shared" si="1"/>
        <v>0</v>
      </c>
      <c r="Z31" s="10">
        <f t="shared" si="2"/>
        <v>0</v>
      </c>
      <c r="AA31" s="66">
        <f t="shared" si="3"/>
        <v>0</v>
      </c>
      <c r="AB31" s="67">
        <v>0.06</v>
      </c>
      <c r="AC31" s="59"/>
    </row>
    <row r="32" spans="1:49" ht="13">
      <c r="A32" s="5">
        <v>42766</v>
      </c>
      <c r="B32">
        <v>1716</v>
      </c>
      <c r="C32">
        <v>1748</v>
      </c>
      <c r="D32" s="7" t="str">
        <f t="shared" si="0"/>
        <v>Tom</v>
      </c>
      <c r="E32" s="1" t="s">
        <v>29</v>
      </c>
      <c r="F32" s="47">
        <v>0.72916666666666663</v>
      </c>
      <c r="G32" s="47">
        <v>0.73958333333333337</v>
      </c>
      <c r="H32" s="7">
        <v>0.25</v>
      </c>
      <c r="I32" s="9">
        <v>0</v>
      </c>
      <c r="J32" s="74">
        <v>38</v>
      </c>
      <c r="K32" s="7">
        <v>38</v>
      </c>
      <c r="L32" s="7" t="s">
        <v>153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65">
        <v>0</v>
      </c>
      <c r="Y32" s="10">
        <f t="shared" si="1"/>
        <v>0</v>
      </c>
      <c r="Z32" s="10">
        <f t="shared" si="2"/>
        <v>0</v>
      </c>
      <c r="AA32" s="66">
        <f t="shared" si="3"/>
        <v>0</v>
      </c>
      <c r="AB32" s="67">
        <v>0.12</v>
      </c>
      <c r="AC32" s="59"/>
    </row>
    <row r="33" spans="2:27" ht="13">
      <c r="B33" s="43"/>
      <c r="C33" s="43"/>
      <c r="E33" s="4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2:27" ht="13">
      <c r="B34" s="83"/>
      <c r="C34" s="48"/>
      <c r="D34" s="84"/>
      <c r="E34" s="28" t="s">
        <v>56</v>
      </c>
      <c r="F34" s="48"/>
      <c r="H34" s="48"/>
      <c r="I34" s="85">
        <f>SUM(I2:I32)</f>
        <v>54.25</v>
      </c>
      <c r="J34" s="48"/>
      <c r="K34" s="48"/>
      <c r="L34" s="48"/>
      <c r="M34" s="51">
        <f t="shared" ref="M34:X34" si="4">SUM(M2:M32)</f>
        <v>20</v>
      </c>
      <c r="N34" s="51">
        <f t="shared" si="4"/>
        <v>92</v>
      </c>
      <c r="O34" s="51">
        <f t="shared" si="4"/>
        <v>1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>
        <f t="shared" si="4"/>
        <v>0</v>
      </c>
      <c r="T34" s="51">
        <f t="shared" si="4"/>
        <v>0</v>
      </c>
      <c r="U34" s="51">
        <f t="shared" si="4"/>
        <v>0</v>
      </c>
      <c r="V34" s="51">
        <f t="shared" si="4"/>
        <v>0</v>
      </c>
      <c r="W34" s="51">
        <f t="shared" si="4"/>
        <v>2</v>
      </c>
      <c r="X34" s="51">
        <f t="shared" si="4"/>
        <v>14</v>
      </c>
      <c r="Y34" s="48">
        <f t="shared" ref="Y34:Z34" si="5">SUM(Y2:Y33)</f>
        <v>113</v>
      </c>
      <c r="Z34" s="48">
        <f t="shared" si="5"/>
        <v>0</v>
      </c>
      <c r="AA34" s="48">
        <f>SUM(AA2:AA32)</f>
        <v>113</v>
      </c>
    </row>
    <row r="35" spans="2:27" ht="13">
      <c r="B35" s="86"/>
      <c r="C35" s="48"/>
      <c r="D35" s="48"/>
      <c r="E35" s="28" t="s">
        <v>57</v>
      </c>
      <c r="F35" s="48"/>
      <c r="H35" s="48"/>
      <c r="I35" s="85">
        <f>nov_tot_hrs+dec_tot_hrs+jan_tot_hrs</f>
        <v>101.47</v>
      </c>
      <c r="J35" s="48"/>
      <c r="K35" s="48"/>
      <c r="L35" s="48"/>
      <c r="X35" s="51"/>
      <c r="Y35" s="51">
        <f>nov_tot_down+dec_tot_down+jan_tot_down</f>
        <v>139</v>
      </c>
      <c r="Z35" s="51">
        <f>nov_tot_up+dec_tot_up+jan_tot_up</f>
        <v>0</v>
      </c>
      <c r="AA35" s="51">
        <f>SUM(Y35:Z35)</f>
        <v>139</v>
      </c>
    </row>
    <row r="36" spans="2:27" ht="13">
      <c r="B36" s="43"/>
      <c r="C36" s="43"/>
      <c r="E36" s="43"/>
    </row>
    <row r="37" spans="2:27" ht="13">
      <c r="B37" s="43"/>
      <c r="C37" s="43"/>
      <c r="D37" s="48"/>
      <c r="E37" s="53" t="s">
        <v>58</v>
      </c>
      <c r="F37" s="48"/>
      <c r="G37" s="48"/>
      <c r="H37" s="48"/>
      <c r="I37" s="48"/>
      <c r="J37" s="48"/>
      <c r="K37" s="52"/>
      <c r="L37" s="52"/>
      <c r="M37" s="52"/>
      <c r="N37" s="54"/>
      <c r="O37" s="55"/>
      <c r="P37" s="56"/>
      <c r="Q37" s="56"/>
      <c r="R37" s="57"/>
      <c r="S37" s="58"/>
      <c r="T37" s="57"/>
      <c r="U37" s="57"/>
      <c r="V37" s="57"/>
      <c r="W37" s="57"/>
      <c r="X37" s="57"/>
      <c r="Y37" s="57"/>
    </row>
    <row r="38" spans="2:27" ht="13">
      <c r="B38" s="43"/>
      <c r="C38" s="43"/>
      <c r="D38" s="48"/>
      <c r="E38" s="52" t="s">
        <v>59</v>
      </c>
      <c r="F38" s="48"/>
      <c r="G38" s="48"/>
      <c r="H38" s="48">
        <f>SUM(H34)</f>
        <v>0</v>
      </c>
      <c r="I38" s="48"/>
      <c r="K38" s="52" t="s">
        <v>60</v>
      </c>
      <c r="O38" s="52" t="s">
        <v>61</v>
      </c>
      <c r="Q38" s="56"/>
      <c r="R38" s="57"/>
      <c r="S38" s="58"/>
      <c r="T38" s="163" t="s">
        <v>62</v>
      </c>
      <c r="U38" s="162"/>
      <c r="V38" s="162"/>
      <c r="W38" s="57"/>
      <c r="X38" s="57"/>
      <c r="Y38" s="57">
        <f>jan_tot_down+dec_tot_down+nov_tot_down</f>
        <v>139</v>
      </c>
    </row>
    <row r="39" spans="2:27" ht="13">
      <c r="B39" s="43"/>
      <c r="C39" s="43"/>
      <c r="D39" s="48"/>
      <c r="E39" s="52" t="s">
        <v>64</v>
      </c>
      <c r="F39" s="48"/>
      <c r="G39" s="48"/>
      <c r="H39" s="48"/>
      <c r="I39" s="87"/>
      <c r="K39" s="52" t="s">
        <v>65</v>
      </c>
      <c r="O39" s="52" t="s">
        <v>66</v>
      </c>
      <c r="Q39" s="56"/>
      <c r="R39" s="57"/>
      <c r="S39" s="58"/>
      <c r="T39" s="163" t="s">
        <v>67</v>
      </c>
      <c r="U39" s="162"/>
      <c r="V39" s="162"/>
      <c r="W39" s="58"/>
      <c r="X39" s="58"/>
      <c r="Y39" s="58">
        <f>jan_tot_up+dec_tot_up+nov_tot_up</f>
        <v>0</v>
      </c>
    </row>
    <row r="40" spans="2:27" ht="13">
      <c r="B40" s="43"/>
      <c r="C40" s="43"/>
      <c r="D40" s="48"/>
      <c r="F40" s="48"/>
      <c r="G40" s="48"/>
      <c r="H40" s="48"/>
      <c r="I40" s="48"/>
      <c r="K40" s="52" t="s">
        <v>68</v>
      </c>
      <c r="O40" s="52" t="s">
        <v>69</v>
      </c>
      <c r="Q40" s="57"/>
      <c r="R40" s="57"/>
      <c r="S40" s="57"/>
      <c r="T40" s="57"/>
      <c r="U40" s="57"/>
      <c r="V40" s="57"/>
      <c r="W40" s="57"/>
      <c r="X40" s="57"/>
      <c r="Y40" s="57"/>
    </row>
    <row r="41" spans="2:27" ht="13">
      <c r="B41" s="43"/>
      <c r="C41" s="43"/>
      <c r="E41" s="43"/>
    </row>
    <row r="42" spans="2:27" ht="13">
      <c r="B42" s="43"/>
      <c r="C42" s="43"/>
      <c r="E42" s="43"/>
    </row>
    <row r="43" spans="2:27" ht="13">
      <c r="B43" s="43"/>
      <c r="C43" s="43"/>
      <c r="E43" s="43"/>
    </row>
    <row r="44" spans="2:27" ht="13">
      <c r="B44" s="43"/>
      <c r="C44" s="43"/>
      <c r="E44" s="43"/>
    </row>
    <row r="45" spans="2:27" ht="13">
      <c r="B45" s="43"/>
      <c r="C45" s="43"/>
      <c r="E45" s="43"/>
    </row>
    <row r="46" spans="2:27" ht="13">
      <c r="B46" s="43"/>
      <c r="C46" s="43"/>
      <c r="E46" s="43"/>
    </row>
    <row r="47" spans="2:27" ht="13">
      <c r="B47" s="43"/>
      <c r="C47" s="43"/>
      <c r="E47" s="43"/>
    </row>
    <row r="48" spans="2:27" ht="13">
      <c r="B48" s="43"/>
      <c r="C48" s="43"/>
      <c r="E48" s="43"/>
    </row>
    <row r="49" spans="2:5" ht="13">
      <c r="B49" s="43"/>
      <c r="C49" s="43"/>
      <c r="E49" s="43"/>
    </row>
    <row r="50" spans="2:5" ht="13">
      <c r="B50" s="43"/>
      <c r="C50" s="43"/>
      <c r="E50" s="43"/>
    </row>
    <row r="51" spans="2:5" ht="13">
      <c r="B51" s="43"/>
      <c r="C51" s="43"/>
      <c r="E51" s="43"/>
    </row>
    <row r="52" spans="2:5" ht="13">
      <c r="B52" s="43"/>
      <c r="C52" s="43"/>
      <c r="E52" s="43"/>
    </row>
    <row r="53" spans="2:5" ht="13">
      <c r="B53" s="43"/>
      <c r="C53" s="43"/>
      <c r="E53" s="43"/>
    </row>
    <row r="54" spans="2:5" ht="13">
      <c r="B54" s="43"/>
      <c r="C54" s="43"/>
      <c r="E54" s="43"/>
    </row>
    <row r="55" spans="2:5" ht="13">
      <c r="B55" s="43"/>
      <c r="C55" s="43"/>
      <c r="E55" s="43"/>
    </row>
    <row r="56" spans="2:5" ht="13">
      <c r="B56" s="43"/>
      <c r="C56" s="43"/>
      <c r="E56" s="43"/>
    </row>
    <row r="57" spans="2:5" ht="13">
      <c r="B57" s="43"/>
      <c r="C57" s="43"/>
      <c r="E57" s="43"/>
    </row>
    <row r="58" spans="2:5" ht="13">
      <c r="B58" s="43"/>
      <c r="C58" s="43"/>
      <c r="E58" s="43"/>
    </row>
    <row r="59" spans="2:5" ht="13">
      <c r="B59" s="43"/>
      <c r="C59" s="43"/>
      <c r="E59" s="43"/>
    </row>
    <row r="60" spans="2:5" ht="13">
      <c r="B60" s="43"/>
      <c r="C60" s="43"/>
      <c r="E60" s="43"/>
    </row>
    <row r="61" spans="2:5" ht="13">
      <c r="B61" s="43"/>
      <c r="C61" s="43"/>
      <c r="E61" s="43"/>
    </row>
    <row r="62" spans="2:5" ht="13">
      <c r="B62" s="43"/>
      <c r="C62" s="43"/>
      <c r="E62" s="43"/>
    </row>
    <row r="63" spans="2:5" ht="13">
      <c r="B63" s="43"/>
      <c r="C63" s="43"/>
      <c r="E63" s="43"/>
    </row>
    <row r="64" spans="2:5" ht="13">
      <c r="B64" s="43"/>
      <c r="C64" s="43"/>
      <c r="E64" s="43"/>
    </row>
    <row r="65" spans="2:5" ht="13">
      <c r="B65" s="43"/>
      <c r="C65" s="43"/>
      <c r="E65" s="43"/>
    </row>
    <row r="66" spans="2:5" ht="13">
      <c r="B66" s="43"/>
      <c r="C66" s="43"/>
      <c r="E66" s="43"/>
    </row>
    <row r="67" spans="2:5" ht="13">
      <c r="B67" s="43"/>
      <c r="C67" s="43"/>
      <c r="E67" s="43"/>
    </row>
    <row r="68" spans="2:5" ht="13">
      <c r="B68" s="43"/>
      <c r="C68" s="43"/>
      <c r="E68" s="43"/>
    </row>
    <row r="69" spans="2:5" ht="13">
      <c r="B69" s="43"/>
      <c r="C69" s="43"/>
      <c r="E69" s="43"/>
    </row>
    <row r="70" spans="2:5" ht="13">
      <c r="B70" s="43"/>
      <c r="C70" s="43"/>
      <c r="E70" s="43"/>
    </row>
    <row r="71" spans="2:5" ht="13">
      <c r="B71" s="43"/>
      <c r="C71" s="43"/>
      <c r="E71" s="43"/>
    </row>
    <row r="72" spans="2:5" ht="13">
      <c r="B72" s="43"/>
      <c r="C72" s="43"/>
      <c r="E72" s="43"/>
    </row>
    <row r="73" spans="2:5" ht="13">
      <c r="B73" s="43"/>
      <c r="C73" s="43"/>
      <c r="E73" s="43"/>
    </row>
    <row r="74" spans="2:5" ht="13">
      <c r="B74" s="43"/>
      <c r="C74" s="43"/>
      <c r="E74" s="43"/>
    </row>
    <row r="75" spans="2:5" ht="13">
      <c r="B75" s="43"/>
      <c r="C75" s="43"/>
      <c r="E75" s="43"/>
    </row>
    <row r="76" spans="2:5" ht="13">
      <c r="B76" s="43"/>
      <c r="C76" s="43"/>
      <c r="E76" s="43"/>
    </row>
    <row r="77" spans="2:5" ht="13">
      <c r="B77" s="43"/>
      <c r="C77" s="43"/>
      <c r="E77" s="43"/>
    </row>
    <row r="78" spans="2:5" ht="13">
      <c r="B78" s="43"/>
      <c r="C78" s="43"/>
      <c r="E78" s="43"/>
    </row>
    <row r="79" spans="2:5" ht="13">
      <c r="B79" s="43"/>
      <c r="C79" s="43"/>
      <c r="E79" s="43"/>
    </row>
    <row r="80" spans="2:5" ht="13">
      <c r="B80" s="43"/>
      <c r="C80" s="43"/>
      <c r="E80" s="43"/>
    </row>
    <row r="81" spans="2:5" ht="13">
      <c r="B81" s="43"/>
      <c r="C81" s="43"/>
      <c r="E81" s="43"/>
    </row>
    <row r="82" spans="2:5" ht="13">
      <c r="B82" s="43"/>
      <c r="C82" s="43"/>
      <c r="E82" s="43"/>
    </row>
    <row r="83" spans="2:5" ht="13">
      <c r="B83" s="43"/>
      <c r="C83" s="43"/>
      <c r="E83" s="43"/>
    </row>
    <row r="84" spans="2:5" ht="13">
      <c r="B84" s="43"/>
      <c r="C84" s="43"/>
      <c r="E84" s="43"/>
    </row>
    <row r="85" spans="2:5" ht="13">
      <c r="B85" s="43"/>
      <c r="C85" s="43"/>
      <c r="E85" s="43"/>
    </row>
    <row r="86" spans="2:5" ht="13">
      <c r="B86" s="43"/>
      <c r="C86" s="43"/>
      <c r="E86" s="43"/>
    </row>
    <row r="87" spans="2:5" ht="13">
      <c r="B87" s="43"/>
      <c r="C87" s="43"/>
      <c r="E87" s="43"/>
    </row>
    <row r="88" spans="2:5" ht="13">
      <c r="B88" s="43"/>
      <c r="C88" s="43"/>
      <c r="E88" s="43"/>
    </row>
    <row r="89" spans="2:5" ht="13">
      <c r="B89" s="43"/>
      <c r="C89" s="43"/>
      <c r="E89" s="43"/>
    </row>
    <row r="90" spans="2:5" ht="13">
      <c r="B90" s="43"/>
      <c r="C90" s="43"/>
      <c r="E90" s="43"/>
    </row>
    <row r="91" spans="2:5" ht="13">
      <c r="B91" s="43"/>
      <c r="C91" s="43"/>
      <c r="E91" s="43"/>
    </row>
    <row r="92" spans="2:5" ht="13">
      <c r="B92" s="43"/>
      <c r="C92" s="43"/>
      <c r="E92" s="43"/>
    </row>
    <row r="93" spans="2:5" ht="13">
      <c r="B93" s="43"/>
      <c r="C93" s="43"/>
      <c r="E93" s="43"/>
    </row>
    <row r="94" spans="2:5" ht="13">
      <c r="B94" s="43"/>
      <c r="C94" s="43"/>
      <c r="E94" s="43"/>
    </row>
    <row r="95" spans="2:5" ht="13">
      <c r="B95" s="43"/>
      <c r="C95" s="43"/>
      <c r="E95" s="43"/>
    </row>
    <row r="96" spans="2:5" ht="13">
      <c r="B96" s="43"/>
      <c r="C96" s="43"/>
      <c r="E96" s="43"/>
    </row>
    <row r="97" spans="2:5" ht="13">
      <c r="B97" s="43"/>
      <c r="C97" s="43"/>
      <c r="E97" s="43"/>
    </row>
    <row r="98" spans="2:5" ht="13">
      <c r="B98" s="43"/>
      <c r="C98" s="43"/>
      <c r="E98" s="43"/>
    </row>
    <row r="99" spans="2:5" ht="13">
      <c r="B99" s="43"/>
      <c r="C99" s="43"/>
      <c r="E99" s="43"/>
    </row>
    <row r="100" spans="2:5" ht="13">
      <c r="B100" s="43"/>
      <c r="C100" s="43"/>
      <c r="E100" s="43"/>
    </row>
    <row r="101" spans="2:5" ht="13">
      <c r="B101" s="43"/>
      <c r="C101" s="43"/>
      <c r="E101" s="43"/>
    </row>
    <row r="102" spans="2:5" ht="13">
      <c r="B102" s="43"/>
      <c r="C102" s="43"/>
      <c r="E102" s="43"/>
    </row>
    <row r="103" spans="2:5" ht="13">
      <c r="B103" s="43"/>
      <c r="C103" s="43"/>
      <c r="E103" s="43"/>
    </row>
    <row r="104" spans="2:5" ht="13">
      <c r="B104" s="43"/>
      <c r="C104" s="43"/>
      <c r="E104" s="43"/>
    </row>
    <row r="105" spans="2:5" ht="13">
      <c r="B105" s="43"/>
      <c r="C105" s="43"/>
      <c r="E105" s="43"/>
    </row>
    <row r="106" spans="2:5" ht="13">
      <c r="B106" s="43"/>
      <c r="C106" s="43"/>
      <c r="E106" s="43"/>
    </row>
    <row r="107" spans="2:5" ht="13">
      <c r="B107" s="43"/>
      <c r="C107" s="43"/>
      <c r="E107" s="43"/>
    </row>
    <row r="108" spans="2:5" ht="13">
      <c r="B108" s="43"/>
      <c r="C108" s="43"/>
      <c r="E108" s="43"/>
    </row>
    <row r="109" spans="2:5" ht="13">
      <c r="B109" s="43"/>
      <c r="C109" s="43"/>
      <c r="E109" s="43"/>
    </row>
    <row r="110" spans="2:5" ht="13">
      <c r="B110" s="43"/>
      <c r="C110" s="43"/>
      <c r="E110" s="43"/>
    </row>
    <row r="111" spans="2:5" ht="13">
      <c r="B111" s="43"/>
      <c r="C111" s="43"/>
      <c r="E111" s="43"/>
    </row>
    <row r="112" spans="2:5" ht="13">
      <c r="B112" s="43"/>
      <c r="C112" s="43"/>
      <c r="E112" s="43"/>
    </row>
    <row r="113" spans="2:5" ht="13">
      <c r="B113" s="43"/>
      <c r="C113" s="43"/>
      <c r="E113" s="43"/>
    </row>
    <row r="114" spans="2:5" ht="13">
      <c r="B114" s="43"/>
      <c r="C114" s="43"/>
      <c r="E114" s="43"/>
    </row>
    <row r="115" spans="2:5" ht="13">
      <c r="B115" s="43"/>
      <c r="C115" s="43"/>
      <c r="E115" s="43"/>
    </row>
    <row r="116" spans="2:5" ht="13">
      <c r="B116" s="43"/>
      <c r="C116" s="43"/>
      <c r="E116" s="43"/>
    </row>
    <row r="117" spans="2:5" ht="13">
      <c r="B117" s="43"/>
      <c r="C117" s="43"/>
      <c r="E117" s="43"/>
    </row>
    <row r="118" spans="2:5" ht="13">
      <c r="B118" s="43"/>
      <c r="C118" s="43"/>
      <c r="E118" s="43"/>
    </row>
    <row r="119" spans="2:5" ht="13">
      <c r="B119" s="43"/>
      <c r="C119" s="43"/>
      <c r="E119" s="43"/>
    </row>
    <row r="120" spans="2:5" ht="13">
      <c r="B120" s="43"/>
      <c r="C120" s="43"/>
      <c r="E120" s="43"/>
    </row>
    <row r="121" spans="2:5" ht="13">
      <c r="B121" s="43"/>
      <c r="C121" s="43"/>
      <c r="E121" s="43"/>
    </row>
    <row r="122" spans="2:5" ht="13">
      <c r="B122" s="43"/>
      <c r="C122" s="43"/>
      <c r="E122" s="43"/>
    </row>
    <row r="123" spans="2:5" ht="13">
      <c r="B123" s="43"/>
      <c r="C123" s="43"/>
      <c r="E123" s="43"/>
    </row>
    <row r="124" spans="2:5" ht="13">
      <c r="B124" s="43"/>
      <c r="C124" s="43"/>
      <c r="E124" s="43"/>
    </row>
    <row r="125" spans="2:5" ht="13">
      <c r="B125" s="43"/>
      <c r="C125" s="43"/>
      <c r="E125" s="43"/>
    </row>
    <row r="126" spans="2:5" ht="13">
      <c r="B126" s="43"/>
      <c r="C126" s="43"/>
      <c r="E126" s="43"/>
    </row>
    <row r="127" spans="2:5" ht="13">
      <c r="B127" s="43"/>
      <c r="C127" s="43"/>
      <c r="E127" s="43"/>
    </row>
    <row r="128" spans="2:5" ht="13">
      <c r="B128" s="43"/>
      <c r="C128" s="43"/>
      <c r="E128" s="43"/>
    </row>
    <row r="129" spans="2:5" ht="13">
      <c r="B129" s="43"/>
      <c r="C129" s="43"/>
      <c r="E129" s="43"/>
    </row>
    <row r="130" spans="2:5" ht="13">
      <c r="B130" s="43"/>
      <c r="C130" s="43"/>
      <c r="E130" s="43"/>
    </row>
    <row r="131" spans="2:5" ht="13">
      <c r="B131" s="43"/>
      <c r="C131" s="43"/>
      <c r="E131" s="43"/>
    </row>
    <row r="132" spans="2:5" ht="13">
      <c r="B132" s="43"/>
      <c r="C132" s="43"/>
      <c r="E132" s="43"/>
    </row>
    <row r="133" spans="2:5" ht="13">
      <c r="B133" s="43"/>
      <c r="C133" s="43"/>
      <c r="E133" s="43"/>
    </row>
    <row r="134" spans="2:5" ht="13">
      <c r="B134" s="43"/>
      <c r="C134" s="43"/>
      <c r="E134" s="43"/>
    </row>
    <row r="135" spans="2:5" ht="13">
      <c r="B135" s="43"/>
      <c r="C135" s="43"/>
      <c r="E135" s="43"/>
    </row>
    <row r="136" spans="2:5" ht="13">
      <c r="B136" s="43"/>
      <c r="C136" s="43"/>
      <c r="E136" s="43"/>
    </row>
    <row r="137" spans="2:5" ht="13">
      <c r="B137" s="43"/>
      <c r="C137" s="43"/>
      <c r="E137" s="43"/>
    </row>
    <row r="138" spans="2:5" ht="13">
      <c r="B138" s="43"/>
      <c r="C138" s="43"/>
      <c r="E138" s="43"/>
    </row>
    <row r="139" spans="2:5" ht="13">
      <c r="B139" s="43"/>
      <c r="C139" s="43"/>
      <c r="E139" s="43"/>
    </row>
    <row r="140" spans="2:5" ht="13">
      <c r="B140" s="43"/>
      <c r="C140" s="43"/>
      <c r="E140" s="43"/>
    </row>
    <row r="141" spans="2:5" ht="13">
      <c r="B141" s="43"/>
      <c r="C141" s="43"/>
      <c r="E141" s="43"/>
    </row>
    <row r="142" spans="2:5" ht="13">
      <c r="B142" s="43"/>
      <c r="C142" s="43"/>
      <c r="E142" s="43"/>
    </row>
    <row r="143" spans="2:5" ht="13">
      <c r="B143" s="43"/>
      <c r="C143" s="43"/>
      <c r="E143" s="43"/>
    </row>
    <row r="144" spans="2:5" ht="13">
      <c r="B144" s="43"/>
      <c r="C144" s="43"/>
      <c r="E144" s="43"/>
    </row>
    <row r="145" spans="2:5" ht="13">
      <c r="B145" s="43"/>
      <c r="C145" s="43"/>
      <c r="E145" s="43"/>
    </row>
    <row r="146" spans="2:5" ht="13">
      <c r="B146" s="43"/>
      <c r="C146" s="43"/>
      <c r="E146" s="43"/>
    </row>
    <row r="147" spans="2:5" ht="13">
      <c r="B147" s="43"/>
      <c r="C147" s="43"/>
      <c r="E147" s="43"/>
    </row>
    <row r="148" spans="2:5" ht="13">
      <c r="B148" s="43"/>
      <c r="C148" s="43"/>
      <c r="E148" s="43"/>
    </row>
    <row r="149" spans="2:5" ht="13">
      <c r="B149" s="43"/>
      <c r="C149" s="43"/>
      <c r="E149" s="43"/>
    </row>
    <row r="150" spans="2:5" ht="13">
      <c r="B150" s="43"/>
      <c r="C150" s="43"/>
      <c r="E150" s="43"/>
    </row>
    <row r="151" spans="2:5" ht="13">
      <c r="B151" s="43"/>
      <c r="C151" s="43"/>
      <c r="E151" s="43"/>
    </row>
    <row r="152" spans="2:5" ht="13">
      <c r="B152" s="43"/>
      <c r="C152" s="43"/>
      <c r="E152" s="43"/>
    </row>
    <row r="153" spans="2:5" ht="13">
      <c r="B153" s="43"/>
      <c r="C153" s="43"/>
      <c r="E153" s="43"/>
    </row>
    <row r="154" spans="2:5" ht="13">
      <c r="B154" s="43"/>
      <c r="C154" s="43"/>
      <c r="E154" s="43"/>
    </row>
    <row r="155" spans="2:5" ht="13">
      <c r="B155" s="43"/>
      <c r="C155" s="43"/>
      <c r="E155" s="43"/>
    </row>
    <row r="156" spans="2:5" ht="13">
      <c r="B156" s="43"/>
      <c r="C156" s="43"/>
      <c r="E156" s="43"/>
    </row>
    <row r="157" spans="2:5" ht="13">
      <c r="B157" s="43"/>
      <c r="C157" s="43"/>
      <c r="E157" s="43"/>
    </row>
    <row r="158" spans="2:5" ht="13">
      <c r="B158" s="43"/>
      <c r="C158" s="43"/>
      <c r="E158" s="43"/>
    </row>
    <row r="159" spans="2:5" ht="13">
      <c r="B159" s="43"/>
      <c r="C159" s="43"/>
      <c r="E159" s="43"/>
    </row>
    <row r="160" spans="2:5" ht="13">
      <c r="B160" s="43"/>
      <c r="C160" s="43"/>
      <c r="E160" s="43"/>
    </row>
    <row r="161" spans="2:5" ht="13">
      <c r="B161" s="43"/>
      <c r="C161" s="43"/>
      <c r="E161" s="43"/>
    </row>
    <row r="162" spans="2:5" ht="13">
      <c r="B162" s="43"/>
      <c r="C162" s="43"/>
      <c r="E162" s="43"/>
    </row>
    <row r="163" spans="2:5" ht="13">
      <c r="B163" s="43"/>
      <c r="C163" s="43"/>
      <c r="E163" s="43"/>
    </row>
    <row r="164" spans="2:5" ht="13">
      <c r="B164" s="43"/>
      <c r="C164" s="43"/>
      <c r="E164" s="43"/>
    </row>
    <row r="165" spans="2:5" ht="13">
      <c r="B165" s="43"/>
      <c r="C165" s="43"/>
      <c r="E165" s="43"/>
    </row>
    <row r="166" spans="2:5" ht="13">
      <c r="B166" s="43"/>
      <c r="C166" s="43"/>
      <c r="E166" s="43"/>
    </row>
    <row r="167" spans="2:5" ht="13">
      <c r="B167" s="43"/>
      <c r="C167" s="43"/>
      <c r="E167" s="43"/>
    </row>
    <row r="168" spans="2:5" ht="13">
      <c r="B168" s="43"/>
      <c r="C168" s="43"/>
      <c r="E168" s="43"/>
    </row>
    <row r="169" spans="2:5" ht="13">
      <c r="B169" s="43"/>
      <c r="C169" s="43"/>
      <c r="E169" s="43"/>
    </row>
    <row r="170" spans="2:5" ht="13">
      <c r="B170" s="43"/>
      <c r="C170" s="43"/>
      <c r="E170" s="43"/>
    </row>
    <row r="171" spans="2:5" ht="13">
      <c r="B171" s="43"/>
      <c r="C171" s="43"/>
      <c r="E171" s="43"/>
    </row>
    <row r="172" spans="2:5" ht="13">
      <c r="B172" s="43"/>
      <c r="C172" s="43"/>
      <c r="E172" s="43"/>
    </row>
    <row r="173" spans="2:5" ht="13">
      <c r="B173" s="43"/>
      <c r="C173" s="43"/>
      <c r="E173" s="43"/>
    </row>
    <row r="174" spans="2:5" ht="13">
      <c r="B174" s="43"/>
      <c r="C174" s="43"/>
      <c r="E174" s="43"/>
    </row>
    <row r="175" spans="2:5" ht="13">
      <c r="B175" s="43"/>
      <c r="C175" s="43"/>
      <c r="E175" s="43"/>
    </row>
    <row r="176" spans="2:5" ht="13">
      <c r="B176" s="43"/>
      <c r="C176" s="43"/>
      <c r="E176" s="43"/>
    </row>
    <row r="177" spans="2:5" ht="13">
      <c r="B177" s="43"/>
      <c r="C177" s="43"/>
      <c r="E177" s="43"/>
    </row>
    <row r="178" spans="2:5" ht="13">
      <c r="B178" s="43"/>
      <c r="C178" s="43"/>
      <c r="E178" s="43"/>
    </row>
    <row r="179" spans="2:5" ht="13">
      <c r="B179" s="43"/>
      <c r="C179" s="43"/>
      <c r="E179" s="43"/>
    </row>
    <row r="180" spans="2:5" ht="13">
      <c r="B180" s="43"/>
      <c r="C180" s="43"/>
      <c r="E180" s="43"/>
    </row>
    <row r="181" spans="2:5" ht="13">
      <c r="B181" s="43"/>
      <c r="C181" s="43"/>
      <c r="E181" s="43"/>
    </row>
    <row r="182" spans="2:5" ht="13">
      <c r="B182" s="43"/>
      <c r="C182" s="43"/>
      <c r="E182" s="43"/>
    </row>
    <row r="183" spans="2:5" ht="13">
      <c r="B183" s="43"/>
      <c r="C183" s="43"/>
      <c r="E183" s="43"/>
    </row>
    <row r="184" spans="2:5" ht="13">
      <c r="B184" s="43"/>
      <c r="C184" s="43"/>
      <c r="E184" s="43"/>
    </row>
    <row r="185" spans="2:5" ht="13">
      <c r="B185" s="43"/>
      <c r="C185" s="43"/>
      <c r="E185" s="43"/>
    </row>
    <row r="186" spans="2:5" ht="13">
      <c r="B186" s="43"/>
      <c r="C186" s="43"/>
      <c r="E186" s="43"/>
    </row>
    <row r="187" spans="2:5" ht="13">
      <c r="B187" s="43"/>
      <c r="C187" s="43"/>
      <c r="E187" s="43"/>
    </row>
    <row r="188" spans="2:5" ht="13">
      <c r="B188" s="43"/>
      <c r="C188" s="43"/>
      <c r="E188" s="43"/>
    </row>
    <row r="189" spans="2:5" ht="13">
      <c r="B189" s="43"/>
      <c r="C189" s="43"/>
      <c r="E189" s="43"/>
    </row>
    <row r="190" spans="2:5" ht="13">
      <c r="B190" s="43"/>
      <c r="C190" s="43"/>
      <c r="E190" s="43"/>
    </row>
    <row r="191" spans="2:5" ht="13">
      <c r="B191" s="43"/>
      <c r="C191" s="43"/>
      <c r="E191" s="43"/>
    </row>
    <row r="192" spans="2:5" ht="13">
      <c r="B192" s="43"/>
      <c r="C192" s="43"/>
      <c r="E192" s="43"/>
    </row>
    <row r="193" spans="2:5" ht="13">
      <c r="B193" s="43"/>
      <c r="C193" s="43"/>
      <c r="E193" s="43"/>
    </row>
    <row r="194" spans="2:5" ht="13">
      <c r="B194" s="43"/>
      <c r="C194" s="43"/>
      <c r="E194" s="43"/>
    </row>
    <row r="195" spans="2:5" ht="13">
      <c r="B195" s="43"/>
      <c r="C195" s="43"/>
      <c r="E195" s="43"/>
    </row>
    <row r="196" spans="2:5" ht="13">
      <c r="B196" s="43"/>
      <c r="C196" s="43"/>
      <c r="E196" s="43"/>
    </row>
    <row r="197" spans="2:5" ht="13">
      <c r="B197" s="43"/>
      <c r="C197" s="43"/>
      <c r="E197" s="43"/>
    </row>
    <row r="198" spans="2:5" ht="13">
      <c r="B198" s="43"/>
      <c r="C198" s="43"/>
      <c r="E198" s="43"/>
    </row>
    <row r="199" spans="2:5" ht="13">
      <c r="B199" s="43"/>
      <c r="C199" s="43"/>
      <c r="E199" s="43"/>
    </row>
    <row r="200" spans="2:5" ht="13">
      <c r="B200" s="43"/>
      <c r="C200" s="43"/>
      <c r="E200" s="43"/>
    </row>
    <row r="201" spans="2:5" ht="13">
      <c r="B201" s="43"/>
      <c r="C201" s="43"/>
      <c r="E201" s="43"/>
    </row>
    <row r="202" spans="2:5" ht="13">
      <c r="B202" s="43"/>
      <c r="C202" s="43"/>
      <c r="E202" s="43"/>
    </row>
    <row r="203" spans="2:5" ht="13">
      <c r="B203" s="43"/>
      <c r="C203" s="43"/>
      <c r="E203" s="43"/>
    </row>
    <row r="204" spans="2:5" ht="13">
      <c r="B204" s="43"/>
      <c r="C204" s="43"/>
      <c r="E204" s="43"/>
    </row>
    <row r="205" spans="2:5" ht="13">
      <c r="B205" s="43"/>
      <c r="C205" s="43"/>
      <c r="E205" s="43"/>
    </row>
    <row r="206" spans="2:5" ht="13">
      <c r="B206" s="43"/>
      <c r="C206" s="43"/>
      <c r="E206" s="43"/>
    </row>
    <row r="207" spans="2:5" ht="13">
      <c r="B207" s="43"/>
      <c r="C207" s="43"/>
      <c r="E207" s="43"/>
    </row>
    <row r="208" spans="2:5" ht="13">
      <c r="B208" s="43"/>
      <c r="C208" s="43"/>
      <c r="E208" s="43"/>
    </row>
    <row r="209" spans="2:5" ht="13">
      <c r="B209" s="43"/>
      <c r="C209" s="43"/>
      <c r="E209" s="43"/>
    </row>
    <row r="210" spans="2:5" ht="13">
      <c r="B210" s="43"/>
      <c r="C210" s="43"/>
      <c r="E210" s="43"/>
    </row>
    <row r="211" spans="2:5" ht="13">
      <c r="B211" s="43"/>
      <c r="C211" s="43"/>
      <c r="E211" s="43"/>
    </row>
    <row r="212" spans="2:5" ht="13">
      <c r="B212" s="43"/>
      <c r="C212" s="43"/>
      <c r="E212" s="43"/>
    </row>
    <row r="213" spans="2:5" ht="13">
      <c r="B213" s="43"/>
      <c r="C213" s="43"/>
      <c r="E213" s="43"/>
    </row>
    <row r="214" spans="2:5" ht="13">
      <c r="B214" s="43"/>
      <c r="C214" s="43"/>
      <c r="E214" s="43"/>
    </row>
    <row r="215" spans="2:5" ht="13">
      <c r="B215" s="43"/>
      <c r="C215" s="43"/>
      <c r="E215" s="43"/>
    </row>
    <row r="216" spans="2:5" ht="13">
      <c r="B216" s="43"/>
      <c r="C216" s="43"/>
      <c r="E216" s="43"/>
    </row>
    <row r="217" spans="2:5" ht="13">
      <c r="B217" s="43"/>
      <c r="C217" s="43"/>
      <c r="E217" s="43"/>
    </row>
    <row r="218" spans="2:5" ht="13">
      <c r="B218" s="43"/>
      <c r="C218" s="43"/>
      <c r="E218" s="43"/>
    </row>
    <row r="219" spans="2:5" ht="13">
      <c r="B219" s="43"/>
      <c r="C219" s="43"/>
      <c r="E219" s="43"/>
    </row>
    <row r="220" spans="2:5" ht="13">
      <c r="B220" s="43"/>
      <c r="C220" s="43"/>
      <c r="E220" s="43"/>
    </row>
    <row r="221" spans="2:5" ht="13">
      <c r="B221" s="43"/>
      <c r="C221" s="43"/>
      <c r="E221" s="43"/>
    </row>
    <row r="222" spans="2:5" ht="13">
      <c r="B222" s="43"/>
      <c r="C222" s="43"/>
      <c r="E222" s="43"/>
    </row>
    <row r="223" spans="2:5" ht="13">
      <c r="B223" s="43"/>
      <c r="C223" s="43"/>
      <c r="E223" s="43"/>
    </row>
    <row r="224" spans="2:5" ht="13">
      <c r="B224" s="43"/>
      <c r="C224" s="43"/>
      <c r="E224" s="43"/>
    </row>
    <row r="225" spans="2:5" ht="13">
      <c r="B225" s="43"/>
      <c r="C225" s="43"/>
      <c r="E225" s="43"/>
    </row>
    <row r="226" spans="2:5" ht="13">
      <c r="B226" s="43"/>
      <c r="C226" s="43"/>
      <c r="E226" s="43"/>
    </row>
    <row r="227" spans="2:5" ht="13">
      <c r="B227" s="43"/>
      <c r="C227" s="43"/>
      <c r="E227" s="43"/>
    </row>
    <row r="228" spans="2:5" ht="13">
      <c r="B228" s="43"/>
      <c r="C228" s="43"/>
      <c r="E228" s="43"/>
    </row>
    <row r="229" spans="2:5" ht="13">
      <c r="B229" s="43"/>
      <c r="C229" s="43"/>
      <c r="E229" s="43"/>
    </row>
    <row r="230" spans="2:5" ht="13">
      <c r="B230" s="43"/>
      <c r="C230" s="43"/>
      <c r="E230" s="43"/>
    </row>
    <row r="231" spans="2:5" ht="13">
      <c r="B231" s="43"/>
      <c r="C231" s="43"/>
      <c r="E231" s="43"/>
    </row>
    <row r="232" spans="2:5" ht="13">
      <c r="B232" s="43"/>
      <c r="C232" s="43"/>
      <c r="E232" s="43"/>
    </row>
    <row r="233" spans="2:5" ht="13">
      <c r="B233" s="43"/>
      <c r="C233" s="43"/>
      <c r="E233" s="43"/>
    </row>
    <row r="234" spans="2:5" ht="13">
      <c r="B234" s="43"/>
      <c r="C234" s="43"/>
      <c r="E234" s="43"/>
    </row>
    <row r="235" spans="2:5" ht="13">
      <c r="B235" s="43"/>
      <c r="C235" s="43"/>
      <c r="E235" s="43"/>
    </row>
    <row r="236" spans="2:5" ht="13">
      <c r="B236" s="43"/>
      <c r="C236" s="43"/>
      <c r="E236" s="43"/>
    </row>
    <row r="237" spans="2:5" ht="13">
      <c r="B237" s="43"/>
      <c r="C237" s="43"/>
      <c r="E237" s="43"/>
    </row>
    <row r="238" spans="2:5" ht="13">
      <c r="B238" s="43"/>
      <c r="C238" s="43"/>
      <c r="E238" s="43"/>
    </row>
    <row r="239" spans="2:5" ht="13">
      <c r="B239" s="43"/>
      <c r="C239" s="43"/>
      <c r="E239" s="43"/>
    </row>
    <row r="240" spans="2:5" ht="13">
      <c r="B240" s="43"/>
      <c r="C240" s="43"/>
      <c r="E240" s="43"/>
    </row>
    <row r="241" spans="2:5" ht="13">
      <c r="B241" s="43"/>
      <c r="C241" s="43"/>
      <c r="E241" s="43"/>
    </row>
    <row r="242" spans="2:5" ht="13">
      <c r="B242" s="43"/>
      <c r="C242" s="43"/>
      <c r="E242" s="43"/>
    </row>
    <row r="243" spans="2:5" ht="13">
      <c r="B243" s="43"/>
      <c r="C243" s="43"/>
      <c r="E243" s="43"/>
    </row>
    <row r="244" spans="2:5" ht="13">
      <c r="B244" s="43"/>
      <c r="C244" s="43"/>
      <c r="E244" s="43"/>
    </row>
    <row r="245" spans="2:5" ht="13">
      <c r="B245" s="43"/>
      <c r="C245" s="43"/>
      <c r="E245" s="43"/>
    </row>
    <row r="246" spans="2:5" ht="13">
      <c r="B246" s="43"/>
      <c r="C246" s="43"/>
      <c r="E246" s="43"/>
    </row>
    <row r="247" spans="2:5" ht="13">
      <c r="B247" s="43"/>
      <c r="C247" s="43"/>
      <c r="E247" s="43"/>
    </row>
    <row r="248" spans="2:5" ht="13">
      <c r="B248" s="43"/>
      <c r="C248" s="43"/>
      <c r="E248" s="43"/>
    </row>
    <row r="249" spans="2:5" ht="13">
      <c r="B249" s="43"/>
      <c r="C249" s="43"/>
      <c r="E249" s="43"/>
    </row>
    <row r="250" spans="2:5" ht="13">
      <c r="B250" s="43"/>
      <c r="C250" s="43"/>
      <c r="E250" s="43"/>
    </row>
    <row r="251" spans="2:5" ht="13">
      <c r="B251" s="43"/>
      <c r="C251" s="43"/>
      <c r="E251" s="43"/>
    </row>
    <row r="252" spans="2:5" ht="13">
      <c r="B252" s="43"/>
      <c r="C252" s="43"/>
      <c r="E252" s="43"/>
    </row>
    <row r="253" spans="2:5" ht="13">
      <c r="B253" s="43"/>
      <c r="C253" s="43"/>
      <c r="E253" s="43"/>
    </row>
    <row r="254" spans="2:5" ht="13">
      <c r="B254" s="43"/>
      <c r="C254" s="43"/>
      <c r="E254" s="43"/>
    </row>
    <row r="255" spans="2:5" ht="13">
      <c r="B255" s="43"/>
      <c r="C255" s="43"/>
      <c r="E255" s="43"/>
    </row>
    <row r="256" spans="2:5" ht="13">
      <c r="B256" s="43"/>
      <c r="C256" s="43"/>
      <c r="E256" s="43"/>
    </row>
    <row r="257" spans="2:5" ht="13">
      <c r="B257" s="43"/>
      <c r="C257" s="43"/>
      <c r="E257" s="43"/>
    </row>
    <row r="258" spans="2:5" ht="13">
      <c r="B258" s="43"/>
      <c r="C258" s="43"/>
      <c r="E258" s="43"/>
    </row>
    <row r="259" spans="2:5" ht="13">
      <c r="B259" s="43"/>
      <c r="C259" s="43"/>
      <c r="E259" s="43"/>
    </row>
    <row r="260" spans="2:5" ht="13">
      <c r="B260" s="43"/>
      <c r="C260" s="43"/>
      <c r="E260" s="43"/>
    </row>
    <row r="261" spans="2:5" ht="13">
      <c r="B261" s="43"/>
      <c r="C261" s="43"/>
      <c r="E261" s="43"/>
    </row>
    <row r="262" spans="2:5" ht="13">
      <c r="B262" s="43"/>
      <c r="C262" s="43"/>
      <c r="E262" s="43"/>
    </row>
    <row r="263" spans="2:5" ht="13">
      <c r="B263" s="43"/>
      <c r="C263" s="43"/>
      <c r="E263" s="43"/>
    </row>
    <row r="264" spans="2:5" ht="13">
      <c r="B264" s="43"/>
      <c r="C264" s="43"/>
      <c r="E264" s="43"/>
    </row>
    <row r="265" spans="2:5" ht="13">
      <c r="B265" s="43"/>
      <c r="C265" s="43"/>
      <c r="E265" s="43"/>
    </row>
    <row r="266" spans="2:5" ht="13">
      <c r="B266" s="43"/>
      <c r="C266" s="43"/>
      <c r="E266" s="43"/>
    </row>
    <row r="267" spans="2:5" ht="13">
      <c r="B267" s="43"/>
      <c r="C267" s="43"/>
      <c r="E267" s="43"/>
    </row>
    <row r="268" spans="2:5" ht="13">
      <c r="B268" s="43"/>
      <c r="C268" s="43"/>
      <c r="E268" s="43"/>
    </row>
    <row r="269" spans="2:5" ht="13">
      <c r="B269" s="43"/>
      <c r="C269" s="43"/>
      <c r="E269" s="43"/>
    </row>
    <row r="270" spans="2:5" ht="13">
      <c r="B270" s="43"/>
      <c r="C270" s="43"/>
      <c r="E270" s="43"/>
    </row>
    <row r="271" spans="2:5" ht="13">
      <c r="B271" s="43"/>
      <c r="C271" s="43"/>
      <c r="E271" s="43"/>
    </row>
    <row r="272" spans="2:5" ht="13">
      <c r="B272" s="43"/>
      <c r="C272" s="43"/>
      <c r="E272" s="43"/>
    </row>
    <row r="273" spans="2:5" ht="13">
      <c r="B273" s="43"/>
      <c r="C273" s="43"/>
      <c r="E273" s="43"/>
    </row>
    <row r="274" spans="2:5" ht="13">
      <c r="B274" s="43"/>
      <c r="C274" s="43"/>
      <c r="E274" s="43"/>
    </row>
    <row r="275" spans="2:5" ht="13">
      <c r="B275" s="43"/>
      <c r="C275" s="43"/>
      <c r="E275" s="43"/>
    </row>
    <row r="276" spans="2:5" ht="13">
      <c r="B276" s="43"/>
      <c r="C276" s="43"/>
      <c r="E276" s="43"/>
    </row>
    <row r="277" spans="2:5" ht="13">
      <c r="B277" s="43"/>
      <c r="C277" s="43"/>
      <c r="E277" s="43"/>
    </row>
    <row r="278" spans="2:5" ht="13">
      <c r="B278" s="43"/>
      <c r="C278" s="43"/>
      <c r="E278" s="43"/>
    </row>
    <row r="279" spans="2:5" ht="13">
      <c r="B279" s="43"/>
      <c r="C279" s="43"/>
      <c r="E279" s="43"/>
    </row>
    <row r="280" spans="2:5" ht="13">
      <c r="B280" s="43"/>
      <c r="C280" s="43"/>
      <c r="E280" s="43"/>
    </row>
    <row r="281" spans="2:5" ht="13">
      <c r="B281" s="43"/>
      <c r="C281" s="43"/>
      <c r="E281" s="43"/>
    </row>
    <row r="282" spans="2:5" ht="13">
      <c r="B282" s="43"/>
      <c r="C282" s="43"/>
      <c r="E282" s="43"/>
    </row>
    <row r="283" spans="2:5" ht="13">
      <c r="B283" s="43"/>
      <c r="C283" s="43"/>
      <c r="E283" s="43"/>
    </row>
    <row r="284" spans="2:5" ht="13">
      <c r="B284" s="43"/>
      <c r="C284" s="43"/>
      <c r="E284" s="43"/>
    </row>
    <row r="285" spans="2:5" ht="13">
      <c r="B285" s="43"/>
      <c r="C285" s="43"/>
      <c r="E285" s="43"/>
    </row>
    <row r="286" spans="2:5" ht="13">
      <c r="B286" s="43"/>
      <c r="C286" s="43"/>
      <c r="E286" s="43"/>
    </row>
    <row r="287" spans="2:5" ht="13">
      <c r="B287" s="43"/>
      <c r="C287" s="43"/>
      <c r="E287" s="43"/>
    </row>
    <row r="288" spans="2:5" ht="13">
      <c r="B288" s="43"/>
      <c r="C288" s="43"/>
      <c r="E288" s="43"/>
    </row>
    <row r="289" spans="2:5" ht="13">
      <c r="B289" s="43"/>
      <c r="C289" s="43"/>
      <c r="E289" s="43"/>
    </row>
    <row r="290" spans="2:5" ht="13">
      <c r="B290" s="43"/>
      <c r="C290" s="43"/>
      <c r="E290" s="43"/>
    </row>
    <row r="291" spans="2:5" ht="13">
      <c r="B291" s="43"/>
      <c r="C291" s="43"/>
      <c r="E291" s="43"/>
    </row>
    <row r="292" spans="2:5" ht="13">
      <c r="B292" s="43"/>
      <c r="C292" s="43"/>
      <c r="E292" s="43"/>
    </row>
    <row r="293" spans="2:5" ht="13">
      <c r="B293" s="43"/>
      <c r="C293" s="43"/>
      <c r="E293" s="43"/>
    </row>
    <row r="294" spans="2:5" ht="13">
      <c r="B294" s="43"/>
      <c r="C294" s="43"/>
      <c r="E294" s="43"/>
    </row>
    <row r="295" spans="2:5" ht="13">
      <c r="B295" s="43"/>
      <c r="C295" s="43"/>
      <c r="E295" s="43"/>
    </row>
    <row r="296" spans="2:5" ht="13">
      <c r="B296" s="43"/>
      <c r="C296" s="43"/>
      <c r="E296" s="43"/>
    </row>
    <row r="297" spans="2:5" ht="13">
      <c r="B297" s="43"/>
      <c r="C297" s="43"/>
      <c r="E297" s="43"/>
    </row>
    <row r="298" spans="2:5" ht="13">
      <c r="B298" s="43"/>
      <c r="C298" s="43"/>
      <c r="E298" s="43"/>
    </row>
    <row r="299" spans="2:5" ht="13">
      <c r="B299" s="43"/>
      <c r="C299" s="43"/>
      <c r="E299" s="43"/>
    </row>
    <row r="300" spans="2:5" ht="13">
      <c r="B300" s="43"/>
      <c r="C300" s="43"/>
      <c r="E300" s="43"/>
    </row>
    <row r="301" spans="2:5" ht="13">
      <c r="B301" s="43"/>
      <c r="C301" s="43"/>
      <c r="E301" s="43"/>
    </row>
    <row r="302" spans="2:5" ht="13">
      <c r="B302" s="43"/>
      <c r="C302" s="43"/>
      <c r="E302" s="43"/>
    </row>
    <row r="303" spans="2:5" ht="13">
      <c r="B303" s="43"/>
      <c r="C303" s="43"/>
      <c r="E303" s="43"/>
    </row>
    <row r="304" spans="2:5" ht="13">
      <c r="B304" s="43"/>
      <c r="C304" s="43"/>
      <c r="E304" s="43"/>
    </row>
    <row r="305" spans="2:5" ht="13">
      <c r="B305" s="43"/>
      <c r="C305" s="43"/>
      <c r="E305" s="43"/>
    </row>
    <row r="306" spans="2:5" ht="13">
      <c r="B306" s="43"/>
      <c r="C306" s="43"/>
      <c r="E306" s="43"/>
    </row>
    <row r="307" spans="2:5" ht="13">
      <c r="B307" s="43"/>
      <c r="C307" s="43"/>
      <c r="E307" s="43"/>
    </row>
    <row r="308" spans="2:5" ht="13">
      <c r="B308" s="43"/>
      <c r="C308" s="43"/>
      <c r="E308" s="43"/>
    </row>
    <row r="309" spans="2:5" ht="13">
      <c r="B309" s="43"/>
      <c r="C309" s="43"/>
      <c r="E309" s="43"/>
    </row>
    <row r="310" spans="2:5" ht="13">
      <c r="B310" s="43"/>
      <c r="C310" s="43"/>
      <c r="E310" s="43"/>
    </row>
    <row r="311" spans="2:5" ht="13">
      <c r="B311" s="43"/>
      <c r="C311" s="43"/>
      <c r="E311" s="43"/>
    </row>
    <row r="312" spans="2:5" ht="13">
      <c r="B312" s="43"/>
      <c r="C312" s="43"/>
      <c r="E312" s="43"/>
    </row>
    <row r="313" spans="2:5" ht="13">
      <c r="B313" s="43"/>
      <c r="C313" s="43"/>
      <c r="E313" s="43"/>
    </row>
    <row r="314" spans="2:5" ht="13">
      <c r="B314" s="43"/>
      <c r="C314" s="43"/>
      <c r="E314" s="43"/>
    </row>
    <row r="315" spans="2:5" ht="13">
      <c r="B315" s="43"/>
      <c r="C315" s="43"/>
      <c r="E315" s="43"/>
    </row>
    <row r="316" spans="2:5" ht="13">
      <c r="B316" s="43"/>
      <c r="C316" s="43"/>
      <c r="E316" s="43"/>
    </row>
    <row r="317" spans="2:5" ht="13">
      <c r="B317" s="43"/>
      <c r="C317" s="43"/>
      <c r="E317" s="43"/>
    </row>
    <row r="318" spans="2:5" ht="13">
      <c r="B318" s="43"/>
      <c r="C318" s="43"/>
      <c r="E318" s="43"/>
    </row>
    <row r="319" spans="2:5" ht="13">
      <c r="B319" s="43"/>
      <c r="C319" s="43"/>
      <c r="E319" s="43"/>
    </row>
    <row r="320" spans="2:5" ht="13">
      <c r="B320" s="43"/>
      <c r="C320" s="43"/>
      <c r="E320" s="43"/>
    </row>
    <row r="321" spans="2:5" ht="13">
      <c r="B321" s="43"/>
      <c r="C321" s="43"/>
      <c r="E321" s="43"/>
    </row>
    <row r="322" spans="2:5" ht="13">
      <c r="B322" s="43"/>
      <c r="C322" s="43"/>
      <c r="E322" s="43"/>
    </row>
    <row r="323" spans="2:5" ht="13">
      <c r="B323" s="43"/>
      <c r="C323" s="43"/>
      <c r="E323" s="43"/>
    </row>
    <row r="324" spans="2:5" ht="13">
      <c r="B324" s="43"/>
      <c r="C324" s="43"/>
      <c r="E324" s="43"/>
    </row>
    <row r="325" spans="2:5" ht="13">
      <c r="B325" s="43"/>
      <c r="C325" s="43"/>
      <c r="E325" s="43"/>
    </row>
    <row r="326" spans="2:5" ht="13">
      <c r="B326" s="43"/>
      <c r="C326" s="43"/>
      <c r="E326" s="43"/>
    </row>
    <row r="327" spans="2:5" ht="13">
      <c r="B327" s="43"/>
      <c r="C327" s="43"/>
      <c r="E327" s="43"/>
    </row>
    <row r="328" spans="2:5" ht="13">
      <c r="B328" s="43"/>
      <c r="C328" s="43"/>
      <c r="E328" s="43"/>
    </row>
    <row r="329" spans="2:5" ht="13">
      <c r="B329" s="43"/>
      <c r="C329" s="43"/>
      <c r="E329" s="43"/>
    </row>
    <row r="330" spans="2:5" ht="13">
      <c r="B330" s="43"/>
      <c r="C330" s="43"/>
      <c r="E330" s="43"/>
    </row>
    <row r="331" spans="2:5" ht="13">
      <c r="B331" s="43"/>
      <c r="C331" s="43"/>
      <c r="E331" s="43"/>
    </row>
    <row r="332" spans="2:5" ht="13">
      <c r="B332" s="43"/>
      <c r="C332" s="43"/>
      <c r="E332" s="43"/>
    </row>
    <row r="333" spans="2:5" ht="13">
      <c r="B333" s="43"/>
      <c r="C333" s="43"/>
      <c r="E333" s="43"/>
    </row>
    <row r="334" spans="2:5" ht="13">
      <c r="B334" s="43"/>
      <c r="C334" s="43"/>
      <c r="E334" s="43"/>
    </row>
    <row r="335" spans="2:5" ht="13">
      <c r="B335" s="43"/>
      <c r="C335" s="43"/>
      <c r="E335" s="43"/>
    </row>
    <row r="336" spans="2:5" ht="13">
      <c r="B336" s="43"/>
      <c r="C336" s="43"/>
      <c r="E336" s="43"/>
    </row>
    <row r="337" spans="2:5" ht="13">
      <c r="B337" s="43"/>
      <c r="C337" s="43"/>
      <c r="E337" s="43"/>
    </row>
    <row r="338" spans="2:5" ht="13">
      <c r="B338" s="43"/>
      <c r="C338" s="43"/>
      <c r="E338" s="43"/>
    </row>
    <row r="339" spans="2:5" ht="13">
      <c r="B339" s="43"/>
      <c r="C339" s="43"/>
      <c r="E339" s="43"/>
    </row>
    <row r="340" spans="2:5" ht="13">
      <c r="B340" s="43"/>
      <c r="C340" s="43"/>
      <c r="E340" s="43"/>
    </row>
    <row r="341" spans="2:5" ht="13">
      <c r="B341" s="43"/>
      <c r="C341" s="43"/>
      <c r="E341" s="43"/>
    </row>
    <row r="342" spans="2:5" ht="13">
      <c r="B342" s="43"/>
      <c r="C342" s="43"/>
      <c r="E342" s="43"/>
    </row>
    <row r="343" spans="2:5" ht="13">
      <c r="B343" s="43"/>
      <c r="C343" s="43"/>
      <c r="E343" s="43"/>
    </row>
    <row r="344" spans="2:5" ht="13">
      <c r="B344" s="43"/>
      <c r="C344" s="43"/>
      <c r="E344" s="43"/>
    </row>
    <row r="345" spans="2:5" ht="13">
      <c r="B345" s="43"/>
      <c r="C345" s="43"/>
      <c r="E345" s="43"/>
    </row>
    <row r="346" spans="2:5" ht="13">
      <c r="B346" s="43"/>
      <c r="C346" s="43"/>
      <c r="E346" s="43"/>
    </row>
    <row r="347" spans="2:5" ht="13">
      <c r="B347" s="43"/>
      <c r="C347" s="43"/>
      <c r="E347" s="43"/>
    </row>
    <row r="348" spans="2:5" ht="13">
      <c r="B348" s="43"/>
      <c r="C348" s="43"/>
      <c r="E348" s="43"/>
    </row>
    <row r="349" spans="2:5" ht="13">
      <c r="B349" s="43"/>
      <c r="C349" s="43"/>
      <c r="E349" s="43"/>
    </row>
    <row r="350" spans="2:5" ht="13">
      <c r="B350" s="43"/>
      <c r="C350" s="43"/>
      <c r="E350" s="43"/>
    </row>
    <row r="351" spans="2:5" ht="13">
      <c r="B351" s="43"/>
      <c r="C351" s="43"/>
      <c r="E351" s="43"/>
    </row>
    <row r="352" spans="2:5" ht="13">
      <c r="B352" s="43"/>
      <c r="C352" s="43"/>
      <c r="E352" s="43"/>
    </row>
    <row r="353" spans="2:5" ht="13">
      <c r="B353" s="43"/>
      <c r="C353" s="43"/>
      <c r="E353" s="43"/>
    </row>
    <row r="354" spans="2:5" ht="13">
      <c r="B354" s="43"/>
      <c r="C354" s="43"/>
      <c r="E354" s="43"/>
    </row>
    <row r="355" spans="2:5" ht="13">
      <c r="B355" s="43"/>
      <c r="C355" s="43"/>
      <c r="E355" s="43"/>
    </row>
    <row r="356" spans="2:5" ht="13">
      <c r="B356" s="43"/>
      <c r="C356" s="43"/>
      <c r="E356" s="43"/>
    </row>
    <row r="357" spans="2:5" ht="13">
      <c r="B357" s="43"/>
      <c r="C357" s="43"/>
      <c r="E357" s="43"/>
    </row>
    <row r="358" spans="2:5" ht="13">
      <c r="B358" s="43"/>
      <c r="C358" s="43"/>
      <c r="E358" s="43"/>
    </row>
    <row r="359" spans="2:5" ht="13">
      <c r="B359" s="43"/>
      <c r="C359" s="43"/>
      <c r="E359" s="43"/>
    </row>
    <row r="360" spans="2:5" ht="13">
      <c r="B360" s="43"/>
      <c r="C360" s="43"/>
      <c r="E360" s="43"/>
    </row>
    <row r="361" spans="2:5" ht="13">
      <c r="B361" s="43"/>
      <c r="C361" s="43"/>
      <c r="E361" s="43"/>
    </row>
    <row r="362" spans="2:5" ht="13">
      <c r="B362" s="43"/>
      <c r="C362" s="43"/>
      <c r="E362" s="43"/>
    </row>
    <row r="363" spans="2:5" ht="13">
      <c r="B363" s="43"/>
      <c r="C363" s="43"/>
      <c r="E363" s="43"/>
    </row>
    <row r="364" spans="2:5" ht="13">
      <c r="B364" s="43"/>
      <c r="C364" s="43"/>
      <c r="E364" s="43"/>
    </row>
    <row r="365" spans="2:5" ht="13">
      <c r="B365" s="43"/>
      <c r="C365" s="43"/>
      <c r="E365" s="43"/>
    </row>
    <row r="366" spans="2:5" ht="13">
      <c r="B366" s="43"/>
      <c r="C366" s="43"/>
      <c r="E366" s="43"/>
    </row>
    <row r="367" spans="2:5" ht="13">
      <c r="B367" s="43"/>
      <c r="C367" s="43"/>
      <c r="E367" s="43"/>
    </row>
    <row r="368" spans="2:5" ht="13">
      <c r="B368" s="43"/>
      <c r="C368" s="43"/>
      <c r="E368" s="43"/>
    </row>
    <row r="369" spans="2:5" ht="13">
      <c r="B369" s="43"/>
      <c r="C369" s="43"/>
      <c r="E369" s="43"/>
    </row>
    <row r="370" spans="2:5" ht="13">
      <c r="B370" s="43"/>
      <c r="C370" s="43"/>
      <c r="E370" s="43"/>
    </row>
    <row r="371" spans="2:5" ht="13">
      <c r="B371" s="43"/>
      <c r="C371" s="43"/>
      <c r="E371" s="43"/>
    </row>
    <row r="372" spans="2:5" ht="13">
      <c r="B372" s="43"/>
      <c r="C372" s="43"/>
      <c r="E372" s="43"/>
    </row>
    <row r="373" spans="2:5" ht="13">
      <c r="B373" s="43"/>
      <c r="C373" s="43"/>
      <c r="E373" s="43"/>
    </row>
    <row r="374" spans="2:5" ht="13">
      <c r="B374" s="43"/>
      <c r="C374" s="43"/>
      <c r="E374" s="43"/>
    </row>
    <row r="375" spans="2:5" ht="13">
      <c r="B375" s="43"/>
      <c r="C375" s="43"/>
      <c r="E375" s="43"/>
    </row>
    <row r="376" spans="2:5" ht="13">
      <c r="B376" s="43"/>
      <c r="C376" s="43"/>
      <c r="E376" s="43"/>
    </row>
    <row r="377" spans="2:5" ht="13">
      <c r="B377" s="43"/>
      <c r="C377" s="43"/>
      <c r="E377" s="43"/>
    </row>
    <row r="378" spans="2:5" ht="13">
      <c r="B378" s="43"/>
      <c r="C378" s="43"/>
      <c r="E378" s="43"/>
    </row>
    <row r="379" spans="2:5" ht="13">
      <c r="B379" s="43"/>
      <c r="C379" s="43"/>
      <c r="E379" s="43"/>
    </row>
    <row r="380" spans="2:5" ht="13">
      <c r="B380" s="43"/>
      <c r="C380" s="43"/>
      <c r="E380" s="43"/>
    </row>
    <row r="381" spans="2:5" ht="13">
      <c r="B381" s="43"/>
      <c r="C381" s="43"/>
      <c r="E381" s="43"/>
    </row>
    <row r="382" spans="2:5" ht="13">
      <c r="B382" s="43"/>
      <c r="C382" s="43"/>
      <c r="E382" s="43"/>
    </row>
    <row r="383" spans="2:5" ht="13">
      <c r="B383" s="43"/>
      <c r="C383" s="43"/>
      <c r="E383" s="43"/>
    </row>
    <row r="384" spans="2:5" ht="13">
      <c r="B384" s="43"/>
      <c r="C384" s="43"/>
      <c r="E384" s="43"/>
    </row>
    <row r="385" spans="2:5" ht="13">
      <c r="B385" s="43"/>
      <c r="C385" s="43"/>
      <c r="E385" s="43"/>
    </row>
    <row r="386" spans="2:5" ht="13">
      <c r="B386" s="43"/>
      <c r="C386" s="43"/>
      <c r="E386" s="43"/>
    </row>
    <row r="387" spans="2:5" ht="13">
      <c r="B387" s="43"/>
      <c r="C387" s="43"/>
      <c r="E387" s="43"/>
    </row>
    <row r="388" spans="2:5" ht="13">
      <c r="B388" s="43"/>
      <c r="C388" s="43"/>
      <c r="E388" s="43"/>
    </row>
    <row r="389" spans="2:5" ht="13">
      <c r="B389" s="43"/>
      <c r="C389" s="43"/>
      <c r="E389" s="43"/>
    </row>
    <row r="390" spans="2:5" ht="13">
      <c r="B390" s="43"/>
      <c r="C390" s="43"/>
      <c r="E390" s="43"/>
    </row>
    <row r="391" spans="2:5" ht="13">
      <c r="B391" s="43"/>
      <c r="C391" s="43"/>
      <c r="E391" s="43"/>
    </row>
    <row r="392" spans="2:5" ht="13">
      <c r="B392" s="43"/>
      <c r="C392" s="43"/>
      <c r="E392" s="43"/>
    </row>
    <row r="393" spans="2:5" ht="13">
      <c r="B393" s="43"/>
      <c r="C393" s="43"/>
      <c r="E393" s="43"/>
    </row>
    <row r="394" spans="2:5" ht="13">
      <c r="B394" s="43"/>
      <c r="C394" s="43"/>
      <c r="E394" s="43"/>
    </row>
    <row r="395" spans="2:5" ht="13">
      <c r="B395" s="43"/>
      <c r="C395" s="43"/>
      <c r="E395" s="43"/>
    </row>
    <row r="396" spans="2:5" ht="13">
      <c r="B396" s="43"/>
      <c r="C396" s="43"/>
      <c r="E396" s="43"/>
    </row>
    <row r="397" spans="2:5" ht="13">
      <c r="B397" s="43"/>
      <c r="C397" s="43"/>
      <c r="E397" s="43"/>
    </row>
    <row r="398" spans="2:5" ht="13">
      <c r="B398" s="43"/>
      <c r="C398" s="43"/>
      <c r="E398" s="43"/>
    </row>
    <row r="399" spans="2:5" ht="13">
      <c r="B399" s="43"/>
      <c r="C399" s="43"/>
      <c r="E399" s="43"/>
    </row>
    <row r="400" spans="2:5" ht="13">
      <c r="B400" s="43"/>
      <c r="C400" s="43"/>
      <c r="E400" s="43"/>
    </row>
    <row r="401" spans="2:5" ht="13">
      <c r="B401" s="43"/>
      <c r="C401" s="43"/>
      <c r="E401" s="43"/>
    </row>
    <row r="402" spans="2:5" ht="13">
      <c r="B402" s="43"/>
      <c r="C402" s="43"/>
      <c r="E402" s="43"/>
    </row>
    <row r="403" spans="2:5" ht="13">
      <c r="B403" s="43"/>
      <c r="C403" s="43"/>
      <c r="E403" s="43"/>
    </row>
    <row r="404" spans="2:5" ht="13">
      <c r="B404" s="43"/>
      <c r="C404" s="43"/>
      <c r="E404" s="43"/>
    </row>
    <row r="405" spans="2:5" ht="13">
      <c r="B405" s="43"/>
      <c r="C405" s="43"/>
      <c r="E405" s="43"/>
    </row>
    <row r="406" spans="2:5" ht="13">
      <c r="B406" s="43"/>
      <c r="C406" s="43"/>
      <c r="E406" s="43"/>
    </row>
    <row r="407" spans="2:5" ht="13">
      <c r="B407" s="43"/>
      <c r="C407" s="43"/>
      <c r="E407" s="43"/>
    </row>
    <row r="408" spans="2:5" ht="13">
      <c r="B408" s="43"/>
      <c r="C408" s="43"/>
      <c r="E408" s="43"/>
    </row>
    <row r="409" spans="2:5" ht="13">
      <c r="B409" s="43"/>
      <c r="C409" s="43"/>
      <c r="E409" s="43"/>
    </row>
    <row r="410" spans="2:5" ht="13">
      <c r="B410" s="43"/>
      <c r="C410" s="43"/>
      <c r="E410" s="43"/>
    </row>
    <row r="411" spans="2:5" ht="13">
      <c r="B411" s="43"/>
      <c r="C411" s="43"/>
      <c r="E411" s="43"/>
    </row>
    <row r="412" spans="2:5" ht="13">
      <c r="B412" s="43"/>
      <c r="C412" s="43"/>
      <c r="E412" s="43"/>
    </row>
    <row r="413" spans="2:5" ht="13">
      <c r="B413" s="43"/>
      <c r="C413" s="43"/>
      <c r="E413" s="43"/>
    </row>
    <row r="414" spans="2:5" ht="13">
      <c r="B414" s="43"/>
      <c r="C414" s="43"/>
      <c r="E414" s="43"/>
    </row>
    <row r="415" spans="2:5" ht="13">
      <c r="B415" s="43"/>
      <c r="C415" s="43"/>
      <c r="E415" s="43"/>
    </row>
    <row r="416" spans="2:5" ht="13">
      <c r="B416" s="43"/>
      <c r="C416" s="43"/>
      <c r="E416" s="43"/>
    </row>
    <row r="417" spans="2:5" ht="13">
      <c r="B417" s="43"/>
      <c r="C417" s="43"/>
      <c r="E417" s="43"/>
    </row>
    <row r="418" spans="2:5" ht="13">
      <c r="B418" s="43"/>
      <c r="C418" s="43"/>
      <c r="E418" s="43"/>
    </row>
    <row r="419" spans="2:5" ht="13">
      <c r="B419" s="43"/>
      <c r="C419" s="43"/>
      <c r="E419" s="43"/>
    </row>
    <row r="420" spans="2:5" ht="13">
      <c r="B420" s="43"/>
      <c r="C420" s="43"/>
      <c r="E420" s="43"/>
    </row>
    <row r="421" spans="2:5" ht="13">
      <c r="B421" s="43"/>
      <c r="C421" s="43"/>
      <c r="E421" s="43"/>
    </row>
    <row r="422" spans="2:5" ht="13">
      <c r="B422" s="43"/>
      <c r="C422" s="43"/>
      <c r="E422" s="43"/>
    </row>
    <row r="423" spans="2:5" ht="13">
      <c r="B423" s="43"/>
      <c r="C423" s="43"/>
      <c r="E423" s="43"/>
    </row>
    <row r="424" spans="2:5" ht="13">
      <c r="B424" s="43"/>
      <c r="C424" s="43"/>
      <c r="E424" s="43"/>
    </row>
    <row r="425" spans="2:5" ht="13">
      <c r="B425" s="43"/>
      <c r="C425" s="43"/>
      <c r="E425" s="43"/>
    </row>
    <row r="426" spans="2:5" ht="13">
      <c r="B426" s="43"/>
      <c r="C426" s="43"/>
      <c r="E426" s="43"/>
    </row>
    <row r="427" spans="2:5" ht="13">
      <c r="B427" s="43"/>
      <c r="C427" s="43"/>
      <c r="E427" s="43"/>
    </row>
    <row r="428" spans="2:5" ht="13">
      <c r="B428" s="43"/>
      <c r="C428" s="43"/>
      <c r="E428" s="43"/>
    </row>
    <row r="429" spans="2:5" ht="13">
      <c r="B429" s="43"/>
      <c r="C429" s="43"/>
      <c r="E429" s="43"/>
    </row>
    <row r="430" spans="2:5" ht="13">
      <c r="B430" s="43"/>
      <c r="C430" s="43"/>
      <c r="E430" s="43"/>
    </row>
    <row r="431" spans="2:5" ht="13">
      <c r="B431" s="43"/>
      <c r="C431" s="43"/>
      <c r="E431" s="43"/>
    </row>
    <row r="432" spans="2:5" ht="13">
      <c r="B432" s="43"/>
      <c r="C432" s="43"/>
      <c r="E432" s="43"/>
    </row>
    <row r="433" spans="2:5" ht="13">
      <c r="B433" s="43"/>
      <c r="C433" s="43"/>
      <c r="E433" s="43"/>
    </row>
    <row r="434" spans="2:5" ht="13">
      <c r="B434" s="43"/>
      <c r="C434" s="43"/>
      <c r="E434" s="43"/>
    </row>
    <row r="435" spans="2:5" ht="13">
      <c r="B435" s="43"/>
      <c r="C435" s="43"/>
      <c r="E435" s="43"/>
    </row>
    <row r="436" spans="2:5" ht="13">
      <c r="B436" s="43"/>
      <c r="C436" s="43"/>
      <c r="E436" s="43"/>
    </row>
    <row r="437" spans="2:5" ht="13">
      <c r="B437" s="43"/>
      <c r="C437" s="43"/>
      <c r="E437" s="43"/>
    </row>
    <row r="438" spans="2:5" ht="13">
      <c r="B438" s="43"/>
      <c r="C438" s="43"/>
      <c r="E438" s="43"/>
    </row>
    <row r="439" spans="2:5" ht="13">
      <c r="B439" s="43"/>
      <c r="C439" s="43"/>
      <c r="E439" s="43"/>
    </row>
    <row r="440" spans="2:5" ht="13">
      <c r="B440" s="43"/>
      <c r="C440" s="43"/>
      <c r="E440" s="43"/>
    </row>
    <row r="441" spans="2:5" ht="13">
      <c r="B441" s="43"/>
      <c r="C441" s="43"/>
      <c r="E441" s="43"/>
    </row>
    <row r="442" spans="2:5" ht="13">
      <c r="B442" s="43"/>
      <c r="C442" s="43"/>
      <c r="E442" s="43"/>
    </row>
    <row r="443" spans="2:5" ht="13">
      <c r="B443" s="43"/>
      <c r="C443" s="43"/>
      <c r="E443" s="43"/>
    </row>
    <row r="444" spans="2:5" ht="13">
      <c r="B444" s="43"/>
      <c r="C444" s="43"/>
      <c r="E444" s="43"/>
    </row>
    <row r="445" spans="2:5" ht="13">
      <c r="B445" s="43"/>
      <c r="C445" s="43"/>
      <c r="E445" s="43"/>
    </row>
    <row r="446" spans="2:5" ht="13">
      <c r="B446" s="43"/>
      <c r="C446" s="43"/>
      <c r="E446" s="43"/>
    </row>
    <row r="447" spans="2:5" ht="13">
      <c r="B447" s="43"/>
      <c r="C447" s="43"/>
      <c r="E447" s="43"/>
    </row>
    <row r="448" spans="2:5" ht="13">
      <c r="B448" s="43"/>
      <c r="C448" s="43"/>
      <c r="E448" s="43"/>
    </row>
    <row r="449" spans="2:5" ht="13">
      <c r="B449" s="43"/>
      <c r="C449" s="43"/>
      <c r="E449" s="43"/>
    </row>
    <row r="450" spans="2:5" ht="13">
      <c r="B450" s="43"/>
      <c r="C450" s="43"/>
      <c r="E450" s="43"/>
    </row>
    <row r="451" spans="2:5" ht="13">
      <c r="B451" s="43"/>
      <c r="C451" s="43"/>
      <c r="E451" s="43"/>
    </row>
    <row r="452" spans="2:5" ht="13">
      <c r="B452" s="43"/>
      <c r="C452" s="43"/>
      <c r="E452" s="43"/>
    </row>
    <row r="453" spans="2:5" ht="13">
      <c r="B453" s="43"/>
      <c r="C453" s="43"/>
      <c r="E453" s="43"/>
    </row>
    <row r="454" spans="2:5" ht="13">
      <c r="B454" s="43"/>
      <c r="C454" s="43"/>
      <c r="E454" s="43"/>
    </row>
    <row r="455" spans="2:5" ht="13">
      <c r="B455" s="43"/>
      <c r="C455" s="43"/>
      <c r="E455" s="43"/>
    </row>
    <row r="456" spans="2:5" ht="13">
      <c r="B456" s="43"/>
      <c r="C456" s="43"/>
      <c r="E456" s="43"/>
    </row>
    <row r="457" spans="2:5" ht="13">
      <c r="B457" s="43"/>
      <c r="C457" s="43"/>
      <c r="E457" s="43"/>
    </row>
    <row r="458" spans="2:5" ht="13">
      <c r="B458" s="43"/>
      <c r="C458" s="43"/>
      <c r="E458" s="43"/>
    </row>
    <row r="459" spans="2:5" ht="13">
      <c r="B459" s="43"/>
      <c r="C459" s="43"/>
      <c r="E459" s="43"/>
    </row>
    <row r="460" spans="2:5" ht="13">
      <c r="B460" s="43"/>
      <c r="C460" s="43"/>
      <c r="E460" s="43"/>
    </row>
    <row r="461" spans="2:5" ht="13">
      <c r="B461" s="43"/>
      <c r="C461" s="43"/>
      <c r="E461" s="43"/>
    </row>
    <row r="462" spans="2:5" ht="13">
      <c r="B462" s="43"/>
      <c r="C462" s="43"/>
      <c r="E462" s="43"/>
    </row>
    <row r="463" spans="2:5" ht="13">
      <c r="B463" s="43"/>
      <c r="C463" s="43"/>
      <c r="E463" s="43"/>
    </row>
    <row r="464" spans="2:5" ht="13">
      <c r="B464" s="43"/>
      <c r="C464" s="43"/>
      <c r="E464" s="43"/>
    </row>
    <row r="465" spans="2:5" ht="13">
      <c r="B465" s="43"/>
      <c r="C465" s="43"/>
      <c r="E465" s="43"/>
    </row>
    <row r="466" spans="2:5" ht="13">
      <c r="B466" s="43"/>
      <c r="C466" s="43"/>
      <c r="E466" s="43"/>
    </row>
    <row r="467" spans="2:5" ht="13">
      <c r="B467" s="43"/>
      <c r="C467" s="43"/>
      <c r="E467" s="43"/>
    </row>
    <row r="468" spans="2:5" ht="13">
      <c r="B468" s="43"/>
      <c r="C468" s="43"/>
      <c r="E468" s="43"/>
    </row>
    <row r="469" spans="2:5" ht="13">
      <c r="B469" s="43"/>
      <c r="C469" s="43"/>
      <c r="E469" s="43"/>
    </row>
    <row r="470" spans="2:5" ht="13">
      <c r="B470" s="43"/>
      <c r="C470" s="43"/>
      <c r="E470" s="43"/>
    </row>
    <row r="471" spans="2:5" ht="13">
      <c r="B471" s="43"/>
      <c r="C471" s="43"/>
      <c r="E471" s="43"/>
    </row>
    <row r="472" spans="2:5" ht="13">
      <c r="B472" s="43"/>
      <c r="C472" s="43"/>
      <c r="E472" s="43"/>
    </row>
    <row r="473" spans="2:5" ht="13">
      <c r="B473" s="43"/>
      <c r="C473" s="43"/>
      <c r="E473" s="43"/>
    </row>
    <row r="474" spans="2:5" ht="13">
      <c r="B474" s="43"/>
      <c r="C474" s="43"/>
      <c r="E474" s="43"/>
    </row>
    <row r="475" spans="2:5" ht="13">
      <c r="B475" s="43"/>
      <c r="C475" s="43"/>
      <c r="E475" s="43"/>
    </row>
    <row r="476" spans="2:5" ht="13">
      <c r="B476" s="43"/>
      <c r="C476" s="43"/>
      <c r="E476" s="43"/>
    </row>
    <row r="477" spans="2:5" ht="13">
      <c r="B477" s="43"/>
      <c r="C477" s="43"/>
      <c r="E477" s="43"/>
    </row>
    <row r="478" spans="2:5" ht="13">
      <c r="B478" s="43"/>
      <c r="C478" s="43"/>
      <c r="E478" s="43"/>
    </row>
    <row r="479" spans="2:5" ht="13">
      <c r="B479" s="43"/>
      <c r="C479" s="43"/>
      <c r="E479" s="43"/>
    </row>
    <row r="480" spans="2:5" ht="13">
      <c r="B480" s="43"/>
      <c r="C480" s="43"/>
      <c r="E480" s="43"/>
    </row>
    <row r="481" spans="2:5" ht="13">
      <c r="B481" s="43"/>
      <c r="C481" s="43"/>
      <c r="E481" s="43"/>
    </row>
    <row r="482" spans="2:5" ht="13">
      <c r="B482" s="43"/>
      <c r="C482" s="43"/>
      <c r="E482" s="43"/>
    </row>
    <row r="483" spans="2:5" ht="13">
      <c r="B483" s="43"/>
      <c r="C483" s="43"/>
      <c r="E483" s="43"/>
    </row>
    <row r="484" spans="2:5" ht="13">
      <c r="B484" s="43"/>
      <c r="C484" s="43"/>
      <c r="E484" s="43"/>
    </row>
    <row r="485" spans="2:5" ht="13">
      <c r="B485" s="43"/>
      <c r="C485" s="43"/>
      <c r="E485" s="43"/>
    </row>
    <row r="486" spans="2:5" ht="13">
      <c r="B486" s="43"/>
      <c r="C486" s="43"/>
      <c r="E486" s="43"/>
    </row>
    <row r="487" spans="2:5" ht="13">
      <c r="B487" s="43"/>
      <c r="C487" s="43"/>
      <c r="E487" s="43"/>
    </row>
    <row r="488" spans="2:5" ht="13">
      <c r="B488" s="43"/>
      <c r="C488" s="43"/>
      <c r="E488" s="43"/>
    </row>
    <row r="489" spans="2:5" ht="13">
      <c r="B489" s="43"/>
      <c r="C489" s="43"/>
      <c r="E489" s="43"/>
    </row>
    <row r="490" spans="2:5" ht="13">
      <c r="B490" s="43"/>
      <c r="C490" s="43"/>
      <c r="E490" s="43"/>
    </row>
    <row r="491" spans="2:5" ht="13">
      <c r="B491" s="43"/>
      <c r="C491" s="43"/>
      <c r="E491" s="43"/>
    </row>
    <row r="492" spans="2:5" ht="13">
      <c r="B492" s="43"/>
      <c r="C492" s="43"/>
      <c r="E492" s="43"/>
    </row>
    <row r="493" spans="2:5" ht="13">
      <c r="B493" s="43"/>
      <c r="C493" s="43"/>
      <c r="E493" s="43"/>
    </row>
    <row r="494" spans="2:5" ht="13">
      <c r="B494" s="43"/>
      <c r="C494" s="43"/>
      <c r="E494" s="43"/>
    </row>
    <row r="495" spans="2:5" ht="13">
      <c r="B495" s="43"/>
      <c r="C495" s="43"/>
      <c r="E495" s="43"/>
    </row>
    <row r="496" spans="2:5" ht="13">
      <c r="B496" s="43"/>
      <c r="C496" s="43"/>
      <c r="E496" s="43"/>
    </row>
    <row r="497" spans="2:5" ht="13">
      <c r="B497" s="43"/>
      <c r="C497" s="43"/>
      <c r="E497" s="43"/>
    </row>
    <row r="498" spans="2:5" ht="13">
      <c r="B498" s="43"/>
      <c r="C498" s="43"/>
      <c r="E498" s="43"/>
    </row>
    <row r="499" spans="2:5" ht="13">
      <c r="B499" s="43"/>
      <c r="C499" s="43"/>
      <c r="E499" s="43"/>
    </row>
    <row r="500" spans="2:5" ht="13">
      <c r="B500" s="43"/>
      <c r="C500" s="43"/>
      <c r="E500" s="43"/>
    </row>
    <row r="501" spans="2:5" ht="13">
      <c r="B501" s="43"/>
      <c r="C501" s="43"/>
      <c r="E501" s="43"/>
    </row>
    <row r="502" spans="2:5" ht="13">
      <c r="B502" s="43"/>
      <c r="C502" s="43"/>
      <c r="E502" s="43"/>
    </row>
    <row r="503" spans="2:5" ht="13">
      <c r="B503" s="43"/>
      <c r="C503" s="43"/>
      <c r="E503" s="43"/>
    </row>
    <row r="504" spans="2:5" ht="13">
      <c r="B504" s="43"/>
      <c r="C504" s="43"/>
      <c r="E504" s="43"/>
    </row>
    <row r="505" spans="2:5" ht="13">
      <c r="B505" s="43"/>
      <c r="C505" s="43"/>
      <c r="E505" s="43"/>
    </row>
    <row r="506" spans="2:5" ht="13">
      <c r="B506" s="43"/>
      <c r="C506" s="43"/>
      <c r="E506" s="43"/>
    </row>
    <row r="507" spans="2:5" ht="13">
      <c r="B507" s="43"/>
      <c r="C507" s="43"/>
      <c r="E507" s="43"/>
    </row>
    <row r="508" spans="2:5" ht="13">
      <c r="B508" s="43"/>
      <c r="C508" s="43"/>
      <c r="E508" s="43"/>
    </row>
    <row r="509" spans="2:5" ht="13">
      <c r="B509" s="43"/>
      <c r="C509" s="43"/>
      <c r="E509" s="43"/>
    </row>
    <row r="510" spans="2:5" ht="13">
      <c r="B510" s="43"/>
      <c r="C510" s="43"/>
      <c r="E510" s="43"/>
    </row>
    <row r="511" spans="2:5" ht="13">
      <c r="B511" s="43"/>
      <c r="C511" s="43"/>
      <c r="E511" s="43"/>
    </row>
    <row r="512" spans="2:5" ht="13">
      <c r="B512" s="43"/>
      <c r="C512" s="43"/>
      <c r="E512" s="43"/>
    </row>
    <row r="513" spans="2:5" ht="13">
      <c r="B513" s="43"/>
      <c r="C513" s="43"/>
      <c r="E513" s="43"/>
    </row>
    <row r="514" spans="2:5" ht="13">
      <c r="B514" s="43"/>
      <c r="C514" s="43"/>
      <c r="E514" s="43"/>
    </row>
    <row r="515" spans="2:5" ht="13">
      <c r="B515" s="43"/>
      <c r="C515" s="43"/>
      <c r="E515" s="43"/>
    </row>
    <row r="516" spans="2:5" ht="13">
      <c r="B516" s="43"/>
      <c r="C516" s="43"/>
      <c r="E516" s="43"/>
    </row>
    <row r="517" spans="2:5" ht="13">
      <c r="B517" s="43"/>
      <c r="C517" s="43"/>
      <c r="E517" s="43"/>
    </row>
    <row r="518" spans="2:5" ht="13">
      <c r="B518" s="43"/>
      <c r="C518" s="43"/>
      <c r="E518" s="43"/>
    </row>
    <row r="519" spans="2:5" ht="13">
      <c r="B519" s="43"/>
      <c r="C519" s="43"/>
      <c r="E519" s="43"/>
    </row>
    <row r="520" spans="2:5" ht="13">
      <c r="B520" s="43"/>
      <c r="C520" s="43"/>
      <c r="E520" s="43"/>
    </row>
    <row r="521" spans="2:5" ht="13">
      <c r="B521" s="43"/>
      <c r="C521" s="43"/>
      <c r="E521" s="43"/>
    </row>
    <row r="522" spans="2:5" ht="13">
      <c r="B522" s="43"/>
      <c r="C522" s="43"/>
      <c r="E522" s="43"/>
    </row>
    <row r="523" spans="2:5" ht="13">
      <c r="B523" s="43"/>
      <c r="C523" s="43"/>
      <c r="E523" s="43"/>
    </row>
    <row r="524" spans="2:5" ht="13">
      <c r="B524" s="43"/>
      <c r="C524" s="43"/>
      <c r="E524" s="43"/>
    </row>
    <row r="525" spans="2:5" ht="13">
      <c r="B525" s="43"/>
      <c r="C525" s="43"/>
      <c r="E525" s="43"/>
    </row>
    <row r="526" spans="2:5" ht="13">
      <c r="B526" s="43"/>
      <c r="C526" s="43"/>
      <c r="E526" s="43"/>
    </row>
    <row r="527" spans="2:5" ht="13">
      <c r="B527" s="43"/>
      <c r="C527" s="43"/>
      <c r="E527" s="43"/>
    </row>
    <row r="528" spans="2:5" ht="13">
      <c r="B528" s="43"/>
      <c r="C528" s="43"/>
      <c r="E528" s="43"/>
    </row>
    <row r="529" spans="2:5" ht="13">
      <c r="B529" s="43"/>
      <c r="C529" s="43"/>
      <c r="E529" s="43"/>
    </row>
    <row r="530" spans="2:5" ht="13">
      <c r="B530" s="43"/>
      <c r="C530" s="43"/>
      <c r="E530" s="43"/>
    </row>
    <row r="531" spans="2:5" ht="13">
      <c r="B531" s="43"/>
      <c r="C531" s="43"/>
      <c r="E531" s="43"/>
    </row>
    <row r="532" spans="2:5" ht="13">
      <c r="B532" s="43"/>
      <c r="C532" s="43"/>
      <c r="E532" s="43"/>
    </row>
    <row r="533" spans="2:5" ht="13">
      <c r="B533" s="43"/>
      <c r="C533" s="43"/>
      <c r="E533" s="43"/>
    </row>
    <row r="534" spans="2:5" ht="13">
      <c r="B534" s="43"/>
      <c r="C534" s="43"/>
      <c r="E534" s="43"/>
    </row>
    <row r="535" spans="2:5" ht="13">
      <c r="B535" s="43"/>
      <c r="C535" s="43"/>
      <c r="E535" s="43"/>
    </row>
    <row r="536" spans="2:5" ht="13">
      <c r="B536" s="43"/>
      <c r="C536" s="43"/>
      <c r="E536" s="43"/>
    </row>
    <row r="537" spans="2:5" ht="13">
      <c r="B537" s="43"/>
      <c r="C537" s="43"/>
      <c r="E537" s="43"/>
    </row>
    <row r="538" spans="2:5" ht="13">
      <c r="B538" s="43"/>
      <c r="C538" s="43"/>
      <c r="E538" s="43"/>
    </row>
    <row r="539" spans="2:5" ht="13">
      <c r="B539" s="43"/>
      <c r="C539" s="43"/>
      <c r="E539" s="43"/>
    </row>
    <row r="540" spans="2:5" ht="13">
      <c r="B540" s="43"/>
      <c r="C540" s="43"/>
      <c r="E540" s="43"/>
    </row>
    <row r="541" spans="2:5" ht="13">
      <c r="B541" s="43"/>
      <c r="C541" s="43"/>
      <c r="E541" s="43"/>
    </row>
    <row r="542" spans="2:5" ht="13">
      <c r="B542" s="43"/>
      <c r="C542" s="43"/>
      <c r="E542" s="43"/>
    </row>
    <row r="543" spans="2:5" ht="13">
      <c r="B543" s="43"/>
      <c r="C543" s="43"/>
      <c r="E543" s="43"/>
    </row>
    <row r="544" spans="2:5" ht="13">
      <c r="B544" s="43"/>
      <c r="C544" s="43"/>
      <c r="E544" s="43"/>
    </row>
    <row r="545" spans="2:5" ht="13">
      <c r="B545" s="43"/>
      <c r="C545" s="43"/>
      <c r="E545" s="43"/>
    </row>
    <row r="546" spans="2:5" ht="13">
      <c r="B546" s="43"/>
      <c r="C546" s="43"/>
      <c r="E546" s="43"/>
    </row>
    <row r="547" spans="2:5" ht="13">
      <c r="B547" s="43"/>
      <c r="C547" s="43"/>
      <c r="E547" s="43"/>
    </row>
    <row r="548" spans="2:5" ht="13">
      <c r="B548" s="43"/>
      <c r="C548" s="43"/>
      <c r="E548" s="43"/>
    </row>
    <row r="549" spans="2:5" ht="13">
      <c r="B549" s="43"/>
      <c r="C549" s="43"/>
      <c r="E549" s="43"/>
    </row>
    <row r="550" spans="2:5" ht="13">
      <c r="B550" s="43"/>
      <c r="C550" s="43"/>
      <c r="E550" s="43"/>
    </row>
    <row r="551" spans="2:5" ht="13">
      <c r="B551" s="43"/>
      <c r="C551" s="43"/>
      <c r="E551" s="43"/>
    </row>
    <row r="552" spans="2:5" ht="13">
      <c r="B552" s="43"/>
      <c r="C552" s="43"/>
      <c r="E552" s="43"/>
    </row>
    <row r="553" spans="2:5" ht="13">
      <c r="B553" s="43"/>
      <c r="C553" s="43"/>
      <c r="E553" s="43"/>
    </row>
    <row r="554" spans="2:5" ht="13">
      <c r="B554" s="43"/>
      <c r="C554" s="43"/>
      <c r="E554" s="43"/>
    </row>
    <row r="555" spans="2:5" ht="13">
      <c r="B555" s="43"/>
      <c r="C555" s="43"/>
      <c r="E555" s="43"/>
    </row>
    <row r="556" spans="2:5" ht="13">
      <c r="B556" s="43"/>
      <c r="C556" s="43"/>
      <c r="E556" s="43"/>
    </row>
    <row r="557" spans="2:5" ht="13">
      <c r="B557" s="43"/>
      <c r="C557" s="43"/>
      <c r="E557" s="43"/>
    </row>
    <row r="558" spans="2:5" ht="13">
      <c r="B558" s="43"/>
      <c r="C558" s="43"/>
      <c r="E558" s="43"/>
    </row>
    <row r="559" spans="2:5" ht="13">
      <c r="B559" s="43"/>
      <c r="C559" s="43"/>
      <c r="E559" s="43"/>
    </row>
    <row r="560" spans="2:5" ht="13">
      <c r="B560" s="43"/>
      <c r="C560" s="43"/>
      <c r="E560" s="43"/>
    </row>
    <row r="561" spans="2:5" ht="13">
      <c r="B561" s="43"/>
      <c r="C561" s="43"/>
      <c r="E561" s="43"/>
    </row>
    <row r="562" spans="2:5" ht="13">
      <c r="B562" s="43"/>
      <c r="C562" s="43"/>
      <c r="E562" s="43"/>
    </row>
    <row r="563" spans="2:5" ht="13">
      <c r="B563" s="43"/>
      <c r="C563" s="43"/>
      <c r="E563" s="43"/>
    </row>
    <row r="564" spans="2:5" ht="13">
      <c r="B564" s="43"/>
      <c r="C564" s="43"/>
      <c r="E564" s="43"/>
    </row>
    <row r="565" spans="2:5" ht="13">
      <c r="B565" s="43"/>
      <c r="C565" s="43"/>
      <c r="E565" s="43"/>
    </row>
    <row r="566" spans="2:5" ht="13">
      <c r="B566" s="43"/>
      <c r="C566" s="43"/>
      <c r="E566" s="43"/>
    </row>
    <row r="567" spans="2:5" ht="13">
      <c r="B567" s="43"/>
      <c r="C567" s="43"/>
      <c r="E567" s="43"/>
    </row>
    <row r="568" spans="2:5" ht="13">
      <c r="B568" s="43"/>
      <c r="C568" s="43"/>
      <c r="E568" s="43"/>
    </row>
    <row r="569" spans="2:5" ht="13">
      <c r="B569" s="43"/>
      <c r="C569" s="43"/>
      <c r="E569" s="43"/>
    </row>
    <row r="570" spans="2:5" ht="13">
      <c r="B570" s="43"/>
      <c r="C570" s="43"/>
      <c r="E570" s="43"/>
    </row>
    <row r="571" spans="2:5" ht="13">
      <c r="B571" s="43"/>
      <c r="C571" s="43"/>
      <c r="E571" s="43"/>
    </row>
    <row r="572" spans="2:5" ht="13">
      <c r="B572" s="43"/>
      <c r="C572" s="43"/>
      <c r="E572" s="43"/>
    </row>
    <row r="573" spans="2:5" ht="13">
      <c r="B573" s="43"/>
      <c r="C573" s="43"/>
      <c r="E573" s="43"/>
    </row>
    <row r="574" spans="2:5" ht="13">
      <c r="B574" s="43"/>
      <c r="C574" s="43"/>
      <c r="E574" s="43"/>
    </row>
    <row r="575" spans="2:5" ht="13">
      <c r="B575" s="43"/>
      <c r="C575" s="43"/>
      <c r="E575" s="43"/>
    </row>
    <row r="576" spans="2:5" ht="13">
      <c r="B576" s="43"/>
      <c r="C576" s="43"/>
      <c r="E576" s="43"/>
    </row>
    <row r="577" spans="2:5" ht="13">
      <c r="B577" s="43"/>
      <c r="C577" s="43"/>
      <c r="E577" s="43"/>
    </row>
    <row r="578" spans="2:5" ht="13">
      <c r="B578" s="43"/>
      <c r="C578" s="43"/>
      <c r="E578" s="43"/>
    </row>
    <row r="579" spans="2:5" ht="13">
      <c r="B579" s="43"/>
      <c r="C579" s="43"/>
      <c r="E579" s="43"/>
    </row>
    <row r="580" spans="2:5" ht="13">
      <c r="B580" s="43"/>
      <c r="C580" s="43"/>
      <c r="E580" s="43"/>
    </row>
    <row r="581" spans="2:5" ht="13">
      <c r="B581" s="43"/>
      <c r="C581" s="43"/>
      <c r="E581" s="43"/>
    </row>
    <row r="582" spans="2:5" ht="13">
      <c r="B582" s="43"/>
      <c r="C582" s="43"/>
      <c r="E582" s="43"/>
    </row>
    <row r="583" spans="2:5" ht="13">
      <c r="B583" s="43"/>
      <c r="C583" s="43"/>
      <c r="E583" s="43"/>
    </row>
    <row r="584" spans="2:5" ht="13">
      <c r="B584" s="43"/>
      <c r="C584" s="43"/>
      <c r="E584" s="43"/>
    </row>
    <row r="585" spans="2:5" ht="13">
      <c r="B585" s="43"/>
      <c r="C585" s="43"/>
      <c r="E585" s="43"/>
    </row>
    <row r="586" spans="2:5" ht="13">
      <c r="B586" s="43"/>
      <c r="C586" s="43"/>
      <c r="E586" s="43"/>
    </row>
    <row r="587" spans="2:5" ht="13">
      <c r="B587" s="43"/>
      <c r="C587" s="43"/>
      <c r="E587" s="43"/>
    </row>
    <row r="588" spans="2:5" ht="13">
      <c r="B588" s="43"/>
      <c r="C588" s="43"/>
      <c r="E588" s="43"/>
    </row>
    <row r="589" spans="2:5" ht="13">
      <c r="B589" s="43"/>
      <c r="C589" s="43"/>
      <c r="E589" s="43"/>
    </row>
    <row r="590" spans="2:5" ht="13">
      <c r="B590" s="43"/>
      <c r="C590" s="43"/>
      <c r="E590" s="43"/>
    </row>
    <row r="591" spans="2:5" ht="13">
      <c r="B591" s="43"/>
      <c r="C591" s="43"/>
      <c r="E591" s="43"/>
    </row>
    <row r="592" spans="2:5" ht="13">
      <c r="B592" s="43"/>
      <c r="C592" s="43"/>
      <c r="E592" s="43"/>
    </row>
    <row r="593" spans="2:5" ht="13">
      <c r="B593" s="43"/>
      <c r="C593" s="43"/>
      <c r="E593" s="43"/>
    </row>
    <row r="594" spans="2:5" ht="13">
      <c r="B594" s="43"/>
      <c r="C594" s="43"/>
      <c r="E594" s="43"/>
    </row>
    <row r="595" spans="2:5" ht="13">
      <c r="B595" s="43"/>
      <c r="C595" s="43"/>
      <c r="E595" s="43"/>
    </row>
    <row r="596" spans="2:5" ht="13">
      <c r="B596" s="43"/>
      <c r="C596" s="43"/>
      <c r="E596" s="43"/>
    </row>
    <row r="597" spans="2:5" ht="13">
      <c r="B597" s="43"/>
      <c r="C597" s="43"/>
      <c r="E597" s="43"/>
    </row>
    <row r="598" spans="2:5" ht="13">
      <c r="B598" s="43"/>
      <c r="C598" s="43"/>
      <c r="E598" s="43"/>
    </row>
    <row r="599" spans="2:5" ht="13">
      <c r="B599" s="43"/>
      <c r="C599" s="43"/>
      <c r="E599" s="43"/>
    </row>
    <row r="600" spans="2:5" ht="13">
      <c r="B600" s="43"/>
      <c r="C600" s="43"/>
      <c r="E600" s="43"/>
    </row>
    <row r="601" spans="2:5" ht="13">
      <c r="B601" s="43"/>
      <c r="C601" s="43"/>
      <c r="E601" s="43"/>
    </row>
    <row r="602" spans="2:5" ht="13">
      <c r="B602" s="43"/>
      <c r="C602" s="43"/>
      <c r="E602" s="43"/>
    </row>
    <row r="603" spans="2:5" ht="13">
      <c r="B603" s="43"/>
      <c r="C603" s="43"/>
      <c r="E603" s="43"/>
    </row>
    <row r="604" spans="2:5" ht="13">
      <c r="B604" s="43"/>
      <c r="C604" s="43"/>
      <c r="E604" s="43"/>
    </row>
    <row r="605" spans="2:5" ht="13">
      <c r="B605" s="43"/>
      <c r="C605" s="43"/>
      <c r="E605" s="43"/>
    </row>
    <row r="606" spans="2:5" ht="13">
      <c r="B606" s="43"/>
      <c r="C606" s="43"/>
      <c r="E606" s="43"/>
    </row>
    <row r="607" spans="2:5" ht="13">
      <c r="B607" s="43"/>
      <c r="C607" s="43"/>
      <c r="E607" s="43"/>
    </row>
    <row r="608" spans="2:5" ht="13">
      <c r="B608" s="43"/>
      <c r="C608" s="43"/>
      <c r="E608" s="43"/>
    </row>
    <row r="609" spans="2:5" ht="13">
      <c r="B609" s="43"/>
      <c r="C609" s="43"/>
      <c r="E609" s="43"/>
    </row>
    <row r="610" spans="2:5" ht="13">
      <c r="B610" s="43"/>
      <c r="C610" s="43"/>
      <c r="E610" s="43"/>
    </row>
    <row r="611" spans="2:5" ht="13">
      <c r="B611" s="43"/>
      <c r="C611" s="43"/>
      <c r="E611" s="43"/>
    </row>
    <row r="612" spans="2:5" ht="13">
      <c r="B612" s="43"/>
      <c r="C612" s="43"/>
      <c r="E612" s="43"/>
    </row>
    <row r="613" spans="2:5" ht="13">
      <c r="B613" s="43"/>
      <c r="C613" s="43"/>
      <c r="E613" s="43"/>
    </row>
    <row r="614" spans="2:5" ht="13">
      <c r="B614" s="43"/>
      <c r="C614" s="43"/>
      <c r="E614" s="43"/>
    </row>
    <row r="615" spans="2:5" ht="13">
      <c r="B615" s="43"/>
      <c r="C615" s="43"/>
      <c r="E615" s="43"/>
    </row>
    <row r="616" spans="2:5" ht="13">
      <c r="B616" s="43"/>
      <c r="C616" s="43"/>
      <c r="E616" s="43"/>
    </row>
    <row r="617" spans="2:5" ht="13">
      <c r="B617" s="43"/>
      <c r="C617" s="43"/>
      <c r="E617" s="43"/>
    </row>
    <row r="618" spans="2:5" ht="13">
      <c r="B618" s="43"/>
      <c r="C618" s="43"/>
      <c r="E618" s="43"/>
    </row>
    <row r="619" spans="2:5" ht="13">
      <c r="B619" s="43"/>
      <c r="C619" s="43"/>
      <c r="E619" s="43"/>
    </row>
    <row r="620" spans="2:5" ht="13">
      <c r="B620" s="43"/>
      <c r="C620" s="43"/>
      <c r="E620" s="43"/>
    </row>
    <row r="621" spans="2:5" ht="13">
      <c r="B621" s="43"/>
      <c r="C621" s="43"/>
      <c r="E621" s="43"/>
    </row>
    <row r="622" spans="2:5" ht="13">
      <c r="B622" s="43"/>
      <c r="C622" s="43"/>
      <c r="E622" s="43"/>
    </row>
    <row r="623" spans="2:5" ht="13">
      <c r="B623" s="43"/>
      <c r="C623" s="43"/>
      <c r="E623" s="43"/>
    </row>
    <row r="624" spans="2:5" ht="13">
      <c r="B624" s="43"/>
      <c r="C624" s="43"/>
      <c r="E624" s="43"/>
    </row>
    <row r="625" spans="2:5" ht="13">
      <c r="B625" s="43"/>
      <c r="C625" s="43"/>
      <c r="E625" s="43"/>
    </row>
    <row r="626" spans="2:5" ht="13">
      <c r="B626" s="43"/>
      <c r="C626" s="43"/>
      <c r="E626" s="43"/>
    </row>
    <row r="627" spans="2:5" ht="13">
      <c r="B627" s="43"/>
      <c r="C627" s="43"/>
      <c r="E627" s="43"/>
    </row>
    <row r="628" spans="2:5" ht="13">
      <c r="B628" s="43"/>
      <c r="C628" s="43"/>
      <c r="E628" s="43"/>
    </row>
    <row r="629" spans="2:5" ht="13">
      <c r="B629" s="43"/>
      <c r="C629" s="43"/>
      <c r="E629" s="43"/>
    </row>
    <row r="630" spans="2:5" ht="13">
      <c r="B630" s="43"/>
      <c r="C630" s="43"/>
      <c r="E630" s="43"/>
    </row>
    <row r="631" spans="2:5" ht="13">
      <c r="B631" s="43"/>
      <c r="C631" s="43"/>
      <c r="E631" s="43"/>
    </row>
    <row r="632" spans="2:5" ht="13">
      <c r="B632" s="43"/>
      <c r="C632" s="43"/>
      <c r="E632" s="43"/>
    </row>
    <row r="633" spans="2:5" ht="13">
      <c r="B633" s="43"/>
      <c r="C633" s="43"/>
      <c r="E633" s="43"/>
    </row>
    <row r="634" spans="2:5" ht="13">
      <c r="B634" s="43"/>
      <c r="C634" s="43"/>
      <c r="E634" s="43"/>
    </row>
    <row r="635" spans="2:5" ht="13">
      <c r="B635" s="43"/>
      <c r="C635" s="43"/>
      <c r="E635" s="43"/>
    </row>
    <row r="636" spans="2:5" ht="13">
      <c r="B636" s="43"/>
      <c r="C636" s="43"/>
      <c r="E636" s="43"/>
    </row>
    <row r="637" spans="2:5" ht="13">
      <c r="B637" s="43"/>
      <c r="C637" s="43"/>
      <c r="E637" s="43"/>
    </row>
    <row r="638" spans="2:5" ht="13">
      <c r="B638" s="43"/>
      <c r="C638" s="43"/>
      <c r="E638" s="43"/>
    </row>
    <row r="639" spans="2:5" ht="13">
      <c r="B639" s="43"/>
      <c r="C639" s="43"/>
      <c r="E639" s="43"/>
    </row>
    <row r="640" spans="2:5" ht="13">
      <c r="B640" s="43"/>
      <c r="C640" s="43"/>
      <c r="E640" s="43"/>
    </row>
    <row r="641" spans="2:5" ht="13">
      <c r="B641" s="43"/>
      <c r="C641" s="43"/>
      <c r="E641" s="43"/>
    </row>
    <row r="642" spans="2:5" ht="13">
      <c r="B642" s="43"/>
      <c r="C642" s="43"/>
      <c r="E642" s="43"/>
    </row>
    <row r="643" spans="2:5" ht="13">
      <c r="B643" s="43"/>
      <c r="C643" s="43"/>
      <c r="E643" s="43"/>
    </row>
    <row r="644" spans="2:5" ht="13">
      <c r="B644" s="43"/>
      <c r="C644" s="43"/>
      <c r="E644" s="43"/>
    </row>
    <row r="645" spans="2:5" ht="13">
      <c r="B645" s="43"/>
      <c r="C645" s="43"/>
      <c r="E645" s="43"/>
    </row>
    <row r="646" spans="2:5" ht="13">
      <c r="B646" s="43"/>
      <c r="C646" s="43"/>
      <c r="E646" s="43"/>
    </row>
    <row r="647" spans="2:5" ht="13">
      <c r="B647" s="43"/>
      <c r="C647" s="43"/>
      <c r="E647" s="43"/>
    </row>
    <row r="648" spans="2:5" ht="13">
      <c r="B648" s="43"/>
      <c r="C648" s="43"/>
      <c r="E648" s="43"/>
    </row>
    <row r="649" spans="2:5" ht="13">
      <c r="B649" s="43"/>
      <c r="C649" s="43"/>
      <c r="E649" s="43"/>
    </row>
    <row r="650" spans="2:5" ht="13">
      <c r="B650" s="43"/>
      <c r="C650" s="43"/>
      <c r="E650" s="43"/>
    </row>
    <row r="651" spans="2:5" ht="13">
      <c r="B651" s="43"/>
      <c r="C651" s="43"/>
      <c r="E651" s="43"/>
    </row>
    <row r="652" spans="2:5" ht="13">
      <c r="B652" s="43"/>
      <c r="C652" s="43"/>
      <c r="E652" s="43"/>
    </row>
    <row r="653" spans="2:5" ht="13">
      <c r="B653" s="43"/>
      <c r="C653" s="43"/>
      <c r="E653" s="43"/>
    </row>
    <row r="654" spans="2:5" ht="13">
      <c r="B654" s="43"/>
      <c r="C654" s="43"/>
      <c r="E654" s="43"/>
    </row>
    <row r="655" spans="2:5" ht="13">
      <c r="B655" s="43"/>
      <c r="C655" s="43"/>
      <c r="E655" s="43"/>
    </row>
    <row r="656" spans="2:5" ht="13">
      <c r="B656" s="43"/>
      <c r="C656" s="43"/>
      <c r="E656" s="43"/>
    </row>
    <row r="657" spans="2:5" ht="13">
      <c r="B657" s="43"/>
      <c r="C657" s="43"/>
      <c r="E657" s="43"/>
    </row>
    <row r="658" spans="2:5" ht="13">
      <c r="B658" s="43"/>
      <c r="C658" s="43"/>
      <c r="E658" s="43"/>
    </row>
    <row r="659" spans="2:5" ht="13">
      <c r="B659" s="43"/>
      <c r="C659" s="43"/>
      <c r="E659" s="43"/>
    </row>
    <row r="660" spans="2:5" ht="13">
      <c r="B660" s="43"/>
      <c r="C660" s="43"/>
      <c r="E660" s="43"/>
    </row>
    <row r="661" spans="2:5" ht="13">
      <c r="B661" s="43"/>
      <c r="C661" s="43"/>
      <c r="E661" s="43"/>
    </row>
    <row r="662" spans="2:5" ht="13">
      <c r="B662" s="43"/>
      <c r="C662" s="43"/>
      <c r="E662" s="43"/>
    </row>
    <row r="663" spans="2:5" ht="13">
      <c r="B663" s="43"/>
      <c r="C663" s="43"/>
      <c r="E663" s="43"/>
    </row>
    <row r="664" spans="2:5" ht="13">
      <c r="B664" s="43"/>
      <c r="C664" s="43"/>
      <c r="E664" s="43"/>
    </row>
    <row r="665" spans="2:5" ht="13">
      <c r="B665" s="43"/>
      <c r="C665" s="43"/>
      <c r="E665" s="43"/>
    </row>
    <row r="666" spans="2:5" ht="13">
      <c r="B666" s="43"/>
      <c r="C666" s="43"/>
      <c r="E666" s="43"/>
    </row>
    <row r="667" spans="2:5" ht="13">
      <c r="B667" s="43"/>
      <c r="C667" s="43"/>
      <c r="E667" s="43"/>
    </row>
    <row r="668" spans="2:5" ht="13">
      <c r="B668" s="43"/>
      <c r="C668" s="43"/>
      <c r="E668" s="43"/>
    </row>
    <row r="669" spans="2:5" ht="13">
      <c r="B669" s="43"/>
      <c r="C669" s="43"/>
      <c r="E669" s="43"/>
    </row>
    <row r="670" spans="2:5" ht="13">
      <c r="B670" s="43"/>
      <c r="C670" s="43"/>
      <c r="E670" s="43"/>
    </row>
    <row r="671" spans="2:5" ht="13">
      <c r="B671" s="43"/>
      <c r="C671" s="43"/>
      <c r="E671" s="43"/>
    </row>
    <row r="672" spans="2:5" ht="13">
      <c r="B672" s="43"/>
      <c r="C672" s="43"/>
      <c r="E672" s="43"/>
    </row>
    <row r="673" spans="2:5" ht="13">
      <c r="B673" s="43"/>
      <c r="C673" s="43"/>
      <c r="E673" s="43"/>
    </row>
    <row r="674" spans="2:5" ht="13">
      <c r="B674" s="43"/>
      <c r="C674" s="43"/>
      <c r="E674" s="43"/>
    </row>
    <row r="675" spans="2:5" ht="13">
      <c r="B675" s="43"/>
      <c r="C675" s="43"/>
      <c r="E675" s="43"/>
    </row>
    <row r="676" spans="2:5" ht="13">
      <c r="B676" s="43"/>
      <c r="C676" s="43"/>
      <c r="E676" s="43"/>
    </row>
    <row r="677" spans="2:5" ht="13">
      <c r="B677" s="43"/>
      <c r="C677" s="43"/>
      <c r="E677" s="43"/>
    </row>
    <row r="678" spans="2:5" ht="13">
      <c r="B678" s="43"/>
      <c r="C678" s="43"/>
      <c r="E678" s="43"/>
    </row>
    <row r="679" spans="2:5" ht="13">
      <c r="B679" s="43"/>
      <c r="C679" s="43"/>
      <c r="E679" s="43"/>
    </row>
    <row r="680" spans="2:5" ht="13">
      <c r="B680" s="43"/>
      <c r="C680" s="43"/>
      <c r="E680" s="43"/>
    </row>
    <row r="681" spans="2:5" ht="13">
      <c r="B681" s="43"/>
      <c r="C681" s="43"/>
      <c r="E681" s="43"/>
    </row>
    <row r="682" spans="2:5" ht="13">
      <c r="B682" s="43"/>
      <c r="C682" s="43"/>
      <c r="E682" s="43"/>
    </row>
    <row r="683" spans="2:5" ht="13">
      <c r="B683" s="43"/>
      <c r="C683" s="43"/>
      <c r="E683" s="43"/>
    </row>
    <row r="684" spans="2:5" ht="13">
      <c r="B684" s="43"/>
      <c r="C684" s="43"/>
      <c r="E684" s="43"/>
    </row>
    <row r="685" spans="2:5" ht="13">
      <c r="B685" s="43"/>
      <c r="C685" s="43"/>
      <c r="E685" s="43"/>
    </row>
    <row r="686" spans="2:5" ht="13">
      <c r="B686" s="43"/>
      <c r="C686" s="43"/>
      <c r="E686" s="43"/>
    </row>
    <row r="687" spans="2:5" ht="13">
      <c r="B687" s="43"/>
      <c r="C687" s="43"/>
      <c r="E687" s="43"/>
    </row>
    <row r="688" spans="2:5" ht="13">
      <c r="B688" s="43"/>
      <c r="C688" s="43"/>
      <c r="E688" s="43"/>
    </row>
    <row r="689" spans="2:5" ht="13">
      <c r="B689" s="43"/>
      <c r="C689" s="43"/>
      <c r="E689" s="43"/>
    </row>
    <row r="690" spans="2:5" ht="13">
      <c r="B690" s="43"/>
      <c r="C690" s="43"/>
      <c r="E690" s="43"/>
    </row>
    <row r="691" spans="2:5" ht="13">
      <c r="B691" s="43"/>
      <c r="C691" s="43"/>
      <c r="E691" s="43"/>
    </row>
    <row r="692" spans="2:5" ht="13">
      <c r="B692" s="43"/>
      <c r="C692" s="43"/>
      <c r="E692" s="43"/>
    </row>
    <row r="693" spans="2:5" ht="13">
      <c r="B693" s="43"/>
      <c r="C693" s="43"/>
      <c r="E693" s="43"/>
    </row>
    <row r="694" spans="2:5" ht="13">
      <c r="B694" s="43"/>
      <c r="C694" s="43"/>
      <c r="E694" s="43"/>
    </row>
    <row r="695" spans="2:5" ht="13">
      <c r="B695" s="43"/>
      <c r="C695" s="43"/>
      <c r="E695" s="43"/>
    </row>
    <row r="696" spans="2:5" ht="13">
      <c r="B696" s="43"/>
      <c r="C696" s="43"/>
      <c r="E696" s="43"/>
    </row>
    <row r="697" spans="2:5" ht="13">
      <c r="B697" s="43"/>
      <c r="C697" s="43"/>
      <c r="E697" s="43"/>
    </row>
    <row r="698" spans="2:5" ht="13">
      <c r="B698" s="43"/>
      <c r="C698" s="43"/>
      <c r="E698" s="43"/>
    </row>
    <row r="699" spans="2:5" ht="13">
      <c r="B699" s="43"/>
      <c r="C699" s="43"/>
      <c r="E699" s="43"/>
    </row>
    <row r="700" spans="2:5" ht="13">
      <c r="B700" s="43"/>
      <c r="C700" s="43"/>
      <c r="E700" s="43"/>
    </row>
    <row r="701" spans="2:5" ht="13">
      <c r="B701" s="43"/>
      <c r="C701" s="43"/>
      <c r="E701" s="43"/>
    </row>
    <row r="702" spans="2:5" ht="13">
      <c r="B702" s="43"/>
      <c r="C702" s="43"/>
      <c r="E702" s="43"/>
    </row>
    <row r="703" spans="2:5" ht="13">
      <c r="B703" s="43"/>
      <c r="C703" s="43"/>
      <c r="E703" s="43"/>
    </row>
    <row r="704" spans="2:5" ht="13">
      <c r="B704" s="43"/>
      <c r="C704" s="43"/>
      <c r="E704" s="43"/>
    </row>
    <row r="705" spans="2:5" ht="13">
      <c r="B705" s="43"/>
      <c r="C705" s="43"/>
      <c r="E705" s="43"/>
    </row>
    <row r="706" spans="2:5" ht="13">
      <c r="B706" s="43"/>
      <c r="C706" s="43"/>
      <c r="E706" s="43"/>
    </row>
    <row r="707" spans="2:5" ht="13">
      <c r="B707" s="43"/>
      <c r="C707" s="43"/>
      <c r="E707" s="43"/>
    </row>
    <row r="708" spans="2:5" ht="13">
      <c r="B708" s="43"/>
      <c r="C708" s="43"/>
      <c r="E708" s="43"/>
    </row>
    <row r="709" spans="2:5" ht="13">
      <c r="B709" s="43"/>
      <c r="C709" s="43"/>
      <c r="E709" s="43"/>
    </row>
    <row r="710" spans="2:5" ht="13">
      <c r="B710" s="43"/>
      <c r="C710" s="43"/>
      <c r="E710" s="43"/>
    </row>
    <row r="711" spans="2:5" ht="13">
      <c r="B711" s="43"/>
      <c r="C711" s="43"/>
      <c r="E711" s="43"/>
    </row>
    <row r="712" spans="2:5" ht="13">
      <c r="B712" s="43"/>
      <c r="C712" s="43"/>
      <c r="E712" s="43"/>
    </row>
    <row r="713" spans="2:5" ht="13">
      <c r="B713" s="43"/>
      <c r="C713" s="43"/>
      <c r="E713" s="43"/>
    </row>
    <row r="714" spans="2:5" ht="13">
      <c r="B714" s="43"/>
      <c r="C714" s="43"/>
      <c r="E714" s="43"/>
    </row>
    <row r="715" spans="2:5" ht="13">
      <c r="B715" s="43"/>
      <c r="C715" s="43"/>
      <c r="E715" s="43"/>
    </row>
    <row r="716" spans="2:5" ht="13">
      <c r="B716" s="43"/>
      <c r="C716" s="43"/>
      <c r="E716" s="43"/>
    </row>
    <row r="717" spans="2:5" ht="13">
      <c r="B717" s="43"/>
      <c r="C717" s="43"/>
      <c r="E717" s="43"/>
    </row>
    <row r="718" spans="2:5" ht="13">
      <c r="B718" s="43"/>
      <c r="C718" s="43"/>
      <c r="E718" s="43"/>
    </row>
    <row r="719" spans="2:5" ht="13">
      <c r="B719" s="43"/>
      <c r="C719" s="43"/>
      <c r="E719" s="43"/>
    </row>
    <row r="720" spans="2:5" ht="13">
      <c r="B720" s="43"/>
      <c r="C720" s="43"/>
      <c r="E720" s="43"/>
    </row>
    <row r="721" spans="2:5" ht="13">
      <c r="B721" s="43"/>
      <c r="C721" s="43"/>
      <c r="E721" s="43"/>
    </row>
    <row r="722" spans="2:5" ht="13">
      <c r="B722" s="43"/>
      <c r="C722" s="43"/>
      <c r="E722" s="43"/>
    </row>
    <row r="723" spans="2:5" ht="13">
      <c r="B723" s="43"/>
      <c r="C723" s="43"/>
      <c r="E723" s="43"/>
    </row>
    <row r="724" spans="2:5" ht="13">
      <c r="B724" s="43"/>
      <c r="C724" s="43"/>
      <c r="E724" s="43"/>
    </row>
    <row r="725" spans="2:5" ht="13">
      <c r="B725" s="43"/>
      <c r="C725" s="43"/>
      <c r="E725" s="43"/>
    </row>
    <row r="726" spans="2:5" ht="13">
      <c r="B726" s="43"/>
      <c r="C726" s="43"/>
      <c r="E726" s="43"/>
    </row>
    <row r="727" spans="2:5" ht="13">
      <c r="B727" s="43"/>
      <c r="C727" s="43"/>
      <c r="E727" s="43"/>
    </row>
    <row r="728" spans="2:5" ht="13">
      <c r="B728" s="43"/>
      <c r="C728" s="43"/>
      <c r="E728" s="43"/>
    </row>
    <row r="729" spans="2:5" ht="13">
      <c r="B729" s="43"/>
      <c r="C729" s="43"/>
      <c r="E729" s="43"/>
    </row>
    <row r="730" spans="2:5" ht="13">
      <c r="B730" s="43"/>
      <c r="C730" s="43"/>
      <c r="E730" s="43"/>
    </row>
    <row r="731" spans="2:5" ht="13">
      <c r="B731" s="43"/>
      <c r="C731" s="43"/>
      <c r="E731" s="43"/>
    </row>
    <row r="732" spans="2:5" ht="13">
      <c r="B732" s="43"/>
      <c r="C732" s="43"/>
      <c r="E732" s="43"/>
    </row>
    <row r="733" spans="2:5" ht="13">
      <c r="B733" s="43"/>
      <c r="C733" s="43"/>
      <c r="E733" s="43"/>
    </row>
    <row r="734" spans="2:5" ht="13">
      <c r="B734" s="43"/>
      <c r="C734" s="43"/>
      <c r="E734" s="43"/>
    </row>
    <row r="735" spans="2:5" ht="13">
      <c r="B735" s="43"/>
      <c r="C735" s="43"/>
      <c r="E735" s="43"/>
    </row>
    <row r="736" spans="2:5" ht="13">
      <c r="B736" s="43"/>
      <c r="C736" s="43"/>
      <c r="E736" s="43"/>
    </row>
    <row r="737" spans="2:5" ht="13">
      <c r="B737" s="43"/>
      <c r="C737" s="43"/>
      <c r="E737" s="43"/>
    </row>
    <row r="738" spans="2:5" ht="13">
      <c r="B738" s="43"/>
      <c r="C738" s="43"/>
      <c r="E738" s="43"/>
    </row>
    <row r="739" spans="2:5" ht="13">
      <c r="B739" s="43"/>
      <c r="C739" s="43"/>
      <c r="E739" s="43"/>
    </row>
    <row r="740" spans="2:5" ht="13">
      <c r="B740" s="43"/>
      <c r="C740" s="43"/>
      <c r="E740" s="43"/>
    </row>
    <row r="741" spans="2:5" ht="13">
      <c r="B741" s="43"/>
      <c r="C741" s="43"/>
      <c r="E741" s="43"/>
    </row>
    <row r="742" spans="2:5" ht="13">
      <c r="B742" s="43"/>
      <c r="C742" s="43"/>
      <c r="E742" s="43"/>
    </row>
    <row r="743" spans="2:5" ht="13">
      <c r="B743" s="43"/>
      <c r="C743" s="43"/>
      <c r="E743" s="43"/>
    </row>
    <row r="744" spans="2:5" ht="13">
      <c r="B744" s="43"/>
      <c r="C744" s="43"/>
      <c r="E744" s="43"/>
    </row>
    <row r="745" spans="2:5" ht="13">
      <c r="B745" s="43"/>
      <c r="C745" s="43"/>
      <c r="E745" s="43"/>
    </row>
    <row r="746" spans="2:5" ht="13">
      <c r="B746" s="43"/>
      <c r="C746" s="43"/>
      <c r="E746" s="43"/>
    </row>
    <row r="747" spans="2:5" ht="13">
      <c r="B747" s="43"/>
      <c r="C747" s="43"/>
      <c r="E747" s="43"/>
    </row>
    <row r="748" spans="2:5" ht="13">
      <c r="B748" s="43"/>
      <c r="C748" s="43"/>
      <c r="E748" s="43"/>
    </row>
    <row r="749" spans="2:5" ht="13">
      <c r="B749" s="43"/>
      <c r="C749" s="43"/>
      <c r="E749" s="43"/>
    </row>
    <row r="750" spans="2:5" ht="13">
      <c r="B750" s="43"/>
      <c r="C750" s="43"/>
      <c r="E750" s="43"/>
    </row>
    <row r="751" spans="2:5" ht="13">
      <c r="B751" s="43"/>
      <c r="C751" s="43"/>
      <c r="E751" s="43"/>
    </row>
    <row r="752" spans="2:5" ht="13">
      <c r="B752" s="43"/>
      <c r="C752" s="43"/>
      <c r="E752" s="43"/>
    </row>
    <row r="753" spans="2:5" ht="13">
      <c r="B753" s="43"/>
      <c r="C753" s="43"/>
      <c r="E753" s="43"/>
    </row>
    <row r="754" spans="2:5" ht="13">
      <c r="B754" s="43"/>
      <c r="C754" s="43"/>
      <c r="E754" s="43"/>
    </row>
    <row r="755" spans="2:5" ht="13">
      <c r="B755" s="43"/>
      <c r="C755" s="43"/>
      <c r="E755" s="43"/>
    </row>
    <row r="756" spans="2:5" ht="13">
      <c r="B756" s="43"/>
      <c r="C756" s="43"/>
      <c r="E756" s="43"/>
    </row>
    <row r="757" spans="2:5" ht="13">
      <c r="B757" s="43"/>
      <c r="C757" s="43"/>
      <c r="E757" s="43"/>
    </row>
    <row r="758" spans="2:5" ht="13">
      <c r="B758" s="43"/>
      <c r="C758" s="43"/>
      <c r="E758" s="43"/>
    </row>
    <row r="759" spans="2:5" ht="13">
      <c r="B759" s="43"/>
      <c r="C759" s="43"/>
      <c r="E759" s="43"/>
    </row>
    <row r="760" spans="2:5" ht="13">
      <c r="B760" s="43"/>
      <c r="C760" s="43"/>
      <c r="E760" s="43"/>
    </row>
    <row r="761" spans="2:5" ht="13">
      <c r="B761" s="43"/>
      <c r="C761" s="43"/>
      <c r="E761" s="43"/>
    </row>
    <row r="762" spans="2:5" ht="13">
      <c r="B762" s="43"/>
      <c r="C762" s="43"/>
      <c r="E762" s="43"/>
    </row>
    <row r="763" spans="2:5" ht="13">
      <c r="B763" s="43"/>
      <c r="C763" s="43"/>
      <c r="E763" s="43"/>
    </row>
    <row r="764" spans="2:5" ht="13">
      <c r="B764" s="43"/>
      <c r="C764" s="43"/>
      <c r="E764" s="43"/>
    </row>
    <row r="765" spans="2:5" ht="13">
      <c r="B765" s="43"/>
      <c r="C765" s="43"/>
      <c r="E765" s="43"/>
    </row>
    <row r="766" spans="2:5" ht="13">
      <c r="B766" s="43"/>
      <c r="C766" s="43"/>
      <c r="E766" s="43"/>
    </row>
    <row r="767" spans="2:5" ht="13">
      <c r="B767" s="43"/>
      <c r="C767" s="43"/>
      <c r="E767" s="43"/>
    </row>
    <row r="768" spans="2:5" ht="13">
      <c r="B768" s="43"/>
      <c r="C768" s="43"/>
      <c r="E768" s="43"/>
    </row>
    <row r="769" spans="2:5" ht="13">
      <c r="B769" s="43"/>
      <c r="C769" s="43"/>
      <c r="E769" s="43"/>
    </row>
    <row r="770" spans="2:5" ht="13">
      <c r="B770" s="43"/>
      <c r="C770" s="43"/>
      <c r="E770" s="43"/>
    </row>
    <row r="771" spans="2:5" ht="13">
      <c r="B771" s="43"/>
      <c r="C771" s="43"/>
      <c r="E771" s="43"/>
    </row>
    <row r="772" spans="2:5" ht="13">
      <c r="B772" s="43"/>
      <c r="C772" s="43"/>
      <c r="E772" s="43"/>
    </row>
    <row r="773" spans="2:5" ht="13">
      <c r="B773" s="43"/>
      <c r="C773" s="43"/>
      <c r="E773" s="43"/>
    </row>
    <row r="774" spans="2:5" ht="13">
      <c r="B774" s="43"/>
      <c r="C774" s="43"/>
      <c r="E774" s="43"/>
    </row>
    <row r="775" spans="2:5" ht="13">
      <c r="B775" s="43"/>
      <c r="C775" s="43"/>
      <c r="E775" s="43"/>
    </row>
    <row r="776" spans="2:5" ht="13">
      <c r="B776" s="43"/>
      <c r="C776" s="43"/>
      <c r="E776" s="43"/>
    </row>
    <row r="777" spans="2:5" ht="13">
      <c r="B777" s="43"/>
      <c r="C777" s="43"/>
      <c r="E777" s="43"/>
    </row>
    <row r="778" spans="2:5" ht="13">
      <c r="B778" s="43"/>
      <c r="C778" s="43"/>
      <c r="E778" s="43"/>
    </row>
    <row r="779" spans="2:5" ht="13">
      <c r="B779" s="43"/>
      <c r="C779" s="43"/>
      <c r="E779" s="43"/>
    </row>
    <row r="780" spans="2:5" ht="13">
      <c r="B780" s="43"/>
      <c r="C780" s="43"/>
      <c r="E780" s="43"/>
    </row>
    <row r="781" spans="2:5" ht="13">
      <c r="B781" s="43"/>
      <c r="C781" s="43"/>
      <c r="E781" s="43"/>
    </row>
    <row r="782" spans="2:5" ht="13">
      <c r="B782" s="43"/>
      <c r="C782" s="43"/>
      <c r="E782" s="43"/>
    </row>
    <row r="783" spans="2:5" ht="13">
      <c r="B783" s="43"/>
      <c r="C783" s="43"/>
      <c r="E783" s="43"/>
    </row>
    <row r="784" spans="2:5" ht="13">
      <c r="B784" s="43"/>
      <c r="C784" s="43"/>
      <c r="E784" s="43"/>
    </row>
    <row r="785" spans="2:5" ht="13">
      <c r="B785" s="43"/>
      <c r="C785" s="43"/>
      <c r="E785" s="43"/>
    </row>
    <row r="786" spans="2:5" ht="13">
      <c r="B786" s="43"/>
      <c r="C786" s="43"/>
      <c r="E786" s="43"/>
    </row>
    <row r="787" spans="2:5" ht="13">
      <c r="B787" s="43"/>
      <c r="C787" s="43"/>
      <c r="E787" s="43"/>
    </row>
    <row r="788" spans="2:5" ht="13">
      <c r="B788" s="43"/>
      <c r="C788" s="43"/>
      <c r="E788" s="43"/>
    </row>
    <row r="789" spans="2:5" ht="13">
      <c r="B789" s="43"/>
      <c r="C789" s="43"/>
      <c r="E789" s="43"/>
    </row>
    <row r="790" spans="2:5" ht="13">
      <c r="B790" s="43"/>
      <c r="C790" s="43"/>
      <c r="E790" s="43"/>
    </row>
    <row r="791" spans="2:5" ht="13">
      <c r="B791" s="43"/>
      <c r="C791" s="43"/>
      <c r="E791" s="43"/>
    </row>
    <row r="792" spans="2:5" ht="13">
      <c r="B792" s="43"/>
      <c r="C792" s="43"/>
      <c r="E792" s="43"/>
    </row>
    <row r="793" spans="2:5" ht="13">
      <c r="B793" s="43"/>
      <c r="C793" s="43"/>
      <c r="E793" s="43"/>
    </row>
    <row r="794" spans="2:5" ht="13">
      <c r="B794" s="43"/>
      <c r="C794" s="43"/>
      <c r="E794" s="43"/>
    </row>
    <row r="795" spans="2:5" ht="13">
      <c r="B795" s="43"/>
      <c r="C795" s="43"/>
      <c r="E795" s="43"/>
    </row>
    <row r="796" spans="2:5" ht="13">
      <c r="B796" s="43"/>
      <c r="C796" s="43"/>
      <c r="E796" s="43"/>
    </row>
    <row r="797" spans="2:5" ht="13">
      <c r="B797" s="43"/>
      <c r="C797" s="43"/>
      <c r="E797" s="43"/>
    </row>
    <row r="798" spans="2:5" ht="13">
      <c r="B798" s="43"/>
      <c r="C798" s="43"/>
      <c r="E798" s="43"/>
    </row>
    <row r="799" spans="2:5" ht="13">
      <c r="B799" s="43"/>
      <c r="C799" s="43"/>
      <c r="E799" s="43"/>
    </row>
    <row r="800" spans="2:5" ht="13">
      <c r="B800" s="43"/>
      <c r="C800" s="43"/>
      <c r="E800" s="43"/>
    </row>
    <row r="801" spans="2:5" ht="13">
      <c r="B801" s="43"/>
      <c r="C801" s="43"/>
      <c r="E801" s="43"/>
    </row>
    <row r="802" spans="2:5" ht="13">
      <c r="B802" s="43"/>
      <c r="C802" s="43"/>
      <c r="E802" s="43"/>
    </row>
    <row r="803" spans="2:5" ht="13">
      <c r="B803" s="43"/>
      <c r="C803" s="43"/>
      <c r="E803" s="43"/>
    </row>
    <row r="804" spans="2:5" ht="13">
      <c r="B804" s="43"/>
      <c r="C804" s="43"/>
      <c r="E804" s="43"/>
    </row>
    <row r="805" spans="2:5" ht="13">
      <c r="B805" s="43"/>
      <c r="C805" s="43"/>
      <c r="E805" s="43"/>
    </row>
    <row r="806" spans="2:5" ht="13">
      <c r="B806" s="43"/>
      <c r="C806" s="43"/>
      <c r="E806" s="43"/>
    </row>
    <row r="807" spans="2:5" ht="13">
      <c r="B807" s="43"/>
      <c r="C807" s="43"/>
      <c r="E807" s="43"/>
    </row>
    <row r="808" spans="2:5" ht="13">
      <c r="B808" s="43"/>
      <c r="C808" s="43"/>
      <c r="E808" s="43"/>
    </row>
    <row r="809" spans="2:5" ht="13">
      <c r="B809" s="43"/>
      <c r="C809" s="43"/>
      <c r="E809" s="43"/>
    </row>
    <row r="810" spans="2:5" ht="13">
      <c r="B810" s="43"/>
      <c r="C810" s="43"/>
      <c r="E810" s="43"/>
    </row>
    <row r="811" spans="2:5" ht="13">
      <c r="B811" s="43"/>
      <c r="C811" s="43"/>
      <c r="E811" s="43"/>
    </row>
    <row r="812" spans="2:5" ht="13">
      <c r="B812" s="43"/>
      <c r="C812" s="43"/>
      <c r="E812" s="43"/>
    </row>
    <row r="813" spans="2:5" ht="13">
      <c r="B813" s="43"/>
      <c r="C813" s="43"/>
      <c r="E813" s="43"/>
    </row>
    <row r="814" spans="2:5" ht="13">
      <c r="B814" s="43"/>
      <c r="C814" s="43"/>
      <c r="E814" s="43"/>
    </row>
    <row r="815" spans="2:5" ht="13">
      <c r="B815" s="43"/>
      <c r="C815" s="43"/>
      <c r="E815" s="43"/>
    </row>
    <row r="816" spans="2:5" ht="13">
      <c r="B816" s="43"/>
      <c r="C816" s="43"/>
      <c r="E816" s="43"/>
    </row>
    <row r="817" spans="2:5" ht="13">
      <c r="B817" s="43"/>
      <c r="C817" s="43"/>
      <c r="E817" s="43"/>
    </row>
    <row r="818" spans="2:5" ht="13">
      <c r="B818" s="43"/>
      <c r="C818" s="43"/>
      <c r="E818" s="43"/>
    </row>
    <row r="819" spans="2:5" ht="13">
      <c r="B819" s="43"/>
      <c r="C819" s="43"/>
      <c r="E819" s="43"/>
    </row>
    <row r="820" spans="2:5" ht="13">
      <c r="B820" s="43"/>
      <c r="C820" s="43"/>
      <c r="E820" s="43"/>
    </row>
    <row r="821" spans="2:5" ht="13">
      <c r="B821" s="43"/>
      <c r="C821" s="43"/>
      <c r="E821" s="43"/>
    </row>
    <row r="822" spans="2:5" ht="13">
      <c r="B822" s="43"/>
      <c r="C822" s="43"/>
      <c r="E822" s="43"/>
    </row>
    <row r="823" spans="2:5" ht="13">
      <c r="B823" s="43"/>
      <c r="C823" s="43"/>
      <c r="E823" s="43"/>
    </row>
    <row r="824" spans="2:5" ht="13">
      <c r="B824" s="43"/>
      <c r="C824" s="43"/>
      <c r="E824" s="43"/>
    </row>
    <row r="825" spans="2:5" ht="13">
      <c r="B825" s="43"/>
      <c r="C825" s="43"/>
      <c r="E825" s="43"/>
    </row>
    <row r="826" spans="2:5" ht="13">
      <c r="B826" s="43"/>
      <c r="C826" s="43"/>
      <c r="E826" s="43"/>
    </row>
    <row r="827" spans="2:5" ht="13">
      <c r="B827" s="43"/>
      <c r="C827" s="43"/>
      <c r="E827" s="43"/>
    </row>
    <row r="828" spans="2:5" ht="13">
      <c r="B828" s="43"/>
      <c r="C828" s="43"/>
      <c r="E828" s="43"/>
    </row>
    <row r="829" spans="2:5" ht="13">
      <c r="B829" s="43"/>
      <c r="C829" s="43"/>
      <c r="E829" s="43"/>
    </row>
    <row r="830" spans="2:5" ht="13">
      <c r="B830" s="43"/>
      <c r="C830" s="43"/>
      <c r="E830" s="43"/>
    </row>
    <row r="831" spans="2:5" ht="13">
      <c r="B831" s="43"/>
      <c r="C831" s="43"/>
      <c r="E831" s="43"/>
    </row>
    <row r="832" spans="2:5" ht="13">
      <c r="B832" s="43"/>
      <c r="C832" s="43"/>
      <c r="E832" s="43"/>
    </row>
    <row r="833" spans="2:5" ht="13">
      <c r="B833" s="43"/>
      <c r="C833" s="43"/>
      <c r="E833" s="43"/>
    </row>
    <row r="834" spans="2:5" ht="13">
      <c r="B834" s="43"/>
      <c r="C834" s="43"/>
      <c r="E834" s="43"/>
    </row>
    <row r="835" spans="2:5" ht="13">
      <c r="B835" s="43"/>
      <c r="C835" s="43"/>
      <c r="E835" s="43"/>
    </row>
    <row r="836" spans="2:5" ht="13">
      <c r="B836" s="43"/>
      <c r="C836" s="43"/>
      <c r="E836" s="43"/>
    </row>
    <row r="837" spans="2:5" ht="13">
      <c r="B837" s="43"/>
      <c r="C837" s="43"/>
      <c r="E837" s="43"/>
    </row>
    <row r="838" spans="2:5" ht="13">
      <c r="B838" s="43"/>
      <c r="C838" s="43"/>
      <c r="E838" s="43"/>
    </row>
    <row r="839" spans="2:5" ht="13">
      <c r="B839" s="43"/>
      <c r="C839" s="43"/>
      <c r="E839" s="43"/>
    </row>
    <row r="840" spans="2:5" ht="13">
      <c r="B840" s="43"/>
      <c r="C840" s="43"/>
      <c r="E840" s="43"/>
    </row>
    <row r="841" spans="2:5" ht="13">
      <c r="B841" s="43"/>
      <c r="C841" s="43"/>
      <c r="E841" s="43"/>
    </row>
    <row r="842" spans="2:5" ht="13">
      <c r="B842" s="43"/>
      <c r="C842" s="43"/>
      <c r="E842" s="43"/>
    </row>
    <row r="843" spans="2:5" ht="13">
      <c r="B843" s="43"/>
      <c r="C843" s="43"/>
      <c r="E843" s="43"/>
    </row>
    <row r="844" spans="2:5" ht="13">
      <c r="B844" s="43"/>
      <c r="C844" s="43"/>
      <c r="E844" s="43"/>
    </row>
    <row r="845" spans="2:5" ht="13">
      <c r="B845" s="43"/>
      <c r="C845" s="43"/>
      <c r="E845" s="43"/>
    </row>
    <row r="846" spans="2:5" ht="13">
      <c r="B846" s="43"/>
      <c r="C846" s="43"/>
      <c r="E846" s="43"/>
    </row>
    <row r="847" spans="2:5" ht="13">
      <c r="B847" s="43"/>
      <c r="C847" s="43"/>
      <c r="E847" s="43"/>
    </row>
    <row r="848" spans="2:5" ht="13">
      <c r="B848" s="43"/>
      <c r="C848" s="43"/>
      <c r="E848" s="43"/>
    </row>
    <row r="849" spans="2:5" ht="13">
      <c r="B849" s="43"/>
      <c r="C849" s="43"/>
      <c r="E849" s="43"/>
    </row>
    <row r="850" spans="2:5" ht="13">
      <c r="B850" s="43"/>
      <c r="C850" s="43"/>
      <c r="E850" s="43"/>
    </row>
    <row r="851" spans="2:5" ht="13">
      <c r="B851" s="43"/>
      <c r="C851" s="43"/>
      <c r="E851" s="43"/>
    </row>
    <row r="852" spans="2:5" ht="13">
      <c r="B852" s="43"/>
      <c r="C852" s="43"/>
      <c r="E852" s="43"/>
    </row>
    <row r="853" spans="2:5" ht="13">
      <c r="B853" s="43"/>
      <c r="C853" s="43"/>
      <c r="E853" s="43"/>
    </row>
    <row r="854" spans="2:5" ht="13">
      <c r="B854" s="43"/>
      <c r="C854" s="43"/>
      <c r="E854" s="43"/>
    </row>
    <row r="855" spans="2:5" ht="13">
      <c r="B855" s="43"/>
      <c r="C855" s="43"/>
      <c r="E855" s="43"/>
    </row>
    <row r="856" spans="2:5" ht="13">
      <c r="B856" s="43"/>
      <c r="C856" s="43"/>
      <c r="E856" s="43"/>
    </row>
    <row r="857" spans="2:5" ht="13">
      <c r="B857" s="43"/>
      <c r="C857" s="43"/>
      <c r="E857" s="43"/>
    </row>
    <row r="858" spans="2:5" ht="13">
      <c r="B858" s="43"/>
      <c r="C858" s="43"/>
      <c r="E858" s="43"/>
    </row>
    <row r="859" spans="2:5" ht="13">
      <c r="B859" s="43"/>
      <c r="C859" s="43"/>
      <c r="E859" s="43"/>
    </row>
    <row r="860" spans="2:5" ht="13">
      <c r="B860" s="43"/>
      <c r="C860" s="43"/>
      <c r="E860" s="43"/>
    </row>
    <row r="861" spans="2:5" ht="13">
      <c r="B861" s="43"/>
      <c r="C861" s="43"/>
      <c r="E861" s="43"/>
    </row>
    <row r="862" spans="2:5" ht="13">
      <c r="B862" s="43"/>
      <c r="C862" s="43"/>
      <c r="E862" s="43"/>
    </row>
    <row r="863" spans="2:5" ht="13">
      <c r="B863" s="43"/>
      <c r="C863" s="43"/>
      <c r="E863" s="43"/>
    </row>
    <row r="864" spans="2:5" ht="13">
      <c r="B864" s="43"/>
      <c r="C864" s="43"/>
      <c r="E864" s="43"/>
    </row>
    <row r="865" spans="2:5" ht="13">
      <c r="B865" s="43"/>
      <c r="C865" s="43"/>
      <c r="E865" s="43"/>
    </row>
    <row r="866" spans="2:5" ht="13">
      <c r="B866" s="43"/>
      <c r="C866" s="43"/>
      <c r="E866" s="43"/>
    </row>
    <row r="867" spans="2:5" ht="13">
      <c r="B867" s="43"/>
      <c r="C867" s="43"/>
      <c r="E867" s="43"/>
    </row>
    <row r="868" spans="2:5" ht="13">
      <c r="B868" s="43"/>
      <c r="C868" s="43"/>
      <c r="E868" s="43"/>
    </row>
    <row r="869" spans="2:5" ht="13">
      <c r="B869" s="43"/>
      <c r="C869" s="43"/>
      <c r="E869" s="43"/>
    </row>
    <row r="870" spans="2:5" ht="13">
      <c r="B870" s="43"/>
      <c r="C870" s="43"/>
      <c r="E870" s="43"/>
    </row>
    <row r="871" spans="2:5" ht="13">
      <c r="B871" s="43"/>
      <c r="C871" s="43"/>
      <c r="E871" s="43"/>
    </row>
    <row r="872" spans="2:5" ht="13">
      <c r="B872" s="43"/>
      <c r="C872" s="43"/>
      <c r="E872" s="43"/>
    </row>
    <row r="873" spans="2:5" ht="13">
      <c r="B873" s="43"/>
      <c r="C873" s="43"/>
      <c r="E873" s="43"/>
    </row>
    <row r="874" spans="2:5" ht="13">
      <c r="B874" s="43"/>
      <c r="C874" s="43"/>
      <c r="E874" s="43"/>
    </row>
    <row r="875" spans="2:5" ht="13">
      <c r="B875" s="43"/>
      <c r="C875" s="43"/>
      <c r="E875" s="43"/>
    </row>
    <row r="876" spans="2:5" ht="13">
      <c r="B876" s="43"/>
      <c r="C876" s="43"/>
      <c r="E876" s="43"/>
    </row>
    <row r="877" spans="2:5" ht="13">
      <c r="B877" s="43"/>
      <c r="C877" s="43"/>
      <c r="E877" s="43"/>
    </row>
    <row r="878" spans="2:5" ht="13">
      <c r="B878" s="43"/>
      <c r="C878" s="43"/>
      <c r="E878" s="43"/>
    </row>
    <row r="879" spans="2:5" ht="13">
      <c r="B879" s="43"/>
      <c r="C879" s="43"/>
      <c r="E879" s="43"/>
    </row>
    <row r="880" spans="2:5" ht="13">
      <c r="B880" s="43"/>
      <c r="C880" s="43"/>
      <c r="E880" s="43"/>
    </row>
    <row r="881" spans="2:5" ht="13">
      <c r="B881" s="43"/>
      <c r="C881" s="43"/>
      <c r="E881" s="43"/>
    </row>
    <row r="882" spans="2:5" ht="13">
      <c r="B882" s="43"/>
      <c r="C882" s="43"/>
      <c r="E882" s="43"/>
    </row>
    <row r="883" spans="2:5" ht="13">
      <c r="B883" s="43"/>
      <c r="C883" s="43"/>
      <c r="E883" s="43"/>
    </row>
    <row r="884" spans="2:5" ht="13">
      <c r="B884" s="43"/>
      <c r="C884" s="43"/>
      <c r="E884" s="43"/>
    </row>
    <row r="885" spans="2:5" ht="13">
      <c r="B885" s="43"/>
      <c r="C885" s="43"/>
      <c r="E885" s="43"/>
    </row>
    <row r="886" spans="2:5" ht="13">
      <c r="B886" s="43"/>
      <c r="C886" s="43"/>
      <c r="E886" s="43"/>
    </row>
    <row r="887" spans="2:5" ht="13">
      <c r="B887" s="43"/>
      <c r="C887" s="43"/>
      <c r="E887" s="43"/>
    </row>
    <row r="888" spans="2:5" ht="13">
      <c r="B888" s="43"/>
      <c r="C888" s="43"/>
      <c r="E888" s="43"/>
    </row>
    <row r="889" spans="2:5" ht="13">
      <c r="B889" s="43"/>
      <c r="C889" s="43"/>
      <c r="E889" s="43"/>
    </row>
    <row r="890" spans="2:5" ht="13">
      <c r="B890" s="43"/>
      <c r="C890" s="43"/>
      <c r="E890" s="43"/>
    </row>
    <row r="891" spans="2:5" ht="13">
      <c r="B891" s="43"/>
      <c r="C891" s="43"/>
      <c r="E891" s="43"/>
    </row>
    <row r="892" spans="2:5" ht="13">
      <c r="B892" s="43"/>
      <c r="C892" s="43"/>
      <c r="E892" s="43"/>
    </row>
    <row r="893" spans="2:5" ht="13">
      <c r="B893" s="43"/>
      <c r="C893" s="43"/>
      <c r="E893" s="43"/>
    </row>
    <row r="894" spans="2:5" ht="13">
      <c r="B894" s="43"/>
      <c r="C894" s="43"/>
      <c r="E894" s="43"/>
    </row>
    <row r="895" spans="2:5" ht="13">
      <c r="B895" s="43"/>
      <c r="C895" s="43"/>
      <c r="E895" s="43"/>
    </row>
    <row r="896" spans="2:5" ht="13">
      <c r="B896" s="43"/>
      <c r="C896" s="43"/>
      <c r="E896" s="43"/>
    </row>
    <row r="897" spans="2:5" ht="13">
      <c r="B897" s="43"/>
      <c r="C897" s="43"/>
      <c r="E897" s="43"/>
    </row>
    <row r="898" spans="2:5" ht="13">
      <c r="B898" s="43"/>
      <c r="C898" s="43"/>
      <c r="E898" s="43"/>
    </row>
    <row r="899" spans="2:5" ht="13">
      <c r="B899" s="43"/>
      <c r="C899" s="43"/>
      <c r="E899" s="43"/>
    </row>
    <row r="900" spans="2:5" ht="13">
      <c r="B900" s="43"/>
      <c r="C900" s="43"/>
      <c r="E900" s="43"/>
    </row>
    <row r="901" spans="2:5" ht="13">
      <c r="B901" s="43"/>
      <c r="C901" s="43"/>
      <c r="E901" s="43"/>
    </row>
    <row r="902" spans="2:5" ht="13">
      <c r="B902" s="43"/>
      <c r="C902" s="43"/>
      <c r="E902" s="43"/>
    </row>
    <row r="903" spans="2:5" ht="13">
      <c r="B903" s="43"/>
      <c r="C903" s="43"/>
      <c r="E903" s="43"/>
    </row>
    <row r="904" spans="2:5" ht="13">
      <c r="B904" s="43"/>
      <c r="C904" s="43"/>
      <c r="E904" s="43"/>
    </row>
    <row r="905" spans="2:5" ht="13">
      <c r="B905" s="43"/>
      <c r="C905" s="43"/>
      <c r="E905" s="43"/>
    </row>
    <row r="906" spans="2:5" ht="13">
      <c r="B906" s="43"/>
      <c r="C906" s="43"/>
      <c r="E906" s="43"/>
    </row>
    <row r="907" spans="2:5" ht="13">
      <c r="B907" s="43"/>
      <c r="C907" s="43"/>
      <c r="E907" s="43"/>
    </row>
    <row r="908" spans="2:5" ht="13">
      <c r="B908" s="43"/>
      <c r="C908" s="43"/>
      <c r="E908" s="43"/>
    </row>
    <row r="909" spans="2:5" ht="13">
      <c r="B909" s="43"/>
      <c r="C909" s="43"/>
      <c r="E909" s="43"/>
    </row>
    <row r="910" spans="2:5" ht="13">
      <c r="B910" s="43"/>
      <c r="C910" s="43"/>
      <c r="E910" s="43"/>
    </row>
    <row r="911" spans="2:5" ht="13">
      <c r="B911" s="43"/>
      <c r="C911" s="43"/>
      <c r="E911" s="43"/>
    </row>
    <row r="912" spans="2:5" ht="13">
      <c r="B912" s="43"/>
      <c r="C912" s="43"/>
      <c r="E912" s="43"/>
    </row>
    <row r="913" spans="2:5" ht="13">
      <c r="B913" s="43"/>
      <c r="C913" s="43"/>
      <c r="E913" s="43"/>
    </row>
    <row r="914" spans="2:5" ht="13">
      <c r="B914" s="43"/>
      <c r="C914" s="43"/>
      <c r="E914" s="43"/>
    </row>
    <row r="915" spans="2:5" ht="13">
      <c r="B915" s="43"/>
      <c r="C915" s="43"/>
      <c r="E915" s="43"/>
    </row>
    <row r="916" spans="2:5" ht="13">
      <c r="B916" s="43"/>
      <c r="C916" s="43"/>
      <c r="E916" s="43"/>
    </row>
    <row r="917" spans="2:5" ht="13">
      <c r="B917" s="43"/>
      <c r="C917" s="43"/>
      <c r="E917" s="43"/>
    </row>
    <row r="918" spans="2:5" ht="13">
      <c r="B918" s="43"/>
      <c r="C918" s="43"/>
      <c r="E918" s="43"/>
    </row>
    <row r="919" spans="2:5" ht="13">
      <c r="B919" s="43"/>
      <c r="C919" s="43"/>
      <c r="E919" s="43"/>
    </row>
    <row r="920" spans="2:5" ht="13">
      <c r="B920" s="43"/>
      <c r="C920" s="43"/>
      <c r="E920" s="43"/>
    </row>
    <row r="921" spans="2:5" ht="13">
      <c r="B921" s="43"/>
      <c r="C921" s="43"/>
      <c r="E921" s="43"/>
    </row>
    <row r="922" spans="2:5" ht="13">
      <c r="B922" s="43"/>
      <c r="C922" s="43"/>
      <c r="E922" s="43"/>
    </row>
    <row r="923" spans="2:5" ht="13">
      <c r="B923" s="43"/>
      <c r="C923" s="43"/>
      <c r="E923" s="43"/>
    </row>
    <row r="924" spans="2:5" ht="13">
      <c r="B924" s="43"/>
      <c r="C924" s="43"/>
      <c r="E924" s="43"/>
    </row>
    <row r="925" spans="2:5" ht="13">
      <c r="B925" s="43"/>
      <c r="C925" s="43"/>
      <c r="E925" s="43"/>
    </row>
    <row r="926" spans="2:5" ht="13">
      <c r="B926" s="43"/>
      <c r="C926" s="43"/>
      <c r="E926" s="43"/>
    </row>
    <row r="927" spans="2:5" ht="13">
      <c r="B927" s="43"/>
      <c r="C927" s="43"/>
      <c r="E927" s="43"/>
    </row>
    <row r="928" spans="2:5" ht="13">
      <c r="B928" s="43"/>
      <c r="C928" s="43"/>
      <c r="E928" s="43"/>
    </row>
    <row r="929" spans="2:5" ht="13">
      <c r="B929" s="43"/>
      <c r="C929" s="43"/>
      <c r="E929" s="43"/>
    </row>
    <row r="930" spans="2:5" ht="13">
      <c r="B930" s="43"/>
      <c r="C930" s="43"/>
      <c r="E930" s="43"/>
    </row>
    <row r="931" spans="2:5" ht="13">
      <c r="B931" s="43"/>
      <c r="C931" s="43"/>
      <c r="E931" s="43"/>
    </row>
    <row r="932" spans="2:5" ht="13">
      <c r="B932" s="43"/>
      <c r="C932" s="43"/>
      <c r="E932" s="43"/>
    </row>
    <row r="933" spans="2:5" ht="13">
      <c r="B933" s="43"/>
      <c r="C933" s="43"/>
      <c r="E933" s="43"/>
    </row>
    <row r="934" spans="2:5" ht="13">
      <c r="B934" s="43"/>
      <c r="C934" s="43"/>
      <c r="E934" s="43"/>
    </row>
    <row r="935" spans="2:5" ht="13">
      <c r="B935" s="43"/>
      <c r="C935" s="43"/>
      <c r="E935" s="43"/>
    </row>
    <row r="936" spans="2:5" ht="13">
      <c r="B936" s="43"/>
      <c r="C936" s="43"/>
      <c r="E936" s="43"/>
    </row>
    <row r="937" spans="2:5" ht="13">
      <c r="B937" s="43"/>
      <c r="C937" s="43"/>
      <c r="E937" s="43"/>
    </row>
    <row r="938" spans="2:5" ht="13">
      <c r="B938" s="43"/>
      <c r="C938" s="43"/>
      <c r="E938" s="43"/>
    </row>
    <row r="939" spans="2:5" ht="13">
      <c r="B939" s="43"/>
      <c r="C939" s="43"/>
      <c r="E939" s="43"/>
    </row>
    <row r="940" spans="2:5" ht="13">
      <c r="B940" s="43"/>
      <c r="C940" s="43"/>
      <c r="E940" s="43"/>
    </row>
    <row r="941" spans="2:5" ht="13">
      <c r="B941" s="43"/>
      <c r="C941" s="43"/>
      <c r="E941" s="43"/>
    </row>
    <row r="942" spans="2:5" ht="13">
      <c r="B942" s="43"/>
      <c r="C942" s="43"/>
      <c r="E942" s="43"/>
    </row>
    <row r="943" spans="2:5" ht="13">
      <c r="B943" s="43"/>
      <c r="C943" s="43"/>
      <c r="E943" s="43"/>
    </row>
    <row r="944" spans="2:5" ht="13">
      <c r="B944" s="43"/>
      <c r="C944" s="43"/>
      <c r="E944" s="43"/>
    </row>
    <row r="945" spans="2:5" ht="13">
      <c r="B945" s="43"/>
      <c r="C945" s="43"/>
      <c r="E945" s="43"/>
    </row>
    <row r="946" spans="2:5" ht="13">
      <c r="B946" s="43"/>
      <c r="C946" s="43"/>
      <c r="E946" s="43"/>
    </row>
    <row r="947" spans="2:5" ht="13">
      <c r="B947" s="43"/>
      <c r="C947" s="43"/>
      <c r="E947" s="43"/>
    </row>
    <row r="948" spans="2:5" ht="13">
      <c r="B948" s="43"/>
      <c r="C948" s="43"/>
      <c r="E948" s="43"/>
    </row>
    <row r="949" spans="2:5" ht="13">
      <c r="B949" s="43"/>
      <c r="C949" s="43"/>
      <c r="E949" s="43"/>
    </row>
    <row r="950" spans="2:5" ht="13">
      <c r="B950" s="43"/>
      <c r="C950" s="43"/>
      <c r="E950" s="43"/>
    </row>
    <row r="951" spans="2:5" ht="13">
      <c r="B951" s="43"/>
      <c r="C951" s="43"/>
      <c r="E951" s="43"/>
    </row>
    <row r="952" spans="2:5" ht="13">
      <c r="B952" s="43"/>
      <c r="C952" s="43"/>
      <c r="E952" s="43"/>
    </row>
    <row r="953" spans="2:5" ht="13">
      <c r="B953" s="43"/>
      <c r="C953" s="43"/>
      <c r="E953" s="43"/>
    </row>
    <row r="954" spans="2:5" ht="13">
      <c r="B954" s="43"/>
      <c r="C954" s="43"/>
      <c r="E954" s="43"/>
    </row>
    <row r="955" spans="2:5" ht="13">
      <c r="B955" s="43"/>
      <c r="C955" s="43"/>
      <c r="E955" s="43"/>
    </row>
    <row r="956" spans="2:5" ht="13">
      <c r="B956" s="43"/>
      <c r="C956" s="43"/>
      <c r="E956" s="43"/>
    </row>
    <row r="957" spans="2:5" ht="13">
      <c r="B957" s="43"/>
      <c r="C957" s="43"/>
      <c r="E957" s="43"/>
    </row>
    <row r="958" spans="2:5" ht="13">
      <c r="B958" s="43"/>
      <c r="C958" s="43"/>
      <c r="E958" s="43"/>
    </row>
    <row r="959" spans="2:5" ht="13">
      <c r="B959" s="43"/>
      <c r="C959" s="43"/>
      <c r="E959" s="43"/>
    </row>
    <row r="960" spans="2:5" ht="13">
      <c r="B960" s="43"/>
      <c r="C960" s="43"/>
      <c r="E960" s="43"/>
    </row>
    <row r="961" spans="2:5" ht="13">
      <c r="B961" s="43"/>
      <c r="C961" s="43"/>
      <c r="E961" s="43"/>
    </row>
    <row r="962" spans="2:5" ht="13">
      <c r="B962" s="43"/>
      <c r="C962" s="43"/>
      <c r="E962" s="43"/>
    </row>
    <row r="963" spans="2:5" ht="13">
      <c r="B963" s="43"/>
      <c r="C963" s="43"/>
      <c r="E963" s="43"/>
    </row>
    <row r="964" spans="2:5" ht="13">
      <c r="B964" s="43"/>
      <c r="C964" s="43"/>
      <c r="E964" s="43"/>
    </row>
    <row r="965" spans="2:5" ht="13">
      <c r="B965" s="43"/>
      <c r="C965" s="43"/>
      <c r="E965" s="43"/>
    </row>
    <row r="966" spans="2:5" ht="13">
      <c r="B966" s="43"/>
      <c r="C966" s="43"/>
      <c r="E966" s="43"/>
    </row>
    <row r="967" spans="2:5" ht="13">
      <c r="B967" s="43"/>
      <c r="C967" s="43"/>
      <c r="E967" s="43"/>
    </row>
    <row r="968" spans="2:5" ht="13">
      <c r="B968" s="43"/>
      <c r="C968" s="43"/>
      <c r="E968" s="43"/>
    </row>
    <row r="969" spans="2:5" ht="13">
      <c r="B969" s="43"/>
      <c r="C969" s="43"/>
      <c r="E969" s="43"/>
    </row>
    <row r="970" spans="2:5" ht="13">
      <c r="B970" s="43"/>
      <c r="C970" s="43"/>
      <c r="E970" s="43"/>
    </row>
    <row r="971" spans="2:5" ht="13">
      <c r="B971" s="43"/>
      <c r="C971" s="43"/>
      <c r="E971" s="43"/>
    </row>
    <row r="972" spans="2:5" ht="13">
      <c r="B972" s="43"/>
      <c r="C972" s="43"/>
      <c r="E972" s="43"/>
    </row>
    <row r="973" spans="2:5" ht="13">
      <c r="B973" s="43"/>
      <c r="C973" s="43"/>
      <c r="E973" s="43"/>
    </row>
    <row r="974" spans="2:5" ht="13">
      <c r="B974" s="43"/>
      <c r="C974" s="43"/>
      <c r="E974" s="43"/>
    </row>
    <row r="975" spans="2:5" ht="13">
      <c r="B975" s="43"/>
      <c r="C975" s="43"/>
      <c r="E975" s="43"/>
    </row>
    <row r="976" spans="2:5" ht="13">
      <c r="B976" s="43"/>
      <c r="C976" s="43"/>
      <c r="E976" s="43"/>
    </row>
    <row r="977" spans="2:5" ht="13">
      <c r="B977" s="43"/>
      <c r="C977" s="43"/>
      <c r="E977" s="43"/>
    </row>
    <row r="978" spans="2:5" ht="13">
      <c r="B978" s="43"/>
      <c r="C978" s="43"/>
      <c r="E978" s="43"/>
    </row>
    <row r="979" spans="2:5" ht="13">
      <c r="B979" s="43"/>
      <c r="C979" s="43"/>
      <c r="E979" s="43"/>
    </row>
    <row r="980" spans="2:5" ht="13">
      <c r="B980" s="43"/>
      <c r="C980" s="43"/>
      <c r="E980" s="43"/>
    </row>
    <row r="981" spans="2:5" ht="13">
      <c r="B981" s="43"/>
      <c r="C981" s="43"/>
      <c r="E981" s="43"/>
    </row>
    <row r="982" spans="2:5" ht="13">
      <c r="B982" s="43"/>
      <c r="C982" s="43"/>
      <c r="E982" s="43"/>
    </row>
    <row r="983" spans="2:5" ht="13">
      <c r="B983" s="43"/>
      <c r="C983" s="43"/>
      <c r="E983" s="43"/>
    </row>
    <row r="984" spans="2:5" ht="13">
      <c r="B984" s="43"/>
      <c r="C984" s="43"/>
      <c r="E984" s="43"/>
    </row>
    <row r="985" spans="2:5" ht="13">
      <c r="B985" s="43"/>
      <c r="C985" s="43"/>
      <c r="E985" s="43"/>
    </row>
    <row r="986" spans="2:5" ht="13">
      <c r="B986" s="43"/>
      <c r="C986" s="43"/>
      <c r="E986" s="43"/>
    </row>
    <row r="987" spans="2:5" ht="13">
      <c r="B987" s="43"/>
      <c r="C987" s="43"/>
      <c r="E987" s="43"/>
    </row>
    <row r="988" spans="2:5" ht="13">
      <c r="B988" s="43"/>
      <c r="C988" s="43"/>
      <c r="E988" s="43"/>
    </row>
    <row r="989" spans="2:5" ht="13">
      <c r="B989" s="43"/>
      <c r="C989" s="43"/>
      <c r="E989" s="43"/>
    </row>
    <row r="990" spans="2:5" ht="13">
      <c r="B990" s="43"/>
      <c r="C990" s="43"/>
      <c r="E990" s="43"/>
    </row>
    <row r="991" spans="2:5" ht="13">
      <c r="B991" s="43"/>
      <c r="C991" s="43"/>
      <c r="E991" s="43"/>
    </row>
    <row r="992" spans="2:5" ht="13">
      <c r="B992" s="43"/>
      <c r="C992" s="43"/>
      <c r="E992" s="43"/>
    </row>
    <row r="993" spans="2:5" ht="13">
      <c r="B993" s="43"/>
      <c r="C993" s="43"/>
      <c r="E993" s="43"/>
    </row>
    <row r="994" spans="2:5" ht="13">
      <c r="B994" s="43"/>
      <c r="C994" s="43"/>
      <c r="E994" s="43"/>
    </row>
    <row r="995" spans="2:5" ht="13">
      <c r="B995" s="43"/>
      <c r="C995" s="43"/>
      <c r="E995" s="43"/>
    </row>
    <row r="996" spans="2:5" ht="13">
      <c r="B996" s="43"/>
      <c r="C996" s="43"/>
      <c r="E996" s="43"/>
    </row>
    <row r="997" spans="2:5" ht="13">
      <c r="B997" s="43"/>
      <c r="C997" s="43"/>
      <c r="E997" s="43"/>
    </row>
    <row r="998" spans="2:5" ht="13">
      <c r="B998" s="43"/>
      <c r="C998" s="43"/>
      <c r="E998" s="43"/>
    </row>
    <row r="999" spans="2:5" ht="13">
      <c r="B999" s="43"/>
      <c r="C999" s="43"/>
      <c r="E999" s="43"/>
    </row>
    <row r="1000" spans="2:5" ht="13">
      <c r="B1000" s="43"/>
      <c r="C1000" s="43"/>
      <c r="E1000" s="43"/>
    </row>
  </sheetData>
  <mergeCells count="2">
    <mergeCell ref="T38:V38"/>
    <mergeCell ref="T39:V39"/>
  </mergeCells>
  <conditionalFormatting sqref="AB2:AB32">
    <cfRule type="colorScale" priority="1">
      <colorScale>
        <cfvo type="min"/>
        <cfvo type="max"/>
        <color rgb="FF999999"/>
        <color rgb="FFFFFFFF"/>
      </colorScale>
    </cfRule>
  </conditionalFormatting>
  <conditionalFormatting sqref="F11:G11 F18:G18">
    <cfRule type="notContainsBlanks" dxfId="0" priority="2">
      <formula>LEN(TRIM(F11))&gt;0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I10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5.83203125" customWidth="1"/>
    <col min="3" max="3" width="6" customWidth="1"/>
    <col min="4" max="4" width="14.83203125" customWidth="1"/>
    <col min="5" max="6" width="6.1640625" customWidth="1"/>
    <col min="7" max="7" width="6" customWidth="1"/>
    <col min="8" max="8" width="7.5" customWidth="1"/>
    <col min="9" max="9" width="5.6640625" customWidth="1"/>
    <col min="10" max="10" width="5.1640625" customWidth="1"/>
    <col min="11" max="11" width="6.6640625" customWidth="1"/>
    <col min="12" max="12" width="18.83203125" customWidth="1"/>
    <col min="13" max="23" width="9" customWidth="1"/>
    <col min="24" max="24" width="6.5" customWidth="1"/>
    <col min="25" max="25" width="8.1640625" customWidth="1"/>
    <col min="26" max="26" width="6.1640625" customWidth="1"/>
    <col min="27" max="27" width="7.6640625" customWidth="1"/>
    <col min="28" max="28" width="7.6640625" hidden="1" customWidth="1"/>
    <col min="29" max="29" width="65.83203125" customWidth="1"/>
  </cols>
  <sheetData>
    <row r="1" spans="1:61" ht="52.5" customHeight="1">
      <c r="A1" s="88" t="s">
        <v>0</v>
      </c>
      <c r="B1" s="88" t="s">
        <v>1</v>
      </c>
      <c r="C1" s="1" t="s">
        <v>2</v>
      </c>
      <c r="D1" s="88" t="s">
        <v>4</v>
      </c>
      <c r="E1" s="63" t="s">
        <v>5</v>
      </c>
      <c r="F1" s="63" t="s">
        <v>6</v>
      </c>
      <c r="G1" s="63" t="s">
        <v>7</v>
      </c>
      <c r="H1" s="63" t="s">
        <v>154</v>
      </c>
      <c r="I1" s="63" t="s">
        <v>9</v>
      </c>
      <c r="J1" s="63" t="s">
        <v>10</v>
      </c>
      <c r="K1" s="63" t="s">
        <v>11</v>
      </c>
      <c r="L1" s="88" t="s">
        <v>12</v>
      </c>
      <c r="M1" s="63" t="s">
        <v>13</v>
      </c>
      <c r="N1" s="63" t="s">
        <v>14</v>
      </c>
      <c r="O1" s="63" t="s">
        <v>104</v>
      </c>
      <c r="P1" s="63" t="s">
        <v>155</v>
      </c>
      <c r="Q1" s="63" t="s">
        <v>106</v>
      </c>
      <c r="R1" s="63" t="s">
        <v>107</v>
      </c>
      <c r="S1" s="63" t="s">
        <v>108</v>
      </c>
      <c r="T1" s="63" t="s">
        <v>109</v>
      </c>
      <c r="U1" s="63" t="s">
        <v>156</v>
      </c>
      <c r="V1" s="63" t="s">
        <v>111</v>
      </c>
      <c r="W1" s="63" t="s">
        <v>112</v>
      </c>
      <c r="X1" s="63" t="s">
        <v>113</v>
      </c>
      <c r="Y1" s="63" t="s">
        <v>157</v>
      </c>
      <c r="Z1" s="63" t="s">
        <v>158</v>
      </c>
      <c r="AA1" s="63" t="s">
        <v>159</v>
      </c>
      <c r="AB1" s="63" t="s">
        <v>160</v>
      </c>
      <c r="AC1" s="88" t="s">
        <v>27</v>
      </c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</row>
    <row r="2" spans="1:61" ht="13">
      <c r="A2" s="5">
        <v>42767</v>
      </c>
      <c r="B2">
        <v>2</v>
      </c>
      <c r="C2">
        <v>1749</v>
      </c>
      <c r="D2" s="7" t="str">
        <f t="shared" ref="D2:D3" si="0">CHOOSE(WEEKDAY(A2),"Anne/Fred", "Jane", "Tom","Sue/Panos","Shawn/Orem","Jeff", "Rob")</f>
        <v>Sue/Panos</v>
      </c>
      <c r="E2" s="1" t="s">
        <v>33</v>
      </c>
      <c r="F2" s="90"/>
      <c r="G2" s="90"/>
      <c r="H2" s="91"/>
      <c r="I2" s="92"/>
      <c r="J2" s="7">
        <v>38</v>
      </c>
      <c r="K2" s="7"/>
      <c r="L2" s="7"/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10">
        <f t="shared" ref="Y2:Y8" si="1">SUM(M2:P2)</f>
        <v>0</v>
      </c>
      <c r="Z2" s="10">
        <f t="shared" ref="Z2:Z22" si="2">SUM(Q2:T2)</f>
        <v>0</v>
      </c>
      <c r="AA2" s="10">
        <f t="shared" ref="AA2:AA29" si="3">SUM(M2:U2)</f>
        <v>0</v>
      </c>
      <c r="AB2" s="67">
        <v>0.2</v>
      </c>
      <c r="AC2" s="59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spans="1:61" ht="13">
      <c r="A3" s="12">
        <v>42768</v>
      </c>
      <c r="B3">
        <v>1719</v>
      </c>
      <c r="C3">
        <v>1751</v>
      </c>
      <c r="D3" s="7" t="str">
        <f t="shared" si="0"/>
        <v>Shawn/Orem</v>
      </c>
      <c r="E3" s="1" t="s">
        <v>33</v>
      </c>
      <c r="F3" s="90"/>
      <c r="G3" s="90"/>
      <c r="H3" s="91"/>
      <c r="I3" s="92"/>
      <c r="J3" s="7">
        <v>37</v>
      </c>
      <c r="K3" s="7"/>
      <c r="L3" s="7" t="s">
        <v>161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10">
        <f t="shared" si="1"/>
        <v>0</v>
      </c>
      <c r="Z3" s="10">
        <f t="shared" si="2"/>
        <v>0</v>
      </c>
      <c r="AA3" s="10">
        <f t="shared" si="3"/>
        <v>0</v>
      </c>
      <c r="AB3" s="67">
        <v>0.3</v>
      </c>
      <c r="AC3" s="68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</row>
    <row r="4" spans="1:61" ht="13">
      <c r="A4" s="12">
        <v>42769</v>
      </c>
      <c r="B4">
        <v>1721</v>
      </c>
      <c r="C4">
        <v>1752</v>
      </c>
      <c r="D4" s="7" t="s">
        <v>162</v>
      </c>
      <c r="E4" s="1" t="s">
        <v>33</v>
      </c>
      <c r="F4" s="90"/>
      <c r="G4" s="90"/>
      <c r="H4" s="91"/>
      <c r="I4" s="92"/>
      <c r="J4" s="7">
        <v>35</v>
      </c>
      <c r="K4" s="7"/>
      <c r="L4" s="7" t="s">
        <v>163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10">
        <f t="shared" si="1"/>
        <v>0</v>
      </c>
      <c r="Z4" s="10">
        <f t="shared" si="2"/>
        <v>0</v>
      </c>
      <c r="AA4" s="10">
        <f t="shared" si="3"/>
        <v>0</v>
      </c>
      <c r="AB4" s="67">
        <v>0.41</v>
      </c>
      <c r="AC4" s="68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 spans="1:61" ht="14">
      <c r="A5" s="12">
        <v>42770</v>
      </c>
      <c r="B5" s="16">
        <v>1722</v>
      </c>
      <c r="C5" s="16">
        <v>1754</v>
      </c>
      <c r="D5" s="17" t="str">
        <f t="shared" ref="D5:D17" si="4">CHOOSE(WEEKDAY(A5),"Anne/Fred", "Jane", "Tom","Sue/Panos","Shawn/Orem","Jeff", "Rob")</f>
        <v>Rob</v>
      </c>
      <c r="E5" s="76" t="s">
        <v>37</v>
      </c>
      <c r="F5" s="93">
        <v>0.22916666666666666</v>
      </c>
      <c r="G5" s="93">
        <v>0.45833333333333331</v>
      </c>
      <c r="H5" s="78">
        <v>5.5</v>
      </c>
      <c r="I5" s="94">
        <v>30.25</v>
      </c>
      <c r="J5" s="17">
        <v>49</v>
      </c>
      <c r="K5" s="17">
        <v>43</v>
      </c>
      <c r="L5" s="17" t="s">
        <v>164</v>
      </c>
      <c r="M5" s="17">
        <v>300</v>
      </c>
      <c r="N5" s="17">
        <v>220</v>
      </c>
      <c r="O5" s="17">
        <v>8</v>
      </c>
      <c r="P5" s="17">
        <v>1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15</v>
      </c>
      <c r="W5" s="17">
        <v>12</v>
      </c>
      <c r="X5" s="17">
        <v>0</v>
      </c>
      <c r="Y5" s="17">
        <f t="shared" si="1"/>
        <v>529</v>
      </c>
      <c r="Z5" s="17">
        <f t="shared" si="2"/>
        <v>0</v>
      </c>
      <c r="AA5" s="17">
        <f t="shared" si="3"/>
        <v>529</v>
      </c>
      <c r="AB5" s="67">
        <v>0.52</v>
      </c>
      <c r="AC5" s="78" t="s">
        <v>165</v>
      </c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</row>
    <row r="6" spans="1:61" ht="14">
      <c r="A6" s="12">
        <v>42771</v>
      </c>
      <c r="B6">
        <v>1724</v>
      </c>
      <c r="C6">
        <v>1755</v>
      </c>
      <c r="D6" s="7" t="str">
        <f t="shared" si="4"/>
        <v>Anne/Fred</v>
      </c>
      <c r="E6" s="1" t="s">
        <v>33</v>
      </c>
      <c r="F6" s="90">
        <v>0.23958333333333334</v>
      </c>
      <c r="G6" s="90"/>
      <c r="H6" s="91"/>
      <c r="I6" s="92"/>
      <c r="J6" s="7">
        <v>38</v>
      </c>
      <c r="K6" s="7"/>
      <c r="L6" s="68" t="s">
        <v>166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10">
        <f t="shared" si="1"/>
        <v>0</v>
      </c>
      <c r="Z6" s="10">
        <f t="shared" si="2"/>
        <v>0</v>
      </c>
      <c r="AA6" s="10">
        <f t="shared" si="3"/>
        <v>0</v>
      </c>
      <c r="AB6" s="67">
        <v>0.63</v>
      </c>
      <c r="AC6" s="68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 spans="1:61" ht="14">
      <c r="A7" s="12">
        <v>42772</v>
      </c>
      <c r="B7">
        <v>1725</v>
      </c>
      <c r="C7">
        <v>1756</v>
      </c>
      <c r="D7" s="7" t="str">
        <f t="shared" si="4"/>
        <v>Jane</v>
      </c>
      <c r="E7" s="1" t="s">
        <v>29</v>
      </c>
      <c r="F7" s="90">
        <v>0.23958333333333334</v>
      </c>
      <c r="G7" s="90">
        <v>0.26041666666666669</v>
      </c>
      <c r="H7" s="68">
        <v>0.5</v>
      </c>
      <c r="I7" s="92">
        <v>0.5</v>
      </c>
      <c r="J7" s="7">
        <v>38</v>
      </c>
      <c r="K7" s="7">
        <v>37</v>
      </c>
      <c r="L7" s="68" t="s">
        <v>167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10">
        <f t="shared" si="1"/>
        <v>0</v>
      </c>
      <c r="Z7" s="10">
        <f t="shared" si="2"/>
        <v>0</v>
      </c>
      <c r="AA7" s="10">
        <f t="shared" si="3"/>
        <v>0</v>
      </c>
      <c r="AB7" s="67">
        <v>0.74</v>
      </c>
      <c r="AC7" s="59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 spans="1:61" ht="13">
      <c r="A8" s="14">
        <v>42773</v>
      </c>
      <c r="B8">
        <v>1727</v>
      </c>
      <c r="C8">
        <v>1758</v>
      </c>
      <c r="D8" s="7" t="str">
        <f t="shared" si="4"/>
        <v>Tom</v>
      </c>
      <c r="E8" s="1"/>
      <c r="F8" s="90"/>
      <c r="G8" s="90"/>
      <c r="H8" s="91"/>
      <c r="I8" s="92"/>
      <c r="J8" s="7"/>
      <c r="K8" s="7"/>
      <c r="L8" s="68"/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10">
        <f t="shared" si="1"/>
        <v>0</v>
      </c>
      <c r="Z8" s="10">
        <f t="shared" si="2"/>
        <v>0</v>
      </c>
      <c r="AA8" s="10">
        <f t="shared" si="3"/>
        <v>0</v>
      </c>
      <c r="AB8" s="67">
        <v>0.83</v>
      </c>
      <c r="AC8" s="59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 spans="1:61" ht="14">
      <c r="A9" s="14">
        <v>42774</v>
      </c>
      <c r="B9" s="16">
        <v>1728</v>
      </c>
      <c r="C9" s="16">
        <v>1759</v>
      </c>
      <c r="D9" s="17" t="str">
        <f t="shared" si="4"/>
        <v>Sue/Panos</v>
      </c>
      <c r="E9" s="76" t="s">
        <v>29</v>
      </c>
      <c r="F9" s="17" t="s">
        <v>168</v>
      </c>
      <c r="G9" s="17" t="s">
        <v>169</v>
      </c>
      <c r="H9" s="78">
        <v>1</v>
      </c>
      <c r="I9" s="94">
        <v>1.5</v>
      </c>
      <c r="J9" s="17">
        <v>39</v>
      </c>
      <c r="K9" s="17" t="s">
        <v>140</v>
      </c>
      <c r="L9" s="78" t="s">
        <v>170</v>
      </c>
      <c r="M9" s="17">
        <v>4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1</v>
      </c>
      <c r="W9" s="17">
        <v>0</v>
      </c>
      <c r="X9" s="17">
        <v>0</v>
      </c>
      <c r="Y9" s="17">
        <v>4</v>
      </c>
      <c r="Z9" s="17">
        <f t="shared" si="2"/>
        <v>0</v>
      </c>
      <c r="AA9" s="17">
        <f t="shared" si="3"/>
        <v>4</v>
      </c>
      <c r="AB9" s="67">
        <v>0.91</v>
      </c>
      <c r="AC9" s="78" t="s">
        <v>171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</row>
    <row r="10" spans="1:61" ht="14">
      <c r="A10" s="14">
        <v>42775</v>
      </c>
      <c r="B10" s="16">
        <v>1730</v>
      </c>
      <c r="C10" s="16">
        <v>1800</v>
      </c>
      <c r="D10" s="17" t="str">
        <f t="shared" si="4"/>
        <v>Shawn/Orem</v>
      </c>
      <c r="E10" s="76" t="s">
        <v>29</v>
      </c>
      <c r="F10" s="93">
        <v>0.22916666666666666</v>
      </c>
      <c r="G10" s="93">
        <v>0.45833333333333331</v>
      </c>
      <c r="H10" s="78">
        <v>5.5</v>
      </c>
      <c r="I10" s="94">
        <v>33.5</v>
      </c>
      <c r="J10" s="17">
        <v>53</v>
      </c>
      <c r="K10" s="17">
        <v>46</v>
      </c>
      <c r="L10" s="78" t="s">
        <v>172</v>
      </c>
      <c r="M10" s="17">
        <v>35</v>
      </c>
      <c r="N10" s="17">
        <v>7</v>
      </c>
      <c r="O10" s="17">
        <v>5</v>
      </c>
      <c r="P10" s="17">
        <v>0</v>
      </c>
      <c r="Q10" s="17">
        <v>3</v>
      </c>
      <c r="R10" s="17">
        <v>0</v>
      </c>
      <c r="S10" s="17">
        <v>1</v>
      </c>
      <c r="T10" s="17">
        <v>1</v>
      </c>
      <c r="U10" s="17">
        <v>0</v>
      </c>
      <c r="V10" s="17">
        <v>0</v>
      </c>
      <c r="W10" s="17">
        <v>0</v>
      </c>
      <c r="X10" s="17">
        <v>17</v>
      </c>
      <c r="Y10" s="17">
        <f t="shared" ref="Y10:Y29" si="5">SUM(M10:P10)</f>
        <v>47</v>
      </c>
      <c r="Z10" s="17">
        <f t="shared" si="2"/>
        <v>5</v>
      </c>
      <c r="AA10" s="17">
        <f t="shared" si="3"/>
        <v>52</v>
      </c>
      <c r="AB10" s="67">
        <v>0.96</v>
      </c>
      <c r="AC10" s="78" t="s">
        <v>173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spans="1:61" ht="14">
      <c r="A11" s="15">
        <v>42776</v>
      </c>
      <c r="B11" s="16">
        <v>1731</v>
      </c>
      <c r="C11" s="16">
        <v>1802</v>
      </c>
      <c r="D11" s="17" t="str">
        <f t="shared" si="4"/>
        <v>Jeff</v>
      </c>
      <c r="E11" s="76" t="s">
        <v>29</v>
      </c>
      <c r="F11" s="93">
        <v>0.22916666666666666</v>
      </c>
      <c r="G11" s="93">
        <v>0.36458333333333331</v>
      </c>
      <c r="H11" s="78">
        <v>3.25</v>
      </c>
      <c r="I11" s="94">
        <v>17.399999999999999</v>
      </c>
      <c r="J11" s="17">
        <v>42</v>
      </c>
      <c r="K11" s="17">
        <v>40</v>
      </c>
      <c r="L11" s="78" t="s">
        <v>174</v>
      </c>
      <c r="M11" s="17">
        <v>5</v>
      </c>
      <c r="N11" s="17">
        <v>0</v>
      </c>
      <c r="O11" s="17">
        <v>2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2</v>
      </c>
      <c r="Y11" s="17">
        <f t="shared" si="5"/>
        <v>7</v>
      </c>
      <c r="Z11" s="17">
        <f t="shared" si="2"/>
        <v>0</v>
      </c>
      <c r="AA11" s="17">
        <f t="shared" si="3"/>
        <v>7</v>
      </c>
      <c r="AB11" s="67">
        <v>0.99</v>
      </c>
      <c r="AC11" s="78" t="s">
        <v>175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</row>
    <row r="12" spans="1:61" ht="13">
      <c r="A12" s="15">
        <v>42777</v>
      </c>
      <c r="B12">
        <v>1732</v>
      </c>
      <c r="C12">
        <v>1803</v>
      </c>
      <c r="D12" s="7" t="str">
        <f t="shared" si="4"/>
        <v>Rob</v>
      </c>
      <c r="E12" s="1" t="s">
        <v>37</v>
      </c>
      <c r="F12" s="90">
        <v>0.22916666666666666</v>
      </c>
      <c r="G12" s="90">
        <v>0.28125</v>
      </c>
      <c r="H12" s="68">
        <v>1.25</v>
      </c>
      <c r="I12" s="92">
        <v>1.25</v>
      </c>
      <c r="J12" s="7">
        <v>41</v>
      </c>
      <c r="K12" s="68">
        <v>40</v>
      </c>
      <c r="L12" s="68"/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10">
        <f t="shared" si="5"/>
        <v>0</v>
      </c>
      <c r="Z12" s="10">
        <f t="shared" si="2"/>
        <v>0</v>
      </c>
      <c r="AA12" s="10">
        <f t="shared" si="3"/>
        <v>0</v>
      </c>
      <c r="AB12" s="67">
        <v>1</v>
      </c>
      <c r="AC12" s="68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spans="1:61" ht="14">
      <c r="A13" s="15">
        <v>42778</v>
      </c>
      <c r="B13">
        <v>1734</v>
      </c>
      <c r="C13">
        <v>1805</v>
      </c>
      <c r="D13" s="7" t="str">
        <f t="shared" si="4"/>
        <v>Anne/Fred</v>
      </c>
      <c r="E13" s="95" t="s">
        <v>29</v>
      </c>
      <c r="F13" s="96">
        <v>0.23958333333333334</v>
      </c>
      <c r="G13" s="97">
        <v>0.29166666666666669</v>
      </c>
      <c r="H13" s="98">
        <v>1.25</v>
      </c>
      <c r="I13" s="92">
        <v>2.5</v>
      </c>
      <c r="J13" s="99">
        <v>42</v>
      </c>
      <c r="K13" s="98">
        <v>38.5</v>
      </c>
      <c r="L13" s="98" t="s">
        <v>176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10">
        <f t="shared" si="5"/>
        <v>0</v>
      </c>
      <c r="Z13" s="10">
        <f t="shared" si="2"/>
        <v>0</v>
      </c>
      <c r="AA13" s="10">
        <f t="shared" si="3"/>
        <v>0</v>
      </c>
      <c r="AB13" s="67">
        <v>0.98</v>
      </c>
      <c r="AC13" s="98" t="s">
        <v>177</v>
      </c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</row>
    <row r="14" spans="1:61" ht="14">
      <c r="A14" s="20">
        <v>42779</v>
      </c>
      <c r="B14">
        <v>1735</v>
      </c>
      <c r="C14">
        <v>1806</v>
      </c>
      <c r="D14" s="7" t="str">
        <f t="shared" si="4"/>
        <v>Jane</v>
      </c>
      <c r="E14" s="1" t="s">
        <v>29</v>
      </c>
      <c r="F14" s="7" t="s">
        <v>178</v>
      </c>
      <c r="G14" s="47">
        <v>0.76041666666666663</v>
      </c>
      <c r="H14" s="68">
        <v>0.25</v>
      </c>
      <c r="I14" s="92">
        <v>0.25</v>
      </c>
      <c r="J14" s="7">
        <v>46</v>
      </c>
      <c r="K14" s="68">
        <v>46</v>
      </c>
      <c r="L14" s="68" t="s">
        <v>179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10">
        <f t="shared" si="5"/>
        <v>0</v>
      </c>
      <c r="Z14" s="10">
        <f t="shared" si="2"/>
        <v>0</v>
      </c>
      <c r="AA14" s="10">
        <f t="shared" si="3"/>
        <v>0</v>
      </c>
      <c r="AB14" s="67">
        <v>0.94</v>
      </c>
      <c r="AC14" s="68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 spans="1:61" ht="28">
      <c r="A15" s="20">
        <v>42780</v>
      </c>
      <c r="B15" s="16">
        <v>1737</v>
      </c>
      <c r="C15" s="16">
        <v>1807</v>
      </c>
      <c r="D15" s="17" t="str">
        <f t="shared" si="4"/>
        <v>Tom</v>
      </c>
      <c r="E15" s="76" t="s">
        <v>29</v>
      </c>
      <c r="F15" s="93">
        <v>0.26041666666666669</v>
      </c>
      <c r="G15" s="93">
        <v>0.4375</v>
      </c>
      <c r="H15" s="78">
        <v>4.5</v>
      </c>
      <c r="I15" s="94">
        <v>8.5</v>
      </c>
      <c r="J15" s="17">
        <v>47</v>
      </c>
      <c r="K15" s="78">
        <v>42</v>
      </c>
      <c r="L15" s="78" t="s">
        <v>180</v>
      </c>
      <c r="M15" s="17">
        <v>11</v>
      </c>
      <c r="N15" s="17">
        <v>0</v>
      </c>
      <c r="O15" s="17">
        <v>1</v>
      </c>
      <c r="P15" s="17">
        <v>0</v>
      </c>
      <c r="Q15" s="17">
        <v>4</v>
      </c>
      <c r="R15" s="17">
        <v>0</v>
      </c>
      <c r="S15" s="17">
        <v>0</v>
      </c>
      <c r="T15" s="17">
        <v>0</v>
      </c>
      <c r="U15" s="17">
        <v>0</v>
      </c>
      <c r="V15" s="17">
        <v>1</v>
      </c>
      <c r="W15" s="17">
        <v>0</v>
      </c>
      <c r="X15" s="17">
        <v>0</v>
      </c>
      <c r="Y15" s="17">
        <f t="shared" si="5"/>
        <v>12</v>
      </c>
      <c r="Z15" s="17">
        <f t="shared" si="2"/>
        <v>4</v>
      </c>
      <c r="AA15" s="17">
        <f t="shared" si="3"/>
        <v>16</v>
      </c>
      <c r="AB15" s="67">
        <v>0.88</v>
      </c>
      <c r="AC15" s="78" t="s">
        <v>181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</row>
    <row r="16" spans="1:61" ht="14">
      <c r="A16" s="20">
        <v>42781</v>
      </c>
      <c r="B16" s="16">
        <v>1738</v>
      </c>
      <c r="C16" s="16">
        <v>1809</v>
      </c>
      <c r="D16" s="17" t="str">
        <f t="shared" si="4"/>
        <v>Sue/Panos</v>
      </c>
      <c r="E16" s="76" t="s">
        <v>29</v>
      </c>
      <c r="F16" s="101">
        <v>0.23958333333333334</v>
      </c>
      <c r="G16" s="101">
        <v>0.47916666666666669</v>
      </c>
      <c r="H16" s="78">
        <v>6</v>
      </c>
      <c r="I16" s="94">
        <v>38</v>
      </c>
      <c r="J16" s="17">
        <v>47</v>
      </c>
      <c r="K16" s="78">
        <v>46</v>
      </c>
      <c r="L16" s="78" t="s">
        <v>182</v>
      </c>
      <c r="M16" s="17">
        <v>68</v>
      </c>
      <c r="N16" s="17">
        <v>4</v>
      </c>
      <c r="O16" s="17">
        <v>5</v>
      </c>
      <c r="P16" s="17">
        <v>0</v>
      </c>
      <c r="Q16" s="17">
        <v>136</v>
      </c>
      <c r="R16" s="17">
        <v>2</v>
      </c>
      <c r="S16" s="17">
        <v>7</v>
      </c>
      <c r="T16" s="17">
        <v>0</v>
      </c>
      <c r="U16" s="17">
        <v>0</v>
      </c>
      <c r="V16" s="17">
        <v>3</v>
      </c>
      <c r="W16" s="17">
        <v>0</v>
      </c>
      <c r="X16" s="17">
        <v>15</v>
      </c>
      <c r="Y16" s="17">
        <f t="shared" si="5"/>
        <v>77</v>
      </c>
      <c r="Z16" s="17">
        <f t="shared" si="2"/>
        <v>145</v>
      </c>
      <c r="AA16" s="17">
        <f t="shared" si="3"/>
        <v>222</v>
      </c>
      <c r="AB16" s="67">
        <v>0.81</v>
      </c>
      <c r="AC16" s="78" t="s">
        <v>183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</row>
    <row r="17" spans="1:61" ht="28">
      <c r="A17" s="22">
        <v>42782</v>
      </c>
      <c r="B17" s="16">
        <v>1740</v>
      </c>
      <c r="C17" s="16">
        <v>1810</v>
      </c>
      <c r="D17" s="17" t="str">
        <f t="shared" si="4"/>
        <v>Shawn/Orem</v>
      </c>
      <c r="E17" s="76" t="s">
        <v>29</v>
      </c>
      <c r="F17" s="101">
        <v>0.20833333333333334</v>
      </c>
      <c r="G17" s="101">
        <v>0.41666666666666669</v>
      </c>
      <c r="H17" s="78">
        <v>5</v>
      </c>
      <c r="I17" s="94">
        <v>22</v>
      </c>
      <c r="J17" s="17">
        <v>48</v>
      </c>
      <c r="K17" s="78">
        <v>45</v>
      </c>
      <c r="L17" s="78" t="s">
        <v>184</v>
      </c>
      <c r="M17" s="17">
        <v>7</v>
      </c>
      <c r="N17" s="17">
        <v>1</v>
      </c>
      <c r="O17" s="17">
        <v>2</v>
      </c>
      <c r="P17" s="17">
        <v>3</v>
      </c>
      <c r="Q17" s="17">
        <v>17</v>
      </c>
      <c r="R17" s="17">
        <v>2</v>
      </c>
      <c r="S17" s="17">
        <v>0</v>
      </c>
      <c r="T17" s="17">
        <v>0</v>
      </c>
      <c r="U17" s="17">
        <v>0</v>
      </c>
      <c r="V17" s="17">
        <v>2</v>
      </c>
      <c r="W17" s="17">
        <v>5</v>
      </c>
      <c r="X17" s="17">
        <v>0</v>
      </c>
      <c r="Y17" s="17">
        <f t="shared" si="5"/>
        <v>13</v>
      </c>
      <c r="Z17" s="17">
        <f t="shared" si="2"/>
        <v>19</v>
      </c>
      <c r="AA17" s="17">
        <f t="shared" si="3"/>
        <v>32</v>
      </c>
      <c r="AB17" s="67">
        <v>0.73</v>
      </c>
      <c r="AC17" s="78" t="s">
        <v>185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</row>
    <row r="18" spans="1:61" ht="28">
      <c r="A18" s="22">
        <v>42783</v>
      </c>
      <c r="B18">
        <v>1741</v>
      </c>
      <c r="C18">
        <v>1811</v>
      </c>
      <c r="D18" s="7" t="s">
        <v>186</v>
      </c>
      <c r="E18" s="1" t="s">
        <v>37</v>
      </c>
      <c r="F18" s="102">
        <v>0.73958333333333337</v>
      </c>
      <c r="G18" s="102">
        <v>0.78125</v>
      </c>
      <c r="H18" s="68">
        <v>1</v>
      </c>
      <c r="I18" s="92">
        <v>2</v>
      </c>
      <c r="J18" s="7">
        <v>49</v>
      </c>
      <c r="K18" s="68">
        <v>48</v>
      </c>
      <c r="L18" s="68" t="s">
        <v>187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10">
        <f t="shared" si="5"/>
        <v>0</v>
      </c>
      <c r="Z18" s="10">
        <f t="shared" si="2"/>
        <v>0</v>
      </c>
      <c r="AA18" s="10">
        <f t="shared" si="3"/>
        <v>0</v>
      </c>
      <c r="AB18" s="67">
        <v>0.64</v>
      </c>
      <c r="AC18" s="68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spans="1:61" ht="14">
      <c r="A19" s="22">
        <v>42784</v>
      </c>
      <c r="B19" s="16">
        <v>1743</v>
      </c>
      <c r="C19" s="16">
        <v>1813</v>
      </c>
      <c r="D19" s="17" t="str">
        <f t="shared" ref="D19:D29" si="6">CHOOSE(WEEKDAY(A19),"Anne/Fred", "Jane", "Tom","Sue/Panos","Shawn/Orem","Jeff", "Rob")</f>
        <v>Rob</v>
      </c>
      <c r="E19" s="103" t="s">
        <v>37</v>
      </c>
      <c r="F19" s="104">
        <v>0.22916666666666666</v>
      </c>
      <c r="G19" s="104">
        <v>0.29166666666666669</v>
      </c>
      <c r="H19" s="105">
        <v>1.5</v>
      </c>
      <c r="I19" s="94">
        <v>9.75</v>
      </c>
      <c r="J19" s="106">
        <v>45</v>
      </c>
      <c r="K19" s="105">
        <v>44</v>
      </c>
      <c r="L19" s="105" t="s">
        <v>188</v>
      </c>
      <c r="M19" s="17">
        <v>0</v>
      </c>
      <c r="N19" s="17">
        <v>0</v>
      </c>
      <c r="O19" s="17">
        <v>0</v>
      </c>
      <c r="P19" s="17">
        <v>0</v>
      </c>
      <c r="Q19" s="17">
        <v>7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f t="shared" si="5"/>
        <v>0</v>
      </c>
      <c r="Z19" s="17">
        <f t="shared" si="2"/>
        <v>7</v>
      </c>
      <c r="AA19" s="17">
        <f t="shared" si="3"/>
        <v>7</v>
      </c>
      <c r="AB19" s="67">
        <v>0.55000000000000004</v>
      </c>
      <c r="AC19" s="105" t="s">
        <v>189</v>
      </c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</row>
    <row r="20" spans="1:61" ht="42">
      <c r="A20" s="22">
        <v>42785</v>
      </c>
      <c r="B20">
        <v>1744</v>
      </c>
      <c r="C20">
        <v>1814</v>
      </c>
      <c r="D20" s="7" t="str">
        <f t="shared" si="6"/>
        <v>Anne/Fred</v>
      </c>
      <c r="E20" s="1" t="s">
        <v>29</v>
      </c>
      <c r="F20" s="102">
        <v>0.25</v>
      </c>
      <c r="G20" s="102">
        <v>0.30208333333333331</v>
      </c>
      <c r="H20" s="68">
        <v>1.25</v>
      </c>
      <c r="I20" s="92">
        <v>6.45</v>
      </c>
      <c r="J20" s="7">
        <v>45</v>
      </c>
      <c r="K20" s="68">
        <v>43</v>
      </c>
      <c r="L20" s="68" t="s">
        <v>190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1</v>
      </c>
      <c r="W20" s="7">
        <v>0</v>
      </c>
      <c r="X20" s="7">
        <v>2</v>
      </c>
      <c r="Y20" s="10">
        <f t="shared" si="5"/>
        <v>0</v>
      </c>
      <c r="Z20" s="10">
        <f t="shared" si="2"/>
        <v>0</v>
      </c>
      <c r="AA20" s="10">
        <f t="shared" si="3"/>
        <v>0</v>
      </c>
      <c r="AB20" s="67">
        <v>0.45</v>
      </c>
      <c r="AC20" s="68" t="s">
        <v>191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spans="1:61" ht="14">
      <c r="A21" s="22">
        <v>42786</v>
      </c>
      <c r="B21" s="16">
        <v>1745</v>
      </c>
      <c r="C21" s="16">
        <v>1816</v>
      </c>
      <c r="D21" s="17" t="str">
        <f t="shared" si="6"/>
        <v>Jane</v>
      </c>
      <c r="E21" s="76" t="s">
        <v>29</v>
      </c>
      <c r="F21" s="101">
        <v>0.22916666666666666</v>
      </c>
      <c r="G21" s="101">
        <v>0.41666666666666669</v>
      </c>
      <c r="H21" s="78">
        <v>4.5</v>
      </c>
      <c r="I21" s="94">
        <v>21.5</v>
      </c>
      <c r="J21" s="17">
        <v>48</v>
      </c>
      <c r="K21" s="78">
        <v>43</v>
      </c>
      <c r="L21" s="78" t="s">
        <v>192</v>
      </c>
      <c r="M21" s="17">
        <v>3</v>
      </c>
      <c r="N21" s="17">
        <v>0</v>
      </c>
      <c r="O21" s="17">
        <v>0</v>
      </c>
      <c r="P21" s="17">
        <v>0</v>
      </c>
      <c r="Q21" s="17">
        <v>8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f t="shared" si="5"/>
        <v>3</v>
      </c>
      <c r="Z21" s="17">
        <f t="shared" si="2"/>
        <v>8</v>
      </c>
      <c r="AA21" s="17">
        <f t="shared" si="3"/>
        <v>11</v>
      </c>
      <c r="AB21" s="67">
        <v>0.36</v>
      </c>
      <c r="AC21" s="78" t="s">
        <v>193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pans="1:61" ht="28">
      <c r="A22" s="22">
        <v>42787</v>
      </c>
      <c r="B22">
        <v>1747</v>
      </c>
      <c r="C22">
        <v>1817</v>
      </c>
      <c r="D22" s="7" t="str">
        <f t="shared" si="6"/>
        <v>Tom</v>
      </c>
      <c r="E22" s="1" t="s">
        <v>29</v>
      </c>
      <c r="F22" s="47">
        <v>0.25</v>
      </c>
      <c r="G22" s="102">
        <v>0.3125</v>
      </c>
      <c r="H22" s="68">
        <v>1.5</v>
      </c>
      <c r="I22" s="92">
        <v>5.5</v>
      </c>
      <c r="J22" s="7">
        <v>47</v>
      </c>
      <c r="K22" s="68">
        <v>42</v>
      </c>
      <c r="L22" s="68" t="s">
        <v>194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10">
        <f t="shared" si="5"/>
        <v>0</v>
      </c>
      <c r="Z22" s="10">
        <f t="shared" si="2"/>
        <v>0</v>
      </c>
      <c r="AA22" s="10">
        <f t="shared" si="3"/>
        <v>0</v>
      </c>
      <c r="AB22" s="67">
        <v>0.27</v>
      </c>
      <c r="AC22" s="68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</row>
    <row r="23" spans="1:61" ht="14">
      <c r="A23" s="24">
        <v>42788</v>
      </c>
      <c r="B23">
        <v>1748</v>
      </c>
      <c r="C23">
        <v>1818</v>
      </c>
      <c r="D23" s="7" t="str">
        <f t="shared" si="6"/>
        <v>Sue/Panos</v>
      </c>
      <c r="E23" s="1" t="s">
        <v>29</v>
      </c>
      <c r="F23" s="102">
        <v>0.73958333333333337</v>
      </c>
      <c r="G23" s="102">
        <v>0.77083333333333337</v>
      </c>
      <c r="H23" s="68">
        <v>0.45</v>
      </c>
      <c r="I23" s="92">
        <v>0.45</v>
      </c>
      <c r="J23" s="7">
        <v>41</v>
      </c>
      <c r="K23" s="68">
        <v>41</v>
      </c>
      <c r="L23" s="68" t="s">
        <v>98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10">
        <f t="shared" si="5"/>
        <v>0</v>
      </c>
      <c r="Z23" s="10"/>
      <c r="AA23" s="10">
        <f t="shared" si="3"/>
        <v>0</v>
      </c>
      <c r="AB23" s="67">
        <v>0.19</v>
      </c>
      <c r="AC23" s="68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spans="1:61" ht="28">
      <c r="A24" s="24">
        <v>42789</v>
      </c>
      <c r="B24">
        <v>1750</v>
      </c>
      <c r="C24">
        <v>1820</v>
      </c>
      <c r="D24" s="7" t="str">
        <f t="shared" si="6"/>
        <v>Shawn/Orem</v>
      </c>
      <c r="E24" s="1" t="s">
        <v>29</v>
      </c>
      <c r="F24" s="102">
        <v>0.35416666666666669</v>
      </c>
      <c r="G24" s="102">
        <v>0.3576388888888889</v>
      </c>
      <c r="H24" s="91"/>
      <c r="I24" s="92"/>
      <c r="J24" s="7">
        <v>36</v>
      </c>
      <c r="K24" s="68">
        <v>36</v>
      </c>
      <c r="L24" s="68" t="s">
        <v>195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10">
        <f t="shared" si="5"/>
        <v>0</v>
      </c>
      <c r="Z24" s="10">
        <f t="shared" ref="Z24:Z29" si="7">SUM(Q24:T24)</f>
        <v>0</v>
      </c>
      <c r="AA24" s="10">
        <f t="shared" si="3"/>
        <v>0</v>
      </c>
      <c r="AB24" s="67">
        <v>0.12</v>
      </c>
      <c r="AC24" s="68" t="s">
        <v>196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</row>
    <row r="25" spans="1:61" ht="28">
      <c r="A25" s="24">
        <v>42790</v>
      </c>
      <c r="B25">
        <v>1751</v>
      </c>
      <c r="C25">
        <v>1821</v>
      </c>
      <c r="D25" s="7" t="str">
        <f t="shared" si="6"/>
        <v>Jeff</v>
      </c>
      <c r="E25" s="1" t="s">
        <v>29</v>
      </c>
      <c r="F25" s="102">
        <v>0.77083333333333337</v>
      </c>
      <c r="G25" s="102">
        <v>0.79166666666666663</v>
      </c>
      <c r="H25" s="68">
        <v>0.5</v>
      </c>
      <c r="I25" s="92">
        <v>0.5</v>
      </c>
      <c r="J25" s="7">
        <v>37</v>
      </c>
      <c r="K25" s="68">
        <v>37</v>
      </c>
      <c r="L25" s="68" t="s">
        <v>194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10">
        <f t="shared" si="5"/>
        <v>0</v>
      </c>
      <c r="Z25" s="10">
        <f t="shared" si="7"/>
        <v>0</v>
      </c>
      <c r="AA25" s="10">
        <f t="shared" si="3"/>
        <v>0</v>
      </c>
      <c r="AB25" s="67">
        <v>0.06</v>
      </c>
      <c r="AC25" s="68" t="s">
        <v>197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 spans="1:61" ht="14">
      <c r="A26" s="25">
        <v>42791</v>
      </c>
      <c r="B26">
        <v>1753</v>
      </c>
      <c r="C26">
        <v>1822</v>
      </c>
      <c r="D26" s="7" t="str">
        <f t="shared" si="6"/>
        <v>Rob</v>
      </c>
      <c r="E26" s="1" t="s">
        <v>37</v>
      </c>
      <c r="F26" s="102">
        <v>0.25</v>
      </c>
      <c r="G26" s="102">
        <v>0.29166666666666669</v>
      </c>
      <c r="H26" s="68">
        <v>1</v>
      </c>
      <c r="I26" s="92">
        <v>1</v>
      </c>
      <c r="J26" s="7">
        <v>40</v>
      </c>
      <c r="K26" s="68">
        <v>39</v>
      </c>
      <c r="L26" s="68" t="s">
        <v>198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10">
        <f t="shared" si="5"/>
        <v>0</v>
      </c>
      <c r="Z26" s="10">
        <f t="shared" si="7"/>
        <v>0</v>
      </c>
      <c r="AA26" s="10">
        <f t="shared" si="3"/>
        <v>0</v>
      </c>
      <c r="AB26" s="67">
        <v>0.02</v>
      </c>
      <c r="AC26" s="68" t="s">
        <v>199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 spans="1:61" ht="28">
      <c r="A27" s="25">
        <v>42792</v>
      </c>
      <c r="B27">
        <v>1754</v>
      </c>
      <c r="C27">
        <v>1824</v>
      </c>
      <c r="D27" s="7" t="str">
        <f t="shared" si="6"/>
        <v>Anne/Fred</v>
      </c>
      <c r="E27" s="1" t="s">
        <v>29</v>
      </c>
      <c r="F27" s="102">
        <v>0.26041666666666669</v>
      </c>
      <c r="G27" s="102">
        <v>0.28125</v>
      </c>
      <c r="H27" s="68">
        <v>0.5</v>
      </c>
      <c r="I27" s="92">
        <v>0.5</v>
      </c>
      <c r="J27" s="7">
        <v>36</v>
      </c>
      <c r="K27" s="68">
        <v>35</v>
      </c>
      <c r="L27" s="68" t="s">
        <v>200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10">
        <f t="shared" si="5"/>
        <v>0</v>
      </c>
      <c r="Z27" s="10">
        <f t="shared" si="7"/>
        <v>0</v>
      </c>
      <c r="AA27" s="10">
        <f t="shared" si="3"/>
        <v>0</v>
      </c>
      <c r="AB27" s="67">
        <v>0</v>
      </c>
      <c r="AC27" s="68" t="s">
        <v>201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1:61" ht="28">
      <c r="A28" s="25">
        <v>42793</v>
      </c>
      <c r="B28">
        <v>1755</v>
      </c>
      <c r="C28">
        <v>1825</v>
      </c>
      <c r="D28" s="7" t="str">
        <f t="shared" si="6"/>
        <v>Jane</v>
      </c>
      <c r="E28" s="1" t="s">
        <v>29</v>
      </c>
      <c r="F28" s="47">
        <v>0.2638888888888889</v>
      </c>
      <c r="G28" s="102">
        <v>0.33333333333333331</v>
      </c>
      <c r="H28" s="68">
        <v>1.6</v>
      </c>
      <c r="I28" s="92">
        <v>1.6</v>
      </c>
      <c r="J28" s="7">
        <v>41</v>
      </c>
      <c r="K28" s="68">
        <v>40</v>
      </c>
      <c r="L28" s="68" t="s">
        <v>202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10">
        <f t="shared" si="5"/>
        <v>0</v>
      </c>
      <c r="Z28" s="10">
        <f t="shared" si="7"/>
        <v>0</v>
      </c>
      <c r="AA28" s="10">
        <f t="shared" si="3"/>
        <v>0</v>
      </c>
      <c r="AB28" s="67">
        <v>0.01</v>
      </c>
      <c r="AC28" s="59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</row>
    <row r="29" spans="1:61" ht="13">
      <c r="A29" s="5">
        <v>42794</v>
      </c>
      <c r="B29">
        <v>1757</v>
      </c>
      <c r="C29">
        <v>1826</v>
      </c>
      <c r="D29" s="7" t="str">
        <f t="shared" si="6"/>
        <v>Tom</v>
      </c>
      <c r="E29" s="1"/>
      <c r="F29" s="102"/>
      <c r="G29" s="102"/>
      <c r="H29" s="91"/>
      <c r="I29" s="92"/>
      <c r="J29" s="7"/>
      <c r="K29" s="68"/>
      <c r="L29" s="68"/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10">
        <f t="shared" si="5"/>
        <v>0</v>
      </c>
      <c r="Z29" s="10">
        <f t="shared" si="7"/>
        <v>0</v>
      </c>
      <c r="AA29" s="10">
        <f t="shared" si="3"/>
        <v>0</v>
      </c>
      <c r="AB29" s="67">
        <v>0.04</v>
      </c>
      <c r="AC29" s="59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 spans="1:61" ht="13">
      <c r="A30" s="65"/>
      <c r="D30" s="11"/>
      <c r="E30" s="11"/>
      <c r="F30" s="11"/>
      <c r="G30" s="11"/>
      <c r="H30" s="38"/>
      <c r="I30" s="11"/>
      <c r="J30" s="11"/>
      <c r="K30" s="38"/>
      <c r="L30" s="11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</row>
    <row r="31" spans="1:61" ht="13">
      <c r="A31" s="11"/>
      <c r="D31" s="11"/>
      <c r="E31" s="28" t="s">
        <v>56</v>
      </c>
      <c r="F31" s="48"/>
      <c r="H31" s="48"/>
      <c r="I31" s="50">
        <f>SUM(I2:I29)</f>
        <v>204.89999999999998</v>
      </c>
      <c r="J31" s="11"/>
      <c r="K31" s="38"/>
      <c r="L31" s="108"/>
      <c r="M31" s="38">
        <f t="shared" ref="M31:Z31" si="8">SUM(M2:M29)</f>
        <v>433</v>
      </c>
      <c r="N31" s="38">
        <f t="shared" si="8"/>
        <v>232</v>
      </c>
      <c r="O31" s="38">
        <f t="shared" si="8"/>
        <v>23</v>
      </c>
      <c r="P31" s="38">
        <f t="shared" si="8"/>
        <v>4</v>
      </c>
      <c r="Q31" s="38">
        <f t="shared" si="8"/>
        <v>175</v>
      </c>
      <c r="R31" s="38">
        <f t="shared" si="8"/>
        <v>4</v>
      </c>
      <c r="S31" s="38">
        <f t="shared" si="8"/>
        <v>8</v>
      </c>
      <c r="T31" s="38">
        <f t="shared" si="8"/>
        <v>1</v>
      </c>
      <c r="U31" s="38">
        <f t="shared" si="8"/>
        <v>0</v>
      </c>
      <c r="V31" s="38">
        <f t="shared" si="8"/>
        <v>23</v>
      </c>
      <c r="W31" s="38">
        <f t="shared" si="8"/>
        <v>17</v>
      </c>
      <c r="X31" s="38">
        <f t="shared" si="8"/>
        <v>36</v>
      </c>
      <c r="Y31" s="38">
        <f t="shared" si="8"/>
        <v>692</v>
      </c>
      <c r="Z31" s="38">
        <f t="shared" si="8"/>
        <v>188</v>
      </c>
      <c r="AA31" s="11">
        <f t="shared" ref="AA31:AA32" si="9">SUM(Y31:Z31)</f>
        <v>880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</row>
    <row r="32" spans="1:61" ht="13">
      <c r="A32" s="11"/>
      <c r="B32" s="11"/>
      <c r="D32" s="11"/>
      <c r="E32" s="28" t="s">
        <v>57</v>
      </c>
      <c r="F32" s="48"/>
      <c r="H32" s="48"/>
      <c r="I32" s="50">
        <f>nov_tot_hrs+dec_tot_hrs+jan_tot_hrs+feb_tot_hrs</f>
        <v>306.37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51"/>
      <c r="Y32" s="51">
        <f>nov_tot_down+dec_tot_down+jan_tot_down+feb_tot_down</f>
        <v>831</v>
      </c>
      <c r="Z32" s="51">
        <f>nov_tot_up+dec_tot_up+jan_tot_up+feb_tot_up</f>
        <v>188</v>
      </c>
      <c r="AA32" s="109">
        <f t="shared" si="9"/>
        <v>1019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</row>
    <row r="33" spans="1:61" ht="13">
      <c r="A33" s="11"/>
      <c r="B33" s="27"/>
      <c r="C33" s="32"/>
      <c r="D33" s="27"/>
      <c r="E33" s="27"/>
      <c r="F33" s="27"/>
      <c r="G33" s="27"/>
      <c r="H33" s="27"/>
      <c r="I33" s="28"/>
      <c r="J33" s="28"/>
      <c r="K33" s="28"/>
      <c r="L33" s="33"/>
      <c r="M33" s="34"/>
      <c r="N33" s="35"/>
      <c r="O33" s="35"/>
      <c r="P33" s="36"/>
      <c r="Q33" s="37"/>
      <c r="R33" s="36"/>
      <c r="S33" s="36"/>
      <c r="T33" s="36"/>
      <c r="U33" s="36"/>
      <c r="V33" s="36"/>
      <c r="W33" s="36"/>
      <c r="X33" s="36"/>
      <c r="Y33" s="36"/>
      <c r="Z33" s="37"/>
      <c r="AA33" s="27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 spans="1:61" ht="13">
      <c r="A34" s="11"/>
      <c r="B34" s="27"/>
      <c r="C34" s="32" t="s">
        <v>58</v>
      </c>
      <c r="D34" s="27"/>
      <c r="E34" s="27"/>
      <c r="F34" s="27"/>
      <c r="G34" s="27"/>
      <c r="H34" s="27"/>
      <c r="I34" s="28"/>
      <c r="J34" s="28"/>
      <c r="K34" s="28"/>
      <c r="L34" s="33"/>
      <c r="M34" s="34"/>
      <c r="N34" s="35"/>
      <c r="O34" s="35"/>
      <c r="P34" s="36"/>
      <c r="Q34" s="37"/>
      <c r="R34" s="36"/>
      <c r="S34" s="36"/>
      <c r="T34" s="36"/>
      <c r="U34" s="36"/>
      <c r="V34" s="36"/>
      <c r="W34" s="36"/>
      <c r="X34" s="36"/>
      <c r="Y34" s="36"/>
      <c r="Z34" s="37"/>
      <c r="AA34" s="27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 spans="1:61" ht="13">
      <c r="A35" s="11"/>
      <c r="B35" s="27"/>
      <c r="C35" s="28" t="s">
        <v>59</v>
      </c>
      <c r="D35" s="27"/>
      <c r="E35" s="27"/>
      <c r="F35" s="27"/>
      <c r="G35" s="27"/>
      <c r="H35" s="11"/>
      <c r="I35" s="28" t="s">
        <v>60</v>
      </c>
      <c r="J35" s="11"/>
      <c r="K35" s="11"/>
      <c r="L35" s="11"/>
      <c r="M35" s="28" t="s">
        <v>61</v>
      </c>
      <c r="N35" s="11"/>
      <c r="O35" s="35"/>
      <c r="P35" s="36"/>
      <c r="Q35" s="37"/>
      <c r="R35" s="161" t="s">
        <v>62</v>
      </c>
      <c r="S35" s="162"/>
      <c r="T35" s="162"/>
      <c r="U35" s="36"/>
      <c r="V35" s="36">
        <f>nov_tot_down+dec_tot_down+jan_tot_down+feb_tot_down</f>
        <v>831</v>
      </c>
      <c r="W35" s="36"/>
      <c r="X35" s="36"/>
      <c r="Y35" s="36"/>
      <c r="Z35" s="37"/>
      <c r="AA35" s="27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 spans="1:61" ht="13">
      <c r="A36" s="11"/>
      <c r="B36" s="27"/>
      <c r="C36" s="28" t="s">
        <v>64</v>
      </c>
      <c r="D36" s="27"/>
      <c r="E36" s="27"/>
      <c r="F36" s="27"/>
      <c r="G36" s="40"/>
      <c r="H36" s="11"/>
      <c r="I36" s="28" t="s">
        <v>65</v>
      </c>
      <c r="J36" s="11"/>
      <c r="K36" s="11"/>
      <c r="L36" s="11"/>
      <c r="M36" s="28" t="s">
        <v>66</v>
      </c>
      <c r="N36" s="11"/>
      <c r="O36" s="35"/>
      <c r="P36" s="36"/>
      <c r="Q36" s="37"/>
      <c r="R36" s="161" t="s">
        <v>67</v>
      </c>
      <c r="S36" s="162"/>
      <c r="T36" s="162"/>
      <c r="U36" s="37"/>
      <c r="V36" s="37">
        <f>nov_tot_up+dec_tot_up+jan_tot_up+feb_tot_up</f>
        <v>188</v>
      </c>
      <c r="W36" s="36"/>
      <c r="X36" s="36"/>
      <c r="Y36" s="36"/>
      <c r="Z36" s="37"/>
      <c r="AA36" s="27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 spans="1:61" ht="13">
      <c r="A37" s="11"/>
      <c r="B37" s="27"/>
      <c r="C37" s="11"/>
      <c r="D37" s="27"/>
      <c r="E37" s="27"/>
      <c r="F37" s="27"/>
      <c r="G37" s="27"/>
      <c r="H37" s="11"/>
      <c r="I37" s="28" t="s">
        <v>68</v>
      </c>
      <c r="J37" s="11"/>
      <c r="K37" s="11"/>
      <c r="L37" s="11"/>
      <c r="M37" s="28" t="s">
        <v>69</v>
      </c>
      <c r="N37" s="11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7"/>
      <c r="AA37" s="27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</row>
    <row r="38" spans="1:61" ht="13">
      <c r="A38" s="11"/>
      <c r="B38" s="27"/>
      <c r="C38" s="11"/>
      <c r="D38" s="27"/>
      <c r="E38" s="27"/>
      <c r="F38" s="27"/>
      <c r="G38" s="27"/>
      <c r="H38" s="27"/>
      <c r="I38" s="28"/>
      <c r="J38" s="28"/>
      <c r="K38" s="28"/>
      <c r="L38" s="33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27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</row>
    <row r="39" spans="1:61" ht="13">
      <c r="A39" s="11"/>
      <c r="B39" s="41" t="s">
        <v>70</v>
      </c>
      <c r="C39" s="27"/>
      <c r="D39" s="41"/>
      <c r="E39" s="11"/>
      <c r="F39" s="11"/>
      <c r="G39" s="11"/>
      <c r="H39" s="11"/>
      <c r="I39" s="41" t="s">
        <v>71</v>
      </c>
      <c r="J39" s="11"/>
      <c r="K39" s="27"/>
      <c r="L39" s="41"/>
      <c r="M39" s="36"/>
      <c r="N39" s="36"/>
      <c r="O39" s="34" t="s">
        <v>203</v>
      </c>
      <c r="P39" s="36"/>
      <c r="R39" s="35"/>
      <c r="S39" s="35"/>
      <c r="T39" s="35"/>
      <c r="U39" s="35"/>
      <c r="V39" s="35"/>
      <c r="W39" s="36"/>
      <c r="X39" s="11"/>
      <c r="Y39" s="11"/>
      <c r="Z39" s="11"/>
      <c r="AA39" s="27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</row>
    <row r="40" spans="1:61" ht="13">
      <c r="A40" s="6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</row>
    <row r="41" spans="1:61" ht="13">
      <c r="A41" s="65"/>
      <c r="B41" s="11"/>
      <c r="C41" s="11"/>
      <c r="D41" s="11"/>
      <c r="E41" s="11"/>
      <c r="F41" s="11"/>
      <c r="G41" s="11"/>
      <c r="H41" s="110"/>
      <c r="I41" s="110"/>
      <c r="J41" s="110"/>
      <c r="K41" s="110"/>
      <c r="L41" s="11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</row>
    <row r="42" spans="1:61" ht="1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</row>
    <row r="43" spans="1:61" ht="13">
      <c r="A43" s="6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</row>
    <row r="44" spans="1:61" ht="1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</row>
    <row r="45" spans="1:61" ht="1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</row>
    <row r="46" spans="1:61" ht="1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</row>
    <row r="47" spans="1:61" ht="1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</row>
    <row r="48" spans="1:61" ht="1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</row>
    <row r="49" spans="1:61" ht="1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</row>
    <row r="50" spans="1:61" ht="1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</row>
    <row r="51" spans="1:61" ht="1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</row>
    <row r="52" spans="1:61" ht="1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</row>
    <row r="53" spans="1:61" ht="1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</row>
    <row r="54" spans="1:61" ht="1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</row>
    <row r="55" spans="1:61" ht="1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</row>
    <row r="56" spans="1:61" ht="1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</row>
    <row r="57" spans="1:61" ht="1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</row>
    <row r="58" spans="1:61" ht="1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</row>
    <row r="59" spans="1:61" ht="1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</row>
    <row r="60" spans="1:61" ht="1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</row>
    <row r="61" spans="1:61" ht="1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</row>
    <row r="62" spans="1:61" ht="1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</row>
    <row r="63" spans="1:61" ht="1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</row>
    <row r="64" spans="1:61" ht="1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</row>
    <row r="65" spans="1:61" ht="1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</row>
    <row r="66" spans="1:61" ht="1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</row>
    <row r="67" spans="1:61" ht="1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</row>
    <row r="68" spans="1:61" ht="1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</row>
    <row r="69" spans="1:61" ht="1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</row>
    <row r="70" spans="1:61" ht="1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</row>
    <row r="71" spans="1:61" ht="1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</row>
    <row r="72" spans="1:61" ht="1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</row>
    <row r="73" spans="1:61" ht="1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</row>
    <row r="74" spans="1:61" ht="1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</row>
    <row r="75" spans="1:61" ht="1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</row>
    <row r="76" spans="1:61" ht="1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</row>
    <row r="77" spans="1:61" ht="1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</row>
    <row r="78" spans="1:61" ht="1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</row>
    <row r="79" spans="1:61" ht="1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</row>
    <row r="80" spans="1:61" ht="1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</row>
    <row r="81" spans="1:61" ht="1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</row>
    <row r="82" spans="1:61" ht="1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</row>
    <row r="83" spans="1:61" ht="1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</row>
    <row r="84" spans="1:61" ht="1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</row>
    <row r="85" spans="1:61" ht="1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</row>
    <row r="86" spans="1:61" ht="1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</row>
    <row r="87" spans="1:61" ht="1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</row>
    <row r="88" spans="1:61" ht="1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</row>
    <row r="89" spans="1:61" ht="1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</row>
    <row r="90" spans="1:61" ht="1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</row>
    <row r="91" spans="1:61" ht="1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</row>
    <row r="92" spans="1:61" ht="1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</row>
    <row r="93" spans="1:61" ht="1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spans="1:61" ht="1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</row>
    <row r="95" spans="1:61" ht="1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</row>
    <row r="96" spans="1:61" ht="1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spans="1:61" ht="1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</row>
    <row r="98" spans="1:61" ht="1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</row>
    <row r="99" spans="1:61" ht="1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</row>
    <row r="100" spans="1:61" ht="1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</row>
    <row r="101" spans="1:61" ht="1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</row>
    <row r="102" spans="1:61" ht="1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</row>
    <row r="103" spans="1:61" ht="1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</row>
    <row r="104" spans="1:61" ht="1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</row>
    <row r="105" spans="1:61" ht="1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</row>
    <row r="106" spans="1:61" ht="1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</row>
    <row r="107" spans="1:61" ht="1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</row>
    <row r="108" spans="1:61" ht="1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</row>
    <row r="109" spans="1:61" ht="1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</row>
    <row r="110" spans="1:61" ht="1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</row>
    <row r="111" spans="1:61" ht="1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</row>
    <row r="112" spans="1:61" ht="1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</row>
    <row r="113" spans="1:61" ht="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</row>
    <row r="114" spans="1:61" ht="1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</row>
    <row r="115" spans="1:61" ht="1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</row>
    <row r="116" spans="1:61" ht="1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</row>
    <row r="117" spans="1:61" ht="1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</row>
    <row r="118" spans="1:61" ht="1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</row>
    <row r="119" spans="1:61" ht="1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</row>
    <row r="120" spans="1:61" ht="1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</row>
    <row r="121" spans="1:61" ht="1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</row>
    <row r="122" spans="1:61" ht="1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</row>
    <row r="123" spans="1:61" ht="1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</row>
    <row r="124" spans="1:61" ht="1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</row>
    <row r="125" spans="1:61" ht="1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</row>
    <row r="126" spans="1:61" ht="1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</row>
    <row r="127" spans="1:61" ht="1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</row>
    <row r="128" spans="1:61" ht="1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</row>
    <row r="129" spans="1:61" ht="1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</row>
    <row r="130" spans="1:61" ht="1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</row>
    <row r="131" spans="1:61" ht="1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</row>
    <row r="132" spans="1:61" ht="1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</row>
    <row r="133" spans="1:61" ht="1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</row>
    <row r="134" spans="1:61" ht="1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</row>
    <row r="135" spans="1:61" ht="1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</row>
    <row r="136" spans="1:61" ht="1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</row>
    <row r="137" spans="1:61" ht="1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</row>
    <row r="138" spans="1:61" ht="1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</row>
    <row r="139" spans="1:61" ht="1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</row>
    <row r="140" spans="1:61" ht="1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</row>
    <row r="141" spans="1:61" ht="1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</row>
    <row r="142" spans="1:61" ht="1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</row>
    <row r="143" spans="1:61" ht="1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</row>
    <row r="144" spans="1:61" ht="1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</row>
    <row r="145" spans="1:61" ht="1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</row>
    <row r="146" spans="1:61" ht="1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</row>
    <row r="147" spans="1:61" ht="1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</row>
    <row r="148" spans="1:61" ht="1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</row>
    <row r="149" spans="1:61" ht="1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</row>
    <row r="150" spans="1:61" ht="1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</row>
    <row r="151" spans="1:61" ht="1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</row>
    <row r="152" spans="1:61" ht="1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</row>
    <row r="153" spans="1:61" ht="1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</row>
    <row r="154" spans="1:61" ht="1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</row>
    <row r="155" spans="1:61" ht="1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</row>
    <row r="156" spans="1:61" ht="1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</row>
    <row r="157" spans="1:61" ht="1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</row>
    <row r="158" spans="1:61" ht="1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</row>
    <row r="159" spans="1:61" ht="1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</row>
    <row r="160" spans="1:61" ht="1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</row>
    <row r="161" spans="1:61" ht="1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</row>
    <row r="162" spans="1:61" ht="1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</row>
    <row r="163" spans="1:61" ht="1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</row>
    <row r="164" spans="1:61" ht="1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</row>
    <row r="165" spans="1:61" ht="1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</row>
    <row r="166" spans="1:61" ht="1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</row>
    <row r="167" spans="1:61" ht="1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</row>
    <row r="168" spans="1:61" ht="1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</row>
    <row r="169" spans="1:61" ht="1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</row>
    <row r="170" spans="1:61" ht="1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</row>
    <row r="171" spans="1:61" ht="1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</row>
    <row r="172" spans="1:61" ht="1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</row>
    <row r="173" spans="1:61" ht="1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</row>
    <row r="174" spans="1:61" ht="1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</row>
    <row r="175" spans="1:61" ht="1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</row>
    <row r="176" spans="1:61" ht="1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</row>
    <row r="177" spans="1:61" ht="1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</row>
    <row r="178" spans="1:61" ht="1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</row>
    <row r="179" spans="1:61" ht="1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</row>
    <row r="180" spans="1:61" ht="1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</row>
    <row r="181" spans="1:61" ht="1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</row>
    <row r="182" spans="1:61" ht="1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</row>
    <row r="183" spans="1:61" ht="1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</row>
    <row r="184" spans="1:61" ht="1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</row>
    <row r="185" spans="1:61" ht="1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</row>
    <row r="186" spans="1:61" ht="1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</row>
    <row r="187" spans="1:61" ht="1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</row>
    <row r="188" spans="1:61" ht="1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</row>
    <row r="189" spans="1:61" ht="1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</row>
    <row r="190" spans="1:61" ht="1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</row>
    <row r="191" spans="1:61" ht="1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</row>
    <row r="192" spans="1:61" ht="1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</row>
    <row r="193" spans="1:61" ht="1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</row>
    <row r="194" spans="1:61" ht="1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</row>
    <row r="195" spans="1:61" ht="1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</row>
    <row r="196" spans="1:61" ht="1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</row>
    <row r="197" spans="1:61" ht="1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</row>
    <row r="198" spans="1:61" ht="1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</row>
    <row r="199" spans="1:61" ht="1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</row>
    <row r="200" spans="1:61" ht="1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</row>
    <row r="201" spans="1:61" ht="1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</row>
    <row r="202" spans="1:61" ht="1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</row>
    <row r="203" spans="1:61" ht="1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</row>
    <row r="204" spans="1:61" ht="1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</row>
    <row r="205" spans="1:61" ht="1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</row>
    <row r="206" spans="1:61" ht="1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</row>
    <row r="207" spans="1:61" ht="1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</row>
    <row r="208" spans="1:61" ht="1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</row>
    <row r="209" spans="1:61" ht="1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</row>
    <row r="210" spans="1:61" ht="1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</row>
    <row r="211" spans="1:61" ht="1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</row>
    <row r="212" spans="1:61" ht="1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</row>
    <row r="213" spans="1:61" ht="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</row>
    <row r="214" spans="1:61" ht="1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</row>
    <row r="215" spans="1:61" ht="1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</row>
    <row r="216" spans="1:61" ht="1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</row>
    <row r="217" spans="1:61" ht="1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</row>
    <row r="218" spans="1:61" ht="1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</row>
    <row r="219" spans="1:61" ht="1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</row>
    <row r="220" spans="1:61" ht="1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</row>
    <row r="221" spans="1:61" ht="1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</row>
    <row r="222" spans="1:61" ht="1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</row>
    <row r="223" spans="1:61" ht="1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</row>
    <row r="224" spans="1:61" ht="1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</row>
    <row r="225" spans="1:61" ht="1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</row>
    <row r="226" spans="1:61" ht="1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</row>
    <row r="227" spans="1:61" ht="1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</row>
    <row r="228" spans="1:61" ht="1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</row>
    <row r="229" spans="1:61" ht="1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</row>
    <row r="230" spans="1:61" ht="1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</row>
    <row r="231" spans="1:61" ht="1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</row>
    <row r="232" spans="1:61" ht="1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</row>
    <row r="233" spans="1:61" ht="1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</row>
    <row r="234" spans="1:61" ht="1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</row>
    <row r="235" spans="1:61" ht="1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</row>
    <row r="236" spans="1:61" ht="1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</row>
    <row r="237" spans="1:61" ht="1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</row>
    <row r="238" spans="1:61" ht="1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</row>
    <row r="239" spans="1:61" ht="1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</row>
    <row r="240" spans="1:61" ht="1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</row>
    <row r="241" spans="1:61" ht="1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</row>
    <row r="242" spans="1:61" ht="1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</row>
    <row r="243" spans="1:61" ht="1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</row>
    <row r="244" spans="1:61" ht="1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</row>
    <row r="245" spans="1:61" ht="1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</row>
    <row r="246" spans="1:61" ht="1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</row>
    <row r="247" spans="1:61" ht="1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</row>
    <row r="248" spans="1:61" ht="1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</row>
    <row r="249" spans="1:61" ht="1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</row>
    <row r="250" spans="1:61" ht="1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</row>
    <row r="251" spans="1:61" ht="1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</row>
    <row r="252" spans="1:61" ht="1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</row>
    <row r="253" spans="1:61" ht="1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</row>
    <row r="254" spans="1:61" ht="1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</row>
    <row r="255" spans="1:61" ht="1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</row>
    <row r="256" spans="1:61" ht="1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</row>
    <row r="257" spans="1:61" ht="1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</row>
    <row r="258" spans="1:61" ht="1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</row>
    <row r="259" spans="1:61" ht="1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</row>
    <row r="260" spans="1:61" ht="1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</row>
    <row r="261" spans="1:61" ht="1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</row>
    <row r="262" spans="1:61" ht="1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</row>
    <row r="263" spans="1:61" ht="1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</row>
    <row r="264" spans="1:61" ht="1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</row>
    <row r="265" spans="1:61" ht="1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</row>
    <row r="266" spans="1:61" ht="1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</row>
    <row r="267" spans="1:61" ht="1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</row>
    <row r="268" spans="1:61" ht="1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</row>
    <row r="269" spans="1:61" ht="1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</row>
    <row r="270" spans="1:61" ht="1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</row>
    <row r="271" spans="1:61" ht="1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</row>
    <row r="272" spans="1:61" ht="1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</row>
    <row r="273" spans="1:61" ht="1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</row>
    <row r="274" spans="1:61" ht="1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</row>
    <row r="275" spans="1:61" ht="1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</row>
    <row r="276" spans="1:61" ht="1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</row>
    <row r="277" spans="1:61" ht="1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</row>
    <row r="278" spans="1:61" ht="1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</row>
    <row r="279" spans="1:61" ht="1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</row>
    <row r="280" spans="1:61" ht="1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</row>
    <row r="281" spans="1:61" ht="1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</row>
    <row r="282" spans="1:61" ht="1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</row>
    <row r="283" spans="1:61" ht="1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</row>
    <row r="284" spans="1:61" ht="1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</row>
    <row r="285" spans="1:61" ht="1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</row>
    <row r="286" spans="1:61" ht="1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</row>
    <row r="287" spans="1:61" ht="1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</row>
    <row r="288" spans="1:61" ht="1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</row>
    <row r="289" spans="1:61" ht="1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</row>
    <row r="290" spans="1:61" ht="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</row>
    <row r="291" spans="1:61" ht="1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</row>
    <row r="292" spans="1:61" ht="1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</row>
    <row r="293" spans="1:61" ht="1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</row>
    <row r="294" spans="1:61" ht="1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</row>
    <row r="295" spans="1:61" ht="1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</row>
    <row r="296" spans="1:61" ht="1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</row>
    <row r="297" spans="1:61" ht="1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</row>
    <row r="298" spans="1:61" ht="1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</row>
    <row r="299" spans="1:61" ht="1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</row>
    <row r="300" spans="1:61" ht="1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</row>
    <row r="301" spans="1:61" ht="1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</row>
    <row r="302" spans="1:61" ht="1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</row>
    <row r="303" spans="1:61" ht="1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</row>
    <row r="304" spans="1:61" ht="1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</row>
    <row r="305" spans="1:61" ht="1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</row>
    <row r="306" spans="1:61" ht="1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</row>
    <row r="307" spans="1:61" ht="1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</row>
    <row r="308" spans="1:61" ht="1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</row>
    <row r="309" spans="1:61" ht="1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</row>
    <row r="310" spans="1:61" ht="1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</row>
    <row r="311" spans="1:61" ht="1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</row>
    <row r="312" spans="1:61" ht="1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</row>
    <row r="313" spans="1:61" ht="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</row>
    <row r="314" spans="1:61" ht="1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</row>
    <row r="315" spans="1:61" ht="1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</row>
    <row r="316" spans="1:61" ht="1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</row>
    <row r="317" spans="1:61" ht="1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</row>
    <row r="318" spans="1:61" ht="1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</row>
    <row r="319" spans="1:61" ht="1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</row>
    <row r="320" spans="1:61" ht="1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</row>
    <row r="321" spans="1:61" ht="1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</row>
    <row r="322" spans="1:61" ht="1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</row>
    <row r="323" spans="1:61" ht="1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</row>
    <row r="324" spans="1:61" ht="1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</row>
    <row r="325" spans="1:61" ht="1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</row>
    <row r="326" spans="1:61" ht="1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</row>
    <row r="327" spans="1:61" ht="1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</row>
    <row r="328" spans="1:61" ht="1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</row>
    <row r="329" spans="1:61" ht="1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</row>
    <row r="330" spans="1:61" ht="1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</row>
    <row r="331" spans="1:61" ht="1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</row>
    <row r="332" spans="1:61" ht="1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</row>
    <row r="333" spans="1:61" ht="1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</row>
    <row r="334" spans="1:61" ht="1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</row>
    <row r="335" spans="1:61" ht="1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</row>
    <row r="336" spans="1:61" ht="1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</row>
    <row r="337" spans="1:61" ht="1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</row>
    <row r="338" spans="1:61" ht="1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</row>
    <row r="339" spans="1:61" ht="1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</row>
    <row r="340" spans="1:61" ht="1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</row>
    <row r="341" spans="1:61" ht="1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</row>
    <row r="342" spans="1:61" ht="1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</row>
    <row r="343" spans="1:61" ht="1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</row>
    <row r="344" spans="1:61" ht="1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</row>
    <row r="345" spans="1:61" ht="1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</row>
    <row r="346" spans="1:61" ht="1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</row>
    <row r="347" spans="1:61" ht="1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</row>
    <row r="348" spans="1:61" ht="1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</row>
    <row r="349" spans="1:61" ht="1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</row>
    <row r="350" spans="1:61" ht="1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</row>
    <row r="351" spans="1:61" ht="1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</row>
    <row r="352" spans="1:61" ht="1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</row>
    <row r="353" spans="1:61" ht="1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</row>
    <row r="354" spans="1:61" ht="1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</row>
    <row r="355" spans="1:61" ht="1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</row>
    <row r="356" spans="1:61" ht="1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</row>
    <row r="357" spans="1:61" ht="1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</row>
    <row r="358" spans="1:61" ht="1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</row>
    <row r="359" spans="1:61" ht="1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</row>
    <row r="360" spans="1:61" ht="1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</row>
    <row r="361" spans="1:61" ht="1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</row>
    <row r="362" spans="1:61" ht="1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</row>
    <row r="363" spans="1:61" ht="1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</row>
    <row r="364" spans="1:61" ht="1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</row>
    <row r="365" spans="1:61" ht="1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</row>
    <row r="366" spans="1:61" ht="1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</row>
    <row r="367" spans="1:61" ht="1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</row>
    <row r="368" spans="1:61" ht="1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</row>
    <row r="369" spans="1:61" ht="1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</row>
    <row r="370" spans="1:61" ht="1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</row>
    <row r="371" spans="1:61" ht="1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</row>
    <row r="372" spans="1:61" ht="1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</row>
    <row r="373" spans="1:61" ht="1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</row>
    <row r="374" spans="1:61" ht="1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</row>
    <row r="375" spans="1:61" ht="1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</row>
    <row r="376" spans="1:61" ht="1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</row>
    <row r="377" spans="1:61" ht="1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</row>
    <row r="378" spans="1:61" ht="1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</row>
    <row r="379" spans="1:61" ht="1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</row>
    <row r="380" spans="1:61" ht="1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</row>
    <row r="381" spans="1:61" ht="1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</row>
    <row r="382" spans="1:61" ht="1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</row>
    <row r="383" spans="1:61" ht="1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</row>
    <row r="384" spans="1:61" ht="1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</row>
    <row r="385" spans="1:61" ht="1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</row>
    <row r="386" spans="1:61" ht="1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</row>
    <row r="387" spans="1:61" ht="1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</row>
    <row r="388" spans="1:61" ht="1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</row>
    <row r="389" spans="1:61" ht="1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</row>
    <row r="390" spans="1:61" ht="1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</row>
    <row r="391" spans="1:61" ht="1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</row>
    <row r="392" spans="1:61" ht="1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</row>
    <row r="393" spans="1:61" ht="1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</row>
    <row r="394" spans="1:61" ht="1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</row>
    <row r="395" spans="1:61" ht="1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</row>
    <row r="396" spans="1:61" ht="1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</row>
    <row r="397" spans="1:61" ht="1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</row>
    <row r="398" spans="1:61" ht="1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</row>
    <row r="399" spans="1:61" ht="1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</row>
    <row r="400" spans="1:61" ht="1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</row>
    <row r="401" spans="1:61" ht="1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</row>
    <row r="402" spans="1:61" ht="1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</row>
    <row r="403" spans="1:61" ht="1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</row>
    <row r="404" spans="1:61" ht="1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</row>
    <row r="405" spans="1:61" ht="1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</row>
    <row r="406" spans="1:61" ht="1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</row>
    <row r="407" spans="1:61" ht="1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</row>
    <row r="408" spans="1:61" ht="1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</row>
    <row r="409" spans="1:61" ht="1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</row>
    <row r="410" spans="1:61" ht="1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</row>
    <row r="411" spans="1:61" ht="1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</row>
    <row r="412" spans="1:61" ht="1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</row>
    <row r="413" spans="1:61" ht="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</row>
    <row r="414" spans="1:61" ht="1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</row>
    <row r="415" spans="1:61" ht="1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</row>
    <row r="416" spans="1:61" ht="1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</row>
    <row r="417" spans="1:61" ht="1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</row>
    <row r="418" spans="1:61" ht="1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</row>
    <row r="419" spans="1:61" ht="1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</row>
    <row r="420" spans="1:61" ht="1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</row>
    <row r="421" spans="1:61" ht="1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</row>
    <row r="422" spans="1:61" ht="1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</row>
    <row r="423" spans="1:61" ht="1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</row>
    <row r="424" spans="1:61" ht="1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</row>
    <row r="425" spans="1:61" ht="1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</row>
    <row r="426" spans="1:61" ht="1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</row>
    <row r="427" spans="1:61" ht="1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</row>
    <row r="428" spans="1:61" ht="1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</row>
    <row r="429" spans="1:61" ht="1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</row>
    <row r="430" spans="1:61" ht="1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</row>
    <row r="431" spans="1:61" ht="1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</row>
    <row r="432" spans="1:61" ht="1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</row>
    <row r="433" spans="1:61" ht="1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</row>
    <row r="434" spans="1:61" ht="1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</row>
    <row r="435" spans="1:61" ht="1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</row>
    <row r="436" spans="1:61" ht="1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</row>
    <row r="437" spans="1:61" ht="1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</row>
    <row r="438" spans="1:61" ht="1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</row>
    <row r="439" spans="1:61" ht="1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</row>
    <row r="440" spans="1:61" ht="1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</row>
    <row r="441" spans="1:61" ht="1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</row>
    <row r="442" spans="1:61" ht="1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</row>
    <row r="443" spans="1:61" ht="1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</row>
    <row r="444" spans="1:61" ht="1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</row>
    <row r="445" spans="1:61" ht="1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</row>
    <row r="446" spans="1:61" ht="1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</row>
    <row r="447" spans="1:61" ht="1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</row>
    <row r="448" spans="1:61" ht="1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</row>
    <row r="449" spans="1:61" ht="1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</row>
    <row r="450" spans="1:61" ht="1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</row>
    <row r="451" spans="1:61" ht="1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</row>
    <row r="452" spans="1:61" ht="1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</row>
    <row r="453" spans="1:61" ht="1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</row>
    <row r="454" spans="1:61" ht="1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</row>
    <row r="455" spans="1:61" ht="1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</row>
    <row r="456" spans="1:61" ht="1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</row>
    <row r="457" spans="1:61" ht="1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</row>
    <row r="458" spans="1:61" ht="1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</row>
    <row r="459" spans="1:61" ht="1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</row>
    <row r="460" spans="1:61" ht="1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</row>
    <row r="461" spans="1:61" ht="1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</row>
    <row r="462" spans="1:61" ht="1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</row>
    <row r="463" spans="1:61" ht="1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</row>
    <row r="464" spans="1:61" ht="1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</row>
    <row r="465" spans="1:61" ht="1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</row>
    <row r="466" spans="1:61" ht="1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</row>
    <row r="467" spans="1:61" ht="1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</row>
    <row r="468" spans="1:61" ht="1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</row>
    <row r="469" spans="1:61" ht="1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</row>
    <row r="470" spans="1:61" ht="1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</row>
    <row r="471" spans="1:61" ht="1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</row>
    <row r="472" spans="1:61" ht="1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</row>
    <row r="473" spans="1:61" ht="1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</row>
    <row r="474" spans="1:61" ht="1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</row>
    <row r="475" spans="1:61" ht="1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</row>
    <row r="476" spans="1:61" ht="1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</row>
    <row r="477" spans="1:61" ht="1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</row>
    <row r="478" spans="1:61" ht="1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</row>
    <row r="479" spans="1:61" ht="1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</row>
    <row r="480" spans="1:61" ht="1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</row>
    <row r="481" spans="1:61" ht="1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</row>
    <row r="482" spans="1:61" ht="1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</row>
    <row r="483" spans="1:61" ht="1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</row>
    <row r="484" spans="1:61" ht="1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</row>
    <row r="485" spans="1:61" ht="1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</row>
    <row r="486" spans="1:61" ht="1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</row>
    <row r="487" spans="1:61" ht="1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</row>
    <row r="488" spans="1:61" ht="1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</row>
    <row r="489" spans="1:61" ht="1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</row>
    <row r="490" spans="1:61" ht="1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</row>
    <row r="491" spans="1:61" ht="1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</row>
    <row r="492" spans="1:61" ht="1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</row>
    <row r="493" spans="1:61" ht="1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</row>
    <row r="494" spans="1:61" ht="1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</row>
    <row r="495" spans="1:61" ht="1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</row>
    <row r="496" spans="1:61" ht="1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</row>
    <row r="497" spans="1:61" ht="1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</row>
    <row r="498" spans="1:61" ht="1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</row>
    <row r="499" spans="1:61" ht="1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</row>
    <row r="500" spans="1:61" ht="1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</row>
    <row r="501" spans="1:61" ht="1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</row>
    <row r="502" spans="1:61" ht="1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</row>
    <row r="503" spans="1:61" ht="1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</row>
    <row r="504" spans="1:61" ht="1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</row>
    <row r="505" spans="1:61" ht="1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</row>
    <row r="506" spans="1:61" ht="1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</row>
    <row r="507" spans="1:61" ht="1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</row>
    <row r="508" spans="1:61" ht="1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</row>
    <row r="509" spans="1:61" ht="1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</row>
    <row r="510" spans="1:61" ht="1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</row>
    <row r="511" spans="1:61" ht="1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</row>
    <row r="512" spans="1:61" ht="1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</row>
    <row r="513" spans="1:61" ht="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</row>
    <row r="514" spans="1:61" ht="1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</row>
    <row r="515" spans="1:61" ht="1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</row>
    <row r="516" spans="1:61" ht="1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</row>
    <row r="517" spans="1:61" ht="1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</row>
    <row r="518" spans="1:61" ht="1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</row>
    <row r="519" spans="1:61" ht="1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</row>
    <row r="520" spans="1:61" ht="1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</row>
    <row r="521" spans="1:61" ht="1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</row>
    <row r="522" spans="1:61" ht="1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</row>
    <row r="523" spans="1:61" ht="1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</row>
    <row r="524" spans="1:61" ht="1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</row>
    <row r="525" spans="1:61" ht="1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</row>
    <row r="526" spans="1:61" ht="1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</row>
    <row r="527" spans="1:61" ht="1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</row>
    <row r="528" spans="1:61" ht="1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</row>
    <row r="529" spans="1:61" ht="1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</row>
    <row r="530" spans="1:61" ht="1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</row>
    <row r="531" spans="1:61" ht="1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</row>
    <row r="532" spans="1:61" ht="1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</row>
    <row r="533" spans="1:61" ht="1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</row>
    <row r="534" spans="1:61" ht="1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</row>
    <row r="535" spans="1:61" ht="1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</row>
    <row r="536" spans="1:61" ht="1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</row>
    <row r="537" spans="1:61" ht="1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</row>
    <row r="538" spans="1:61" ht="1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</row>
    <row r="539" spans="1:61" ht="1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</row>
    <row r="540" spans="1:61" ht="1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</row>
    <row r="541" spans="1:61" ht="1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</row>
    <row r="542" spans="1:61" ht="1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</row>
    <row r="543" spans="1:61" ht="1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</row>
    <row r="544" spans="1:61" ht="1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</row>
    <row r="545" spans="1:61" ht="1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</row>
    <row r="546" spans="1:61" ht="1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</row>
    <row r="547" spans="1:61" ht="1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</row>
    <row r="548" spans="1:61" ht="1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</row>
    <row r="549" spans="1:61" ht="1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</row>
    <row r="550" spans="1:61" ht="1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</row>
    <row r="551" spans="1:61" ht="1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</row>
    <row r="552" spans="1:61" ht="1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</row>
    <row r="553" spans="1:61" ht="1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</row>
    <row r="554" spans="1:61" ht="1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</row>
    <row r="555" spans="1:61" ht="1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</row>
    <row r="556" spans="1:61" ht="1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</row>
    <row r="557" spans="1:61" ht="1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</row>
    <row r="558" spans="1:61" ht="1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</row>
    <row r="559" spans="1:61" ht="1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</row>
    <row r="560" spans="1:61" ht="1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</row>
    <row r="561" spans="1:61" ht="1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</row>
    <row r="562" spans="1:61" ht="1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</row>
    <row r="563" spans="1:61" ht="1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</row>
    <row r="564" spans="1:61" ht="1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</row>
    <row r="565" spans="1:61" ht="1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</row>
    <row r="566" spans="1:61" ht="1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</row>
    <row r="567" spans="1:61" ht="1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</row>
    <row r="568" spans="1:61" ht="1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</row>
    <row r="569" spans="1:61" ht="1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</row>
    <row r="570" spans="1:61" ht="1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</row>
    <row r="571" spans="1:61" ht="1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</row>
    <row r="572" spans="1:61" ht="1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</row>
    <row r="573" spans="1:61" ht="1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</row>
    <row r="574" spans="1:61" ht="1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</row>
    <row r="575" spans="1:61" ht="1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</row>
    <row r="576" spans="1:61" ht="1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</row>
    <row r="577" spans="1:61" ht="1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</row>
    <row r="578" spans="1:61" ht="1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</row>
    <row r="579" spans="1:61" ht="1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</row>
    <row r="580" spans="1:61" ht="1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</row>
    <row r="581" spans="1:61" ht="1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</row>
    <row r="582" spans="1:61" ht="1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</row>
    <row r="583" spans="1:61" ht="1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</row>
    <row r="584" spans="1:61" ht="1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</row>
    <row r="585" spans="1:61" ht="1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</row>
    <row r="586" spans="1:61" ht="1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</row>
    <row r="587" spans="1:61" ht="1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</row>
    <row r="588" spans="1:61" ht="1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</row>
    <row r="589" spans="1:61" ht="1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</row>
    <row r="590" spans="1:61" ht="1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</row>
    <row r="591" spans="1:61" ht="1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</row>
    <row r="592" spans="1:61" ht="1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</row>
    <row r="593" spans="1:61" ht="1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</row>
    <row r="594" spans="1:61" ht="1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</row>
    <row r="595" spans="1:61" ht="1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</row>
    <row r="596" spans="1:61" ht="1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</row>
    <row r="597" spans="1:61" ht="1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</row>
    <row r="598" spans="1:61" ht="1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</row>
    <row r="599" spans="1:61" ht="1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</row>
    <row r="600" spans="1:61" ht="1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</row>
    <row r="601" spans="1:61" ht="1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</row>
    <row r="602" spans="1:61" ht="1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</row>
    <row r="603" spans="1:61" ht="1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</row>
    <row r="604" spans="1:61" ht="1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</row>
    <row r="605" spans="1:61" ht="1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</row>
    <row r="606" spans="1:61" ht="1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</row>
    <row r="607" spans="1:61" ht="1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</row>
    <row r="608" spans="1:61" ht="1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</row>
    <row r="609" spans="1:61" ht="1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</row>
    <row r="610" spans="1:61" ht="1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</row>
    <row r="611" spans="1:61" ht="1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</row>
    <row r="612" spans="1:61" ht="1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</row>
    <row r="613" spans="1:61" ht="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</row>
    <row r="614" spans="1:61" ht="1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</row>
    <row r="615" spans="1:61" ht="1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</row>
    <row r="616" spans="1:61" ht="1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</row>
    <row r="617" spans="1:61" ht="1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</row>
    <row r="618" spans="1:61" ht="1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</row>
    <row r="619" spans="1:61" ht="1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</row>
    <row r="620" spans="1:61" ht="1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</row>
    <row r="621" spans="1:61" ht="1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</row>
    <row r="622" spans="1:61" ht="1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</row>
    <row r="623" spans="1:61" ht="1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</row>
    <row r="624" spans="1:61" ht="1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</row>
    <row r="625" spans="1:61" ht="1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</row>
    <row r="626" spans="1:61" ht="1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</row>
    <row r="627" spans="1:61" ht="1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</row>
    <row r="628" spans="1:61" ht="1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</row>
    <row r="629" spans="1:61" ht="1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</row>
    <row r="630" spans="1:61" ht="1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</row>
    <row r="631" spans="1:61" ht="1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</row>
    <row r="632" spans="1:61" ht="1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</row>
    <row r="633" spans="1:61" ht="1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</row>
    <row r="634" spans="1:61" ht="1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</row>
    <row r="635" spans="1:61" ht="1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</row>
    <row r="636" spans="1:61" ht="1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</row>
    <row r="637" spans="1:61" ht="1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</row>
    <row r="638" spans="1:61" ht="1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</row>
    <row r="639" spans="1:61" ht="1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</row>
    <row r="640" spans="1:61" ht="1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</row>
    <row r="641" spans="1:61" ht="1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</row>
    <row r="642" spans="1:61" ht="1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</row>
    <row r="643" spans="1:61" ht="1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</row>
    <row r="644" spans="1:61" ht="1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</row>
    <row r="645" spans="1:61" ht="1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</row>
    <row r="646" spans="1:61" ht="1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</row>
    <row r="647" spans="1:61" ht="1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</row>
    <row r="648" spans="1:61" ht="1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</row>
    <row r="649" spans="1:61" ht="1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</row>
    <row r="650" spans="1:61" ht="1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</row>
    <row r="651" spans="1:61" ht="1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</row>
    <row r="652" spans="1:61" ht="1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</row>
    <row r="653" spans="1:61" ht="1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</row>
    <row r="654" spans="1:61" ht="1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</row>
    <row r="655" spans="1:61" ht="1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</row>
    <row r="656" spans="1:61" ht="1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</row>
    <row r="657" spans="1:61" ht="1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</row>
    <row r="658" spans="1:61" ht="1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</row>
    <row r="659" spans="1:61" ht="1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</row>
    <row r="660" spans="1:61" ht="1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</row>
    <row r="661" spans="1:61" ht="1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</row>
    <row r="662" spans="1:61" ht="1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</row>
    <row r="663" spans="1:61" ht="1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</row>
    <row r="664" spans="1:61" ht="1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</row>
    <row r="665" spans="1:61" ht="1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</row>
    <row r="666" spans="1:61" ht="1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</row>
    <row r="667" spans="1:61" ht="1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</row>
    <row r="668" spans="1:61" ht="1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</row>
    <row r="669" spans="1:61" ht="1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</row>
    <row r="670" spans="1:61" ht="1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</row>
    <row r="671" spans="1:61" ht="1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</row>
    <row r="672" spans="1:61" ht="1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</row>
    <row r="673" spans="1:61" ht="1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</row>
    <row r="674" spans="1:61" ht="1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</row>
    <row r="675" spans="1:61" ht="1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</row>
    <row r="676" spans="1:61" ht="1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</row>
    <row r="677" spans="1:61" ht="1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</row>
    <row r="678" spans="1:61" ht="1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</row>
    <row r="679" spans="1:61" ht="1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</row>
    <row r="680" spans="1:61" ht="1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</row>
    <row r="681" spans="1:61" ht="1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</row>
    <row r="682" spans="1:61" ht="1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</row>
    <row r="683" spans="1:61" ht="1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</row>
    <row r="684" spans="1:61" ht="1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</row>
    <row r="685" spans="1:61" ht="1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</row>
    <row r="686" spans="1:61" ht="1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</row>
    <row r="687" spans="1:61" ht="1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</row>
    <row r="688" spans="1:61" ht="1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</row>
    <row r="689" spans="1:61" ht="1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</row>
    <row r="690" spans="1:61" ht="1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</row>
    <row r="691" spans="1:61" ht="1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</row>
    <row r="692" spans="1:61" ht="1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</row>
    <row r="693" spans="1:61" ht="1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</row>
    <row r="694" spans="1:61" ht="1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</row>
    <row r="695" spans="1:61" ht="1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</row>
    <row r="696" spans="1:61" ht="1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</row>
    <row r="697" spans="1:61" ht="1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</row>
    <row r="698" spans="1:61" ht="1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</row>
    <row r="699" spans="1:61" ht="1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</row>
    <row r="700" spans="1:61" ht="1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</row>
    <row r="701" spans="1:61" ht="1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</row>
    <row r="702" spans="1:61" ht="1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</row>
    <row r="703" spans="1:61" ht="1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</row>
    <row r="704" spans="1:61" ht="1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</row>
    <row r="705" spans="1:61" ht="1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</row>
    <row r="706" spans="1:61" ht="1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</row>
    <row r="707" spans="1:61" ht="1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</row>
    <row r="708" spans="1:61" ht="1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</row>
    <row r="709" spans="1:61" ht="1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</row>
    <row r="710" spans="1:61" ht="1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</row>
    <row r="711" spans="1:61" ht="1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</row>
    <row r="712" spans="1:61" ht="1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</row>
    <row r="713" spans="1:61" ht="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</row>
    <row r="714" spans="1:61" ht="1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</row>
    <row r="715" spans="1:61" ht="1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</row>
    <row r="716" spans="1:61" ht="1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</row>
    <row r="717" spans="1:61" ht="1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</row>
    <row r="718" spans="1:61" ht="1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</row>
    <row r="719" spans="1:61" ht="1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</row>
    <row r="720" spans="1:61" ht="1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</row>
    <row r="721" spans="1:61" ht="1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</row>
    <row r="722" spans="1:61" ht="1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</row>
    <row r="723" spans="1:61" ht="1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</row>
    <row r="724" spans="1:61" ht="1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</row>
    <row r="725" spans="1:61" ht="1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</row>
    <row r="726" spans="1:61" ht="1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</row>
    <row r="727" spans="1:61" ht="1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</row>
    <row r="728" spans="1:61" ht="1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</row>
    <row r="729" spans="1:61" ht="1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</row>
    <row r="730" spans="1:61" ht="1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</row>
    <row r="731" spans="1:61" ht="1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</row>
    <row r="732" spans="1:61" ht="1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</row>
    <row r="733" spans="1:61" ht="1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</row>
    <row r="734" spans="1:61" ht="1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</row>
    <row r="735" spans="1:61" ht="1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</row>
    <row r="736" spans="1:61" ht="1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</row>
    <row r="737" spans="1:61" ht="1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</row>
    <row r="738" spans="1:61" ht="1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</row>
    <row r="739" spans="1:61" ht="1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</row>
    <row r="740" spans="1:61" ht="1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</row>
    <row r="741" spans="1:61" ht="1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</row>
    <row r="742" spans="1:61" ht="1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</row>
    <row r="743" spans="1:61" ht="1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</row>
    <row r="744" spans="1:61" ht="1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</row>
    <row r="745" spans="1:61" ht="1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</row>
    <row r="746" spans="1:61" ht="1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</row>
    <row r="747" spans="1:61" ht="1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</row>
    <row r="748" spans="1:61" ht="1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</row>
    <row r="749" spans="1:61" ht="1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</row>
    <row r="750" spans="1:61" ht="1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</row>
    <row r="751" spans="1:61" ht="1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</row>
    <row r="752" spans="1:61" ht="1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</row>
    <row r="753" spans="1:61" ht="1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</row>
    <row r="754" spans="1:61" ht="1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</row>
    <row r="755" spans="1:61" ht="1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</row>
    <row r="756" spans="1:61" ht="1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</row>
    <row r="757" spans="1:61" ht="1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</row>
    <row r="758" spans="1:61" ht="1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</row>
    <row r="759" spans="1:61" ht="1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</row>
    <row r="760" spans="1:61" ht="1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</row>
    <row r="761" spans="1:61" ht="1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</row>
    <row r="762" spans="1:61" ht="1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</row>
    <row r="763" spans="1:61" ht="1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</row>
    <row r="764" spans="1:61" ht="1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</row>
    <row r="765" spans="1:61" ht="1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</row>
    <row r="766" spans="1:61" ht="1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</row>
    <row r="767" spans="1:61" ht="1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</row>
    <row r="768" spans="1:61" ht="1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</row>
    <row r="769" spans="1:61" ht="1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</row>
    <row r="770" spans="1:61" ht="1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</row>
    <row r="771" spans="1:61" ht="1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</row>
    <row r="772" spans="1:61" ht="1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</row>
    <row r="773" spans="1:61" ht="1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</row>
    <row r="774" spans="1:61" ht="1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</row>
    <row r="775" spans="1:61" ht="1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</row>
    <row r="776" spans="1:61" ht="1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</row>
    <row r="777" spans="1:61" ht="1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</row>
    <row r="778" spans="1:61" ht="1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</row>
    <row r="779" spans="1:61" ht="1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</row>
    <row r="780" spans="1:61" ht="1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</row>
    <row r="781" spans="1:61" ht="1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</row>
    <row r="782" spans="1:61" ht="1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</row>
    <row r="783" spans="1:61" ht="1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</row>
    <row r="784" spans="1:61" ht="1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</row>
    <row r="785" spans="1:61" ht="1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</row>
    <row r="786" spans="1:61" ht="1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</row>
    <row r="787" spans="1:61" ht="1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</row>
    <row r="788" spans="1:61" ht="1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</row>
    <row r="789" spans="1:61" ht="1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</row>
    <row r="790" spans="1:61" ht="1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</row>
    <row r="791" spans="1:61" ht="1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</row>
    <row r="792" spans="1:61" ht="1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</row>
    <row r="793" spans="1:61" ht="1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</row>
    <row r="794" spans="1:61" ht="1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</row>
    <row r="795" spans="1:61" ht="1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</row>
    <row r="796" spans="1:61" ht="1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</row>
    <row r="797" spans="1:61" ht="1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</row>
    <row r="798" spans="1:61" ht="1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</row>
    <row r="799" spans="1:61" ht="1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</row>
    <row r="800" spans="1:61" ht="1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</row>
    <row r="801" spans="1:61" ht="1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</row>
    <row r="802" spans="1:61" ht="1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</row>
    <row r="803" spans="1:61" ht="1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</row>
    <row r="804" spans="1:61" ht="1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</row>
    <row r="805" spans="1:61" ht="1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</row>
    <row r="806" spans="1:61" ht="1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</row>
    <row r="807" spans="1:61" ht="1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</row>
    <row r="808" spans="1:61" ht="1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</row>
    <row r="809" spans="1:61" ht="1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</row>
    <row r="810" spans="1:61" ht="1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</row>
    <row r="811" spans="1:61" ht="1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</row>
    <row r="812" spans="1:61" ht="1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</row>
    <row r="813" spans="1:61" ht="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</row>
    <row r="814" spans="1:61" ht="1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</row>
    <row r="815" spans="1:61" ht="1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</row>
    <row r="816" spans="1:61" ht="1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</row>
    <row r="817" spans="1:61" ht="1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</row>
    <row r="818" spans="1:61" ht="1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</row>
    <row r="819" spans="1:61" ht="1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</row>
    <row r="820" spans="1:61" ht="1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</row>
    <row r="821" spans="1:61" ht="1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</row>
    <row r="822" spans="1:61" ht="1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</row>
    <row r="823" spans="1:61" ht="1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</row>
    <row r="824" spans="1:61" ht="1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</row>
    <row r="825" spans="1:61" ht="1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</row>
    <row r="826" spans="1:61" ht="1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</row>
    <row r="827" spans="1:61" ht="1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</row>
    <row r="828" spans="1:61" ht="1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</row>
    <row r="829" spans="1:61" ht="1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</row>
    <row r="830" spans="1:61" ht="1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</row>
    <row r="831" spans="1:61" ht="1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</row>
    <row r="832" spans="1:61" ht="1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</row>
    <row r="833" spans="1:61" ht="1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</row>
    <row r="834" spans="1:61" ht="1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</row>
    <row r="835" spans="1:61" ht="1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</row>
    <row r="836" spans="1:61" ht="1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</row>
    <row r="837" spans="1:61" ht="1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</row>
    <row r="838" spans="1:61" ht="1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</row>
    <row r="839" spans="1:61" ht="1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</row>
    <row r="840" spans="1:61" ht="1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</row>
    <row r="841" spans="1:61" ht="1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</row>
    <row r="842" spans="1:61" ht="1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</row>
    <row r="843" spans="1:61" ht="1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</row>
    <row r="844" spans="1:61" ht="1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</row>
    <row r="845" spans="1:61" ht="1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</row>
    <row r="846" spans="1:61" ht="1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</row>
    <row r="847" spans="1:61" ht="1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</row>
    <row r="848" spans="1:61" ht="1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</row>
    <row r="849" spans="1:61" ht="1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</row>
    <row r="850" spans="1:61" ht="1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</row>
    <row r="851" spans="1:61" ht="1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</row>
    <row r="852" spans="1:61" ht="1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</row>
    <row r="853" spans="1:61" ht="1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</row>
    <row r="854" spans="1:61" ht="1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</row>
    <row r="855" spans="1:61" ht="1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</row>
    <row r="856" spans="1:61" ht="1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</row>
    <row r="857" spans="1:61" ht="1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</row>
    <row r="858" spans="1:61" ht="1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</row>
    <row r="859" spans="1:61" ht="1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</row>
    <row r="860" spans="1:61" ht="1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</row>
    <row r="861" spans="1:61" ht="1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</row>
    <row r="862" spans="1:61" ht="1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</row>
    <row r="863" spans="1:61" ht="1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</row>
    <row r="864" spans="1:61" ht="1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</row>
    <row r="865" spans="1:61" ht="1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</row>
    <row r="866" spans="1:61" ht="1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</row>
    <row r="867" spans="1:61" ht="1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</row>
    <row r="868" spans="1:61" ht="1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</row>
    <row r="869" spans="1:61" ht="1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</row>
    <row r="870" spans="1:61" ht="1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</row>
    <row r="871" spans="1:61" ht="1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</row>
    <row r="872" spans="1:61" ht="1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</row>
    <row r="873" spans="1:61" ht="1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</row>
    <row r="874" spans="1:61" ht="1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</row>
    <row r="875" spans="1:61" ht="1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</row>
    <row r="876" spans="1:61" ht="1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</row>
    <row r="877" spans="1:61" ht="1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</row>
    <row r="878" spans="1:61" ht="1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</row>
    <row r="879" spans="1:61" ht="1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</row>
    <row r="880" spans="1:61" ht="1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</row>
    <row r="881" spans="1:61" ht="1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</row>
    <row r="882" spans="1:61" ht="1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</row>
    <row r="883" spans="1:61" ht="1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</row>
    <row r="884" spans="1:61" ht="1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</row>
    <row r="885" spans="1:61" ht="1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</row>
    <row r="886" spans="1:61" ht="1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</row>
    <row r="887" spans="1:61" ht="1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</row>
    <row r="888" spans="1:61" ht="1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</row>
    <row r="889" spans="1:61" ht="1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</row>
    <row r="890" spans="1:61" ht="1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</row>
    <row r="891" spans="1:61" ht="1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</row>
    <row r="892" spans="1:61" ht="1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</row>
    <row r="893" spans="1:61" ht="1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</row>
    <row r="894" spans="1:61" ht="1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</row>
    <row r="895" spans="1:61" ht="1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</row>
    <row r="896" spans="1:61" ht="1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</row>
    <row r="897" spans="1:61" ht="1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</row>
    <row r="898" spans="1:61" ht="1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</row>
    <row r="899" spans="1:61" ht="1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</row>
    <row r="900" spans="1:61" ht="1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</row>
    <row r="901" spans="1:61" ht="1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</row>
    <row r="902" spans="1:61" ht="1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</row>
    <row r="903" spans="1:61" ht="1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</row>
    <row r="904" spans="1:61" ht="1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</row>
    <row r="905" spans="1:61" ht="1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</row>
    <row r="906" spans="1:61" ht="1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</row>
    <row r="907" spans="1:61" ht="1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</row>
    <row r="908" spans="1:61" ht="1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</row>
    <row r="909" spans="1:61" ht="1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</row>
    <row r="910" spans="1:61" ht="1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</row>
    <row r="911" spans="1:61" ht="1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</row>
    <row r="912" spans="1:61" ht="1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</row>
    <row r="913" spans="1:61" ht="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</row>
    <row r="914" spans="1:61" ht="1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</row>
    <row r="915" spans="1:61" ht="1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</row>
    <row r="916" spans="1:61" ht="1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</row>
    <row r="917" spans="1:61" ht="1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</row>
    <row r="918" spans="1:61" ht="1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</row>
    <row r="919" spans="1:61" ht="1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</row>
    <row r="920" spans="1:61" ht="1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</row>
    <row r="921" spans="1:61" ht="1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</row>
    <row r="922" spans="1:61" ht="1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</row>
    <row r="923" spans="1:61" ht="1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</row>
    <row r="924" spans="1:61" ht="1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</row>
    <row r="925" spans="1:61" ht="1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</row>
    <row r="926" spans="1:61" ht="1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</row>
    <row r="927" spans="1:61" ht="1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</row>
    <row r="928" spans="1:61" ht="1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</row>
    <row r="929" spans="1:61" ht="1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</row>
    <row r="930" spans="1:61" ht="1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</row>
    <row r="931" spans="1:61" ht="1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</row>
    <row r="932" spans="1:61" ht="1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</row>
    <row r="933" spans="1:61" ht="1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</row>
    <row r="934" spans="1:61" ht="1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</row>
    <row r="935" spans="1:61" ht="1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</row>
    <row r="936" spans="1:61" ht="1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</row>
    <row r="937" spans="1:61" ht="1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</row>
    <row r="938" spans="1:61" ht="1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</row>
    <row r="939" spans="1:61" ht="1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</row>
    <row r="940" spans="1:61" ht="1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</row>
    <row r="941" spans="1:61" ht="1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</row>
    <row r="942" spans="1:61" ht="1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</row>
    <row r="943" spans="1:61" ht="1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</row>
    <row r="944" spans="1:61" ht="1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</row>
    <row r="945" spans="1:61" ht="1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</row>
    <row r="946" spans="1:61" ht="1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</row>
    <row r="947" spans="1:61" ht="1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</row>
    <row r="948" spans="1:61" ht="1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</row>
    <row r="949" spans="1:61" ht="1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</row>
    <row r="950" spans="1:61" ht="1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</row>
    <row r="951" spans="1:61" ht="1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</row>
    <row r="952" spans="1:61" ht="1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</row>
    <row r="953" spans="1:61" ht="1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</row>
    <row r="954" spans="1:61" ht="1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</row>
    <row r="955" spans="1:61" ht="1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</row>
    <row r="956" spans="1:61" ht="1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</row>
    <row r="957" spans="1:61" ht="1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</row>
    <row r="958" spans="1:61" ht="1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</row>
    <row r="959" spans="1:61" ht="1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</row>
    <row r="960" spans="1:61" ht="1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</row>
    <row r="961" spans="1:61" ht="1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</row>
    <row r="962" spans="1:61" ht="1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</row>
    <row r="963" spans="1:61" ht="1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</row>
    <row r="964" spans="1:61" ht="1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</row>
    <row r="965" spans="1:61" ht="1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</row>
    <row r="966" spans="1:61" ht="1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</row>
    <row r="967" spans="1:61" ht="1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</row>
    <row r="968" spans="1:61" ht="1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</row>
    <row r="969" spans="1:61" ht="1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</row>
    <row r="970" spans="1:61" ht="1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</row>
    <row r="971" spans="1:61" ht="1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</row>
    <row r="972" spans="1:61" ht="1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</row>
    <row r="973" spans="1:61" ht="1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</row>
    <row r="974" spans="1:61" ht="1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</row>
    <row r="975" spans="1:61" ht="1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</row>
    <row r="976" spans="1:61" ht="1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</row>
    <row r="977" spans="1:61" ht="1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</row>
    <row r="978" spans="1:61" ht="1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</row>
    <row r="979" spans="1:61" ht="1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</row>
    <row r="980" spans="1:61" ht="1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</row>
    <row r="981" spans="1:61" ht="1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</row>
    <row r="982" spans="1:61" ht="1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</row>
    <row r="983" spans="1:61" ht="1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</row>
    <row r="984" spans="1:61" ht="1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</row>
    <row r="985" spans="1:61" ht="1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</row>
    <row r="986" spans="1:61" ht="1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</row>
    <row r="987" spans="1:61" ht="1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</row>
    <row r="988" spans="1:61" ht="1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</row>
    <row r="989" spans="1:61" ht="1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</row>
    <row r="990" spans="1:61" ht="1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</row>
    <row r="991" spans="1:61" ht="1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</row>
    <row r="992" spans="1:61" ht="1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</row>
    <row r="993" spans="1:61" ht="1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</row>
    <row r="994" spans="1:61" ht="1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</row>
    <row r="995" spans="1:61" ht="1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</row>
    <row r="996" spans="1:61" ht="1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</row>
    <row r="997" spans="1:61" ht="1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</row>
    <row r="998" spans="1:61" ht="1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</row>
    <row r="999" spans="1:61" ht="1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</row>
    <row r="1000" spans="1:61" ht="1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</row>
    <row r="1001" spans="1:61" ht="13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</row>
    <row r="1002" spans="1:61" ht="13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</row>
    <row r="1003" spans="1:61" ht="1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</row>
    <row r="1004" spans="1:61" ht="13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</row>
    <row r="1005" spans="1:61" ht="13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</row>
    <row r="1006" spans="1:61" ht="13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</row>
  </sheetData>
  <mergeCells count="2">
    <mergeCell ref="R35:T35"/>
    <mergeCell ref="R36:T36"/>
  </mergeCells>
  <conditionalFormatting sqref="AB2:AB29">
    <cfRule type="colorScale" priority="1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I10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6.1640625" customWidth="1"/>
    <col min="3" max="3" width="6.6640625" customWidth="1"/>
    <col min="4" max="4" width="13.1640625" customWidth="1"/>
    <col min="5" max="5" width="6.1640625" customWidth="1"/>
    <col min="6" max="6" width="9.1640625" customWidth="1"/>
    <col min="7" max="7" width="8.83203125" customWidth="1"/>
    <col min="8" max="8" width="8.6640625" customWidth="1"/>
    <col min="9" max="9" width="5.6640625" customWidth="1"/>
    <col min="10" max="11" width="6.1640625" customWidth="1"/>
    <col min="12" max="12" width="18" customWidth="1"/>
    <col min="13" max="13" width="7.83203125" customWidth="1"/>
    <col min="14" max="14" width="8" customWidth="1"/>
    <col min="15" max="15" width="8.6640625" customWidth="1"/>
    <col min="16" max="16" width="8.5" customWidth="1"/>
    <col min="17" max="17" width="7.83203125" customWidth="1"/>
    <col min="18" max="18" width="8.83203125" customWidth="1"/>
    <col min="19" max="19" width="9.1640625" customWidth="1"/>
    <col min="20" max="20" width="8.6640625" customWidth="1"/>
    <col min="21" max="21" width="9" customWidth="1"/>
    <col min="22" max="22" width="7.83203125" customWidth="1"/>
    <col min="23" max="23" width="7.5" customWidth="1"/>
    <col min="24" max="24" width="6.6640625" customWidth="1"/>
    <col min="25" max="26" width="5.6640625" customWidth="1"/>
    <col min="27" max="27" width="7.6640625" customWidth="1"/>
    <col min="28" max="28" width="8.6640625" hidden="1" customWidth="1"/>
    <col min="29" max="29" width="50.33203125" customWidth="1"/>
  </cols>
  <sheetData>
    <row r="1" spans="1:61" ht="15.75" customHeight="1">
      <c r="A1" s="1" t="s">
        <v>0</v>
      </c>
      <c r="B1" s="1" t="s">
        <v>1</v>
      </c>
      <c r="C1" s="1" t="s">
        <v>2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154</v>
      </c>
      <c r="I1" s="2" t="s">
        <v>9</v>
      </c>
      <c r="J1" s="2" t="s">
        <v>204</v>
      </c>
      <c r="K1" s="2" t="s">
        <v>205</v>
      </c>
      <c r="L1" s="1" t="s">
        <v>12</v>
      </c>
      <c r="M1" s="63" t="s">
        <v>13</v>
      </c>
      <c r="N1" s="63" t="s">
        <v>14</v>
      </c>
      <c r="O1" s="63" t="s">
        <v>104</v>
      </c>
      <c r="P1" s="63" t="s">
        <v>105</v>
      </c>
      <c r="Q1" s="63" t="s">
        <v>206</v>
      </c>
      <c r="R1" s="63" t="s">
        <v>107</v>
      </c>
      <c r="S1" s="63" t="s">
        <v>108</v>
      </c>
      <c r="T1" s="63" t="s">
        <v>109</v>
      </c>
      <c r="U1" s="63" t="s">
        <v>156</v>
      </c>
      <c r="V1" s="63" t="s">
        <v>111</v>
      </c>
      <c r="W1" s="63" t="s">
        <v>207</v>
      </c>
      <c r="X1" s="63" t="s">
        <v>113</v>
      </c>
      <c r="Y1" s="2" t="s">
        <v>208</v>
      </c>
      <c r="Z1" s="2" t="s">
        <v>115</v>
      </c>
      <c r="AA1" s="2" t="s">
        <v>209</v>
      </c>
      <c r="AB1" s="2" t="s">
        <v>160</v>
      </c>
      <c r="AC1" s="2" t="s">
        <v>27</v>
      </c>
      <c r="AD1" s="111"/>
      <c r="AE1" s="111"/>
      <c r="AF1" s="111"/>
      <c r="AG1" s="111"/>
      <c r="AH1" s="111"/>
      <c r="AI1" s="111"/>
      <c r="AJ1" s="112"/>
      <c r="AK1" s="112"/>
      <c r="AL1" s="112"/>
      <c r="AM1" s="112"/>
      <c r="AN1" s="112"/>
      <c r="AO1" s="112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ht="15.75" customHeight="1">
      <c r="A2" s="5">
        <v>42795</v>
      </c>
      <c r="B2" s="7">
        <v>1758</v>
      </c>
      <c r="C2" s="7">
        <v>1828</v>
      </c>
      <c r="D2" s="7" t="str">
        <f t="shared" ref="D2:D6" si="0">CHOOSE(WEEKDAY(A2),"Anne/Fred", "Jane", "Tom","Sue/Panos","Shawn/Orem","Jeff", "Rob")</f>
        <v>Sue/Panos</v>
      </c>
      <c r="E2" s="7" t="s">
        <v>29</v>
      </c>
      <c r="F2" s="47">
        <v>0.77083333333333337</v>
      </c>
      <c r="G2" s="47">
        <v>0.79166666666666663</v>
      </c>
      <c r="H2" s="7">
        <v>0.5</v>
      </c>
      <c r="I2" s="7">
        <v>1.5</v>
      </c>
      <c r="J2" s="7">
        <v>48</v>
      </c>
      <c r="K2" s="7">
        <v>46</v>
      </c>
      <c r="L2" s="7" t="s">
        <v>210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10">
        <v>0</v>
      </c>
      <c r="Z2" s="10">
        <f t="shared" ref="Z2:Z24" si="1">SUM(Q2:T2)</f>
        <v>0</v>
      </c>
      <c r="AA2" s="10">
        <f t="shared" ref="AA2:AA24" si="2">SUM(M2:U2)</f>
        <v>0</v>
      </c>
      <c r="AB2" s="67">
        <v>0.09</v>
      </c>
      <c r="AC2" s="68"/>
      <c r="AD2" s="113"/>
      <c r="AE2" s="113"/>
      <c r="AF2" s="113"/>
      <c r="AG2" s="113"/>
      <c r="AH2" s="113"/>
      <c r="AI2" s="113"/>
      <c r="AJ2" s="114"/>
      <c r="AK2" s="114"/>
      <c r="AL2" s="114"/>
      <c r="AM2" s="114"/>
      <c r="AN2" s="114"/>
      <c r="AO2" s="114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spans="1:61" ht="15.75" customHeight="1">
      <c r="A3" s="5">
        <v>42796</v>
      </c>
      <c r="B3" s="17">
        <v>1759</v>
      </c>
      <c r="C3" s="17">
        <v>1829</v>
      </c>
      <c r="D3" s="17" t="str">
        <f t="shared" si="0"/>
        <v>Shawn/Orem</v>
      </c>
      <c r="E3" s="17" t="s">
        <v>29</v>
      </c>
      <c r="F3" s="46">
        <v>0.25</v>
      </c>
      <c r="G3" s="46">
        <v>0.39583333333333331</v>
      </c>
      <c r="H3" s="17">
        <v>3.5</v>
      </c>
      <c r="I3" s="17">
        <v>16</v>
      </c>
      <c r="J3" s="17">
        <v>45</v>
      </c>
      <c r="K3" s="17">
        <v>45</v>
      </c>
      <c r="L3" s="17" t="s">
        <v>211</v>
      </c>
      <c r="M3" s="17">
        <v>0</v>
      </c>
      <c r="N3" s="17">
        <v>0</v>
      </c>
      <c r="O3" s="17">
        <v>0</v>
      </c>
      <c r="P3" s="17">
        <v>0</v>
      </c>
      <c r="Q3" s="17">
        <v>3</v>
      </c>
      <c r="R3" s="17">
        <v>22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1</v>
      </c>
      <c r="Y3" s="17">
        <f t="shared" ref="Y3:Y24" si="3">SUM(M3:P3)</f>
        <v>0</v>
      </c>
      <c r="Z3" s="17">
        <f t="shared" si="1"/>
        <v>25</v>
      </c>
      <c r="AA3" s="17">
        <f t="shared" si="2"/>
        <v>25</v>
      </c>
      <c r="AB3" s="67">
        <v>0.17</v>
      </c>
      <c r="AC3" s="78" t="s">
        <v>212</v>
      </c>
      <c r="AD3" s="113"/>
      <c r="AE3" s="113"/>
      <c r="AF3" s="113"/>
      <c r="AG3" s="113"/>
      <c r="AH3" s="113"/>
      <c r="AI3" s="113"/>
      <c r="AJ3" s="114"/>
      <c r="AK3" s="114"/>
      <c r="AL3" s="114"/>
      <c r="AM3" s="114"/>
      <c r="AN3" s="114"/>
      <c r="AO3" s="114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61" ht="15.75" customHeight="1">
      <c r="A4" s="12">
        <v>42797</v>
      </c>
      <c r="B4" s="17">
        <v>1801</v>
      </c>
      <c r="C4" s="17">
        <v>1831</v>
      </c>
      <c r="D4" s="17" t="str">
        <f t="shared" si="0"/>
        <v>Jeff</v>
      </c>
      <c r="E4" s="17" t="s">
        <v>29</v>
      </c>
      <c r="F4" s="46">
        <v>0.22916666666666666</v>
      </c>
      <c r="G4" s="46">
        <v>0.39583333333333331</v>
      </c>
      <c r="H4" s="17">
        <v>4</v>
      </c>
      <c r="I4" s="17"/>
      <c r="J4" s="17">
        <v>48</v>
      </c>
      <c r="K4" s="17">
        <v>42</v>
      </c>
      <c r="L4" s="17" t="s">
        <v>211</v>
      </c>
      <c r="M4" s="17">
        <v>1</v>
      </c>
      <c r="N4" s="17">
        <v>0</v>
      </c>
      <c r="O4" s="17">
        <v>0</v>
      </c>
      <c r="P4" s="17">
        <v>0</v>
      </c>
      <c r="Q4" s="17">
        <v>30</v>
      </c>
      <c r="R4" s="17">
        <v>16</v>
      </c>
      <c r="S4" s="17">
        <v>1</v>
      </c>
      <c r="T4" s="17">
        <v>0</v>
      </c>
      <c r="U4" s="17">
        <v>0</v>
      </c>
      <c r="V4" s="17">
        <v>0</v>
      </c>
      <c r="W4" s="17">
        <v>0</v>
      </c>
      <c r="X4" s="17">
        <v>5</v>
      </c>
      <c r="Y4" s="17">
        <f t="shared" si="3"/>
        <v>1</v>
      </c>
      <c r="Z4" s="17">
        <f t="shared" si="1"/>
        <v>47</v>
      </c>
      <c r="AA4" s="17">
        <f t="shared" si="2"/>
        <v>48</v>
      </c>
      <c r="AB4" s="67">
        <v>0.26</v>
      </c>
      <c r="AC4" s="78" t="s">
        <v>213</v>
      </c>
      <c r="AD4" s="113"/>
      <c r="AE4" s="113"/>
      <c r="AF4" s="113"/>
      <c r="AG4" s="113"/>
      <c r="AH4" s="113"/>
      <c r="AI4" s="113"/>
      <c r="AJ4" s="114"/>
      <c r="AK4" s="114"/>
      <c r="AL4" s="114"/>
      <c r="AM4" s="114"/>
      <c r="AN4" s="114"/>
      <c r="AO4" s="114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1" ht="15.75" customHeight="1">
      <c r="A5" s="12">
        <v>42798</v>
      </c>
      <c r="B5" s="7">
        <v>1802</v>
      </c>
      <c r="C5" s="7">
        <v>1832</v>
      </c>
      <c r="D5" s="7" t="str">
        <f t="shared" si="0"/>
        <v>Rob</v>
      </c>
      <c r="E5" s="7" t="s">
        <v>37</v>
      </c>
      <c r="F5" s="47">
        <v>0.23958333333333334</v>
      </c>
      <c r="G5" s="47">
        <v>0.29166666666666669</v>
      </c>
      <c r="H5" s="7">
        <v>1.25</v>
      </c>
      <c r="I5" s="7">
        <v>2.5</v>
      </c>
      <c r="J5" s="7">
        <v>40</v>
      </c>
      <c r="K5" s="7">
        <v>40</v>
      </c>
      <c r="L5" s="7" t="s">
        <v>214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10">
        <f t="shared" si="3"/>
        <v>0</v>
      </c>
      <c r="Z5" s="10">
        <f t="shared" si="1"/>
        <v>0</v>
      </c>
      <c r="AA5" s="10">
        <f t="shared" si="2"/>
        <v>0</v>
      </c>
      <c r="AB5" s="67">
        <v>0.37</v>
      </c>
      <c r="AC5" s="68" t="s">
        <v>215</v>
      </c>
      <c r="AD5" s="113"/>
      <c r="AE5" s="113"/>
      <c r="AF5" s="113"/>
      <c r="AG5" s="113"/>
      <c r="AH5" s="113"/>
      <c r="AI5" s="113"/>
      <c r="AJ5" s="114"/>
      <c r="AK5" s="114"/>
      <c r="AL5" s="114"/>
      <c r="AM5" s="114"/>
      <c r="AN5" s="114"/>
      <c r="AO5" s="114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 spans="1:61" ht="15.75" customHeight="1">
      <c r="A6" s="12">
        <v>42799</v>
      </c>
      <c r="B6" s="7">
        <v>1804</v>
      </c>
      <c r="C6" s="7">
        <v>1833</v>
      </c>
      <c r="D6" s="7" t="str">
        <f t="shared" si="0"/>
        <v>Anne/Fred</v>
      </c>
      <c r="E6" s="7" t="s">
        <v>29</v>
      </c>
      <c r="F6" s="47">
        <v>0.25</v>
      </c>
      <c r="G6" s="47">
        <v>0.27083333333333331</v>
      </c>
      <c r="H6" s="7">
        <v>0.5</v>
      </c>
      <c r="I6" s="7">
        <v>0.5</v>
      </c>
      <c r="J6" s="7">
        <v>36</v>
      </c>
      <c r="K6" s="7">
        <v>36</v>
      </c>
      <c r="L6" s="68"/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10">
        <f t="shared" si="3"/>
        <v>0</v>
      </c>
      <c r="Z6" s="10">
        <f t="shared" si="1"/>
        <v>0</v>
      </c>
      <c r="AA6" s="10">
        <f t="shared" si="2"/>
        <v>0</v>
      </c>
      <c r="AB6" s="67">
        <v>0.48</v>
      </c>
      <c r="AC6" s="68"/>
      <c r="AD6" s="113"/>
      <c r="AE6" s="113"/>
      <c r="AF6" s="113"/>
      <c r="AG6" s="113"/>
      <c r="AH6" s="113"/>
      <c r="AI6" s="113"/>
      <c r="AJ6" s="114"/>
      <c r="AK6" s="114"/>
      <c r="AL6" s="114"/>
      <c r="AM6" s="114"/>
      <c r="AN6" s="114"/>
      <c r="AO6" s="114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 spans="1:61" ht="15.75" customHeight="1">
      <c r="A7" s="12">
        <v>42800</v>
      </c>
      <c r="B7">
        <v>1805</v>
      </c>
      <c r="C7">
        <v>1835</v>
      </c>
      <c r="D7" s="7" t="str">
        <f>CHOOSE(WEEKDAY(A7),"Anne/Fred", "Jane/Murr", "Tom","Sue/Panos","Shawn/Orem","Jeff", "Rob")</f>
        <v>Jane/Murr</v>
      </c>
      <c r="E7" s="7" t="s">
        <v>29</v>
      </c>
      <c r="F7" s="47">
        <v>0.27083333333333331</v>
      </c>
      <c r="G7" s="47">
        <v>0.30208333333333331</v>
      </c>
      <c r="H7" s="7">
        <v>0.75</v>
      </c>
      <c r="I7" s="7">
        <v>0.75</v>
      </c>
      <c r="J7" s="7">
        <v>40</v>
      </c>
      <c r="K7" s="7">
        <v>41</v>
      </c>
      <c r="L7" s="68" t="s">
        <v>216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10">
        <f t="shared" si="3"/>
        <v>0</v>
      </c>
      <c r="Z7" s="10">
        <f t="shared" si="1"/>
        <v>0</v>
      </c>
      <c r="AA7" s="10">
        <f t="shared" si="2"/>
        <v>0</v>
      </c>
      <c r="AB7" s="67">
        <v>0.6</v>
      </c>
      <c r="AC7" s="68"/>
      <c r="AD7" s="113"/>
      <c r="AE7" s="113"/>
      <c r="AF7" s="113"/>
      <c r="AG7" s="113"/>
      <c r="AH7" s="113"/>
      <c r="AI7" s="113"/>
      <c r="AJ7" s="114"/>
      <c r="AK7" s="114"/>
      <c r="AL7" s="114"/>
      <c r="AM7" s="114"/>
      <c r="AN7" s="114"/>
      <c r="AO7" s="114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 spans="1:61" ht="15.75" customHeight="1">
      <c r="A8" s="12">
        <v>42801</v>
      </c>
      <c r="B8" s="16">
        <v>1806</v>
      </c>
      <c r="C8" s="16">
        <v>1836</v>
      </c>
      <c r="D8" s="17" t="str">
        <f t="shared" ref="D8:D13" si="4">CHOOSE(WEEKDAY(A8),"Anne/Fred", "Jane", "Tom","Sue/Panos","Shawn/Orem","Jeff", "Rob")</f>
        <v>Tom</v>
      </c>
      <c r="E8" s="17" t="s">
        <v>29</v>
      </c>
      <c r="F8" s="46">
        <v>0.25</v>
      </c>
      <c r="G8" s="46">
        <v>0.39583333333333331</v>
      </c>
      <c r="H8" s="17">
        <v>3.5</v>
      </c>
      <c r="I8" s="17">
        <v>13.5</v>
      </c>
      <c r="J8" s="17">
        <v>49.5</v>
      </c>
      <c r="K8" s="17">
        <v>49.3</v>
      </c>
      <c r="L8" s="78" t="s">
        <v>217</v>
      </c>
      <c r="M8" s="17">
        <v>1</v>
      </c>
      <c r="N8" s="17">
        <v>0</v>
      </c>
      <c r="O8" s="17">
        <v>0</v>
      </c>
      <c r="P8" s="17">
        <v>0</v>
      </c>
      <c r="Q8" s="17">
        <v>2</v>
      </c>
      <c r="R8" s="17">
        <v>8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4</v>
      </c>
      <c r="Y8" s="17">
        <f t="shared" si="3"/>
        <v>1</v>
      </c>
      <c r="Z8" s="17">
        <f t="shared" si="1"/>
        <v>10</v>
      </c>
      <c r="AA8" s="17">
        <f t="shared" si="2"/>
        <v>11</v>
      </c>
      <c r="AB8" s="67">
        <v>0.71</v>
      </c>
      <c r="AC8" s="78" t="s">
        <v>218</v>
      </c>
      <c r="AD8" s="113"/>
      <c r="AE8" s="113"/>
      <c r="AF8" s="113"/>
      <c r="AG8" s="113"/>
      <c r="AH8" s="113"/>
      <c r="AI8" s="113"/>
      <c r="AJ8" s="114"/>
      <c r="AK8" s="114"/>
      <c r="AL8" s="114"/>
      <c r="AM8" s="114"/>
      <c r="AN8" s="114"/>
      <c r="AO8" s="114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</row>
    <row r="9" spans="1:61" ht="15.75" customHeight="1">
      <c r="A9" s="14">
        <v>42802</v>
      </c>
      <c r="B9" s="16">
        <v>1808</v>
      </c>
      <c r="C9" s="16">
        <v>1837</v>
      </c>
      <c r="D9" s="17" t="str">
        <f t="shared" si="4"/>
        <v>Sue/Panos</v>
      </c>
      <c r="E9" s="17" t="s">
        <v>29</v>
      </c>
      <c r="F9" s="46">
        <v>0.25</v>
      </c>
      <c r="G9" s="46">
        <v>0.32291666666666669</v>
      </c>
      <c r="H9" s="17">
        <v>1.75</v>
      </c>
      <c r="I9" s="17">
        <v>10.5</v>
      </c>
      <c r="J9" s="17">
        <v>43</v>
      </c>
      <c r="K9" s="17">
        <v>41</v>
      </c>
      <c r="L9" s="78" t="s">
        <v>219</v>
      </c>
      <c r="M9" s="17">
        <v>0</v>
      </c>
      <c r="N9" s="17">
        <v>0</v>
      </c>
      <c r="O9" s="17">
        <v>0</v>
      </c>
      <c r="P9" s="17">
        <v>0</v>
      </c>
      <c r="Q9" s="17">
        <v>1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1</v>
      </c>
      <c r="X9" s="17">
        <v>0</v>
      </c>
      <c r="Y9" s="17">
        <f t="shared" si="3"/>
        <v>0</v>
      </c>
      <c r="Z9" s="17">
        <f t="shared" si="1"/>
        <v>1</v>
      </c>
      <c r="AA9" s="17">
        <f t="shared" si="2"/>
        <v>1</v>
      </c>
      <c r="AB9" s="67">
        <v>0.8</v>
      </c>
      <c r="AC9" s="78" t="s">
        <v>220</v>
      </c>
      <c r="AD9" s="113"/>
      <c r="AE9" s="113"/>
      <c r="AF9" s="113"/>
      <c r="AG9" s="113"/>
      <c r="AH9" s="113"/>
      <c r="AI9" s="113"/>
      <c r="AJ9" s="114"/>
      <c r="AK9" s="114"/>
      <c r="AL9" s="114"/>
      <c r="AM9" s="114"/>
      <c r="AN9" s="114"/>
      <c r="AO9" s="114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</row>
    <row r="10" spans="1:61" ht="15.75" customHeight="1">
      <c r="A10" s="14">
        <v>42803</v>
      </c>
      <c r="B10" s="16">
        <v>1809</v>
      </c>
      <c r="C10" s="16">
        <v>1839</v>
      </c>
      <c r="D10" s="17" t="str">
        <f t="shared" si="4"/>
        <v>Shawn/Orem</v>
      </c>
      <c r="E10" s="17" t="s">
        <v>29</v>
      </c>
      <c r="F10" s="46">
        <v>0.25</v>
      </c>
      <c r="G10" s="46">
        <v>0.5</v>
      </c>
      <c r="H10" s="17">
        <v>6</v>
      </c>
      <c r="I10" s="17">
        <v>33</v>
      </c>
      <c r="J10" s="17">
        <v>55</v>
      </c>
      <c r="K10" s="17">
        <v>50</v>
      </c>
      <c r="L10" s="78" t="s">
        <v>221</v>
      </c>
      <c r="M10" s="17">
        <v>0</v>
      </c>
      <c r="N10" s="17">
        <v>0</v>
      </c>
      <c r="O10" s="17">
        <v>0</v>
      </c>
      <c r="P10" s="17">
        <v>0</v>
      </c>
      <c r="Q10" s="17">
        <v>109</v>
      </c>
      <c r="R10" s="17">
        <v>97</v>
      </c>
      <c r="S10" s="17">
        <v>2</v>
      </c>
      <c r="T10" s="17">
        <v>0</v>
      </c>
      <c r="U10" s="17">
        <v>0</v>
      </c>
      <c r="V10" s="17">
        <v>1</v>
      </c>
      <c r="W10" s="17">
        <v>0</v>
      </c>
      <c r="X10" s="17">
        <v>8</v>
      </c>
      <c r="Y10" s="17">
        <f t="shared" si="3"/>
        <v>0</v>
      </c>
      <c r="Z10" s="17">
        <f t="shared" si="1"/>
        <v>208</v>
      </c>
      <c r="AA10" s="17">
        <f t="shared" si="2"/>
        <v>208</v>
      </c>
      <c r="AB10" s="67">
        <v>0.88</v>
      </c>
      <c r="AC10" s="78" t="s">
        <v>222</v>
      </c>
      <c r="AD10" s="113"/>
      <c r="AE10" s="113"/>
      <c r="AF10" s="113"/>
      <c r="AG10" s="113"/>
      <c r="AH10" s="113"/>
      <c r="AI10" s="113"/>
      <c r="AJ10" s="114"/>
      <c r="AK10" s="114"/>
      <c r="AL10" s="114"/>
      <c r="AM10" s="114"/>
      <c r="AN10" s="114"/>
      <c r="AO10" s="114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spans="1:61" ht="15.75" customHeight="1">
      <c r="A11" s="115">
        <v>42804</v>
      </c>
      <c r="B11" s="116">
        <v>1810</v>
      </c>
      <c r="C11" s="116">
        <v>1840</v>
      </c>
      <c r="D11" s="99" t="str">
        <f t="shared" si="4"/>
        <v>Jeff</v>
      </c>
      <c r="E11" s="99" t="s">
        <v>223</v>
      </c>
      <c r="F11" s="99" t="s">
        <v>224</v>
      </c>
      <c r="G11" s="99" t="s">
        <v>225</v>
      </c>
      <c r="H11" s="117">
        <v>0.25</v>
      </c>
      <c r="I11" s="117">
        <v>0.25</v>
      </c>
      <c r="J11" s="117" t="s">
        <v>226</v>
      </c>
      <c r="K11" s="117" t="s">
        <v>226</v>
      </c>
      <c r="L11" s="98" t="s">
        <v>227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118">
        <f t="shared" si="3"/>
        <v>0</v>
      </c>
      <c r="Z11" s="118">
        <f t="shared" si="1"/>
        <v>0</v>
      </c>
      <c r="AA11" s="118">
        <f t="shared" si="2"/>
        <v>0</v>
      </c>
      <c r="AB11" s="67">
        <v>0.94</v>
      </c>
      <c r="AC11" s="98"/>
      <c r="AD11" s="119"/>
      <c r="AE11" s="119"/>
      <c r="AF11" s="119"/>
      <c r="AG11" s="119"/>
      <c r="AH11" s="119"/>
      <c r="AI11" s="119"/>
      <c r="AJ11" s="120"/>
      <c r="AK11" s="120"/>
      <c r="AL11" s="120"/>
      <c r="AM11" s="120"/>
      <c r="AN11" s="120"/>
      <c r="AO11" s="12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</row>
    <row r="12" spans="1:61" ht="15.75" customHeight="1">
      <c r="A12" s="121">
        <v>42805</v>
      </c>
      <c r="B12" s="16">
        <v>1812</v>
      </c>
      <c r="C12" s="16">
        <v>1841</v>
      </c>
      <c r="D12" s="17" t="str">
        <f t="shared" si="4"/>
        <v>Rob</v>
      </c>
      <c r="E12" s="17" t="s">
        <v>37</v>
      </c>
      <c r="F12" s="122">
        <v>0.76041666666666663</v>
      </c>
      <c r="G12" s="122">
        <v>0.88541666666666663</v>
      </c>
      <c r="H12" s="17">
        <v>3</v>
      </c>
      <c r="I12" s="17">
        <v>15.5</v>
      </c>
      <c r="J12" s="17">
        <v>49</v>
      </c>
      <c r="K12" s="17">
        <v>49</v>
      </c>
      <c r="L12" s="78" t="s">
        <v>76</v>
      </c>
      <c r="M12" s="17">
        <v>0</v>
      </c>
      <c r="N12" s="17">
        <v>0</v>
      </c>
      <c r="O12" s="17">
        <v>0</v>
      </c>
      <c r="P12" s="17">
        <v>0</v>
      </c>
      <c r="Q12" s="17">
        <v>15</v>
      </c>
      <c r="R12" s="17">
        <v>14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f t="shared" si="3"/>
        <v>0</v>
      </c>
      <c r="Z12" s="17">
        <f t="shared" si="1"/>
        <v>29</v>
      </c>
      <c r="AA12" s="17">
        <f t="shared" si="2"/>
        <v>29</v>
      </c>
      <c r="AB12" s="67">
        <v>0.98</v>
      </c>
      <c r="AC12" s="78"/>
      <c r="AD12" s="113"/>
      <c r="AE12" s="113"/>
      <c r="AF12" s="113"/>
      <c r="AG12" s="113"/>
      <c r="AH12" s="113"/>
      <c r="AI12" s="113"/>
      <c r="AJ12" s="114"/>
      <c r="AK12" s="114"/>
      <c r="AL12" s="114"/>
      <c r="AM12" s="114"/>
      <c r="AN12" s="114"/>
      <c r="AO12" s="114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spans="1:61" ht="15.75" customHeight="1">
      <c r="A13" s="121">
        <v>42806</v>
      </c>
      <c r="B13" s="123">
        <v>1913</v>
      </c>
      <c r="C13" s="123">
        <v>1943</v>
      </c>
      <c r="D13" s="7" t="str">
        <f t="shared" si="4"/>
        <v>Anne/Fred</v>
      </c>
      <c r="E13" s="7"/>
      <c r="F13" s="47">
        <v>0.79166666666666663</v>
      </c>
      <c r="G13" s="23">
        <v>0.84027777777777779</v>
      </c>
      <c r="H13" s="7">
        <v>1</v>
      </c>
      <c r="I13" s="7">
        <v>3.5</v>
      </c>
      <c r="J13" s="7">
        <v>54</v>
      </c>
      <c r="K13" s="7">
        <v>53</v>
      </c>
      <c r="L13" s="68" t="s">
        <v>35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10">
        <f t="shared" si="3"/>
        <v>0</v>
      </c>
      <c r="Z13" s="10">
        <f t="shared" si="1"/>
        <v>0</v>
      </c>
      <c r="AA13" s="10">
        <f t="shared" si="2"/>
        <v>0</v>
      </c>
      <c r="AB13" s="67">
        <v>1</v>
      </c>
      <c r="AC13" s="68" t="s">
        <v>228</v>
      </c>
      <c r="AD13" s="113"/>
      <c r="AE13" s="113"/>
      <c r="AF13" s="113"/>
      <c r="AG13" s="113"/>
      <c r="AH13" s="113"/>
      <c r="AI13" s="113"/>
      <c r="AJ13" s="114"/>
      <c r="AK13" s="114"/>
      <c r="AL13" s="114"/>
      <c r="AM13" s="114"/>
      <c r="AN13" s="114"/>
      <c r="AO13" s="114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61" ht="15.75" customHeight="1">
      <c r="A14" s="121">
        <v>42807</v>
      </c>
      <c r="B14" s="124">
        <v>1914</v>
      </c>
      <c r="C14" s="124">
        <v>1944</v>
      </c>
      <c r="D14" s="17" t="s">
        <v>229</v>
      </c>
      <c r="E14" s="17" t="s">
        <v>29</v>
      </c>
      <c r="F14" s="46">
        <v>0.29166666666666669</v>
      </c>
      <c r="G14" s="46">
        <v>8.3333333333333329E-2</v>
      </c>
      <c r="H14" s="17">
        <v>7</v>
      </c>
      <c r="I14" s="17">
        <v>34.75</v>
      </c>
      <c r="J14" s="17">
        <v>54</v>
      </c>
      <c r="K14" s="17">
        <v>53</v>
      </c>
      <c r="L14" s="78" t="s">
        <v>230</v>
      </c>
      <c r="M14" s="17">
        <v>0</v>
      </c>
      <c r="N14" s="17">
        <v>0</v>
      </c>
      <c r="O14" s="17">
        <v>0</v>
      </c>
      <c r="P14" s="17">
        <v>0</v>
      </c>
      <c r="Q14" s="17">
        <v>34</v>
      </c>
      <c r="R14" s="17">
        <v>109</v>
      </c>
      <c r="S14" s="17">
        <v>5</v>
      </c>
      <c r="T14" s="17">
        <v>4</v>
      </c>
      <c r="U14" s="17">
        <v>1</v>
      </c>
      <c r="V14" s="17">
        <v>0</v>
      </c>
      <c r="W14" s="17">
        <v>0</v>
      </c>
      <c r="X14" s="17">
        <v>9</v>
      </c>
      <c r="Y14" s="17">
        <f t="shared" si="3"/>
        <v>0</v>
      </c>
      <c r="Z14" s="17">
        <f t="shared" si="1"/>
        <v>152</v>
      </c>
      <c r="AA14" s="17">
        <f t="shared" si="2"/>
        <v>153</v>
      </c>
      <c r="AB14" s="67">
        <v>0.99</v>
      </c>
      <c r="AC14" s="78" t="s">
        <v>231</v>
      </c>
      <c r="AD14" s="113"/>
      <c r="AE14" s="113"/>
      <c r="AF14" s="113"/>
      <c r="AG14" s="113"/>
      <c r="AH14" s="113"/>
      <c r="AI14" s="113"/>
      <c r="AJ14" s="114"/>
      <c r="AK14" s="114"/>
      <c r="AL14" s="114"/>
      <c r="AM14" s="114"/>
      <c r="AN14" s="114"/>
      <c r="AO14" s="114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</row>
    <row r="15" spans="1:61" ht="15.75" customHeight="1">
      <c r="A15" s="20">
        <v>42808</v>
      </c>
      <c r="B15" s="124">
        <v>1916</v>
      </c>
      <c r="C15" s="124">
        <v>1945</v>
      </c>
      <c r="D15" s="17" t="str">
        <f t="shared" ref="D15:D20" si="5">CHOOSE(WEEKDAY(A15),"Anne/Fred", "Jane", "Tom","Sue/Panos","Shawn/Orem","Jeff", "Rob")</f>
        <v>Tom</v>
      </c>
      <c r="E15" s="17" t="s">
        <v>29</v>
      </c>
      <c r="F15" s="46">
        <v>0.30208333333333331</v>
      </c>
      <c r="G15" s="46">
        <v>0.42708333333333331</v>
      </c>
      <c r="H15" s="17">
        <v>3</v>
      </c>
      <c r="I15" s="17">
        <v>15.25</v>
      </c>
      <c r="J15" s="17">
        <v>53</v>
      </c>
      <c r="K15" s="17">
        <v>54</v>
      </c>
      <c r="L15" s="78" t="s">
        <v>217</v>
      </c>
      <c r="M15" s="17">
        <v>1</v>
      </c>
      <c r="N15" s="17">
        <v>0</v>
      </c>
      <c r="O15" s="17">
        <v>0</v>
      </c>
      <c r="P15" s="17">
        <v>0</v>
      </c>
      <c r="Q15" s="17">
        <v>16</v>
      </c>
      <c r="R15" s="17">
        <v>72</v>
      </c>
      <c r="S15" s="17">
        <v>0</v>
      </c>
      <c r="T15" s="17">
        <v>0</v>
      </c>
      <c r="U15" s="17">
        <v>0</v>
      </c>
      <c r="V15" s="17">
        <v>1</v>
      </c>
      <c r="W15" s="17">
        <v>0</v>
      </c>
      <c r="X15" s="17">
        <v>0</v>
      </c>
      <c r="Y15" s="17">
        <f t="shared" si="3"/>
        <v>1</v>
      </c>
      <c r="Z15" s="17">
        <f t="shared" si="1"/>
        <v>88</v>
      </c>
      <c r="AA15" s="17">
        <f t="shared" si="2"/>
        <v>89</v>
      </c>
      <c r="AB15" s="67">
        <v>0.97</v>
      </c>
      <c r="AC15" s="78" t="s">
        <v>232</v>
      </c>
      <c r="AD15" s="113"/>
      <c r="AE15" s="113"/>
      <c r="AF15" s="113"/>
      <c r="AG15" s="113"/>
      <c r="AH15" s="113"/>
      <c r="AI15" s="113"/>
      <c r="AJ15" s="114"/>
      <c r="AK15" s="114"/>
      <c r="AL15" s="114"/>
      <c r="AM15" s="114"/>
      <c r="AN15" s="114"/>
      <c r="AO15" s="114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</row>
    <row r="16" spans="1:61" ht="15.75" customHeight="1">
      <c r="A16" s="20">
        <v>42809</v>
      </c>
      <c r="B16" s="6">
        <v>1917</v>
      </c>
      <c r="C16" s="6">
        <v>1947</v>
      </c>
      <c r="D16" s="7" t="str">
        <f t="shared" si="5"/>
        <v>Sue/Panos</v>
      </c>
      <c r="E16" s="7" t="s">
        <v>29</v>
      </c>
      <c r="F16" s="47">
        <v>0.30208333333333331</v>
      </c>
      <c r="G16" s="47">
        <v>0.375</v>
      </c>
      <c r="H16" s="7">
        <v>1.75</v>
      </c>
      <c r="I16" s="7"/>
      <c r="J16" s="7">
        <v>51</v>
      </c>
      <c r="K16" s="7">
        <v>49</v>
      </c>
      <c r="L16" s="68" t="s">
        <v>233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10">
        <f t="shared" si="3"/>
        <v>0</v>
      </c>
      <c r="Z16" s="10">
        <f t="shared" si="1"/>
        <v>0</v>
      </c>
      <c r="AA16" s="10">
        <f t="shared" si="2"/>
        <v>0</v>
      </c>
      <c r="AB16" s="67">
        <v>0.93</v>
      </c>
      <c r="AC16" s="68" t="s">
        <v>234</v>
      </c>
      <c r="AD16" s="38"/>
      <c r="AE16" s="38"/>
      <c r="AF16" s="38"/>
      <c r="AG16" s="38"/>
      <c r="AH16" s="38"/>
      <c r="AI16" s="38"/>
      <c r="AJ16" s="59"/>
      <c r="AK16" s="59"/>
      <c r="AL16" s="59"/>
      <c r="AM16" s="59"/>
      <c r="AN16" s="59"/>
      <c r="AO16" s="59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 spans="1:61" ht="15.75" customHeight="1">
      <c r="A17" s="20">
        <v>42810</v>
      </c>
      <c r="B17" s="123">
        <v>1918</v>
      </c>
      <c r="C17" s="123">
        <v>1948</v>
      </c>
      <c r="D17" s="7" t="str">
        <f t="shared" si="5"/>
        <v>Shawn/Orem</v>
      </c>
      <c r="E17" s="7" t="s">
        <v>33</v>
      </c>
      <c r="F17" s="47">
        <v>0.32291666666666669</v>
      </c>
      <c r="G17" s="47"/>
      <c r="H17" s="125"/>
      <c r="I17" s="7"/>
      <c r="J17" s="7">
        <v>48</v>
      </c>
      <c r="K17" s="7"/>
      <c r="L17" s="68" t="s">
        <v>235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10">
        <f t="shared" si="3"/>
        <v>0</v>
      </c>
      <c r="Z17" s="10">
        <f t="shared" si="1"/>
        <v>0</v>
      </c>
      <c r="AA17" s="10">
        <f t="shared" si="2"/>
        <v>0</v>
      </c>
      <c r="AB17" s="67">
        <v>0.87</v>
      </c>
      <c r="AC17" s="68" t="s">
        <v>236</v>
      </c>
      <c r="AD17" s="113"/>
      <c r="AE17" s="113"/>
      <c r="AF17" s="113"/>
      <c r="AG17" s="113"/>
      <c r="AH17" s="113"/>
      <c r="AI17" s="113"/>
      <c r="AJ17" s="114"/>
      <c r="AK17" s="114"/>
      <c r="AL17" s="114"/>
      <c r="AM17" s="114"/>
      <c r="AN17" s="114"/>
      <c r="AO17" s="114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 spans="1:61" ht="15.75" customHeight="1">
      <c r="A18" s="20">
        <v>42811</v>
      </c>
      <c r="B18" s="6">
        <v>1920</v>
      </c>
      <c r="C18" s="6">
        <v>1949</v>
      </c>
      <c r="D18" s="7" t="str">
        <f t="shared" si="5"/>
        <v>Jeff</v>
      </c>
      <c r="E18" s="7" t="s">
        <v>29</v>
      </c>
      <c r="F18" s="47">
        <v>0.30208333333333331</v>
      </c>
      <c r="G18" s="47">
        <v>0.41666666666666669</v>
      </c>
      <c r="H18" s="7">
        <v>2.75</v>
      </c>
      <c r="I18" s="7">
        <v>14</v>
      </c>
      <c r="J18" s="7">
        <v>47.6</v>
      </c>
      <c r="K18" s="7">
        <v>46.5</v>
      </c>
      <c r="L18" s="68" t="s">
        <v>237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10">
        <f t="shared" si="3"/>
        <v>0</v>
      </c>
      <c r="Z18" s="10">
        <f t="shared" si="1"/>
        <v>0</v>
      </c>
      <c r="AA18" s="10">
        <f t="shared" si="2"/>
        <v>0</v>
      </c>
      <c r="AB18" s="67">
        <v>0.8</v>
      </c>
      <c r="AC18" s="68" t="s">
        <v>238</v>
      </c>
      <c r="AD18" s="113"/>
      <c r="AE18" s="113"/>
      <c r="AF18" s="113"/>
      <c r="AG18" s="113"/>
      <c r="AH18" s="113"/>
      <c r="AI18" s="113"/>
      <c r="AJ18" s="114"/>
      <c r="AK18" s="114"/>
      <c r="AL18" s="114"/>
      <c r="AM18" s="114"/>
      <c r="AN18" s="114"/>
      <c r="AO18" s="114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spans="1:61" ht="15.75" customHeight="1">
      <c r="A19" s="22">
        <v>42812</v>
      </c>
      <c r="B19" s="123">
        <v>1921</v>
      </c>
      <c r="C19" s="123">
        <v>1951</v>
      </c>
      <c r="D19" s="7" t="str">
        <f t="shared" si="5"/>
        <v>Rob</v>
      </c>
      <c r="E19" s="7" t="s">
        <v>37</v>
      </c>
      <c r="F19" s="47">
        <v>0.29166666666666669</v>
      </c>
      <c r="G19" s="47">
        <v>0.32291666666666669</v>
      </c>
      <c r="H19" s="7">
        <v>0.45</v>
      </c>
      <c r="I19" s="7">
        <v>1.5</v>
      </c>
      <c r="J19" s="7">
        <v>44</v>
      </c>
      <c r="K19" s="7">
        <v>40</v>
      </c>
      <c r="L19" s="68"/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10">
        <f t="shared" si="3"/>
        <v>0</v>
      </c>
      <c r="Z19" s="10">
        <f t="shared" si="1"/>
        <v>0</v>
      </c>
      <c r="AA19" s="10">
        <f t="shared" si="2"/>
        <v>0</v>
      </c>
      <c r="AB19" s="67">
        <v>0.71</v>
      </c>
      <c r="AC19" s="68"/>
      <c r="AD19" s="113"/>
      <c r="AE19" s="113"/>
      <c r="AF19" s="113"/>
      <c r="AG19" s="113"/>
      <c r="AH19" s="113"/>
      <c r="AI19" s="113"/>
      <c r="AJ19" s="114"/>
      <c r="AK19" s="114"/>
      <c r="AL19" s="114"/>
      <c r="AM19" s="114"/>
      <c r="AN19" s="114"/>
      <c r="AO19" s="114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 spans="1:61" ht="15.75" customHeight="1">
      <c r="A20" s="22">
        <v>42813</v>
      </c>
      <c r="B20" s="6">
        <v>1922</v>
      </c>
      <c r="C20" s="6">
        <v>1952</v>
      </c>
      <c r="D20" s="7" t="str">
        <f t="shared" si="5"/>
        <v>Anne/Fred</v>
      </c>
      <c r="E20" s="7" t="s">
        <v>33</v>
      </c>
      <c r="F20" s="47">
        <v>0.3125</v>
      </c>
      <c r="H20" s="125"/>
      <c r="I20" s="7"/>
      <c r="J20" s="7">
        <v>45</v>
      </c>
      <c r="K20" s="7"/>
      <c r="L20" s="68"/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10">
        <f t="shared" si="3"/>
        <v>0</v>
      </c>
      <c r="Z20" s="10">
        <f t="shared" si="1"/>
        <v>0</v>
      </c>
      <c r="AA20" s="10">
        <f t="shared" si="2"/>
        <v>0</v>
      </c>
      <c r="AB20" s="67">
        <v>0.63</v>
      </c>
      <c r="AC20" s="68"/>
      <c r="AD20" s="113"/>
      <c r="AE20" s="113"/>
      <c r="AF20" s="113"/>
      <c r="AG20" s="113"/>
      <c r="AH20" s="113"/>
      <c r="AI20" s="113"/>
      <c r="AJ20" s="114"/>
      <c r="AK20" s="114"/>
      <c r="AL20" s="114"/>
      <c r="AM20" s="114"/>
      <c r="AN20" s="114"/>
      <c r="AO20" s="114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spans="1:61" ht="15.75" customHeight="1">
      <c r="A21" s="22">
        <v>42814</v>
      </c>
      <c r="B21" s="123">
        <v>1924</v>
      </c>
      <c r="C21" s="123">
        <v>1953</v>
      </c>
      <c r="D21" s="7" t="str">
        <f>CHOOSE(WEEKDAY(A21),"Anne/Fred", "Jane/Murr", "Tom","Sue/Panos","Shawn/Orem","Jeff", "Rob")</f>
        <v>Jane/Murr</v>
      </c>
      <c r="E21" s="7" t="s">
        <v>29</v>
      </c>
      <c r="F21" s="47">
        <v>0.30208333333333331</v>
      </c>
      <c r="G21" s="47">
        <v>0.42708333333333331</v>
      </c>
      <c r="H21" s="7">
        <v>3</v>
      </c>
      <c r="I21" s="7">
        <v>14</v>
      </c>
      <c r="J21" s="7">
        <v>48</v>
      </c>
      <c r="K21" s="7">
        <v>46</v>
      </c>
      <c r="L21" s="68" t="s">
        <v>239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10">
        <f t="shared" si="3"/>
        <v>0</v>
      </c>
      <c r="Z21" s="10">
        <f t="shared" si="1"/>
        <v>0</v>
      </c>
      <c r="AA21" s="10">
        <f t="shared" si="2"/>
        <v>0</v>
      </c>
      <c r="AB21" s="67">
        <v>0.53</v>
      </c>
      <c r="AC21" s="68" t="s">
        <v>240</v>
      </c>
      <c r="AD21" s="113"/>
      <c r="AE21" s="113"/>
      <c r="AF21" s="113"/>
      <c r="AG21" s="113"/>
      <c r="AH21" s="113"/>
      <c r="AI21" s="113"/>
      <c r="AJ21" s="114"/>
      <c r="AK21" s="114"/>
      <c r="AL21" s="114"/>
      <c r="AM21" s="114"/>
      <c r="AN21" s="114"/>
      <c r="AO21" s="114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</row>
    <row r="22" spans="1:61" ht="15.75" customHeight="1">
      <c r="A22" s="22">
        <v>42815</v>
      </c>
      <c r="B22" s="124">
        <v>1925</v>
      </c>
      <c r="C22" s="124">
        <v>1955</v>
      </c>
      <c r="D22" s="17" t="str">
        <f t="shared" ref="D22:D24" si="6">CHOOSE(WEEKDAY(A22),"Anne/Fred", "Jane", "Tom","Sue/Panos","Shawn/Orem","Jeff", "Rob")</f>
        <v>Tom</v>
      </c>
      <c r="E22" s="17" t="s">
        <v>29</v>
      </c>
      <c r="F22" s="46">
        <v>0.30208333333333331</v>
      </c>
      <c r="G22" s="46">
        <v>0.40625</v>
      </c>
      <c r="H22" s="17">
        <v>2.5</v>
      </c>
      <c r="I22" s="17">
        <v>5.75</v>
      </c>
      <c r="J22" s="17">
        <v>50.8</v>
      </c>
      <c r="K22" s="17">
        <v>53</v>
      </c>
      <c r="L22" s="78" t="s">
        <v>241</v>
      </c>
      <c r="M22" s="17">
        <v>0</v>
      </c>
      <c r="N22" s="17">
        <v>0</v>
      </c>
      <c r="O22" s="17">
        <v>0</v>
      </c>
      <c r="P22" s="17">
        <v>0</v>
      </c>
      <c r="Q22" s="17">
        <v>1</v>
      </c>
      <c r="R22" s="17">
        <v>1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f t="shared" si="3"/>
        <v>0</v>
      </c>
      <c r="Z22" s="17">
        <f t="shared" si="1"/>
        <v>2</v>
      </c>
      <c r="AA22" s="17">
        <f t="shared" si="2"/>
        <v>2</v>
      </c>
      <c r="AB22" s="67">
        <v>0.44</v>
      </c>
      <c r="AC22" s="78" t="s">
        <v>242</v>
      </c>
      <c r="AD22" s="113"/>
      <c r="AE22" s="113"/>
      <c r="AF22" s="113"/>
      <c r="AG22" s="113"/>
      <c r="AH22" s="113"/>
      <c r="AI22" s="113"/>
      <c r="AJ22" s="126"/>
      <c r="AK22" s="126"/>
      <c r="AL22" s="126"/>
      <c r="AM22" s="126"/>
      <c r="AN22" s="126"/>
      <c r="AO22" s="12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pans="1:61" ht="15.75" customHeight="1">
      <c r="A23" s="22">
        <v>42816</v>
      </c>
      <c r="B23" s="123">
        <v>1926</v>
      </c>
      <c r="C23" s="123">
        <v>1956</v>
      </c>
      <c r="D23" s="7" t="str">
        <f t="shared" si="6"/>
        <v>Sue/Panos</v>
      </c>
      <c r="E23" s="7" t="s">
        <v>33</v>
      </c>
      <c r="F23" s="47"/>
      <c r="G23" s="47"/>
      <c r="H23" s="125"/>
      <c r="I23" s="7"/>
      <c r="J23" s="7"/>
      <c r="K23" s="7"/>
      <c r="L23" s="68" t="s">
        <v>243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10">
        <f t="shared" si="3"/>
        <v>0</v>
      </c>
      <c r="Z23" s="10">
        <f t="shared" si="1"/>
        <v>0</v>
      </c>
      <c r="AA23" s="10">
        <f t="shared" si="2"/>
        <v>0</v>
      </c>
      <c r="AB23" s="67">
        <v>0.34</v>
      </c>
      <c r="AC23" s="68"/>
      <c r="AD23" s="113"/>
      <c r="AE23" s="113"/>
      <c r="AF23" s="113"/>
      <c r="AG23" s="113"/>
      <c r="AH23" s="113"/>
      <c r="AI23" s="113"/>
      <c r="AJ23" s="114"/>
      <c r="AK23" s="114"/>
      <c r="AL23" s="114"/>
      <c r="AM23" s="114"/>
      <c r="AN23" s="114"/>
      <c r="AO23" s="114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spans="1:61" ht="15.75" customHeight="1">
      <c r="A24" s="24">
        <v>42817</v>
      </c>
      <c r="B24" s="127">
        <v>1928</v>
      </c>
      <c r="C24" s="6">
        <v>1957</v>
      </c>
      <c r="D24" s="7" t="str">
        <f t="shared" si="6"/>
        <v>Shawn/Orem</v>
      </c>
      <c r="E24" s="7" t="s">
        <v>29</v>
      </c>
      <c r="F24" s="47">
        <v>0.3125</v>
      </c>
      <c r="G24" s="128">
        <v>0.375</v>
      </c>
      <c r="H24" s="7">
        <v>1.5</v>
      </c>
      <c r="I24" s="7">
        <v>4.5</v>
      </c>
      <c r="J24" s="7">
        <v>48</v>
      </c>
      <c r="K24" s="7">
        <v>47</v>
      </c>
      <c r="L24" s="68" t="s">
        <v>30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10">
        <f t="shared" si="3"/>
        <v>0</v>
      </c>
      <c r="Z24" s="10">
        <f t="shared" si="1"/>
        <v>0</v>
      </c>
      <c r="AA24" s="10">
        <f t="shared" si="2"/>
        <v>0</v>
      </c>
      <c r="AB24" s="67">
        <v>0.25</v>
      </c>
      <c r="AC24" s="68" t="s">
        <v>244</v>
      </c>
      <c r="AD24" s="113"/>
      <c r="AE24" s="113"/>
      <c r="AF24" s="113"/>
      <c r="AG24" s="113"/>
      <c r="AH24" s="113"/>
      <c r="AI24" s="113"/>
      <c r="AJ24" s="114"/>
      <c r="AK24" s="114"/>
      <c r="AL24" s="114"/>
      <c r="AM24" s="114"/>
      <c r="AN24" s="114"/>
      <c r="AO24" s="114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</row>
    <row r="25" spans="1:61" ht="15.75" customHeight="1">
      <c r="A25" s="24">
        <v>42818</v>
      </c>
      <c r="B25" s="123">
        <v>1929</v>
      </c>
      <c r="C25" s="123">
        <v>1959</v>
      </c>
      <c r="D25" s="7" t="s">
        <v>245</v>
      </c>
      <c r="E25" s="7" t="s">
        <v>29</v>
      </c>
      <c r="F25" s="47">
        <v>0.3263888888888889</v>
      </c>
      <c r="G25" s="47">
        <v>0.375</v>
      </c>
      <c r="H25" s="7">
        <v>1</v>
      </c>
      <c r="I25" s="7"/>
      <c r="J25" s="7">
        <v>49</v>
      </c>
      <c r="K25" s="7">
        <v>48</v>
      </c>
      <c r="L25" s="68" t="s">
        <v>246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67">
        <v>0.17</v>
      </c>
      <c r="AC25" s="68" t="s">
        <v>247</v>
      </c>
      <c r="AD25" s="113"/>
      <c r="AE25" s="113"/>
      <c r="AF25" s="113"/>
      <c r="AG25" s="113"/>
      <c r="AH25" s="113"/>
      <c r="AI25" s="113"/>
      <c r="AJ25" s="114"/>
      <c r="AK25" s="114"/>
      <c r="AL25" s="114"/>
      <c r="AM25" s="114"/>
      <c r="AN25" s="114"/>
      <c r="AO25" s="114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 spans="1:61" ht="15.75" customHeight="1">
      <c r="A26" s="24">
        <v>42819</v>
      </c>
      <c r="B26" s="6">
        <v>1930</v>
      </c>
      <c r="C26" s="6">
        <v>2000</v>
      </c>
      <c r="D26" s="7" t="str">
        <f t="shared" ref="D26:D27" si="7">CHOOSE(WEEKDAY(A26),"Anne/Fred", "Jane", "Tom","Sue/Panos","Shawn/Orem","Jeff", "Rob")</f>
        <v>Rob</v>
      </c>
      <c r="E26" s="7" t="s">
        <v>33</v>
      </c>
      <c r="F26" s="47">
        <v>0.3125</v>
      </c>
      <c r="G26" s="47"/>
      <c r="H26" s="125"/>
      <c r="I26" s="7"/>
      <c r="J26" s="7">
        <v>47</v>
      </c>
      <c r="K26" s="7"/>
      <c r="L26" s="68"/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67">
        <v>0.1</v>
      </c>
      <c r="AC26" s="63"/>
      <c r="AD26" s="129"/>
      <c r="AE26" s="129"/>
      <c r="AF26" s="129"/>
      <c r="AG26" s="129"/>
      <c r="AH26" s="129"/>
      <c r="AI26" s="129"/>
      <c r="AJ26" s="63"/>
      <c r="AK26" s="63"/>
      <c r="AL26" s="2"/>
      <c r="AM26" s="2"/>
      <c r="AN26" s="2"/>
      <c r="AO26" s="2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 spans="1:61" ht="15.75" customHeight="1">
      <c r="A27" s="24">
        <v>42820</v>
      </c>
      <c r="B27" s="123">
        <v>1931</v>
      </c>
      <c r="C27" s="123">
        <v>2001</v>
      </c>
      <c r="D27" s="7" t="str">
        <f t="shared" si="7"/>
        <v>Anne/Fred</v>
      </c>
      <c r="E27" s="7" t="s">
        <v>29</v>
      </c>
      <c r="F27" s="47">
        <v>0.32291666666666669</v>
      </c>
      <c r="G27" s="47">
        <v>0.36458333333333331</v>
      </c>
      <c r="H27" s="7">
        <v>1</v>
      </c>
      <c r="I27" s="7">
        <v>3.5</v>
      </c>
      <c r="J27" s="7">
        <v>47</v>
      </c>
      <c r="K27" s="7">
        <v>46</v>
      </c>
      <c r="L27" s="68" t="s">
        <v>248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f t="shared" ref="Y27:Y32" si="8">SUM(M27:P27)</f>
        <v>0</v>
      </c>
      <c r="Z27" s="7">
        <f t="shared" ref="Z27:Z32" si="9">SUM(Q27:T27)</f>
        <v>0</v>
      </c>
      <c r="AA27" s="7">
        <f t="shared" ref="AA27:AA32" si="10">SUM(M27:U27)</f>
        <v>0</v>
      </c>
      <c r="AB27" s="67">
        <v>0.04</v>
      </c>
      <c r="AC27" s="68" t="s">
        <v>249</v>
      </c>
      <c r="AD27" s="65"/>
      <c r="AE27" s="65"/>
      <c r="AF27" s="65"/>
      <c r="AG27" s="65"/>
      <c r="AH27" s="65"/>
      <c r="AI27" s="65"/>
      <c r="AJ27" s="7"/>
      <c r="AK27" s="7"/>
      <c r="AL27" s="10"/>
      <c r="AM27" s="10"/>
      <c r="AN27" s="10"/>
      <c r="AO27" s="68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1:61" ht="15.75" customHeight="1">
      <c r="A28" s="25">
        <v>42821</v>
      </c>
      <c r="B28" s="6">
        <v>1933</v>
      </c>
      <c r="C28" s="6">
        <v>2003</v>
      </c>
      <c r="D28" s="7" t="str">
        <f>CHOOSE(WEEKDAY(A28),"Anne/Fred", "Jane/Murr", "Tom","Sue/Panos","Shawn/Orem","Jeff", "Rob")</f>
        <v>Jane/Murr</v>
      </c>
      <c r="E28" s="7" t="s">
        <v>29</v>
      </c>
      <c r="F28" s="47">
        <v>0.375</v>
      </c>
      <c r="G28" s="47">
        <v>0.39583333333333331</v>
      </c>
      <c r="H28" s="7">
        <v>0.5</v>
      </c>
      <c r="I28" s="7">
        <v>0.5</v>
      </c>
      <c r="J28" s="7">
        <v>50</v>
      </c>
      <c r="K28" s="7">
        <v>50</v>
      </c>
      <c r="L28" s="68" t="s">
        <v>250</v>
      </c>
      <c r="M28" s="7">
        <v>0</v>
      </c>
      <c r="N28" s="7">
        <v>0</v>
      </c>
      <c r="O28" s="7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f t="shared" si="8"/>
        <v>0</v>
      </c>
      <c r="Z28" s="65">
        <f t="shared" si="9"/>
        <v>0</v>
      </c>
      <c r="AA28" s="65">
        <f t="shared" si="10"/>
        <v>0</v>
      </c>
      <c r="AB28" s="67">
        <v>0.01</v>
      </c>
      <c r="AC28" s="108" t="s">
        <v>251</v>
      </c>
      <c r="AD28" s="65"/>
      <c r="AE28" s="65"/>
      <c r="AF28" s="65"/>
      <c r="AG28" s="65"/>
      <c r="AH28" s="65"/>
      <c r="AI28" s="65"/>
      <c r="AJ28" s="17"/>
      <c r="AK28" s="17"/>
      <c r="AL28" s="17"/>
      <c r="AM28" s="17"/>
      <c r="AN28" s="17"/>
      <c r="AO28" s="78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</row>
    <row r="29" spans="1:61" ht="15.75" customHeight="1">
      <c r="A29" s="25">
        <v>42822</v>
      </c>
      <c r="B29" s="123">
        <v>1934</v>
      </c>
      <c r="C29" s="123">
        <v>2004</v>
      </c>
      <c r="D29" s="7" t="str">
        <f t="shared" ref="D29:D32" si="11">CHOOSE(WEEKDAY(A29),"Anne/Fred", "Jane", "Tom","Sue/Panos","Shawn/Orem","Jeff", "Rob")</f>
        <v>Tom</v>
      </c>
      <c r="E29" s="7"/>
      <c r="H29" s="125"/>
      <c r="I29" s="130"/>
      <c r="J29" s="7"/>
      <c r="K29" s="7"/>
      <c r="L29" s="68"/>
      <c r="M29" s="7">
        <v>0</v>
      </c>
      <c r="N29" s="7">
        <v>0</v>
      </c>
      <c r="O29" s="7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f t="shared" si="8"/>
        <v>0</v>
      </c>
      <c r="Z29" s="65">
        <f t="shared" si="9"/>
        <v>0</v>
      </c>
      <c r="AA29" s="65">
        <f t="shared" si="10"/>
        <v>0</v>
      </c>
      <c r="AB29" s="67">
        <v>0</v>
      </c>
      <c r="AC29" s="108"/>
      <c r="AD29" s="65"/>
      <c r="AE29" s="65"/>
      <c r="AF29" s="65"/>
      <c r="AG29" s="65"/>
      <c r="AH29" s="65"/>
      <c r="AI29" s="65"/>
      <c r="AJ29" s="17"/>
      <c r="AK29" s="17"/>
      <c r="AL29" s="17"/>
      <c r="AM29" s="17"/>
      <c r="AN29" s="17"/>
      <c r="AO29" s="78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 spans="1:61" ht="15.75" customHeight="1">
      <c r="A30" s="25">
        <v>42823</v>
      </c>
      <c r="B30" s="124">
        <v>1935</v>
      </c>
      <c r="C30" s="124">
        <v>2005</v>
      </c>
      <c r="D30" s="17" t="str">
        <f t="shared" si="11"/>
        <v>Sue/Panos</v>
      </c>
      <c r="E30" s="17" t="s">
        <v>29</v>
      </c>
      <c r="F30" s="46">
        <v>0.33333333333333331</v>
      </c>
      <c r="G30" s="46">
        <v>0.375</v>
      </c>
      <c r="H30" s="17">
        <v>1</v>
      </c>
      <c r="I30" s="131">
        <v>1</v>
      </c>
      <c r="J30" s="17"/>
      <c r="K30" s="17">
        <v>45</v>
      </c>
      <c r="L30" s="78" t="s">
        <v>252</v>
      </c>
      <c r="M30" s="17">
        <v>0</v>
      </c>
      <c r="N30" s="17">
        <v>0</v>
      </c>
      <c r="O30" s="17">
        <v>0</v>
      </c>
      <c r="P30" s="17">
        <v>0</v>
      </c>
      <c r="Q30" s="17">
        <v>1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f t="shared" si="8"/>
        <v>0</v>
      </c>
      <c r="Z30" s="17">
        <f t="shared" si="9"/>
        <v>1</v>
      </c>
      <c r="AA30" s="17">
        <f t="shared" si="10"/>
        <v>1</v>
      </c>
      <c r="AB30" s="67">
        <v>0.02</v>
      </c>
      <c r="AC30" s="78" t="s">
        <v>253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78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pans="1:61" ht="15.75" customHeight="1">
      <c r="A31" s="5">
        <v>42824</v>
      </c>
      <c r="B31" s="123">
        <v>1937</v>
      </c>
      <c r="C31" s="123">
        <v>2007</v>
      </c>
      <c r="D31" s="7" t="str">
        <f t="shared" si="11"/>
        <v>Shawn/Orem</v>
      </c>
      <c r="E31" s="7" t="s">
        <v>33</v>
      </c>
      <c r="H31" s="125"/>
      <c r="I31" s="130"/>
      <c r="J31" s="7"/>
      <c r="K31" s="7">
        <v>48</v>
      </c>
      <c r="L31" s="68" t="s">
        <v>254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68">
        <v>0</v>
      </c>
      <c r="Y31" s="7">
        <f t="shared" si="8"/>
        <v>0</v>
      </c>
      <c r="Z31" s="7">
        <f t="shared" si="9"/>
        <v>0</v>
      </c>
      <c r="AA31" s="7">
        <f t="shared" si="10"/>
        <v>0</v>
      </c>
      <c r="AB31" s="67">
        <v>7.0000000000000007E-2</v>
      </c>
      <c r="AC31" s="68"/>
      <c r="AD31" s="65"/>
      <c r="AE31" s="65"/>
      <c r="AF31" s="65"/>
      <c r="AG31" s="65"/>
      <c r="AH31" s="65"/>
      <c r="AI31" s="65"/>
      <c r="AJ31" s="7"/>
      <c r="AK31" s="7"/>
      <c r="AL31" s="10"/>
      <c r="AM31" s="10"/>
      <c r="AN31" s="10"/>
      <c r="AO31" s="68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</row>
    <row r="32" spans="1:61" ht="15.75" customHeight="1">
      <c r="A32" s="5">
        <v>42825</v>
      </c>
      <c r="B32" s="6">
        <v>1938</v>
      </c>
      <c r="C32" s="6">
        <v>2008</v>
      </c>
      <c r="D32" s="7" t="str">
        <f t="shared" si="11"/>
        <v>Jeff</v>
      </c>
      <c r="E32" s="7" t="s">
        <v>33</v>
      </c>
      <c r="F32" s="47">
        <v>0.3125</v>
      </c>
      <c r="G32" s="47">
        <v>0.3125</v>
      </c>
      <c r="H32" s="7">
        <v>0</v>
      </c>
      <c r="I32" s="130">
        <v>0</v>
      </c>
      <c r="J32" s="7">
        <v>57</v>
      </c>
      <c r="K32" s="7">
        <v>57</v>
      </c>
      <c r="L32" s="68" t="s">
        <v>101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68">
        <v>0</v>
      </c>
      <c r="Y32" s="7">
        <f t="shared" si="8"/>
        <v>0</v>
      </c>
      <c r="Z32" s="7">
        <f t="shared" si="9"/>
        <v>0</v>
      </c>
      <c r="AA32" s="7">
        <f t="shared" si="10"/>
        <v>0</v>
      </c>
      <c r="AB32" s="67">
        <v>0.14000000000000001</v>
      </c>
      <c r="AC32" s="68" t="s">
        <v>255</v>
      </c>
      <c r="AD32" s="65"/>
      <c r="AE32" s="65"/>
      <c r="AF32" s="65"/>
      <c r="AG32" s="65"/>
      <c r="AH32" s="65"/>
      <c r="AI32" s="65"/>
      <c r="AJ32" s="7"/>
      <c r="AK32" s="7"/>
      <c r="AL32" s="10"/>
      <c r="AM32" s="10"/>
      <c r="AN32" s="10"/>
      <c r="AO32" s="68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</row>
    <row r="33" spans="1:61" ht="15.75" customHeight="1">
      <c r="A33" s="132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4"/>
      <c r="M33" s="135"/>
      <c r="N33" s="133"/>
      <c r="O33" s="133"/>
      <c r="P33" s="136"/>
      <c r="Q33" s="136"/>
      <c r="R33" s="136"/>
      <c r="S33" s="137"/>
      <c r="T33" s="136"/>
      <c r="U33" s="138"/>
      <c r="V33" s="136"/>
      <c r="W33" s="136"/>
      <c r="X33" s="139"/>
      <c r="Y33" s="136"/>
      <c r="Z33" s="136"/>
      <c r="AA33" s="136"/>
      <c r="AB33" s="140"/>
      <c r="AC33" s="139"/>
      <c r="AD33" s="136"/>
      <c r="AE33" s="136"/>
      <c r="AF33" s="136"/>
      <c r="AG33" s="136"/>
      <c r="AH33" s="136"/>
      <c r="AI33" s="136"/>
      <c r="AJ33" s="136"/>
      <c r="AK33" s="136"/>
      <c r="AL33" s="141"/>
      <c r="AM33" s="141"/>
      <c r="AN33" s="141"/>
      <c r="AO33" s="139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 spans="1:61" ht="15.75" customHeight="1">
      <c r="A34" s="142" t="s">
        <v>256</v>
      </c>
      <c r="B34" s="142"/>
      <c r="C34" s="27"/>
      <c r="D34" s="27"/>
      <c r="E34" s="28" t="s">
        <v>56</v>
      </c>
      <c r="F34" s="27"/>
      <c r="G34" s="27"/>
      <c r="H34" s="143"/>
      <c r="I34" s="27">
        <f>SUM(I2:I32)</f>
        <v>192.25</v>
      </c>
      <c r="J34" s="27"/>
      <c r="K34" s="27"/>
      <c r="L34" s="38"/>
      <c r="M34" s="11">
        <f t="shared" ref="M34:Q34" si="12">SUM(M2:M32)</f>
        <v>3</v>
      </c>
      <c r="N34" s="11">
        <f t="shared" si="12"/>
        <v>0</v>
      </c>
      <c r="O34" s="11">
        <f t="shared" si="12"/>
        <v>0</v>
      </c>
      <c r="P34" s="65">
        <f t="shared" si="12"/>
        <v>0</v>
      </c>
      <c r="Q34" s="65">
        <f t="shared" si="12"/>
        <v>212</v>
      </c>
      <c r="R34" s="144">
        <f>SUM(R2:R33)</f>
        <v>339</v>
      </c>
      <c r="S34" s="144">
        <f t="shared" ref="S34:X34" si="13">SUM(S2:S32)</f>
        <v>8</v>
      </c>
      <c r="T34" s="65">
        <f t="shared" si="13"/>
        <v>4</v>
      </c>
      <c r="U34" s="145">
        <f t="shared" si="13"/>
        <v>1</v>
      </c>
      <c r="V34" s="65">
        <f t="shared" si="13"/>
        <v>2</v>
      </c>
      <c r="W34" s="65">
        <f t="shared" si="13"/>
        <v>1</v>
      </c>
      <c r="X34" s="108">
        <f t="shared" si="13"/>
        <v>27</v>
      </c>
      <c r="Y34" s="65">
        <f t="shared" ref="Y34:AA34" si="14">SUM(Y2:Y32)</f>
        <v>3</v>
      </c>
      <c r="Z34" s="65">
        <f t="shared" si="14"/>
        <v>563</v>
      </c>
      <c r="AA34" s="65">
        <f t="shared" si="14"/>
        <v>567</v>
      </c>
      <c r="AB34" s="108"/>
      <c r="AC34" s="108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108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 spans="1:61" ht="15.75" customHeight="1">
      <c r="A35" s="11"/>
      <c r="B35" s="27"/>
      <c r="C35" s="27"/>
      <c r="D35" s="27"/>
      <c r="E35" s="28" t="s">
        <v>57</v>
      </c>
      <c r="F35" s="27"/>
      <c r="G35" s="27"/>
      <c r="H35" s="27"/>
      <c r="I35" s="30">
        <f>nov_tot_hrs+dec_tot_hrs+jan_tot_hrs+feb_tot_hrs+mar_tot_hrs</f>
        <v>498.62</v>
      </c>
      <c r="J35" s="27"/>
      <c r="K35" s="27"/>
      <c r="L35" s="11"/>
      <c r="M35" s="15"/>
      <c r="N35" s="11"/>
      <c r="O35" s="11"/>
      <c r="P35" s="65"/>
      <c r="Q35" s="65"/>
      <c r="R35" s="146"/>
      <c r="S35" s="146"/>
      <c r="T35" s="65"/>
      <c r="U35" s="145"/>
      <c r="V35" s="65"/>
      <c r="W35" s="65"/>
      <c r="X35" s="108"/>
      <c r="Y35" s="144">
        <f>nov_tot_down+dec_tot_down+jan_tot_down+feb_tot_down+mar_tot_down</f>
        <v>834</v>
      </c>
      <c r="Z35" s="144">
        <f>nov_tot_up + dec_tot_up+jan_tot_up+feb_tot_up+mar_tot_up</f>
        <v>751</v>
      </c>
      <c r="AA35" s="144">
        <f>SUM(Y35:Z35)</f>
        <v>1585</v>
      </c>
      <c r="AB35" s="108"/>
      <c r="AC35" s="108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108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 spans="1:61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47"/>
      <c r="N36" s="100"/>
      <c r="O36" s="100"/>
      <c r="P36" s="148"/>
      <c r="Q36" s="148"/>
      <c r="R36" s="148"/>
      <c r="S36" s="148"/>
      <c r="T36" s="149"/>
      <c r="U36" s="150"/>
      <c r="V36" s="149"/>
      <c r="W36" s="149"/>
      <c r="X36" s="151"/>
      <c r="Y36" s="148"/>
      <c r="Z36" s="148"/>
      <c r="AA36" s="148"/>
      <c r="AB36" s="151"/>
      <c r="AC36" s="151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5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 spans="1:61" ht="15.75" customHeight="1">
      <c r="A37" s="11"/>
      <c r="B37" s="27"/>
      <c r="C37" s="32" t="s">
        <v>58</v>
      </c>
      <c r="D37" s="27"/>
      <c r="E37" s="27"/>
      <c r="F37" s="27"/>
      <c r="G37" s="27"/>
      <c r="H37" s="27"/>
      <c r="I37" s="28"/>
      <c r="J37" s="28"/>
      <c r="K37" s="28"/>
      <c r="L37" s="33"/>
      <c r="M37" s="15"/>
      <c r="N37" s="11"/>
      <c r="O37" s="11"/>
      <c r="P37" s="65"/>
      <c r="Q37" s="65"/>
      <c r="R37" s="152"/>
      <c r="S37" s="152"/>
      <c r="T37" s="65"/>
      <c r="U37" s="145"/>
      <c r="V37" s="65"/>
      <c r="W37" s="65"/>
      <c r="X37" s="108"/>
      <c r="Y37" s="65"/>
      <c r="Z37" s="65"/>
      <c r="AA37" s="65"/>
      <c r="AB37" s="108"/>
      <c r="AC37" s="108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108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</row>
    <row r="38" spans="1:61" ht="15.75" customHeight="1">
      <c r="A38" s="11"/>
      <c r="B38" s="27"/>
      <c r="C38" s="28" t="s">
        <v>59</v>
      </c>
      <c r="D38" s="27"/>
      <c r="E38" s="27"/>
      <c r="F38" s="27"/>
      <c r="G38" s="27"/>
      <c r="H38" s="11"/>
      <c r="I38" s="28" t="s">
        <v>60</v>
      </c>
      <c r="J38" s="11"/>
      <c r="K38" s="11"/>
      <c r="L38" s="11"/>
      <c r="M38" s="15" t="s">
        <v>61</v>
      </c>
      <c r="N38" s="127"/>
      <c r="O38" s="127"/>
      <c r="P38" s="65"/>
      <c r="Q38" s="65"/>
      <c r="R38" s="146" t="s">
        <v>62</v>
      </c>
      <c r="S38" s="152"/>
      <c r="T38" s="65"/>
      <c r="U38" s="145"/>
      <c r="V38" s="144">
        <f>nov_tot_down+dec_tot_down+jan_tot_down+feb_tot_down+mar_tot_down</f>
        <v>834</v>
      </c>
      <c r="W38" s="65"/>
      <c r="X38" s="108"/>
      <c r="Y38" s="65"/>
      <c r="Z38" s="65"/>
      <c r="AA38" s="65"/>
      <c r="AB38" s="108"/>
      <c r="AC38" s="108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108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</row>
    <row r="39" spans="1:61" ht="15.75" customHeight="1">
      <c r="A39" s="11"/>
      <c r="B39" s="27"/>
      <c r="C39" s="28" t="s">
        <v>64</v>
      </c>
      <c r="D39" s="27"/>
      <c r="E39" s="27"/>
      <c r="F39" s="27"/>
      <c r="G39" s="40"/>
      <c r="H39" s="11"/>
      <c r="I39" s="28" t="s">
        <v>65</v>
      </c>
      <c r="J39" s="11"/>
      <c r="K39" s="11"/>
      <c r="L39" s="11"/>
      <c r="M39" s="15" t="s">
        <v>66</v>
      </c>
      <c r="N39" s="127"/>
      <c r="O39" s="127"/>
      <c r="P39" s="65"/>
      <c r="Q39" s="65"/>
      <c r="R39" s="146" t="s">
        <v>67</v>
      </c>
      <c r="S39" s="146"/>
      <c r="T39" s="65"/>
      <c r="U39" s="145"/>
      <c r="V39" s="144">
        <f>nov_tot_up + dec_tot_up+jan_tot_up+feb_tot_up+mar_tot_up</f>
        <v>751</v>
      </c>
      <c r="W39" s="65"/>
      <c r="X39" s="108"/>
      <c r="Y39" s="65"/>
      <c r="Z39" s="65"/>
      <c r="AA39" s="65"/>
      <c r="AB39" s="108"/>
      <c r="AC39" s="108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108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</row>
    <row r="40" spans="1:61" ht="15.75" customHeight="1">
      <c r="A40" s="11"/>
      <c r="B40" s="27"/>
      <c r="C40" s="11"/>
      <c r="D40" s="27"/>
      <c r="E40" s="27"/>
      <c r="F40" s="27"/>
      <c r="G40" s="27"/>
      <c r="H40" s="11"/>
      <c r="I40" s="28" t="s">
        <v>68</v>
      </c>
      <c r="J40" s="11"/>
      <c r="K40" s="11"/>
      <c r="L40" s="11"/>
      <c r="M40" s="15" t="s">
        <v>69</v>
      </c>
      <c r="N40" s="127"/>
      <c r="O40" s="127"/>
      <c r="P40" s="65"/>
      <c r="Q40" s="65"/>
      <c r="R40" s="146"/>
      <c r="S40" s="146"/>
      <c r="T40" s="65"/>
      <c r="U40" s="145"/>
      <c r="V40" s="65"/>
      <c r="W40" s="65"/>
      <c r="X40" s="108"/>
      <c r="Y40" s="65"/>
      <c r="Z40" s="65"/>
      <c r="AA40" s="65"/>
      <c r="AB40" s="108"/>
      <c r="AC40" s="108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108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</row>
    <row r="41" spans="1:61" ht="15.75" customHeight="1">
      <c r="A41" s="11"/>
      <c r="B41" s="27"/>
      <c r="C41" s="11"/>
      <c r="D41" s="27"/>
      <c r="E41" s="27"/>
      <c r="F41" s="27"/>
      <c r="G41" s="27"/>
      <c r="H41" s="27"/>
      <c r="I41" s="28"/>
      <c r="J41" s="28"/>
      <c r="K41" s="28"/>
      <c r="L41" s="33"/>
      <c r="M41" s="71"/>
      <c r="N41" s="6"/>
      <c r="O41" s="6"/>
      <c r="P41" s="7"/>
      <c r="Q41" s="7"/>
      <c r="R41" s="47"/>
      <c r="S41" s="47"/>
      <c r="T41" s="7"/>
      <c r="U41" s="130"/>
      <c r="V41" s="7"/>
      <c r="W41" s="7"/>
      <c r="X41" s="68"/>
      <c r="Y41" s="7"/>
      <c r="Z41" s="7"/>
      <c r="AA41" s="7"/>
      <c r="AB41" s="68"/>
      <c r="AC41" s="68"/>
      <c r="AD41" s="65"/>
      <c r="AE41" s="65"/>
      <c r="AF41" s="65"/>
      <c r="AG41" s="65"/>
      <c r="AH41" s="65"/>
      <c r="AI41" s="65"/>
      <c r="AJ41" s="7"/>
      <c r="AK41" s="7"/>
      <c r="AL41" s="10"/>
      <c r="AM41" s="10"/>
      <c r="AN41" s="10"/>
      <c r="AO41" s="59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</row>
    <row r="42" spans="1:61" ht="15.75" customHeight="1">
      <c r="A42" s="11"/>
      <c r="B42" s="27"/>
      <c r="C42" s="27"/>
      <c r="D42" s="41" t="s">
        <v>70</v>
      </c>
      <c r="E42" s="11"/>
      <c r="F42" s="11"/>
      <c r="G42" s="11"/>
      <c r="H42" s="11"/>
      <c r="I42" s="11"/>
      <c r="J42" s="11"/>
      <c r="K42" s="27"/>
      <c r="L42" s="41" t="s">
        <v>71</v>
      </c>
      <c r="M42" s="71"/>
      <c r="N42" s="123"/>
      <c r="O42" s="123"/>
      <c r="P42" s="7"/>
      <c r="Q42" s="7" t="s">
        <v>203</v>
      </c>
      <c r="R42" s="47"/>
      <c r="S42" s="47"/>
      <c r="T42" s="125"/>
      <c r="U42" s="130"/>
      <c r="V42" s="7"/>
      <c r="W42" s="7"/>
      <c r="X42" s="68"/>
      <c r="Y42" s="7"/>
      <c r="Z42" s="7"/>
      <c r="AA42" s="7"/>
      <c r="AB42" s="68"/>
      <c r="AC42" s="68"/>
      <c r="AD42" s="65"/>
      <c r="AE42" s="65"/>
      <c r="AF42" s="65"/>
      <c r="AG42" s="65"/>
      <c r="AH42" s="65"/>
      <c r="AI42" s="65"/>
      <c r="AJ42" s="7"/>
      <c r="AK42" s="7"/>
      <c r="AL42" s="10"/>
      <c r="AM42" s="10"/>
      <c r="AN42" s="10"/>
      <c r="AO42" s="68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</row>
    <row r="43" spans="1:61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1"/>
      <c r="N43" s="6"/>
      <c r="O43" s="6"/>
      <c r="P43" s="7"/>
      <c r="Q43" s="7"/>
      <c r="R43" s="47"/>
      <c r="S43" s="47"/>
      <c r="T43" s="7"/>
      <c r="U43" s="130"/>
      <c r="V43" s="7"/>
      <c r="W43" s="7"/>
      <c r="X43" s="68"/>
      <c r="Y43" s="7"/>
      <c r="Z43" s="7"/>
      <c r="AA43" s="7"/>
      <c r="AB43" s="68"/>
      <c r="AC43" s="68"/>
      <c r="AD43" s="65"/>
      <c r="AE43" s="65"/>
      <c r="AF43" s="65"/>
      <c r="AG43" s="65"/>
      <c r="AH43" s="65"/>
      <c r="AI43" s="65"/>
      <c r="AJ43" s="7"/>
      <c r="AK43" s="7"/>
      <c r="AL43" s="10"/>
      <c r="AM43" s="10"/>
      <c r="AN43" s="10"/>
      <c r="AO43" s="68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</row>
    <row r="44" spans="1:61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71"/>
      <c r="N44" s="123"/>
      <c r="O44" s="123"/>
      <c r="P44" s="7"/>
      <c r="Q44" s="7"/>
      <c r="R44" s="47"/>
      <c r="S44" s="47"/>
      <c r="T44" s="7"/>
      <c r="U44" s="7"/>
      <c r="V44" s="7"/>
      <c r="W44" s="7"/>
      <c r="X44" s="68"/>
      <c r="Y44" s="7"/>
      <c r="Z44" s="7"/>
      <c r="AA44" s="7"/>
      <c r="AB44" s="68"/>
      <c r="AC44" s="68"/>
      <c r="AD44" s="65"/>
      <c r="AE44" s="65"/>
      <c r="AF44" s="65"/>
      <c r="AG44" s="65"/>
      <c r="AH44" s="65"/>
      <c r="AI44" s="65"/>
      <c r="AJ44" s="7"/>
      <c r="AK44" s="7"/>
      <c r="AL44" s="10"/>
      <c r="AM44" s="10"/>
      <c r="AN44" s="10"/>
      <c r="AO44" s="68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</row>
    <row r="45" spans="1:61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71"/>
      <c r="N45" s="6"/>
      <c r="O45" s="6"/>
      <c r="P45" s="7"/>
      <c r="Q45" s="7"/>
      <c r="R45" s="47"/>
      <c r="T45" s="125"/>
      <c r="U45" s="130"/>
      <c r="V45" s="7"/>
      <c r="W45" s="7"/>
      <c r="X45" s="68"/>
      <c r="Y45" s="7"/>
      <c r="Z45" s="7"/>
      <c r="AA45" s="7"/>
      <c r="AB45" s="68"/>
      <c r="AC45" s="68"/>
      <c r="AD45" s="65"/>
      <c r="AE45" s="65"/>
      <c r="AF45" s="65"/>
      <c r="AG45" s="65"/>
      <c r="AH45" s="65"/>
      <c r="AI45" s="65"/>
      <c r="AJ45" s="7"/>
      <c r="AK45" s="7"/>
      <c r="AL45" s="10"/>
      <c r="AM45" s="10"/>
      <c r="AN45" s="10"/>
      <c r="AO45" s="68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</row>
    <row r="46" spans="1:61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71"/>
      <c r="N46" s="123"/>
      <c r="O46" s="123"/>
      <c r="P46" s="7"/>
      <c r="Q46" s="7"/>
      <c r="R46" s="47"/>
      <c r="S46" s="47"/>
      <c r="T46" s="7"/>
      <c r="U46" s="130"/>
      <c r="V46" s="7"/>
      <c r="W46" s="7"/>
      <c r="X46" s="68"/>
      <c r="Y46" s="7"/>
      <c r="Z46" s="7"/>
      <c r="AA46" s="7"/>
      <c r="AB46" s="68"/>
      <c r="AC46" s="68"/>
      <c r="AD46" s="65"/>
      <c r="AE46" s="65"/>
      <c r="AF46" s="65"/>
      <c r="AG46" s="65"/>
      <c r="AH46" s="65"/>
      <c r="AI46" s="65"/>
      <c r="AJ46" s="7"/>
      <c r="AK46" s="7"/>
      <c r="AL46" s="10"/>
      <c r="AM46" s="10"/>
      <c r="AN46" s="10"/>
      <c r="AO46" s="68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</row>
    <row r="47" spans="1:61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71"/>
      <c r="N47" s="6"/>
      <c r="O47" s="6"/>
      <c r="P47" s="7"/>
      <c r="Q47" s="7"/>
      <c r="R47" s="47"/>
      <c r="S47" s="47"/>
      <c r="T47" s="7"/>
      <c r="U47" s="130"/>
      <c r="V47" s="7"/>
      <c r="W47" s="7"/>
      <c r="X47" s="68"/>
      <c r="Y47" s="7"/>
      <c r="Z47" s="7"/>
      <c r="AA47" s="7"/>
      <c r="AB47" s="68"/>
      <c r="AC47" s="68"/>
      <c r="AD47" s="65"/>
      <c r="AE47" s="65"/>
      <c r="AF47" s="65"/>
      <c r="AG47" s="65"/>
      <c r="AH47" s="65"/>
      <c r="AI47" s="65"/>
      <c r="AJ47" s="7"/>
      <c r="AK47" s="7"/>
      <c r="AL47" s="10"/>
      <c r="AM47" s="10"/>
      <c r="AN47" s="10"/>
      <c r="AO47" s="68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</row>
    <row r="48" spans="1:61" ht="1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71"/>
      <c r="N48" s="123"/>
      <c r="O48" s="123"/>
      <c r="P48" s="7"/>
      <c r="Q48" s="7"/>
      <c r="R48" s="47"/>
      <c r="S48" s="47"/>
      <c r="T48" s="125"/>
      <c r="U48" s="130"/>
      <c r="V48" s="7"/>
      <c r="W48" s="7"/>
      <c r="X48" s="68"/>
      <c r="Y48" s="7"/>
      <c r="Z48" s="7"/>
      <c r="AA48" s="7"/>
      <c r="AB48" s="68"/>
      <c r="AC48" s="68"/>
      <c r="AD48" s="65"/>
      <c r="AE48" s="65"/>
      <c r="AF48" s="65"/>
      <c r="AG48" s="65"/>
      <c r="AH48" s="65"/>
      <c r="AI48" s="65"/>
      <c r="AJ48" s="7"/>
      <c r="AK48" s="7"/>
      <c r="AL48" s="10"/>
      <c r="AM48" s="10"/>
      <c r="AN48" s="10"/>
      <c r="AO48" s="68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</row>
    <row r="49" spans="1:61" ht="1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71"/>
      <c r="N49" s="127"/>
      <c r="O49" s="6"/>
      <c r="P49" s="7"/>
      <c r="Q49" s="7"/>
      <c r="R49" s="47"/>
      <c r="S49" s="128"/>
      <c r="T49" s="7"/>
      <c r="U49" s="130"/>
      <c r="V49" s="7"/>
      <c r="W49" s="7"/>
      <c r="X49" s="68"/>
      <c r="Y49" s="7"/>
      <c r="Z49" s="7"/>
      <c r="AA49" s="7"/>
      <c r="AB49" s="68"/>
      <c r="AC49" s="68"/>
      <c r="AD49" s="65"/>
      <c r="AE49" s="65"/>
      <c r="AF49" s="65"/>
      <c r="AG49" s="65"/>
      <c r="AH49" s="65"/>
      <c r="AI49" s="65"/>
      <c r="AJ49" s="7"/>
      <c r="AK49" s="7"/>
      <c r="AL49" s="10"/>
      <c r="AM49" s="10"/>
      <c r="AN49" s="10"/>
      <c r="AO49" s="68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</row>
    <row r="50" spans="1:61" ht="1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71"/>
      <c r="N50" s="123"/>
      <c r="O50" s="123"/>
      <c r="P50" s="7"/>
      <c r="Q50" s="7"/>
      <c r="R50" s="47"/>
      <c r="S50" s="47"/>
      <c r="T50" s="125"/>
      <c r="U50" s="130"/>
      <c r="V50" s="7"/>
      <c r="W50" s="7"/>
      <c r="X50" s="68"/>
      <c r="Y50" s="7"/>
      <c r="Z50" s="7"/>
      <c r="AA50" s="7"/>
      <c r="AB50" s="68"/>
      <c r="AC50" s="68"/>
      <c r="AD50" s="65"/>
      <c r="AE50" s="65"/>
      <c r="AF50" s="65"/>
      <c r="AG50" s="65"/>
      <c r="AH50" s="65"/>
      <c r="AI50" s="65"/>
      <c r="AJ50" s="7"/>
      <c r="AK50" s="7"/>
      <c r="AL50" s="10"/>
      <c r="AM50" s="10"/>
      <c r="AN50" s="10"/>
      <c r="AO50" s="68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</row>
    <row r="51" spans="1:61" ht="1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71"/>
      <c r="N51" s="6"/>
      <c r="O51" s="6"/>
      <c r="P51" s="7"/>
      <c r="Q51" s="7"/>
      <c r="R51" s="47"/>
      <c r="S51" s="47"/>
      <c r="T51" s="125"/>
      <c r="U51" s="130"/>
      <c r="V51" s="7"/>
      <c r="W51" s="7"/>
      <c r="X51" s="68"/>
      <c r="Y51" s="7"/>
      <c r="Z51" s="7"/>
      <c r="AA51" s="7"/>
      <c r="AB51" s="68"/>
      <c r="AC51" s="68"/>
      <c r="AD51" s="65"/>
      <c r="AE51" s="65"/>
      <c r="AF51" s="65"/>
      <c r="AG51" s="65"/>
      <c r="AH51" s="65"/>
      <c r="AI51" s="65"/>
      <c r="AJ51" s="7"/>
      <c r="AK51" s="7"/>
      <c r="AL51" s="10"/>
      <c r="AM51" s="10"/>
      <c r="AN51" s="10"/>
      <c r="AO51" s="59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</row>
    <row r="52" spans="1:61" ht="1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71"/>
      <c r="N52" s="123"/>
      <c r="O52" s="123"/>
      <c r="P52" s="7"/>
      <c r="Q52" s="7"/>
      <c r="R52" s="47"/>
      <c r="S52" s="47"/>
      <c r="T52" s="125"/>
      <c r="U52" s="130"/>
      <c r="V52" s="7"/>
      <c r="W52" s="7"/>
      <c r="X52" s="68"/>
      <c r="Y52" s="7"/>
      <c r="Z52" s="7"/>
      <c r="AA52" s="7"/>
      <c r="AB52" s="68"/>
      <c r="AC52" s="68"/>
      <c r="AD52" s="65"/>
      <c r="AE52" s="65"/>
      <c r="AF52" s="65"/>
      <c r="AG52" s="65"/>
      <c r="AH52" s="65"/>
      <c r="AI52" s="65"/>
      <c r="AJ52" s="7"/>
      <c r="AK52" s="7"/>
      <c r="AL52" s="10"/>
      <c r="AM52" s="10"/>
      <c r="AN52" s="10"/>
      <c r="AO52" s="68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</row>
    <row r="53" spans="1:61" ht="1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71"/>
      <c r="N53" s="6"/>
      <c r="O53" s="6"/>
      <c r="P53" s="7"/>
      <c r="Q53" s="7"/>
      <c r="R53" s="47"/>
      <c r="S53" s="47"/>
      <c r="T53" s="125"/>
      <c r="U53" s="130"/>
      <c r="V53" s="7"/>
      <c r="W53" s="7"/>
      <c r="X53" s="68"/>
      <c r="Y53" s="7"/>
      <c r="Z53" s="7"/>
      <c r="AA53" s="7"/>
      <c r="AB53" s="68"/>
      <c r="AC53" s="68"/>
      <c r="AD53" s="65"/>
      <c r="AE53" s="65"/>
      <c r="AF53" s="65"/>
      <c r="AG53" s="65"/>
      <c r="AH53" s="65"/>
      <c r="AI53" s="65"/>
      <c r="AJ53" s="7"/>
      <c r="AK53" s="7"/>
      <c r="AL53" s="10"/>
      <c r="AM53" s="10"/>
      <c r="AN53" s="10"/>
      <c r="AO53" s="68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</row>
    <row r="54" spans="1:61" ht="1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71"/>
      <c r="N54" s="123"/>
      <c r="O54" s="123"/>
      <c r="P54" s="7"/>
      <c r="Q54" s="7"/>
      <c r="T54" s="125"/>
      <c r="U54" s="130"/>
      <c r="V54" s="7"/>
      <c r="W54" s="7"/>
      <c r="X54" s="68"/>
      <c r="Y54" s="7"/>
      <c r="Z54" s="7"/>
      <c r="AA54" s="7"/>
      <c r="AB54" s="68"/>
      <c r="AC54" s="68"/>
      <c r="AD54" s="65"/>
      <c r="AE54" s="65"/>
      <c r="AF54" s="65"/>
      <c r="AG54" s="65"/>
      <c r="AH54" s="65"/>
      <c r="AI54" s="65"/>
      <c r="AJ54" s="7"/>
      <c r="AK54" s="7"/>
      <c r="AL54" s="10"/>
      <c r="AM54" s="10"/>
      <c r="AN54" s="10"/>
      <c r="AO54" s="59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</row>
    <row r="55" spans="1:61" ht="1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71"/>
      <c r="N55" s="6"/>
      <c r="O55" s="6"/>
      <c r="P55" s="7"/>
      <c r="Q55" s="7"/>
      <c r="T55" s="125"/>
      <c r="U55" s="130"/>
      <c r="V55" s="7"/>
      <c r="W55" s="7"/>
      <c r="X55" s="68"/>
      <c r="Y55" s="7"/>
      <c r="Z55" s="7"/>
      <c r="AA55" s="7"/>
      <c r="AB55" s="68"/>
      <c r="AC55" s="68"/>
      <c r="AD55" s="65"/>
      <c r="AE55" s="65"/>
      <c r="AF55" s="65"/>
      <c r="AG55" s="65"/>
      <c r="AH55" s="65"/>
      <c r="AI55" s="65"/>
      <c r="AJ55" s="7"/>
      <c r="AK55" s="7"/>
      <c r="AL55" s="10"/>
      <c r="AM55" s="10"/>
      <c r="AN55" s="10"/>
      <c r="AO55" s="59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</row>
    <row r="56" spans="1:61" ht="1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71"/>
      <c r="N56" s="123"/>
      <c r="O56" s="123"/>
      <c r="P56" s="7"/>
      <c r="Q56" s="7"/>
      <c r="T56" s="125"/>
      <c r="U56" s="130"/>
      <c r="V56" s="7"/>
      <c r="W56" s="7"/>
      <c r="X56" s="59"/>
      <c r="Y56" s="7"/>
      <c r="Z56" s="7"/>
      <c r="AA56" s="7"/>
      <c r="AB56" s="68"/>
      <c r="AC56" s="68"/>
      <c r="AD56" s="65"/>
      <c r="AE56" s="65"/>
      <c r="AF56" s="65"/>
      <c r="AG56" s="65"/>
      <c r="AH56" s="65"/>
      <c r="AI56" s="65"/>
      <c r="AJ56" s="7"/>
      <c r="AK56" s="7"/>
      <c r="AL56" s="10"/>
      <c r="AM56" s="10"/>
      <c r="AN56" s="10"/>
      <c r="AO56" s="59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</row>
    <row r="57" spans="1:61" ht="1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71"/>
      <c r="N57" s="6"/>
      <c r="O57" s="6"/>
      <c r="P57" s="7"/>
      <c r="T57" s="125"/>
      <c r="U57" s="130"/>
      <c r="V57" s="7"/>
      <c r="W57" s="7"/>
      <c r="X57" s="59"/>
      <c r="Y57" s="7"/>
      <c r="Z57" s="7"/>
      <c r="AA57" s="7"/>
      <c r="AB57" s="68"/>
      <c r="AC57" s="68"/>
      <c r="AD57" s="65"/>
      <c r="AE57" s="65"/>
      <c r="AF57" s="65"/>
      <c r="AG57" s="65"/>
      <c r="AH57" s="65"/>
      <c r="AI57" s="65"/>
      <c r="AJ57" s="7"/>
      <c r="AK57" s="7"/>
      <c r="AL57" s="10"/>
      <c r="AM57" s="10"/>
      <c r="AN57" s="10"/>
      <c r="AO57" s="59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</row>
    <row r="58" spans="1:61" ht="1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38"/>
      <c r="Y58" s="11"/>
      <c r="Z58" s="11"/>
      <c r="AA58" s="11"/>
      <c r="AB58" s="38"/>
      <c r="AC58" s="38"/>
      <c r="AD58" s="11"/>
      <c r="AE58" s="11"/>
      <c r="AF58" s="11"/>
      <c r="AG58" s="11"/>
      <c r="AH58" s="11"/>
      <c r="AI58" s="11"/>
      <c r="AJ58" s="11"/>
      <c r="AK58" s="36"/>
      <c r="AL58" s="11"/>
      <c r="AM58" s="11"/>
      <c r="AN58" s="27"/>
      <c r="AO58" s="38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</row>
    <row r="59" spans="1:61" ht="1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42"/>
      <c r="N59" s="142"/>
      <c r="O59" s="27"/>
      <c r="P59" s="27"/>
      <c r="Q59" s="28"/>
      <c r="R59" s="27"/>
      <c r="S59" s="27"/>
      <c r="T59" s="143"/>
      <c r="U59" s="30"/>
      <c r="V59" s="27"/>
      <c r="W59" s="27"/>
      <c r="X59" s="38"/>
      <c r="Y59" s="51"/>
      <c r="Z59" s="51"/>
      <c r="AA59" s="51"/>
      <c r="AB59" s="57"/>
      <c r="AC59" s="57"/>
      <c r="AD59" s="31"/>
      <c r="AE59" s="31"/>
      <c r="AF59" s="31"/>
      <c r="AG59" s="31"/>
      <c r="AH59" s="31"/>
      <c r="AI59" s="31"/>
      <c r="AJ59" s="51"/>
      <c r="AK59" s="51"/>
      <c r="AL59" s="27"/>
      <c r="AM59" s="27"/>
      <c r="AN59" s="27"/>
      <c r="AO59" s="38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</row>
    <row r="60" spans="1:61" ht="1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7"/>
      <c r="O60" s="27"/>
      <c r="P60" s="27"/>
      <c r="Q60" s="28"/>
      <c r="R60" s="27"/>
      <c r="S60" s="27"/>
      <c r="T60" s="27"/>
      <c r="U60" s="30"/>
      <c r="V60" s="27"/>
      <c r="W60" s="27"/>
      <c r="X60" s="11"/>
      <c r="Y60" s="11"/>
      <c r="Z60" s="11"/>
      <c r="AA60" s="27"/>
      <c r="AB60" s="40"/>
      <c r="AC60" s="40"/>
      <c r="AD60" s="27"/>
      <c r="AE60" s="27"/>
      <c r="AF60" s="27"/>
      <c r="AG60" s="27"/>
      <c r="AH60" s="28"/>
      <c r="AI60" s="27"/>
      <c r="AJ60" s="27"/>
      <c r="AK60" s="36"/>
      <c r="AL60" s="31"/>
      <c r="AM60" s="39"/>
      <c r="AN60" s="31"/>
      <c r="AO60" s="38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</row>
    <row r="61" spans="1:61" ht="1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38"/>
      <c r="Y61" s="11"/>
      <c r="Z61" s="11"/>
      <c r="AA61" s="11"/>
      <c r="AB61" s="38"/>
      <c r="AC61" s="38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</row>
    <row r="62" spans="1:61" ht="1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38"/>
      <c r="Y62" s="11"/>
      <c r="Z62" s="11"/>
      <c r="AA62" s="11"/>
      <c r="AB62" s="38"/>
      <c r="AC62" s="38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</row>
    <row r="63" spans="1:61" ht="1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38"/>
      <c r="Y63" s="11"/>
      <c r="Z63" s="11"/>
      <c r="AA63" s="11"/>
      <c r="AB63" s="38"/>
      <c r="AC63" s="38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</row>
    <row r="64" spans="1:61" ht="1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38"/>
      <c r="Y64" s="11"/>
      <c r="Z64" s="11"/>
      <c r="AA64" s="11"/>
      <c r="AB64" s="38"/>
      <c r="AC64" s="38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</row>
    <row r="65" spans="1:61" ht="1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38"/>
      <c r="Y65" s="11"/>
      <c r="Z65" s="11"/>
      <c r="AA65" s="11"/>
      <c r="AB65" s="38"/>
      <c r="AC65" s="38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</row>
    <row r="66" spans="1:61" ht="1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38"/>
      <c r="Y66" s="11"/>
      <c r="Z66" s="11"/>
      <c r="AA66" s="11"/>
      <c r="AB66" s="38"/>
      <c r="AC66" s="38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</row>
    <row r="67" spans="1:61" ht="1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38"/>
      <c r="Y67" s="11"/>
      <c r="Z67" s="11"/>
      <c r="AA67" s="11"/>
      <c r="AB67" s="38"/>
      <c r="AC67" s="38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</row>
    <row r="68" spans="1:61" ht="1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38"/>
      <c r="Y68" s="11"/>
      <c r="Z68" s="11"/>
      <c r="AA68" s="11"/>
      <c r="AB68" s="38"/>
      <c r="AC68" s="38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</row>
    <row r="69" spans="1:61" ht="1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38"/>
      <c r="Y69" s="11"/>
      <c r="Z69" s="11"/>
      <c r="AA69" s="11"/>
      <c r="AB69" s="38"/>
      <c r="AC69" s="38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</row>
    <row r="70" spans="1:61" ht="1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38"/>
      <c r="Y70" s="11"/>
      <c r="Z70" s="11"/>
      <c r="AA70" s="11"/>
      <c r="AB70" s="38"/>
      <c r="AC70" s="38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</row>
    <row r="71" spans="1:61" ht="1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38"/>
      <c r="Y71" s="11"/>
      <c r="Z71" s="11"/>
      <c r="AA71" s="11"/>
      <c r="AB71" s="38"/>
      <c r="AC71" s="38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</row>
    <row r="72" spans="1:61" ht="1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38"/>
      <c r="Y72" s="11"/>
      <c r="Z72" s="11"/>
      <c r="AA72" s="11"/>
      <c r="AB72" s="38"/>
      <c r="AC72" s="38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</row>
    <row r="73" spans="1:61" ht="1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38"/>
      <c r="Y73" s="11"/>
      <c r="Z73" s="11"/>
      <c r="AA73" s="11"/>
      <c r="AB73" s="38"/>
      <c r="AC73" s="38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</row>
    <row r="74" spans="1:61" ht="1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38"/>
      <c r="Y74" s="11"/>
      <c r="Z74" s="11"/>
      <c r="AA74" s="11"/>
      <c r="AB74" s="38"/>
      <c r="AC74" s="38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</row>
    <row r="75" spans="1:61" ht="1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38"/>
      <c r="Y75" s="11"/>
      <c r="Z75" s="11"/>
      <c r="AA75" s="11"/>
      <c r="AB75" s="38"/>
      <c r="AC75" s="38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</row>
    <row r="76" spans="1:61" ht="1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38"/>
      <c r="Y76" s="11"/>
      <c r="Z76" s="11"/>
      <c r="AA76" s="11"/>
      <c r="AB76" s="38"/>
      <c r="AC76" s="38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</row>
    <row r="77" spans="1:61" ht="1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38"/>
      <c r="Y77" s="11"/>
      <c r="Z77" s="11"/>
      <c r="AA77" s="11"/>
      <c r="AB77" s="38"/>
      <c r="AC77" s="38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</row>
    <row r="78" spans="1:61" ht="1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38"/>
      <c r="Y78" s="11"/>
      <c r="Z78" s="11"/>
      <c r="AA78" s="11"/>
      <c r="AB78" s="38"/>
      <c r="AC78" s="38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</row>
    <row r="79" spans="1:61" ht="1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38"/>
      <c r="Y79" s="11"/>
      <c r="Z79" s="11"/>
      <c r="AA79" s="11"/>
      <c r="AB79" s="38"/>
      <c r="AC79" s="38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</row>
    <row r="80" spans="1:61" ht="1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38"/>
      <c r="Y80" s="11"/>
      <c r="Z80" s="11"/>
      <c r="AA80" s="11"/>
      <c r="AB80" s="38"/>
      <c r="AC80" s="38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</row>
    <row r="81" spans="1:61" ht="1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38"/>
      <c r="Y81" s="11"/>
      <c r="Z81" s="11"/>
      <c r="AA81" s="11"/>
      <c r="AB81" s="38"/>
      <c r="AC81" s="38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</row>
    <row r="82" spans="1:61" ht="1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38"/>
      <c r="Y82" s="11"/>
      <c r="Z82" s="11"/>
      <c r="AA82" s="11"/>
      <c r="AB82" s="38"/>
      <c r="AC82" s="38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</row>
    <row r="83" spans="1:61" ht="1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38"/>
      <c r="Y83" s="11"/>
      <c r="Z83" s="11"/>
      <c r="AA83" s="11"/>
      <c r="AB83" s="38"/>
      <c r="AC83" s="38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</row>
    <row r="84" spans="1:61" ht="1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38"/>
      <c r="Y84" s="11"/>
      <c r="Z84" s="11"/>
      <c r="AA84" s="11"/>
      <c r="AB84" s="38"/>
      <c r="AC84" s="38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</row>
    <row r="85" spans="1:61" ht="1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38"/>
      <c r="Y85" s="11"/>
      <c r="Z85" s="11"/>
      <c r="AA85" s="11"/>
      <c r="AB85" s="38"/>
      <c r="AC85" s="38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</row>
    <row r="86" spans="1:61" ht="1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38"/>
      <c r="Y86" s="11"/>
      <c r="Z86" s="11"/>
      <c r="AA86" s="11"/>
      <c r="AB86" s="38"/>
      <c r="AC86" s="38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</row>
    <row r="87" spans="1:61" ht="1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38"/>
      <c r="Y87" s="11"/>
      <c r="Z87" s="11"/>
      <c r="AA87" s="11"/>
      <c r="AB87" s="38"/>
      <c r="AC87" s="38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</row>
    <row r="88" spans="1:61" ht="1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38"/>
      <c r="Y88" s="11"/>
      <c r="Z88" s="11"/>
      <c r="AA88" s="11"/>
      <c r="AB88" s="38"/>
      <c r="AC88" s="38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</row>
    <row r="89" spans="1:61" ht="1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38"/>
      <c r="Y89" s="11"/>
      <c r="Z89" s="11"/>
      <c r="AA89" s="11"/>
      <c r="AB89" s="38"/>
      <c r="AC89" s="38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</row>
    <row r="90" spans="1:61" ht="1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38"/>
      <c r="Y90" s="11"/>
      <c r="Z90" s="11"/>
      <c r="AA90" s="11"/>
      <c r="AB90" s="38"/>
      <c r="AC90" s="38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</row>
    <row r="91" spans="1:61" ht="1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38"/>
      <c r="Y91" s="11"/>
      <c r="Z91" s="11"/>
      <c r="AA91" s="11"/>
      <c r="AB91" s="38"/>
      <c r="AC91" s="38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</row>
    <row r="92" spans="1:61" ht="1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38"/>
      <c r="Y92" s="11"/>
      <c r="Z92" s="11"/>
      <c r="AA92" s="11"/>
      <c r="AB92" s="38"/>
      <c r="AC92" s="38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</row>
    <row r="93" spans="1:61" ht="1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38"/>
      <c r="Y93" s="11"/>
      <c r="Z93" s="11"/>
      <c r="AA93" s="11"/>
      <c r="AB93" s="38"/>
      <c r="AC93" s="38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spans="1:61" ht="1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38"/>
      <c r="Y94" s="11"/>
      <c r="Z94" s="11"/>
      <c r="AA94" s="11"/>
      <c r="AB94" s="38"/>
      <c r="AC94" s="38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</row>
    <row r="95" spans="1:61" ht="1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38"/>
      <c r="Y95" s="11"/>
      <c r="Z95" s="11"/>
      <c r="AA95" s="11"/>
      <c r="AB95" s="38"/>
      <c r="AC95" s="38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</row>
    <row r="96" spans="1:61" ht="1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38"/>
      <c r="Y96" s="11"/>
      <c r="Z96" s="11"/>
      <c r="AA96" s="11"/>
      <c r="AB96" s="38"/>
      <c r="AC96" s="38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spans="1:61" ht="1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38"/>
      <c r="Y97" s="11"/>
      <c r="Z97" s="11"/>
      <c r="AA97" s="11"/>
      <c r="AB97" s="38"/>
      <c r="AC97" s="38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</row>
    <row r="98" spans="1:61" ht="1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38"/>
      <c r="Y98" s="11"/>
      <c r="Z98" s="11"/>
      <c r="AA98" s="11"/>
      <c r="AB98" s="38"/>
      <c r="AC98" s="38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</row>
    <row r="99" spans="1:61" ht="1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38"/>
      <c r="Y99" s="11"/>
      <c r="Z99" s="11"/>
      <c r="AA99" s="11"/>
      <c r="AB99" s="38"/>
      <c r="AC99" s="38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</row>
    <row r="100" spans="1:61" ht="1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38"/>
      <c r="Y100" s="11"/>
      <c r="Z100" s="11"/>
      <c r="AA100" s="11"/>
      <c r="AB100" s="38"/>
      <c r="AC100" s="38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</row>
    <row r="101" spans="1:61" ht="1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38"/>
      <c r="Y101" s="11"/>
      <c r="Z101" s="11"/>
      <c r="AA101" s="11"/>
      <c r="AB101" s="38"/>
      <c r="AC101" s="38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</row>
    <row r="102" spans="1:61" ht="1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38"/>
      <c r="Y102" s="11"/>
      <c r="Z102" s="11"/>
      <c r="AA102" s="11"/>
      <c r="AB102" s="38"/>
      <c r="AC102" s="38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</row>
    <row r="103" spans="1:61" ht="1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38"/>
      <c r="Y103" s="11"/>
      <c r="Z103" s="11"/>
      <c r="AA103" s="11"/>
      <c r="AB103" s="38"/>
      <c r="AC103" s="38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</row>
    <row r="104" spans="1:61" ht="1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38"/>
      <c r="Y104" s="11"/>
      <c r="Z104" s="11"/>
      <c r="AA104" s="11"/>
      <c r="AB104" s="38"/>
      <c r="AC104" s="38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</row>
    <row r="105" spans="1:61" ht="1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38"/>
      <c r="Y105" s="11"/>
      <c r="Z105" s="11"/>
      <c r="AA105" s="11"/>
      <c r="AB105" s="38"/>
      <c r="AC105" s="38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</row>
    <row r="106" spans="1:61" ht="1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38"/>
      <c r="Y106" s="11"/>
      <c r="Z106" s="11"/>
      <c r="AA106" s="11"/>
      <c r="AB106" s="38"/>
      <c r="AC106" s="38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</row>
    <row r="107" spans="1:61" ht="1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38"/>
      <c r="Y107" s="11"/>
      <c r="Z107" s="11"/>
      <c r="AA107" s="11"/>
      <c r="AB107" s="38"/>
      <c r="AC107" s="38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</row>
    <row r="108" spans="1:61" ht="1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38"/>
      <c r="Y108" s="11"/>
      <c r="Z108" s="11"/>
      <c r="AA108" s="11"/>
      <c r="AB108" s="38"/>
      <c r="AC108" s="38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</row>
    <row r="109" spans="1:61" ht="1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38"/>
      <c r="Y109" s="11"/>
      <c r="Z109" s="11"/>
      <c r="AA109" s="11"/>
      <c r="AB109" s="38"/>
      <c r="AC109" s="38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</row>
    <row r="110" spans="1:61" ht="1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38"/>
      <c r="Y110" s="11"/>
      <c r="Z110" s="11"/>
      <c r="AA110" s="11"/>
      <c r="AB110" s="38"/>
      <c r="AC110" s="38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</row>
    <row r="111" spans="1:61" ht="1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38"/>
      <c r="Y111" s="11"/>
      <c r="Z111" s="11"/>
      <c r="AA111" s="11"/>
      <c r="AB111" s="38"/>
      <c r="AC111" s="38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</row>
    <row r="112" spans="1:61" ht="1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38"/>
      <c r="Y112" s="11"/>
      <c r="Z112" s="11"/>
      <c r="AA112" s="11"/>
      <c r="AB112" s="38"/>
      <c r="AC112" s="38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</row>
    <row r="113" spans="1:61" ht="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38"/>
      <c r="Y113" s="11"/>
      <c r="Z113" s="11"/>
      <c r="AA113" s="11"/>
      <c r="AB113" s="38"/>
      <c r="AC113" s="38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</row>
    <row r="114" spans="1:61" ht="1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38"/>
      <c r="Y114" s="11"/>
      <c r="Z114" s="11"/>
      <c r="AA114" s="11"/>
      <c r="AB114" s="38"/>
      <c r="AC114" s="38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</row>
    <row r="115" spans="1:61" ht="1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38"/>
      <c r="Y115" s="11"/>
      <c r="Z115" s="11"/>
      <c r="AA115" s="11"/>
      <c r="AB115" s="38"/>
      <c r="AC115" s="38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</row>
    <row r="116" spans="1:61" ht="1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38"/>
      <c r="Y116" s="11"/>
      <c r="Z116" s="11"/>
      <c r="AA116" s="11"/>
      <c r="AB116" s="38"/>
      <c r="AC116" s="38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</row>
    <row r="117" spans="1:61" ht="1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38"/>
      <c r="Y117" s="11"/>
      <c r="Z117" s="11"/>
      <c r="AA117" s="11"/>
      <c r="AB117" s="38"/>
      <c r="AC117" s="38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</row>
    <row r="118" spans="1:61" ht="1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38"/>
      <c r="Y118" s="11"/>
      <c r="Z118" s="11"/>
      <c r="AA118" s="11"/>
      <c r="AB118" s="38"/>
      <c r="AC118" s="38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</row>
    <row r="119" spans="1:61" ht="1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38"/>
      <c r="Y119" s="11"/>
      <c r="Z119" s="11"/>
      <c r="AA119" s="11"/>
      <c r="AB119" s="38"/>
      <c r="AC119" s="38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</row>
    <row r="120" spans="1:61" ht="1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38"/>
      <c r="Y120" s="11"/>
      <c r="Z120" s="11"/>
      <c r="AA120" s="11"/>
      <c r="AB120" s="38"/>
      <c r="AC120" s="38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</row>
    <row r="121" spans="1:61" ht="1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38"/>
      <c r="Y121" s="11"/>
      <c r="Z121" s="11"/>
      <c r="AA121" s="11"/>
      <c r="AB121" s="38"/>
      <c r="AC121" s="38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</row>
    <row r="122" spans="1:61" ht="1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38"/>
      <c r="Y122" s="11"/>
      <c r="Z122" s="11"/>
      <c r="AA122" s="11"/>
      <c r="AB122" s="38"/>
      <c r="AC122" s="38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</row>
    <row r="123" spans="1:61" ht="1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38"/>
      <c r="Y123" s="11"/>
      <c r="Z123" s="11"/>
      <c r="AA123" s="11"/>
      <c r="AB123" s="38"/>
      <c r="AC123" s="38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</row>
    <row r="124" spans="1:61" ht="1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38"/>
      <c r="Y124" s="11"/>
      <c r="Z124" s="11"/>
      <c r="AA124" s="11"/>
      <c r="AB124" s="38"/>
      <c r="AC124" s="38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</row>
    <row r="125" spans="1:61" ht="1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38"/>
      <c r="Y125" s="11"/>
      <c r="Z125" s="11"/>
      <c r="AA125" s="11"/>
      <c r="AB125" s="38"/>
      <c r="AC125" s="38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</row>
    <row r="126" spans="1:61" ht="1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38"/>
      <c r="Y126" s="11"/>
      <c r="Z126" s="11"/>
      <c r="AA126" s="11"/>
      <c r="AB126" s="38"/>
      <c r="AC126" s="38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</row>
    <row r="127" spans="1:61" ht="1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38"/>
      <c r="Y127" s="11"/>
      <c r="Z127" s="11"/>
      <c r="AA127" s="11"/>
      <c r="AB127" s="38"/>
      <c r="AC127" s="38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</row>
    <row r="128" spans="1:61" ht="1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38"/>
      <c r="Y128" s="11"/>
      <c r="Z128" s="11"/>
      <c r="AA128" s="11"/>
      <c r="AB128" s="38"/>
      <c r="AC128" s="38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</row>
    <row r="129" spans="1:61" ht="1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38"/>
      <c r="Y129" s="11"/>
      <c r="Z129" s="11"/>
      <c r="AA129" s="11"/>
      <c r="AB129" s="38"/>
      <c r="AC129" s="38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</row>
    <row r="130" spans="1:61" ht="1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38"/>
      <c r="Y130" s="11"/>
      <c r="Z130" s="11"/>
      <c r="AA130" s="11"/>
      <c r="AB130" s="38"/>
      <c r="AC130" s="38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</row>
    <row r="131" spans="1:61" ht="1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38"/>
      <c r="Y131" s="11"/>
      <c r="Z131" s="11"/>
      <c r="AA131" s="11"/>
      <c r="AB131" s="38"/>
      <c r="AC131" s="38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</row>
    <row r="132" spans="1:61" ht="1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38"/>
      <c r="Y132" s="11"/>
      <c r="Z132" s="11"/>
      <c r="AA132" s="11"/>
      <c r="AB132" s="38"/>
      <c r="AC132" s="38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</row>
    <row r="133" spans="1:61" ht="1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38"/>
      <c r="Y133" s="11"/>
      <c r="Z133" s="11"/>
      <c r="AA133" s="11"/>
      <c r="AB133" s="38"/>
      <c r="AC133" s="38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</row>
    <row r="134" spans="1:61" ht="1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38"/>
      <c r="Y134" s="11"/>
      <c r="Z134" s="11"/>
      <c r="AA134" s="11"/>
      <c r="AB134" s="38"/>
      <c r="AC134" s="38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</row>
    <row r="135" spans="1:61" ht="1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38"/>
      <c r="Y135" s="11"/>
      <c r="Z135" s="11"/>
      <c r="AA135" s="11"/>
      <c r="AB135" s="38"/>
      <c r="AC135" s="38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</row>
    <row r="136" spans="1:61" ht="1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38"/>
      <c r="Y136" s="11"/>
      <c r="Z136" s="11"/>
      <c r="AA136" s="11"/>
      <c r="AB136" s="38"/>
      <c r="AC136" s="38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</row>
    <row r="137" spans="1:61" ht="1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38"/>
      <c r="Y137" s="11"/>
      <c r="Z137" s="11"/>
      <c r="AA137" s="11"/>
      <c r="AB137" s="38"/>
      <c r="AC137" s="38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</row>
    <row r="138" spans="1:61" ht="1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38"/>
      <c r="Y138" s="11"/>
      <c r="Z138" s="11"/>
      <c r="AA138" s="11"/>
      <c r="AB138" s="38"/>
      <c r="AC138" s="38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</row>
    <row r="139" spans="1:61" ht="1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38"/>
      <c r="Y139" s="11"/>
      <c r="Z139" s="11"/>
      <c r="AA139" s="11"/>
      <c r="AB139" s="38"/>
      <c r="AC139" s="38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</row>
    <row r="140" spans="1:61" ht="1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38"/>
      <c r="Y140" s="11"/>
      <c r="Z140" s="11"/>
      <c r="AA140" s="11"/>
      <c r="AB140" s="38"/>
      <c r="AC140" s="38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</row>
    <row r="141" spans="1:61" ht="1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38"/>
      <c r="Y141" s="11"/>
      <c r="Z141" s="11"/>
      <c r="AA141" s="11"/>
      <c r="AB141" s="38"/>
      <c r="AC141" s="38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</row>
    <row r="142" spans="1:61" ht="1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38"/>
      <c r="Y142" s="11"/>
      <c r="Z142" s="11"/>
      <c r="AA142" s="11"/>
      <c r="AB142" s="38"/>
      <c r="AC142" s="38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</row>
    <row r="143" spans="1:61" ht="1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38"/>
      <c r="Y143" s="11"/>
      <c r="Z143" s="11"/>
      <c r="AA143" s="11"/>
      <c r="AB143" s="38"/>
      <c r="AC143" s="38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</row>
    <row r="144" spans="1:61" ht="1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38"/>
      <c r="Y144" s="11"/>
      <c r="Z144" s="11"/>
      <c r="AA144" s="11"/>
      <c r="AB144" s="38"/>
      <c r="AC144" s="38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</row>
    <row r="145" spans="1:61" ht="1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38"/>
      <c r="Y145" s="11"/>
      <c r="Z145" s="11"/>
      <c r="AA145" s="11"/>
      <c r="AB145" s="38"/>
      <c r="AC145" s="38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</row>
    <row r="146" spans="1:61" ht="1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38"/>
      <c r="Y146" s="11"/>
      <c r="Z146" s="11"/>
      <c r="AA146" s="11"/>
      <c r="AB146" s="38"/>
      <c r="AC146" s="38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</row>
    <row r="147" spans="1:61" ht="1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38"/>
      <c r="Y147" s="11"/>
      <c r="Z147" s="11"/>
      <c r="AA147" s="11"/>
      <c r="AB147" s="38"/>
      <c r="AC147" s="38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</row>
    <row r="148" spans="1:61" ht="1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38"/>
      <c r="Y148" s="11"/>
      <c r="Z148" s="11"/>
      <c r="AA148" s="11"/>
      <c r="AB148" s="38"/>
      <c r="AC148" s="38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</row>
    <row r="149" spans="1:61" ht="1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38"/>
      <c r="Y149" s="11"/>
      <c r="Z149" s="11"/>
      <c r="AA149" s="11"/>
      <c r="AB149" s="38"/>
      <c r="AC149" s="38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</row>
    <row r="150" spans="1:61" ht="1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38"/>
      <c r="Y150" s="11"/>
      <c r="Z150" s="11"/>
      <c r="AA150" s="11"/>
      <c r="AB150" s="38"/>
      <c r="AC150" s="38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</row>
    <row r="151" spans="1:61" ht="1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38"/>
      <c r="Y151" s="11"/>
      <c r="Z151" s="11"/>
      <c r="AA151" s="11"/>
      <c r="AB151" s="38"/>
      <c r="AC151" s="38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</row>
    <row r="152" spans="1:61" ht="1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38"/>
      <c r="Y152" s="11"/>
      <c r="Z152" s="11"/>
      <c r="AA152" s="11"/>
      <c r="AB152" s="38"/>
      <c r="AC152" s="38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</row>
    <row r="153" spans="1:61" ht="1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38"/>
      <c r="Y153" s="11"/>
      <c r="Z153" s="11"/>
      <c r="AA153" s="11"/>
      <c r="AB153" s="38"/>
      <c r="AC153" s="38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</row>
    <row r="154" spans="1:61" ht="1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38"/>
      <c r="Y154" s="11"/>
      <c r="Z154" s="11"/>
      <c r="AA154" s="11"/>
      <c r="AB154" s="38"/>
      <c r="AC154" s="38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</row>
    <row r="155" spans="1:61" ht="1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38"/>
      <c r="Y155" s="11"/>
      <c r="Z155" s="11"/>
      <c r="AA155" s="11"/>
      <c r="AB155" s="38"/>
      <c r="AC155" s="38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</row>
    <row r="156" spans="1:61" ht="1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38"/>
      <c r="Y156" s="11"/>
      <c r="Z156" s="11"/>
      <c r="AA156" s="11"/>
      <c r="AB156" s="38"/>
      <c r="AC156" s="38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</row>
    <row r="157" spans="1:61" ht="1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38"/>
      <c r="Y157" s="11"/>
      <c r="Z157" s="11"/>
      <c r="AA157" s="11"/>
      <c r="AB157" s="38"/>
      <c r="AC157" s="38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</row>
    <row r="158" spans="1:61" ht="1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38"/>
      <c r="Y158" s="11"/>
      <c r="Z158" s="11"/>
      <c r="AA158" s="11"/>
      <c r="AB158" s="38"/>
      <c r="AC158" s="38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</row>
    <row r="159" spans="1:61" ht="1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38"/>
      <c r="Y159" s="11"/>
      <c r="Z159" s="11"/>
      <c r="AA159" s="11"/>
      <c r="AB159" s="38"/>
      <c r="AC159" s="38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</row>
    <row r="160" spans="1:61" ht="1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38"/>
      <c r="Y160" s="11"/>
      <c r="Z160" s="11"/>
      <c r="AA160" s="11"/>
      <c r="AB160" s="38"/>
      <c r="AC160" s="38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</row>
    <row r="161" spans="1:61" ht="1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38"/>
      <c r="Y161" s="11"/>
      <c r="Z161" s="11"/>
      <c r="AA161" s="11"/>
      <c r="AB161" s="38"/>
      <c r="AC161" s="38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</row>
    <row r="162" spans="1:61" ht="1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38"/>
      <c r="Y162" s="11"/>
      <c r="Z162" s="11"/>
      <c r="AA162" s="11"/>
      <c r="AB162" s="38"/>
      <c r="AC162" s="38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</row>
    <row r="163" spans="1:61" ht="1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38"/>
      <c r="Y163" s="11"/>
      <c r="Z163" s="11"/>
      <c r="AA163" s="11"/>
      <c r="AB163" s="38"/>
      <c r="AC163" s="38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</row>
    <row r="164" spans="1:61" ht="1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38"/>
      <c r="Y164" s="11"/>
      <c r="Z164" s="11"/>
      <c r="AA164" s="11"/>
      <c r="AB164" s="38"/>
      <c r="AC164" s="38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</row>
    <row r="165" spans="1:61" ht="1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38"/>
      <c r="Y165" s="11"/>
      <c r="Z165" s="11"/>
      <c r="AA165" s="11"/>
      <c r="AB165" s="38"/>
      <c r="AC165" s="38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</row>
    <row r="166" spans="1:61" ht="1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38"/>
      <c r="Y166" s="11"/>
      <c r="Z166" s="11"/>
      <c r="AA166" s="11"/>
      <c r="AB166" s="38"/>
      <c r="AC166" s="38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</row>
    <row r="167" spans="1:61" ht="1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38"/>
      <c r="Y167" s="11"/>
      <c r="Z167" s="11"/>
      <c r="AA167" s="11"/>
      <c r="AB167" s="38"/>
      <c r="AC167" s="38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</row>
    <row r="168" spans="1:61" ht="1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38"/>
      <c r="Y168" s="11"/>
      <c r="Z168" s="11"/>
      <c r="AA168" s="11"/>
      <c r="AB168" s="38"/>
      <c r="AC168" s="38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</row>
    <row r="169" spans="1:61" ht="1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38"/>
      <c r="Y169" s="11"/>
      <c r="Z169" s="11"/>
      <c r="AA169" s="11"/>
      <c r="AB169" s="38"/>
      <c r="AC169" s="38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</row>
    <row r="170" spans="1:61" ht="1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38"/>
      <c r="Y170" s="11"/>
      <c r="Z170" s="11"/>
      <c r="AA170" s="11"/>
      <c r="AB170" s="38"/>
      <c r="AC170" s="38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</row>
    <row r="171" spans="1:61" ht="1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38"/>
      <c r="Y171" s="11"/>
      <c r="Z171" s="11"/>
      <c r="AA171" s="11"/>
      <c r="AB171" s="38"/>
      <c r="AC171" s="38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</row>
    <row r="172" spans="1:61" ht="1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38"/>
      <c r="Y172" s="11"/>
      <c r="Z172" s="11"/>
      <c r="AA172" s="11"/>
      <c r="AB172" s="38"/>
      <c r="AC172" s="38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</row>
    <row r="173" spans="1:61" ht="1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38"/>
      <c r="Y173" s="11"/>
      <c r="Z173" s="11"/>
      <c r="AA173" s="11"/>
      <c r="AB173" s="38"/>
      <c r="AC173" s="38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</row>
    <row r="174" spans="1:61" ht="1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38"/>
      <c r="Y174" s="11"/>
      <c r="Z174" s="11"/>
      <c r="AA174" s="11"/>
      <c r="AB174" s="38"/>
      <c r="AC174" s="38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</row>
    <row r="175" spans="1:61" ht="1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38"/>
      <c r="Y175" s="11"/>
      <c r="Z175" s="11"/>
      <c r="AA175" s="11"/>
      <c r="AB175" s="38"/>
      <c r="AC175" s="38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</row>
    <row r="176" spans="1:61" ht="1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38"/>
      <c r="Y176" s="11"/>
      <c r="Z176" s="11"/>
      <c r="AA176" s="11"/>
      <c r="AB176" s="38"/>
      <c r="AC176" s="38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</row>
    <row r="177" spans="1:61" ht="1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38"/>
      <c r="Y177" s="11"/>
      <c r="Z177" s="11"/>
      <c r="AA177" s="11"/>
      <c r="AB177" s="38"/>
      <c r="AC177" s="38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</row>
    <row r="178" spans="1:61" ht="1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38"/>
      <c r="Y178" s="11"/>
      <c r="Z178" s="11"/>
      <c r="AA178" s="11"/>
      <c r="AB178" s="38"/>
      <c r="AC178" s="38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</row>
    <row r="179" spans="1:61" ht="1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38"/>
      <c r="Y179" s="11"/>
      <c r="Z179" s="11"/>
      <c r="AA179" s="11"/>
      <c r="AB179" s="38"/>
      <c r="AC179" s="38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</row>
    <row r="180" spans="1:61" ht="1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38"/>
      <c r="Y180" s="11"/>
      <c r="Z180" s="11"/>
      <c r="AA180" s="11"/>
      <c r="AB180" s="38"/>
      <c r="AC180" s="38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</row>
    <row r="181" spans="1:61" ht="1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38"/>
      <c r="Y181" s="11"/>
      <c r="Z181" s="11"/>
      <c r="AA181" s="11"/>
      <c r="AB181" s="38"/>
      <c r="AC181" s="38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</row>
    <row r="182" spans="1:61" ht="1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38"/>
      <c r="Y182" s="11"/>
      <c r="Z182" s="11"/>
      <c r="AA182" s="11"/>
      <c r="AB182" s="38"/>
      <c r="AC182" s="38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</row>
    <row r="183" spans="1:61" ht="1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38"/>
      <c r="Y183" s="11"/>
      <c r="Z183" s="11"/>
      <c r="AA183" s="11"/>
      <c r="AB183" s="38"/>
      <c r="AC183" s="38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</row>
    <row r="184" spans="1:61" ht="1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38"/>
      <c r="Y184" s="11"/>
      <c r="Z184" s="11"/>
      <c r="AA184" s="11"/>
      <c r="AB184" s="38"/>
      <c r="AC184" s="38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</row>
    <row r="185" spans="1:61" ht="1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38"/>
      <c r="Y185" s="11"/>
      <c r="Z185" s="11"/>
      <c r="AA185" s="11"/>
      <c r="AB185" s="38"/>
      <c r="AC185" s="38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</row>
    <row r="186" spans="1:61" ht="1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38"/>
      <c r="Y186" s="11"/>
      <c r="Z186" s="11"/>
      <c r="AA186" s="11"/>
      <c r="AB186" s="38"/>
      <c r="AC186" s="38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</row>
    <row r="187" spans="1:61" ht="1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38"/>
      <c r="Y187" s="11"/>
      <c r="Z187" s="11"/>
      <c r="AA187" s="11"/>
      <c r="AB187" s="38"/>
      <c r="AC187" s="38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</row>
    <row r="188" spans="1:61" ht="1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38"/>
      <c r="Y188" s="11"/>
      <c r="Z188" s="11"/>
      <c r="AA188" s="11"/>
      <c r="AB188" s="38"/>
      <c r="AC188" s="38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</row>
    <row r="189" spans="1:61" ht="1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38"/>
      <c r="Y189" s="11"/>
      <c r="Z189" s="11"/>
      <c r="AA189" s="11"/>
      <c r="AB189" s="38"/>
      <c r="AC189" s="38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</row>
    <row r="190" spans="1:61" ht="1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38"/>
      <c r="Y190" s="11"/>
      <c r="Z190" s="11"/>
      <c r="AA190" s="11"/>
      <c r="AB190" s="38"/>
      <c r="AC190" s="38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</row>
    <row r="191" spans="1:61" ht="1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38"/>
      <c r="Y191" s="11"/>
      <c r="Z191" s="11"/>
      <c r="AA191" s="11"/>
      <c r="AB191" s="38"/>
      <c r="AC191" s="38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</row>
    <row r="192" spans="1:61" ht="1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38"/>
      <c r="Y192" s="11"/>
      <c r="Z192" s="11"/>
      <c r="AA192" s="11"/>
      <c r="AB192" s="38"/>
      <c r="AC192" s="38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</row>
    <row r="193" spans="1:61" ht="1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38"/>
      <c r="Y193" s="11"/>
      <c r="Z193" s="11"/>
      <c r="AA193" s="11"/>
      <c r="AB193" s="38"/>
      <c r="AC193" s="38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</row>
    <row r="194" spans="1:61" ht="1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38"/>
      <c r="Y194" s="11"/>
      <c r="Z194" s="11"/>
      <c r="AA194" s="11"/>
      <c r="AB194" s="38"/>
      <c r="AC194" s="38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</row>
    <row r="195" spans="1:61" ht="1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38"/>
      <c r="Y195" s="11"/>
      <c r="Z195" s="11"/>
      <c r="AA195" s="11"/>
      <c r="AB195" s="38"/>
      <c r="AC195" s="38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</row>
    <row r="196" spans="1:61" ht="1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38"/>
      <c r="Y196" s="11"/>
      <c r="Z196" s="11"/>
      <c r="AA196" s="11"/>
      <c r="AB196" s="38"/>
      <c r="AC196" s="38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</row>
    <row r="197" spans="1:61" ht="1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38"/>
      <c r="Y197" s="11"/>
      <c r="Z197" s="11"/>
      <c r="AA197" s="11"/>
      <c r="AB197" s="38"/>
      <c r="AC197" s="38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</row>
    <row r="198" spans="1:61" ht="1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38"/>
      <c r="Y198" s="11"/>
      <c r="Z198" s="11"/>
      <c r="AA198" s="11"/>
      <c r="AB198" s="38"/>
      <c r="AC198" s="38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</row>
    <row r="199" spans="1:61" ht="1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38"/>
      <c r="Y199" s="11"/>
      <c r="Z199" s="11"/>
      <c r="AA199" s="11"/>
      <c r="AB199" s="38"/>
      <c r="AC199" s="38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</row>
    <row r="200" spans="1:61" ht="1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38"/>
      <c r="Y200" s="11"/>
      <c r="Z200" s="11"/>
      <c r="AA200" s="11"/>
      <c r="AB200" s="38"/>
      <c r="AC200" s="38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</row>
    <row r="201" spans="1:61" ht="1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38"/>
      <c r="Y201" s="11"/>
      <c r="Z201" s="11"/>
      <c r="AA201" s="11"/>
      <c r="AB201" s="38"/>
      <c r="AC201" s="38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</row>
    <row r="202" spans="1:61" ht="1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38"/>
      <c r="Y202" s="11"/>
      <c r="Z202" s="11"/>
      <c r="AA202" s="11"/>
      <c r="AB202" s="38"/>
      <c r="AC202" s="38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</row>
    <row r="203" spans="1:61" ht="1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38"/>
      <c r="Y203" s="11"/>
      <c r="Z203" s="11"/>
      <c r="AA203" s="11"/>
      <c r="AB203" s="38"/>
      <c r="AC203" s="38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</row>
    <row r="204" spans="1:61" ht="1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38"/>
      <c r="Y204" s="11"/>
      <c r="Z204" s="11"/>
      <c r="AA204" s="11"/>
      <c r="AB204" s="38"/>
      <c r="AC204" s="38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</row>
    <row r="205" spans="1:61" ht="1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38"/>
      <c r="Y205" s="11"/>
      <c r="Z205" s="11"/>
      <c r="AA205" s="11"/>
      <c r="AB205" s="38"/>
      <c r="AC205" s="38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</row>
    <row r="206" spans="1:61" ht="1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38"/>
      <c r="Y206" s="11"/>
      <c r="Z206" s="11"/>
      <c r="AA206" s="11"/>
      <c r="AB206" s="38"/>
      <c r="AC206" s="38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</row>
    <row r="207" spans="1:61" ht="1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38"/>
      <c r="Y207" s="11"/>
      <c r="Z207" s="11"/>
      <c r="AA207" s="11"/>
      <c r="AB207" s="38"/>
      <c r="AC207" s="38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</row>
    <row r="208" spans="1:61" ht="1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38"/>
      <c r="Y208" s="11"/>
      <c r="Z208" s="11"/>
      <c r="AA208" s="11"/>
      <c r="AB208" s="38"/>
      <c r="AC208" s="38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</row>
    <row r="209" spans="1:61" ht="1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38"/>
      <c r="Y209" s="11"/>
      <c r="Z209" s="11"/>
      <c r="AA209" s="11"/>
      <c r="AB209" s="38"/>
      <c r="AC209" s="38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</row>
    <row r="210" spans="1:61" ht="1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38"/>
      <c r="Y210" s="11"/>
      <c r="Z210" s="11"/>
      <c r="AA210" s="11"/>
      <c r="AB210" s="38"/>
      <c r="AC210" s="38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</row>
    <row r="211" spans="1:61" ht="1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38"/>
      <c r="Y211" s="11"/>
      <c r="Z211" s="11"/>
      <c r="AA211" s="11"/>
      <c r="AB211" s="38"/>
      <c r="AC211" s="38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</row>
    <row r="212" spans="1:61" ht="1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38"/>
      <c r="Y212" s="11"/>
      <c r="Z212" s="11"/>
      <c r="AA212" s="11"/>
      <c r="AB212" s="38"/>
      <c r="AC212" s="38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</row>
    <row r="213" spans="1:61" ht="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38"/>
      <c r="Y213" s="11"/>
      <c r="Z213" s="11"/>
      <c r="AA213" s="11"/>
      <c r="AB213" s="38"/>
      <c r="AC213" s="38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</row>
    <row r="214" spans="1:61" ht="1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38"/>
      <c r="Y214" s="11"/>
      <c r="Z214" s="11"/>
      <c r="AA214" s="11"/>
      <c r="AB214" s="38"/>
      <c r="AC214" s="38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</row>
    <row r="215" spans="1:61" ht="1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38"/>
      <c r="Y215" s="11"/>
      <c r="Z215" s="11"/>
      <c r="AA215" s="11"/>
      <c r="AB215" s="38"/>
      <c r="AC215" s="38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</row>
    <row r="216" spans="1:61" ht="1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38"/>
      <c r="Y216" s="11"/>
      <c r="Z216" s="11"/>
      <c r="AA216" s="11"/>
      <c r="AB216" s="38"/>
      <c r="AC216" s="38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</row>
    <row r="217" spans="1:61" ht="1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38"/>
      <c r="Y217" s="11"/>
      <c r="Z217" s="11"/>
      <c r="AA217" s="11"/>
      <c r="AB217" s="38"/>
      <c r="AC217" s="38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</row>
    <row r="218" spans="1:61" ht="1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38"/>
      <c r="Y218" s="11"/>
      <c r="Z218" s="11"/>
      <c r="AA218" s="11"/>
      <c r="AB218" s="38"/>
      <c r="AC218" s="38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</row>
    <row r="219" spans="1:61" ht="1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38"/>
      <c r="Y219" s="11"/>
      <c r="Z219" s="11"/>
      <c r="AA219" s="11"/>
      <c r="AB219" s="38"/>
      <c r="AC219" s="38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</row>
    <row r="220" spans="1:61" ht="1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38"/>
      <c r="Y220" s="11"/>
      <c r="Z220" s="11"/>
      <c r="AA220" s="11"/>
      <c r="AB220" s="38"/>
      <c r="AC220" s="38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</row>
    <row r="221" spans="1:61" ht="1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38"/>
      <c r="Y221" s="11"/>
      <c r="Z221" s="11"/>
      <c r="AA221" s="11"/>
      <c r="AB221" s="38"/>
      <c r="AC221" s="38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</row>
    <row r="222" spans="1:61" ht="1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38"/>
      <c r="Y222" s="11"/>
      <c r="Z222" s="11"/>
      <c r="AA222" s="11"/>
      <c r="AB222" s="38"/>
      <c r="AC222" s="38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</row>
    <row r="223" spans="1:61" ht="1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38"/>
      <c r="Y223" s="11"/>
      <c r="Z223" s="11"/>
      <c r="AA223" s="11"/>
      <c r="AB223" s="38"/>
      <c r="AC223" s="38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</row>
    <row r="224" spans="1:61" ht="1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38"/>
      <c r="Y224" s="11"/>
      <c r="Z224" s="11"/>
      <c r="AA224" s="11"/>
      <c r="AB224" s="38"/>
      <c r="AC224" s="38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</row>
    <row r="225" spans="1:61" ht="1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38"/>
      <c r="Y225" s="11"/>
      <c r="Z225" s="11"/>
      <c r="AA225" s="11"/>
      <c r="AB225" s="38"/>
      <c r="AC225" s="38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</row>
    <row r="226" spans="1:61" ht="1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38"/>
      <c r="Y226" s="11"/>
      <c r="Z226" s="11"/>
      <c r="AA226" s="11"/>
      <c r="AB226" s="38"/>
      <c r="AC226" s="38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</row>
    <row r="227" spans="1:61" ht="1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38"/>
      <c r="Y227" s="11"/>
      <c r="Z227" s="11"/>
      <c r="AA227" s="11"/>
      <c r="AB227" s="38"/>
      <c r="AC227" s="38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</row>
    <row r="228" spans="1:61" ht="1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38"/>
      <c r="Y228" s="11"/>
      <c r="Z228" s="11"/>
      <c r="AA228" s="11"/>
      <c r="AB228" s="38"/>
      <c r="AC228" s="38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</row>
    <row r="229" spans="1:61" ht="1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38"/>
      <c r="Y229" s="11"/>
      <c r="Z229" s="11"/>
      <c r="AA229" s="11"/>
      <c r="AB229" s="38"/>
      <c r="AC229" s="38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</row>
    <row r="230" spans="1:61" ht="1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38"/>
      <c r="Y230" s="11"/>
      <c r="Z230" s="11"/>
      <c r="AA230" s="11"/>
      <c r="AB230" s="38"/>
      <c r="AC230" s="38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</row>
    <row r="231" spans="1:61" ht="1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38"/>
      <c r="Y231" s="11"/>
      <c r="Z231" s="11"/>
      <c r="AA231" s="11"/>
      <c r="AB231" s="38"/>
      <c r="AC231" s="38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</row>
    <row r="232" spans="1:61" ht="1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38"/>
      <c r="Y232" s="11"/>
      <c r="Z232" s="11"/>
      <c r="AA232" s="11"/>
      <c r="AB232" s="38"/>
      <c r="AC232" s="38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</row>
    <row r="233" spans="1:61" ht="1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38"/>
      <c r="Y233" s="11"/>
      <c r="Z233" s="11"/>
      <c r="AA233" s="11"/>
      <c r="AB233" s="38"/>
      <c r="AC233" s="38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</row>
    <row r="234" spans="1:61" ht="1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38"/>
      <c r="Y234" s="11"/>
      <c r="Z234" s="11"/>
      <c r="AA234" s="11"/>
      <c r="AB234" s="38"/>
      <c r="AC234" s="38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</row>
    <row r="235" spans="1:61" ht="1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38"/>
      <c r="Y235" s="11"/>
      <c r="Z235" s="11"/>
      <c r="AA235" s="11"/>
      <c r="AB235" s="38"/>
      <c r="AC235" s="38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</row>
    <row r="236" spans="1:61" ht="1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38"/>
      <c r="Y236" s="11"/>
      <c r="Z236" s="11"/>
      <c r="AA236" s="11"/>
      <c r="AB236" s="38"/>
      <c r="AC236" s="38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</row>
    <row r="237" spans="1:61" ht="1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38"/>
      <c r="Y237" s="11"/>
      <c r="Z237" s="11"/>
      <c r="AA237" s="11"/>
      <c r="AB237" s="38"/>
      <c r="AC237" s="38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</row>
    <row r="238" spans="1:61" ht="1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38"/>
      <c r="Y238" s="11"/>
      <c r="Z238" s="11"/>
      <c r="AA238" s="11"/>
      <c r="AB238" s="38"/>
      <c r="AC238" s="38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</row>
    <row r="239" spans="1:61" ht="1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38"/>
      <c r="Y239" s="11"/>
      <c r="Z239" s="11"/>
      <c r="AA239" s="11"/>
      <c r="AB239" s="38"/>
      <c r="AC239" s="38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</row>
    <row r="240" spans="1:61" ht="1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38"/>
      <c r="Y240" s="11"/>
      <c r="Z240" s="11"/>
      <c r="AA240" s="11"/>
      <c r="AB240" s="38"/>
      <c r="AC240" s="38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</row>
    <row r="241" spans="1:61" ht="1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38"/>
      <c r="Y241" s="11"/>
      <c r="Z241" s="11"/>
      <c r="AA241" s="11"/>
      <c r="AB241" s="38"/>
      <c r="AC241" s="38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</row>
    <row r="242" spans="1:61" ht="1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38"/>
      <c r="Y242" s="11"/>
      <c r="Z242" s="11"/>
      <c r="AA242" s="11"/>
      <c r="AB242" s="38"/>
      <c r="AC242" s="38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</row>
    <row r="243" spans="1:61" ht="1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38"/>
      <c r="Y243" s="11"/>
      <c r="Z243" s="11"/>
      <c r="AA243" s="11"/>
      <c r="AB243" s="38"/>
      <c r="AC243" s="38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</row>
    <row r="244" spans="1:61" ht="1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38"/>
      <c r="Y244" s="11"/>
      <c r="Z244" s="11"/>
      <c r="AA244" s="11"/>
      <c r="AB244" s="38"/>
      <c r="AC244" s="38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</row>
    <row r="245" spans="1:61" ht="1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38"/>
      <c r="Y245" s="11"/>
      <c r="Z245" s="11"/>
      <c r="AA245" s="11"/>
      <c r="AB245" s="38"/>
      <c r="AC245" s="38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</row>
    <row r="246" spans="1:61" ht="1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38"/>
      <c r="Y246" s="11"/>
      <c r="Z246" s="11"/>
      <c r="AA246" s="11"/>
      <c r="AB246" s="38"/>
      <c r="AC246" s="38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</row>
    <row r="247" spans="1:61" ht="1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38"/>
      <c r="Y247" s="11"/>
      <c r="Z247" s="11"/>
      <c r="AA247" s="11"/>
      <c r="AB247" s="38"/>
      <c r="AC247" s="38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</row>
    <row r="248" spans="1:61" ht="1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38"/>
      <c r="Y248" s="11"/>
      <c r="Z248" s="11"/>
      <c r="AA248" s="11"/>
      <c r="AB248" s="38"/>
      <c r="AC248" s="38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</row>
    <row r="249" spans="1:61" ht="1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38"/>
      <c r="Y249" s="11"/>
      <c r="Z249" s="11"/>
      <c r="AA249" s="11"/>
      <c r="AB249" s="38"/>
      <c r="AC249" s="38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</row>
    <row r="250" spans="1:61" ht="1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38"/>
      <c r="Y250" s="11"/>
      <c r="Z250" s="11"/>
      <c r="AA250" s="11"/>
      <c r="AB250" s="38"/>
      <c r="AC250" s="38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</row>
    <row r="251" spans="1:61" ht="1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38"/>
      <c r="Y251" s="11"/>
      <c r="Z251" s="11"/>
      <c r="AA251" s="11"/>
      <c r="AB251" s="38"/>
      <c r="AC251" s="38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</row>
    <row r="252" spans="1:61" ht="1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38"/>
      <c r="Y252" s="11"/>
      <c r="Z252" s="11"/>
      <c r="AA252" s="11"/>
      <c r="AB252" s="38"/>
      <c r="AC252" s="38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</row>
    <row r="253" spans="1:61" ht="1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38"/>
      <c r="Y253" s="11"/>
      <c r="Z253" s="11"/>
      <c r="AA253" s="11"/>
      <c r="AB253" s="38"/>
      <c r="AC253" s="38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</row>
    <row r="254" spans="1:61" ht="1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38"/>
      <c r="Y254" s="11"/>
      <c r="Z254" s="11"/>
      <c r="AA254" s="11"/>
      <c r="AB254" s="38"/>
      <c r="AC254" s="38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</row>
    <row r="255" spans="1:61" ht="1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38"/>
      <c r="Y255" s="11"/>
      <c r="Z255" s="11"/>
      <c r="AA255" s="11"/>
      <c r="AB255" s="38"/>
      <c r="AC255" s="38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</row>
    <row r="256" spans="1:61" ht="1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38"/>
      <c r="Y256" s="11"/>
      <c r="Z256" s="11"/>
      <c r="AA256" s="11"/>
      <c r="AB256" s="38"/>
      <c r="AC256" s="38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</row>
    <row r="257" spans="1:61" ht="1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38"/>
      <c r="Y257" s="11"/>
      <c r="Z257" s="11"/>
      <c r="AA257" s="11"/>
      <c r="AB257" s="38"/>
      <c r="AC257" s="38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</row>
    <row r="258" spans="1:61" ht="1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38"/>
      <c r="Y258" s="11"/>
      <c r="Z258" s="11"/>
      <c r="AA258" s="11"/>
      <c r="AB258" s="38"/>
      <c r="AC258" s="38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</row>
    <row r="259" spans="1:61" ht="1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38"/>
      <c r="Y259" s="11"/>
      <c r="Z259" s="11"/>
      <c r="AA259" s="11"/>
      <c r="AB259" s="38"/>
      <c r="AC259" s="38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</row>
    <row r="260" spans="1:61" ht="1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38"/>
      <c r="Y260" s="11"/>
      <c r="Z260" s="11"/>
      <c r="AA260" s="11"/>
      <c r="AB260" s="38"/>
      <c r="AC260" s="38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</row>
    <row r="261" spans="1:61" ht="1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38"/>
      <c r="Y261" s="11"/>
      <c r="Z261" s="11"/>
      <c r="AA261" s="11"/>
      <c r="AB261" s="38"/>
      <c r="AC261" s="38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</row>
    <row r="262" spans="1:61" ht="1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38"/>
      <c r="Y262" s="11"/>
      <c r="Z262" s="11"/>
      <c r="AA262" s="11"/>
      <c r="AB262" s="38"/>
      <c r="AC262" s="38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</row>
    <row r="263" spans="1:61" ht="1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38"/>
      <c r="Y263" s="11"/>
      <c r="Z263" s="11"/>
      <c r="AA263" s="11"/>
      <c r="AB263" s="38"/>
      <c r="AC263" s="38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</row>
    <row r="264" spans="1:61" ht="1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38"/>
      <c r="Y264" s="11"/>
      <c r="Z264" s="11"/>
      <c r="AA264" s="11"/>
      <c r="AB264" s="38"/>
      <c r="AC264" s="38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</row>
    <row r="265" spans="1:61" ht="1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38"/>
      <c r="Y265" s="11"/>
      <c r="Z265" s="11"/>
      <c r="AA265" s="11"/>
      <c r="AB265" s="38"/>
      <c r="AC265" s="38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</row>
    <row r="266" spans="1:61" ht="1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38"/>
      <c r="Y266" s="11"/>
      <c r="Z266" s="11"/>
      <c r="AA266" s="11"/>
      <c r="AB266" s="38"/>
      <c r="AC266" s="38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</row>
    <row r="267" spans="1:61" ht="1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38"/>
      <c r="Y267" s="11"/>
      <c r="Z267" s="11"/>
      <c r="AA267" s="11"/>
      <c r="AB267" s="38"/>
      <c r="AC267" s="38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</row>
    <row r="268" spans="1:61" ht="1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38"/>
      <c r="Y268" s="11"/>
      <c r="Z268" s="11"/>
      <c r="AA268" s="11"/>
      <c r="AB268" s="38"/>
      <c r="AC268" s="38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</row>
    <row r="269" spans="1:61" ht="1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38"/>
      <c r="Y269" s="11"/>
      <c r="Z269" s="11"/>
      <c r="AA269" s="11"/>
      <c r="AB269" s="38"/>
      <c r="AC269" s="38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</row>
    <row r="270" spans="1:61" ht="1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38"/>
      <c r="Y270" s="11"/>
      <c r="Z270" s="11"/>
      <c r="AA270" s="11"/>
      <c r="AB270" s="38"/>
      <c r="AC270" s="38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</row>
    <row r="271" spans="1:61" ht="1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38"/>
      <c r="Y271" s="11"/>
      <c r="Z271" s="11"/>
      <c r="AA271" s="11"/>
      <c r="AB271" s="38"/>
      <c r="AC271" s="38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</row>
    <row r="272" spans="1:61" ht="1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38"/>
      <c r="Y272" s="11"/>
      <c r="Z272" s="11"/>
      <c r="AA272" s="11"/>
      <c r="AB272" s="38"/>
      <c r="AC272" s="38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</row>
    <row r="273" spans="1:61" ht="1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38"/>
      <c r="Y273" s="11"/>
      <c r="Z273" s="11"/>
      <c r="AA273" s="11"/>
      <c r="AB273" s="38"/>
      <c r="AC273" s="38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</row>
    <row r="274" spans="1:61" ht="1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38"/>
      <c r="Y274" s="11"/>
      <c r="Z274" s="11"/>
      <c r="AA274" s="11"/>
      <c r="AB274" s="38"/>
      <c r="AC274" s="38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</row>
    <row r="275" spans="1:61" ht="1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38"/>
      <c r="Y275" s="11"/>
      <c r="Z275" s="11"/>
      <c r="AA275" s="11"/>
      <c r="AB275" s="38"/>
      <c r="AC275" s="38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</row>
    <row r="276" spans="1:61" ht="1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38"/>
      <c r="Y276" s="11"/>
      <c r="Z276" s="11"/>
      <c r="AA276" s="11"/>
      <c r="AB276" s="38"/>
      <c r="AC276" s="38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</row>
    <row r="277" spans="1:61" ht="1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38"/>
      <c r="Y277" s="11"/>
      <c r="Z277" s="11"/>
      <c r="AA277" s="11"/>
      <c r="AB277" s="38"/>
      <c r="AC277" s="38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</row>
    <row r="278" spans="1:61" ht="1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38"/>
      <c r="Y278" s="11"/>
      <c r="Z278" s="11"/>
      <c r="AA278" s="11"/>
      <c r="AB278" s="38"/>
      <c r="AC278" s="38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</row>
    <row r="279" spans="1:61" ht="1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38"/>
      <c r="Y279" s="11"/>
      <c r="Z279" s="11"/>
      <c r="AA279" s="11"/>
      <c r="AB279" s="38"/>
      <c r="AC279" s="38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</row>
    <row r="280" spans="1:61" ht="1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38"/>
      <c r="Y280" s="11"/>
      <c r="Z280" s="11"/>
      <c r="AA280" s="11"/>
      <c r="AB280" s="38"/>
      <c r="AC280" s="38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</row>
    <row r="281" spans="1:61" ht="1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38"/>
      <c r="Y281" s="11"/>
      <c r="Z281" s="11"/>
      <c r="AA281" s="11"/>
      <c r="AB281" s="38"/>
      <c r="AC281" s="38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</row>
    <row r="282" spans="1:61" ht="1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38"/>
      <c r="Y282" s="11"/>
      <c r="Z282" s="11"/>
      <c r="AA282" s="11"/>
      <c r="AB282" s="38"/>
      <c r="AC282" s="38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</row>
    <row r="283" spans="1:61" ht="1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38"/>
      <c r="Y283" s="11"/>
      <c r="Z283" s="11"/>
      <c r="AA283" s="11"/>
      <c r="AB283" s="38"/>
      <c r="AC283" s="38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</row>
    <row r="284" spans="1:61" ht="1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38"/>
      <c r="Y284" s="11"/>
      <c r="Z284" s="11"/>
      <c r="AA284" s="11"/>
      <c r="AB284" s="38"/>
      <c r="AC284" s="38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</row>
    <row r="285" spans="1:61" ht="1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38"/>
      <c r="Y285" s="11"/>
      <c r="Z285" s="11"/>
      <c r="AA285" s="11"/>
      <c r="AB285" s="38"/>
      <c r="AC285" s="38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</row>
    <row r="286" spans="1:61" ht="1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38"/>
      <c r="Y286" s="11"/>
      <c r="Z286" s="11"/>
      <c r="AA286" s="11"/>
      <c r="AB286" s="38"/>
      <c r="AC286" s="38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</row>
    <row r="287" spans="1:61" ht="1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38"/>
      <c r="Y287" s="11"/>
      <c r="Z287" s="11"/>
      <c r="AA287" s="11"/>
      <c r="AB287" s="38"/>
      <c r="AC287" s="38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</row>
    <row r="288" spans="1:61" ht="1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38"/>
      <c r="Y288" s="11"/>
      <c r="Z288" s="11"/>
      <c r="AA288" s="11"/>
      <c r="AB288" s="38"/>
      <c r="AC288" s="38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</row>
    <row r="289" spans="1:61" ht="1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38"/>
      <c r="Y289" s="11"/>
      <c r="Z289" s="11"/>
      <c r="AA289" s="11"/>
      <c r="AB289" s="38"/>
      <c r="AC289" s="38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</row>
    <row r="290" spans="1:61" ht="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38"/>
      <c r="Y290" s="11"/>
      <c r="Z290" s="11"/>
      <c r="AA290" s="11"/>
      <c r="AB290" s="38"/>
      <c r="AC290" s="38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</row>
    <row r="291" spans="1:61" ht="1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38"/>
      <c r="Y291" s="11"/>
      <c r="Z291" s="11"/>
      <c r="AA291" s="11"/>
      <c r="AB291" s="38"/>
      <c r="AC291" s="38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</row>
    <row r="292" spans="1:61" ht="1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38"/>
      <c r="Y292" s="11"/>
      <c r="Z292" s="11"/>
      <c r="AA292" s="11"/>
      <c r="AB292" s="38"/>
      <c r="AC292" s="38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</row>
    <row r="293" spans="1:61" ht="1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38"/>
      <c r="Y293" s="11"/>
      <c r="Z293" s="11"/>
      <c r="AA293" s="11"/>
      <c r="AB293" s="38"/>
      <c r="AC293" s="38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</row>
    <row r="294" spans="1:61" ht="1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38"/>
      <c r="Y294" s="11"/>
      <c r="Z294" s="11"/>
      <c r="AA294" s="11"/>
      <c r="AB294" s="38"/>
      <c r="AC294" s="38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</row>
    <row r="295" spans="1:61" ht="1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38"/>
      <c r="Y295" s="11"/>
      <c r="Z295" s="11"/>
      <c r="AA295" s="11"/>
      <c r="AB295" s="38"/>
      <c r="AC295" s="38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</row>
    <row r="296" spans="1:61" ht="1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38"/>
      <c r="Y296" s="11"/>
      <c r="Z296" s="11"/>
      <c r="AA296" s="11"/>
      <c r="AB296" s="38"/>
      <c r="AC296" s="38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</row>
    <row r="297" spans="1:61" ht="1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38"/>
      <c r="Y297" s="11"/>
      <c r="Z297" s="11"/>
      <c r="AA297" s="11"/>
      <c r="AB297" s="38"/>
      <c r="AC297" s="38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</row>
    <row r="298" spans="1:61" ht="1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38"/>
      <c r="Y298" s="11"/>
      <c r="Z298" s="11"/>
      <c r="AA298" s="11"/>
      <c r="AB298" s="38"/>
      <c r="AC298" s="38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</row>
    <row r="299" spans="1:61" ht="1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38"/>
      <c r="Y299" s="11"/>
      <c r="Z299" s="11"/>
      <c r="AA299" s="11"/>
      <c r="AB299" s="38"/>
      <c r="AC299" s="38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</row>
    <row r="300" spans="1:61" ht="1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38"/>
      <c r="Y300" s="11"/>
      <c r="Z300" s="11"/>
      <c r="AA300" s="11"/>
      <c r="AB300" s="38"/>
      <c r="AC300" s="38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</row>
    <row r="301" spans="1:61" ht="1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38"/>
      <c r="Y301" s="11"/>
      <c r="Z301" s="11"/>
      <c r="AA301" s="11"/>
      <c r="AB301" s="38"/>
      <c r="AC301" s="38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</row>
    <row r="302" spans="1:61" ht="1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38"/>
      <c r="Y302" s="11"/>
      <c r="Z302" s="11"/>
      <c r="AA302" s="11"/>
      <c r="AB302" s="38"/>
      <c r="AC302" s="38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</row>
    <row r="303" spans="1:61" ht="1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38"/>
      <c r="Y303" s="11"/>
      <c r="Z303" s="11"/>
      <c r="AA303" s="11"/>
      <c r="AB303" s="38"/>
      <c r="AC303" s="38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</row>
    <row r="304" spans="1:61" ht="1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38"/>
      <c r="Y304" s="11"/>
      <c r="Z304" s="11"/>
      <c r="AA304" s="11"/>
      <c r="AB304" s="38"/>
      <c r="AC304" s="38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</row>
    <row r="305" spans="1:61" ht="1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38"/>
      <c r="Y305" s="11"/>
      <c r="Z305" s="11"/>
      <c r="AA305" s="11"/>
      <c r="AB305" s="38"/>
      <c r="AC305" s="38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</row>
    <row r="306" spans="1:61" ht="1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38"/>
      <c r="Y306" s="11"/>
      <c r="Z306" s="11"/>
      <c r="AA306" s="11"/>
      <c r="AB306" s="38"/>
      <c r="AC306" s="38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</row>
    <row r="307" spans="1:61" ht="1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38"/>
      <c r="Y307" s="11"/>
      <c r="Z307" s="11"/>
      <c r="AA307" s="11"/>
      <c r="AB307" s="38"/>
      <c r="AC307" s="38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</row>
    <row r="308" spans="1:61" ht="1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38"/>
      <c r="Y308" s="11"/>
      <c r="Z308" s="11"/>
      <c r="AA308" s="11"/>
      <c r="AB308" s="38"/>
      <c r="AC308" s="38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</row>
    <row r="309" spans="1:61" ht="1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38"/>
      <c r="Y309" s="11"/>
      <c r="Z309" s="11"/>
      <c r="AA309" s="11"/>
      <c r="AB309" s="38"/>
      <c r="AC309" s="38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</row>
    <row r="310" spans="1:61" ht="1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38"/>
      <c r="Y310" s="11"/>
      <c r="Z310" s="11"/>
      <c r="AA310" s="11"/>
      <c r="AB310" s="38"/>
      <c r="AC310" s="38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</row>
    <row r="311" spans="1:61" ht="1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38"/>
      <c r="Y311" s="11"/>
      <c r="Z311" s="11"/>
      <c r="AA311" s="11"/>
      <c r="AB311" s="38"/>
      <c r="AC311" s="38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</row>
    <row r="312" spans="1:61" ht="1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38"/>
      <c r="Y312" s="11"/>
      <c r="Z312" s="11"/>
      <c r="AA312" s="11"/>
      <c r="AB312" s="38"/>
      <c r="AC312" s="38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</row>
    <row r="313" spans="1:61" ht="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38"/>
      <c r="Y313" s="11"/>
      <c r="Z313" s="11"/>
      <c r="AA313" s="11"/>
      <c r="AB313" s="38"/>
      <c r="AC313" s="38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</row>
    <row r="314" spans="1:61" ht="1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38"/>
      <c r="Y314" s="11"/>
      <c r="Z314" s="11"/>
      <c r="AA314" s="11"/>
      <c r="AB314" s="38"/>
      <c r="AC314" s="38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</row>
    <row r="315" spans="1:61" ht="1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38"/>
      <c r="Y315" s="11"/>
      <c r="Z315" s="11"/>
      <c r="AA315" s="11"/>
      <c r="AB315" s="38"/>
      <c r="AC315" s="38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</row>
    <row r="316" spans="1:61" ht="1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38"/>
      <c r="Y316" s="11"/>
      <c r="Z316" s="11"/>
      <c r="AA316" s="11"/>
      <c r="AB316" s="38"/>
      <c r="AC316" s="38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</row>
    <row r="317" spans="1:61" ht="1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38"/>
      <c r="Y317" s="11"/>
      <c r="Z317" s="11"/>
      <c r="AA317" s="11"/>
      <c r="AB317" s="38"/>
      <c r="AC317" s="38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</row>
    <row r="318" spans="1:61" ht="1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38"/>
      <c r="Y318" s="11"/>
      <c r="Z318" s="11"/>
      <c r="AA318" s="11"/>
      <c r="AB318" s="38"/>
      <c r="AC318" s="38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</row>
    <row r="319" spans="1:61" ht="1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38"/>
      <c r="Y319" s="11"/>
      <c r="Z319" s="11"/>
      <c r="AA319" s="11"/>
      <c r="AB319" s="38"/>
      <c r="AC319" s="38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</row>
    <row r="320" spans="1:61" ht="1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38"/>
      <c r="Y320" s="11"/>
      <c r="Z320" s="11"/>
      <c r="AA320" s="11"/>
      <c r="AB320" s="38"/>
      <c r="AC320" s="38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</row>
    <row r="321" spans="1:61" ht="1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38"/>
      <c r="Y321" s="11"/>
      <c r="Z321" s="11"/>
      <c r="AA321" s="11"/>
      <c r="AB321" s="38"/>
      <c r="AC321" s="38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</row>
    <row r="322" spans="1:61" ht="1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38"/>
      <c r="Y322" s="11"/>
      <c r="Z322" s="11"/>
      <c r="AA322" s="11"/>
      <c r="AB322" s="38"/>
      <c r="AC322" s="38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</row>
    <row r="323" spans="1:61" ht="1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38"/>
      <c r="Y323" s="11"/>
      <c r="Z323" s="11"/>
      <c r="AA323" s="11"/>
      <c r="AB323" s="38"/>
      <c r="AC323" s="38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</row>
    <row r="324" spans="1:61" ht="1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38"/>
      <c r="Y324" s="11"/>
      <c r="Z324" s="11"/>
      <c r="AA324" s="11"/>
      <c r="AB324" s="38"/>
      <c r="AC324" s="38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</row>
    <row r="325" spans="1:61" ht="1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38"/>
      <c r="Y325" s="11"/>
      <c r="Z325" s="11"/>
      <c r="AA325" s="11"/>
      <c r="AB325" s="38"/>
      <c r="AC325" s="38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</row>
    <row r="326" spans="1:61" ht="1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38"/>
      <c r="Y326" s="11"/>
      <c r="Z326" s="11"/>
      <c r="AA326" s="11"/>
      <c r="AB326" s="38"/>
      <c r="AC326" s="38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</row>
    <row r="327" spans="1:61" ht="1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38"/>
      <c r="Y327" s="11"/>
      <c r="Z327" s="11"/>
      <c r="AA327" s="11"/>
      <c r="AB327" s="38"/>
      <c r="AC327" s="38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</row>
    <row r="328" spans="1:61" ht="1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38"/>
      <c r="Y328" s="11"/>
      <c r="Z328" s="11"/>
      <c r="AA328" s="11"/>
      <c r="AB328" s="38"/>
      <c r="AC328" s="38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</row>
    <row r="329" spans="1:61" ht="1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38"/>
      <c r="Y329" s="11"/>
      <c r="Z329" s="11"/>
      <c r="AA329" s="11"/>
      <c r="AB329" s="38"/>
      <c r="AC329" s="38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</row>
    <row r="330" spans="1:61" ht="1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38"/>
      <c r="Y330" s="11"/>
      <c r="Z330" s="11"/>
      <c r="AA330" s="11"/>
      <c r="AB330" s="38"/>
      <c r="AC330" s="38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</row>
    <row r="331" spans="1:61" ht="1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38"/>
      <c r="Y331" s="11"/>
      <c r="Z331" s="11"/>
      <c r="AA331" s="11"/>
      <c r="AB331" s="38"/>
      <c r="AC331" s="38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</row>
    <row r="332" spans="1:61" ht="1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38"/>
      <c r="Y332" s="11"/>
      <c r="Z332" s="11"/>
      <c r="AA332" s="11"/>
      <c r="AB332" s="38"/>
      <c r="AC332" s="38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</row>
    <row r="333" spans="1:61" ht="1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38"/>
      <c r="Y333" s="11"/>
      <c r="Z333" s="11"/>
      <c r="AA333" s="11"/>
      <c r="AB333" s="38"/>
      <c r="AC333" s="38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</row>
    <row r="334" spans="1:61" ht="1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38"/>
      <c r="Y334" s="11"/>
      <c r="Z334" s="11"/>
      <c r="AA334" s="11"/>
      <c r="AB334" s="38"/>
      <c r="AC334" s="38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</row>
    <row r="335" spans="1:61" ht="1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38"/>
      <c r="Y335" s="11"/>
      <c r="Z335" s="11"/>
      <c r="AA335" s="11"/>
      <c r="AB335" s="38"/>
      <c r="AC335" s="38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</row>
    <row r="336" spans="1:61" ht="1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38"/>
      <c r="Y336" s="11"/>
      <c r="Z336" s="11"/>
      <c r="AA336" s="11"/>
      <c r="AB336" s="38"/>
      <c r="AC336" s="38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</row>
    <row r="337" spans="1:61" ht="1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38"/>
      <c r="Y337" s="11"/>
      <c r="Z337" s="11"/>
      <c r="AA337" s="11"/>
      <c r="AB337" s="38"/>
      <c r="AC337" s="38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</row>
    <row r="338" spans="1:61" ht="1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38"/>
      <c r="Y338" s="11"/>
      <c r="Z338" s="11"/>
      <c r="AA338" s="11"/>
      <c r="AB338" s="38"/>
      <c r="AC338" s="38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</row>
    <row r="339" spans="1:61" ht="1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38"/>
      <c r="Y339" s="11"/>
      <c r="Z339" s="11"/>
      <c r="AA339" s="11"/>
      <c r="AB339" s="38"/>
      <c r="AC339" s="38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</row>
    <row r="340" spans="1:61" ht="1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38"/>
      <c r="Y340" s="11"/>
      <c r="Z340" s="11"/>
      <c r="AA340" s="11"/>
      <c r="AB340" s="38"/>
      <c r="AC340" s="38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</row>
    <row r="341" spans="1:61" ht="1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38"/>
      <c r="Y341" s="11"/>
      <c r="Z341" s="11"/>
      <c r="AA341" s="11"/>
      <c r="AB341" s="38"/>
      <c r="AC341" s="38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</row>
    <row r="342" spans="1:61" ht="1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38"/>
      <c r="Y342" s="11"/>
      <c r="Z342" s="11"/>
      <c r="AA342" s="11"/>
      <c r="AB342" s="38"/>
      <c r="AC342" s="38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</row>
    <row r="343" spans="1:61" ht="1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38"/>
      <c r="Y343" s="11"/>
      <c r="Z343" s="11"/>
      <c r="AA343" s="11"/>
      <c r="AB343" s="38"/>
      <c r="AC343" s="38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</row>
    <row r="344" spans="1:61" ht="1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38"/>
      <c r="Y344" s="11"/>
      <c r="Z344" s="11"/>
      <c r="AA344" s="11"/>
      <c r="AB344" s="38"/>
      <c r="AC344" s="38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</row>
    <row r="345" spans="1:61" ht="1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38"/>
      <c r="Y345" s="11"/>
      <c r="Z345" s="11"/>
      <c r="AA345" s="11"/>
      <c r="AB345" s="38"/>
      <c r="AC345" s="38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</row>
    <row r="346" spans="1:61" ht="1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38"/>
      <c r="Y346" s="11"/>
      <c r="Z346" s="11"/>
      <c r="AA346" s="11"/>
      <c r="AB346" s="38"/>
      <c r="AC346" s="38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</row>
    <row r="347" spans="1:61" ht="1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38"/>
      <c r="Y347" s="11"/>
      <c r="Z347" s="11"/>
      <c r="AA347" s="11"/>
      <c r="AB347" s="38"/>
      <c r="AC347" s="38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</row>
    <row r="348" spans="1:61" ht="1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38"/>
      <c r="Y348" s="11"/>
      <c r="Z348" s="11"/>
      <c r="AA348" s="11"/>
      <c r="AB348" s="38"/>
      <c r="AC348" s="38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</row>
    <row r="349" spans="1:61" ht="1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38"/>
      <c r="Y349" s="11"/>
      <c r="Z349" s="11"/>
      <c r="AA349" s="11"/>
      <c r="AB349" s="38"/>
      <c r="AC349" s="38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</row>
    <row r="350" spans="1:61" ht="1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38"/>
      <c r="Y350" s="11"/>
      <c r="Z350" s="11"/>
      <c r="AA350" s="11"/>
      <c r="AB350" s="38"/>
      <c r="AC350" s="38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</row>
    <row r="351" spans="1:61" ht="1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38"/>
      <c r="Y351" s="11"/>
      <c r="Z351" s="11"/>
      <c r="AA351" s="11"/>
      <c r="AB351" s="38"/>
      <c r="AC351" s="38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</row>
    <row r="352" spans="1:61" ht="1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38"/>
      <c r="Y352" s="11"/>
      <c r="Z352" s="11"/>
      <c r="AA352" s="11"/>
      <c r="AB352" s="38"/>
      <c r="AC352" s="38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</row>
    <row r="353" spans="1:61" ht="1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38"/>
      <c r="Y353" s="11"/>
      <c r="Z353" s="11"/>
      <c r="AA353" s="11"/>
      <c r="AB353" s="38"/>
      <c r="AC353" s="38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</row>
    <row r="354" spans="1:61" ht="1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38"/>
      <c r="Y354" s="11"/>
      <c r="Z354" s="11"/>
      <c r="AA354" s="11"/>
      <c r="AB354" s="38"/>
      <c r="AC354" s="38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</row>
    <row r="355" spans="1:61" ht="1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38"/>
      <c r="Y355" s="11"/>
      <c r="Z355" s="11"/>
      <c r="AA355" s="11"/>
      <c r="AB355" s="38"/>
      <c r="AC355" s="38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</row>
    <row r="356" spans="1:61" ht="1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38"/>
      <c r="Y356" s="11"/>
      <c r="Z356" s="11"/>
      <c r="AA356" s="11"/>
      <c r="AB356" s="38"/>
      <c r="AC356" s="38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</row>
    <row r="357" spans="1:61" ht="1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38"/>
      <c r="Y357" s="11"/>
      <c r="Z357" s="11"/>
      <c r="AA357" s="11"/>
      <c r="AB357" s="38"/>
      <c r="AC357" s="38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</row>
    <row r="358" spans="1:61" ht="1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38"/>
      <c r="Y358" s="11"/>
      <c r="Z358" s="11"/>
      <c r="AA358" s="11"/>
      <c r="AB358" s="38"/>
      <c r="AC358" s="38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</row>
    <row r="359" spans="1:61" ht="1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38"/>
      <c r="Y359" s="11"/>
      <c r="Z359" s="11"/>
      <c r="AA359" s="11"/>
      <c r="AB359" s="38"/>
      <c r="AC359" s="38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</row>
    <row r="360" spans="1:61" ht="1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38"/>
      <c r="Y360" s="11"/>
      <c r="Z360" s="11"/>
      <c r="AA360" s="11"/>
      <c r="AB360" s="38"/>
      <c r="AC360" s="38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</row>
    <row r="361" spans="1:61" ht="1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38"/>
      <c r="Y361" s="11"/>
      <c r="Z361" s="11"/>
      <c r="AA361" s="11"/>
      <c r="AB361" s="38"/>
      <c r="AC361" s="38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</row>
    <row r="362" spans="1:61" ht="1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38"/>
      <c r="Y362" s="11"/>
      <c r="Z362" s="11"/>
      <c r="AA362" s="11"/>
      <c r="AB362" s="38"/>
      <c r="AC362" s="38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</row>
    <row r="363" spans="1:61" ht="1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38"/>
      <c r="Y363" s="11"/>
      <c r="Z363" s="11"/>
      <c r="AA363" s="11"/>
      <c r="AB363" s="38"/>
      <c r="AC363" s="38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</row>
    <row r="364" spans="1:61" ht="1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38"/>
      <c r="Y364" s="11"/>
      <c r="Z364" s="11"/>
      <c r="AA364" s="11"/>
      <c r="AB364" s="38"/>
      <c r="AC364" s="38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</row>
    <row r="365" spans="1:61" ht="1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38"/>
      <c r="Y365" s="11"/>
      <c r="Z365" s="11"/>
      <c r="AA365" s="11"/>
      <c r="AB365" s="38"/>
      <c r="AC365" s="38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</row>
    <row r="366" spans="1:61" ht="1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38"/>
      <c r="Y366" s="11"/>
      <c r="Z366" s="11"/>
      <c r="AA366" s="11"/>
      <c r="AB366" s="38"/>
      <c r="AC366" s="38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</row>
    <row r="367" spans="1:61" ht="1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38"/>
      <c r="Y367" s="11"/>
      <c r="Z367" s="11"/>
      <c r="AA367" s="11"/>
      <c r="AB367" s="38"/>
      <c r="AC367" s="38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</row>
    <row r="368" spans="1:61" ht="1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38"/>
      <c r="Y368" s="11"/>
      <c r="Z368" s="11"/>
      <c r="AA368" s="11"/>
      <c r="AB368" s="38"/>
      <c r="AC368" s="38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</row>
    <row r="369" spans="1:61" ht="1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38"/>
      <c r="Y369" s="11"/>
      <c r="Z369" s="11"/>
      <c r="AA369" s="11"/>
      <c r="AB369" s="38"/>
      <c r="AC369" s="38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</row>
    <row r="370" spans="1:61" ht="1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38"/>
      <c r="Y370" s="11"/>
      <c r="Z370" s="11"/>
      <c r="AA370" s="11"/>
      <c r="AB370" s="38"/>
      <c r="AC370" s="38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</row>
    <row r="371" spans="1:61" ht="1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38"/>
      <c r="Y371" s="11"/>
      <c r="Z371" s="11"/>
      <c r="AA371" s="11"/>
      <c r="AB371" s="38"/>
      <c r="AC371" s="38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</row>
    <row r="372" spans="1:61" ht="1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38"/>
      <c r="Y372" s="11"/>
      <c r="Z372" s="11"/>
      <c r="AA372" s="11"/>
      <c r="AB372" s="38"/>
      <c r="AC372" s="38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</row>
    <row r="373" spans="1:61" ht="1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38"/>
      <c r="Y373" s="11"/>
      <c r="Z373" s="11"/>
      <c r="AA373" s="11"/>
      <c r="AB373" s="38"/>
      <c r="AC373" s="38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</row>
    <row r="374" spans="1:61" ht="1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38"/>
      <c r="Y374" s="11"/>
      <c r="Z374" s="11"/>
      <c r="AA374" s="11"/>
      <c r="AB374" s="38"/>
      <c r="AC374" s="38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</row>
    <row r="375" spans="1:61" ht="1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38"/>
      <c r="Y375" s="11"/>
      <c r="Z375" s="11"/>
      <c r="AA375" s="11"/>
      <c r="AB375" s="38"/>
      <c r="AC375" s="38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</row>
    <row r="376" spans="1:61" ht="1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38"/>
      <c r="Y376" s="11"/>
      <c r="Z376" s="11"/>
      <c r="AA376" s="11"/>
      <c r="AB376" s="38"/>
      <c r="AC376" s="38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</row>
    <row r="377" spans="1:61" ht="1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38"/>
      <c r="Y377" s="11"/>
      <c r="Z377" s="11"/>
      <c r="AA377" s="11"/>
      <c r="AB377" s="38"/>
      <c r="AC377" s="38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</row>
    <row r="378" spans="1:61" ht="1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38"/>
      <c r="Y378" s="11"/>
      <c r="Z378" s="11"/>
      <c r="AA378" s="11"/>
      <c r="AB378" s="38"/>
      <c r="AC378" s="38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</row>
    <row r="379" spans="1:61" ht="1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38"/>
      <c r="Y379" s="11"/>
      <c r="Z379" s="11"/>
      <c r="AA379" s="11"/>
      <c r="AB379" s="38"/>
      <c r="AC379" s="38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</row>
    <row r="380" spans="1:61" ht="1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38"/>
      <c r="Y380" s="11"/>
      <c r="Z380" s="11"/>
      <c r="AA380" s="11"/>
      <c r="AB380" s="38"/>
      <c r="AC380" s="38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</row>
    <row r="381" spans="1:61" ht="1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38"/>
      <c r="Y381" s="11"/>
      <c r="Z381" s="11"/>
      <c r="AA381" s="11"/>
      <c r="AB381" s="38"/>
      <c r="AC381" s="38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</row>
    <row r="382" spans="1:61" ht="1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38"/>
      <c r="Y382" s="11"/>
      <c r="Z382" s="11"/>
      <c r="AA382" s="11"/>
      <c r="AB382" s="38"/>
      <c r="AC382" s="38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</row>
    <row r="383" spans="1:61" ht="1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38"/>
      <c r="Y383" s="11"/>
      <c r="Z383" s="11"/>
      <c r="AA383" s="11"/>
      <c r="AB383" s="38"/>
      <c r="AC383" s="38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</row>
    <row r="384" spans="1:61" ht="1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38"/>
      <c r="Y384" s="11"/>
      <c r="Z384" s="11"/>
      <c r="AA384" s="11"/>
      <c r="AB384" s="38"/>
      <c r="AC384" s="38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</row>
    <row r="385" spans="1:61" ht="1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38"/>
      <c r="Y385" s="11"/>
      <c r="Z385" s="11"/>
      <c r="AA385" s="11"/>
      <c r="AB385" s="38"/>
      <c r="AC385" s="38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</row>
    <row r="386" spans="1:61" ht="1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38"/>
      <c r="Y386" s="11"/>
      <c r="Z386" s="11"/>
      <c r="AA386" s="11"/>
      <c r="AB386" s="38"/>
      <c r="AC386" s="38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</row>
    <row r="387" spans="1:61" ht="1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38"/>
      <c r="Y387" s="11"/>
      <c r="Z387" s="11"/>
      <c r="AA387" s="11"/>
      <c r="AB387" s="38"/>
      <c r="AC387" s="38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</row>
    <row r="388" spans="1:61" ht="1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38"/>
      <c r="Y388" s="11"/>
      <c r="Z388" s="11"/>
      <c r="AA388" s="11"/>
      <c r="AB388" s="38"/>
      <c r="AC388" s="38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</row>
    <row r="389" spans="1:61" ht="1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38"/>
      <c r="Y389" s="11"/>
      <c r="Z389" s="11"/>
      <c r="AA389" s="11"/>
      <c r="AB389" s="38"/>
      <c r="AC389" s="38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</row>
    <row r="390" spans="1:61" ht="1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38"/>
      <c r="Y390" s="11"/>
      <c r="Z390" s="11"/>
      <c r="AA390" s="11"/>
      <c r="AB390" s="38"/>
      <c r="AC390" s="38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</row>
    <row r="391" spans="1:61" ht="1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38"/>
      <c r="Y391" s="11"/>
      <c r="Z391" s="11"/>
      <c r="AA391" s="11"/>
      <c r="AB391" s="38"/>
      <c r="AC391" s="38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</row>
    <row r="392" spans="1:61" ht="1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38"/>
      <c r="Y392" s="11"/>
      <c r="Z392" s="11"/>
      <c r="AA392" s="11"/>
      <c r="AB392" s="38"/>
      <c r="AC392" s="38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</row>
    <row r="393" spans="1:61" ht="1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38"/>
      <c r="Y393" s="11"/>
      <c r="Z393" s="11"/>
      <c r="AA393" s="11"/>
      <c r="AB393" s="38"/>
      <c r="AC393" s="38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</row>
    <row r="394" spans="1:61" ht="1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38"/>
      <c r="Y394" s="11"/>
      <c r="Z394" s="11"/>
      <c r="AA394" s="11"/>
      <c r="AB394" s="38"/>
      <c r="AC394" s="38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</row>
    <row r="395" spans="1:61" ht="1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38"/>
      <c r="Y395" s="11"/>
      <c r="Z395" s="11"/>
      <c r="AA395" s="11"/>
      <c r="AB395" s="38"/>
      <c r="AC395" s="38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</row>
    <row r="396" spans="1:61" ht="1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38"/>
      <c r="Y396" s="11"/>
      <c r="Z396" s="11"/>
      <c r="AA396" s="11"/>
      <c r="AB396" s="38"/>
      <c r="AC396" s="38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</row>
    <row r="397" spans="1:61" ht="1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38"/>
      <c r="Y397" s="11"/>
      <c r="Z397" s="11"/>
      <c r="AA397" s="11"/>
      <c r="AB397" s="38"/>
      <c r="AC397" s="38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</row>
    <row r="398" spans="1:61" ht="1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38"/>
      <c r="Y398" s="11"/>
      <c r="Z398" s="11"/>
      <c r="AA398" s="11"/>
      <c r="AB398" s="38"/>
      <c r="AC398" s="38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</row>
    <row r="399" spans="1:61" ht="1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38"/>
      <c r="Y399" s="11"/>
      <c r="Z399" s="11"/>
      <c r="AA399" s="11"/>
      <c r="AB399" s="38"/>
      <c r="AC399" s="38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</row>
    <row r="400" spans="1:61" ht="1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38"/>
      <c r="Y400" s="11"/>
      <c r="Z400" s="11"/>
      <c r="AA400" s="11"/>
      <c r="AB400" s="38"/>
      <c r="AC400" s="38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</row>
    <row r="401" spans="1:61" ht="1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38"/>
      <c r="Y401" s="11"/>
      <c r="Z401" s="11"/>
      <c r="AA401" s="11"/>
      <c r="AB401" s="38"/>
      <c r="AC401" s="38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</row>
    <row r="402" spans="1:61" ht="1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38"/>
      <c r="Y402" s="11"/>
      <c r="Z402" s="11"/>
      <c r="AA402" s="11"/>
      <c r="AB402" s="38"/>
      <c r="AC402" s="38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</row>
    <row r="403" spans="1:61" ht="1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38"/>
      <c r="Y403" s="11"/>
      <c r="Z403" s="11"/>
      <c r="AA403" s="11"/>
      <c r="AB403" s="38"/>
      <c r="AC403" s="38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</row>
    <row r="404" spans="1:61" ht="1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38"/>
      <c r="Y404" s="11"/>
      <c r="Z404" s="11"/>
      <c r="AA404" s="11"/>
      <c r="AB404" s="38"/>
      <c r="AC404" s="38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</row>
    <row r="405" spans="1:61" ht="1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38"/>
      <c r="Y405" s="11"/>
      <c r="Z405" s="11"/>
      <c r="AA405" s="11"/>
      <c r="AB405" s="38"/>
      <c r="AC405" s="38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</row>
    <row r="406" spans="1:61" ht="1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38"/>
      <c r="Y406" s="11"/>
      <c r="Z406" s="11"/>
      <c r="AA406" s="11"/>
      <c r="AB406" s="38"/>
      <c r="AC406" s="38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</row>
    <row r="407" spans="1:61" ht="1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38"/>
      <c r="Y407" s="11"/>
      <c r="Z407" s="11"/>
      <c r="AA407" s="11"/>
      <c r="AB407" s="38"/>
      <c r="AC407" s="38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</row>
    <row r="408" spans="1:61" ht="1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38"/>
      <c r="Y408" s="11"/>
      <c r="Z408" s="11"/>
      <c r="AA408" s="11"/>
      <c r="AB408" s="38"/>
      <c r="AC408" s="38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</row>
    <row r="409" spans="1:61" ht="1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38"/>
      <c r="Y409" s="11"/>
      <c r="Z409" s="11"/>
      <c r="AA409" s="11"/>
      <c r="AB409" s="38"/>
      <c r="AC409" s="38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</row>
    <row r="410" spans="1:61" ht="1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38"/>
      <c r="Y410" s="11"/>
      <c r="Z410" s="11"/>
      <c r="AA410" s="11"/>
      <c r="AB410" s="38"/>
      <c r="AC410" s="38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</row>
    <row r="411" spans="1:61" ht="1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38"/>
      <c r="Y411" s="11"/>
      <c r="Z411" s="11"/>
      <c r="AA411" s="11"/>
      <c r="AB411" s="38"/>
      <c r="AC411" s="38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</row>
    <row r="412" spans="1:61" ht="1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38"/>
      <c r="Y412" s="11"/>
      <c r="Z412" s="11"/>
      <c r="AA412" s="11"/>
      <c r="AB412" s="38"/>
      <c r="AC412" s="38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</row>
    <row r="413" spans="1:61" ht="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38"/>
      <c r="Y413" s="11"/>
      <c r="Z413" s="11"/>
      <c r="AA413" s="11"/>
      <c r="AB413" s="38"/>
      <c r="AC413" s="38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</row>
    <row r="414" spans="1:61" ht="1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38"/>
      <c r="Y414" s="11"/>
      <c r="Z414" s="11"/>
      <c r="AA414" s="11"/>
      <c r="AB414" s="38"/>
      <c r="AC414" s="38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</row>
    <row r="415" spans="1:61" ht="1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38"/>
      <c r="Y415" s="11"/>
      <c r="Z415" s="11"/>
      <c r="AA415" s="11"/>
      <c r="AB415" s="38"/>
      <c r="AC415" s="38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</row>
    <row r="416" spans="1:61" ht="1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38"/>
      <c r="Y416" s="11"/>
      <c r="Z416" s="11"/>
      <c r="AA416" s="11"/>
      <c r="AB416" s="38"/>
      <c r="AC416" s="38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</row>
    <row r="417" spans="1:61" ht="1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38"/>
      <c r="Y417" s="11"/>
      <c r="Z417" s="11"/>
      <c r="AA417" s="11"/>
      <c r="AB417" s="38"/>
      <c r="AC417" s="38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</row>
    <row r="418" spans="1:61" ht="1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38"/>
      <c r="Y418" s="11"/>
      <c r="Z418" s="11"/>
      <c r="AA418" s="11"/>
      <c r="AB418" s="38"/>
      <c r="AC418" s="38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</row>
    <row r="419" spans="1:61" ht="1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38"/>
      <c r="Y419" s="11"/>
      <c r="Z419" s="11"/>
      <c r="AA419" s="11"/>
      <c r="AB419" s="38"/>
      <c r="AC419" s="38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</row>
    <row r="420" spans="1:61" ht="1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38"/>
      <c r="Y420" s="11"/>
      <c r="Z420" s="11"/>
      <c r="AA420" s="11"/>
      <c r="AB420" s="38"/>
      <c r="AC420" s="38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</row>
    <row r="421" spans="1:61" ht="1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38"/>
      <c r="Y421" s="11"/>
      <c r="Z421" s="11"/>
      <c r="AA421" s="11"/>
      <c r="AB421" s="38"/>
      <c r="AC421" s="38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</row>
    <row r="422" spans="1:61" ht="1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38"/>
      <c r="Y422" s="11"/>
      <c r="Z422" s="11"/>
      <c r="AA422" s="11"/>
      <c r="AB422" s="38"/>
      <c r="AC422" s="38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</row>
    <row r="423" spans="1:61" ht="1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38"/>
      <c r="Y423" s="11"/>
      <c r="Z423" s="11"/>
      <c r="AA423" s="11"/>
      <c r="AB423" s="38"/>
      <c r="AC423" s="38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</row>
    <row r="424" spans="1:61" ht="1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38"/>
      <c r="Y424" s="11"/>
      <c r="Z424" s="11"/>
      <c r="AA424" s="11"/>
      <c r="AB424" s="38"/>
      <c r="AC424" s="38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</row>
    <row r="425" spans="1:61" ht="1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38"/>
      <c r="Y425" s="11"/>
      <c r="Z425" s="11"/>
      <c r="AA425" s="11"/>
      <c r="AB425" s="38"/>
      <c r="AC425" s="38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</row>
    <row r="426" spans="1:61" ht="1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38"/>
      <c r="Y426" s="11"/>
      <c r="Z426" s="11"/>
      <c r="AA426" s="11"/>
      <c r="AB426" s="38"/>
      <c r="AC426" s="38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</row>
    <row r="427" spans="1:61" ht="1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38"/>
      <c r="Y427" s="11"/>
      <c r="Z427" s="11"/>
      <c r="AA427" s="11"/>
      <c r="AB427" s="38"/>
      <c r="AC427" s="38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</row>
    <row r="428" spans="1:61" ht="1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38"/>
      <c r="Y428" s="11"/>
      <c r="Z428" s="11"/>
      <c r="AA428" s="11"/>
      <c r="AB428" s="38"/>
      <c r="AC428" s="38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</row>
    <row r="429" spans="1:61" ht="1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38"/>
      <c r="Y429" s="11"/>
      <c r="Z429" s="11"/>
      <c r="AA429" s="11"/>
      <c r="AB429" s="38"/>
      <c r="AC429" s="38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</row>
    <row r="430" spans="1:61" ht="1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38"/>
      <c r="Y430" s="11"/>
      <c r="Z430" s="11"/>
      <c r="AA430" s="11"/>
      <c r="AB430" s="38"/>
      <c r="AC430" s="38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</row>
    <row r="431" spans="1:61" ht="1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38"/>
      <c r="Y431" s="11"/>
      <c r="Z431" s="11"/>
      <c r="AA431" s="11"/>
      <c r="AB431" s="38"/>
      <c r="AC431" s="38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</row>
    <row r="432" spans="1:61" ht="1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38"/>
      <c r="Y432" s="11"/>
      <c r="Z432" s="11"/>
      <c r="AA432" s="11"/>
      <c r="AB432" s="38"/>
      <c r="AC432" s="38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</row>
    <row r="433" spans="1:61" ht="1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38"/>
      <c r="Y433" s="11"/>
      <c r="Z433" s="11"/>
      <c r="AA433" s="11"/>
      <c r="AB433" s="38"/>
      <c r="AC433" s="38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</row>
    <row r="434" spans="1:61" ht="1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38"/>
      <c r="Y434" s="11"/>
      <c r="Z434" s="11"/>
      <c r="AA434" s="11"/>
      <c r="AB434" s="38"/>
      <c r="AC434" s="38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</row>
    <row r="435" spans="1:61" ht="1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38"/>
      <c r="Y435" s="11"/>
      <c r="Z435" s="11"/>
      <c r="AA435" s="11"/>
      <c r="AB435" s="38"/>
      <c r="AC435" s="38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</row>
    <row r="436" spans="1:61" ht="1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38"/>
      <c r="Y436" s="11"/>
      <c r="Z436" s="11"/>
      <c r="AA436" s="11"/>
      <c r="AB436" s="38"/>
      <c r="AC436" s="38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</row>
    <row r="437" spans="1:61" ht="1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38"/>
      <c r="Y437" s="11"/>
      <c r="Z437" s="11"/>
      <c r="AA437" s="11"/>
      <c r="AB437" s="38"/>
      <c r="AC437" s="38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</row>
    <row r="438" spans="1:61" ht="1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38"/>
      <c r="Y438" s="11"/>
      <c r="Z438" s="11"/>
      <c r="AA438" s="11"/>
      <c r="AB438" s="38"/>
      <c r="AC438" s="38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</row>
    <row r="439" spans="1:61" ht="1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38"/>
      <c r="Y439" s="11"/>
      <c r="Z439" s="11"/>
      <c r="AA439" s="11"/>
      <c r="AB439" s="38"/>
      <c r="AC439" s="38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</row>
    <row r="440" spans="1:61" ht="1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38"/>
      <c r="Y440" s="11"/>
      <c r="Z440" s="11"/>
      <c r="AA440" s="11"/>
      <c r="AB440" s="38"/>
      <c r="AC440" s="38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</row>
    <row r="441" spans="1:61" ht="1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38"/>
      <c r="Y441" s="11"/>
      <c r="Z441" s="11"/>
      <c r="AA441" s="11"/>
      <c r="AB441" s="38"/>
      <c r="AC441" s="38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</row>
    <row r="442" spans="1:61" ht="1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38"/>
      <c r="Y442" s="11"/>
      <c r="Z442" s="11"/>
      <c r="AA442" s="11"/>
      <c r="AB442" s="38"/>
      <c r="AC442" s="38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</row>
    <row r="443" spans="1:61" ht="1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38"/>
      <c r="Y443" s="11"/>
      <c r="Z443" s="11"/>
      <c r="AA443" s="11"/>
      <c r="AB443" s="38"/>
      <c r="AC443" s="38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</row>
    <row r="444" spans="1:61" ht="1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38"/>
      <c r="Y444" s="11"/>
      <c r="Z444" s="11"/>
      <c r="AA444" s="11"/>
      <c r="AB444" s="38"/>
      <c r="AC444" s="38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</row>
    <row r="445" spans="1:61" ht="1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38"/>
      <c r="Y445" s="11"/>
      <c r="Z445" s="11"/>
      <c r="AA445" s="11"/>
      <c r="AB445" s="38"/>
      <c r="AC445" s="38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</row>
    <row r="446" spans="1:61" ht="1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38"/>
      <c r="Y446" s="11"/>
      <c r="Z446" s="11"/>
      <c r="AA446" s="11"/>
      <c r="AB446" s="38"/>
      <c r="AC446" s="38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</row>
    <row r="447" spans="1:61" ht="1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38"/>
      <c r="Y447" s="11"/>
      <c r="Z447" s="11"/>
      <c r="AA447" s="11"/>
      <c r="AB447" s="38"/>
      <c r="AC447" s="38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</row>
    <row r="448" spans="1:61" ht="1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38"/>
      <c r="Y448" s="11"/>
      <c r="Z448" s="11"/>
      <c r="AA448" s="11"/>
      <c r="AB448" s="38"/>
      <c r="AC448" s="38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</row>
    <row r="449" spans="1:61" ht="1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38"/>
      <c r="Y449" s="11"/>
      <c r="Z449" s="11"/>
      <c r="AA449" s="11"/>
      <c r="AB449" s="38"/>
      <c r="AC449" s="38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</row>
    <row r="450" spans="1:61" ht="1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38"/>
      <c r="Y450" s="11"/>
      <c r="Z450" s="11"/>
      <c r="AA450" s="11"/>
      <c r="AB450" s="38"/>
      <c r="AC450" s="38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</row>
    <row r="451" spans="1:61" ht="1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38"/>
      <c r="Y451" s="11"/>
      <c r="Z451" s="11"/>
      <c r="AA451" s="11"/>
      <c r="AB451" s="38"/>
      <c r="AC451" s="38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</row>
    <row r="452" spans="1:61" ht="1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38"/>
      <c r="Y452" s="11"/>
      <c r="Z452" s="11"/>
      <c r="AA452" s="11"/>
      <c r="AB452" s="38"/>
      <c r="AC452" s="38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</row>
    <row r="453" spans="1:61" ht="1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38"/>
      <c r="Y453" s="11"/>
      <c r="Z453" s="11"/>
      <c r="AA453" s="11"/>
      <c r="AB453" s="38"/>
      <c r="AC453" s="38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</row>
    <row r="454" spans="1:61" ht="1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38"/>
      <c r="Y454" s="11"/>
      <c r="Z454" s="11"/>
      <c r="AA454" s="11"/>
      <c r="AB454" s="38"/>
      <c r="AC454" s="38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</row>
    <row r="455" spans="1:61" ht="1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38"/>
      <c r="Y455" s="11"/>
      <c r="Z455" s="11"/>
      <c r="AA455" s="11"/>
      <c r="AB455" s="38"/>
      <c r="AC455" s="38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</row>
    <row r="456" spans="1:61" ht="1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38"/>
      <c r="Y456" s="11"/>
      <c r="Z456" s="11"/>
      <c r="AA456" s="11"/>
      <c r="AB456" s="38"/>
      <c r="AC456" s="38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</row>
    <row r="457" spans="1:61" ht="1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38"/>
      <c r="Y457" s="11"/>
      <c r="Z457" s="11"/>
      <c r="AA457" s="11"/>
      <c r="AB457" s="38"/>
      <c r="AC457" s="38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</row>
    <row r="458" spans="1:61" ht="1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38"/>
      <c r="Y458" s="11"/>
      <c r="Z458" s="11"/>
      <c r="AA458" s="11"/>
      <c r="AB458" s="38"/>
      <c r="AC458" s="38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</row>
    <row r="459" spans="1:61" ht="1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38"/>
      <c r="Y459" s="11"/>
      <c r="Z459" s="11"/>
      <c r="AA459" s="11"/>
      <c r="AB459" s="38"/>
      <c r="AC459" s="38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</row>
    <row r="460" spans="1:61" ht="1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38"/>
      <c r="Y460" s="11"/>
      <c r="Z460" s="11"/>
      <c r="AA460" s="11"/>
      <c r="AB460" s="38"/>
      <c r="AC460" s="38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</row>
    <row r="461" spans="1:61" ht="1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38"/>
      <c r="Y461" s="11"/>
      <c r="Z461" s="11"/>
      <c r="AA461" s="11"/>
      <c r="AB461" s="38"/>
      <c r="AC461" s="38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</row>
    <row r="462" spans="1:61" ht="1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38"/>
      <c r="Y462" s="11"/>
      <c r="Z462" s="11"/>
      <c r="AA462" s="11"/>
      <c r="AB462" s="38"/>
      <c r="AC462" s="38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</row>
    <row r="463" spans="1:61" ht="1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38"/>
      <c r="Y463" s="11"/>
      <c r="Z463" s="11"/>
      <c r="AA463" s="11"/>
      <c r="AB463" s="38"/>
      <c r="AC463" s="38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</row>
    <row r="464" spans="1:61" ht="1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38"/>
      <c r="Y464" s="11"/>
      <c r="Z464" s="11"/>
      <c r="AA464" s="11"/>
      <c r="AB464" s="38"/>
      <c r="AC464" s="38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</row>
    <row r="465" spans="1:61" ht="1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38"/>
      <c r="Y465" s="11"/>
      <c r="Z465" s="11"/>
      <c r="AA465" s="11"/>
      <c r="AB465" s="38"/>
      <c r="AC465" s="38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</row>
    <row r="466" spans="1:61" ht="1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38"/>
      <c r="Y466" s="11"/>
      <c r="Z466" s="11"/>
      <c r="AA466" s="11"/>
      <c r="AB466" s="38"/>
      <c r="AC466" s="38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</row>
    <row r="467" spans="1:61" ht="1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38"/>
      <c r="Y467" s="11"/>
      <c r="Z467" s="11"/>
      <c r="AA467" s="11"/>
      <c r="AB467" s="38"/>
      <c r="AC467" s="38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</row>
    <row r="468" spans="1:61" ht="1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38"/>
      <c r="Y468" s="11"/>
      <c r="Z468" s="11"/>
      <c r="AA468" s="11"/>
      <c r="AB468" s="38"/>
      <c r="AC468" s="38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</row>
    <row r="469" spans="1:61" ht="1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38"/>
      <c r="Y469" s="11"/>
      <c r="Z469" s="11"/>
      <c r="AA469" s="11"/>
      <c r="AB469" s="38"/>
      <c r="AC469" s="38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</row>
    <row r="470" spans="1:61" ht="1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38"/>
      <c r="Y470" s="11"/>
      <c r="Z470" s="11"/>
      <c r="AA470" s="11"/>
      <c r="AB470" s="38"/>
      <c r="AC470" s="38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</row>
    <row r="471" spans="1:61" ht="1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38"/>
      <c r="Y471" s="11"/>
      <c r="Z471" s="11"/>
      <c r="AA471" s="11"/>
      <c r="AB471" s="38"/>
      <c r="AC471" s="38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</row>
    <row r="472" spans="1:61" ht="1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38"/>
      <c r="Y472" s="11"/>
      <c r="Z472" s="11"/>
      <c r="AA472" s="11"/>
      <c r="AB472" s="38"/>
      <c r="AC472" s="38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</row>
    <row r="473" spans="1:61" ht="1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38"/>
      <c r="Y473" s="11"/>
      <c r="Z473" s="11"/>
      <c r="AA473" s="11"/>
      <c r="AB473" s="38"/>
      <c r="AC473" s="38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</row>
    <row r="474" spans="1:61" ht="1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38"/>
      <c r="Y474" s="11"/>
      <c r="Z474" s="11"/>
      <c r="AA474" s="11"/>
      <c r="AB474" s="38"/>
      <c r="AC474" s="38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</row>
    <row r="475" spans="1:61" ht="1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38"/>
      <c r="Y475" s="11"/>
      <c r="Z475" s="11"/>
      <c r="AA475" s="11"/>
      <c r="AB475" s="38"/>
      <c r="AC475" s="38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</row>
    <row r="476" spans="1:61" ht="1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38"/>
      <c r="Y476" s="11"/>
      <c r="Z476" s="11"/>
      <c r="AA476" s="11"/>
      <c r="AB476" s="38"/>
      <c r="AC476" s="38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</row>
    <row r="477" spans="1:61" ht="1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38"/>
      <c r="Y477" s="11"/>
      <c r="Z477" s="11"/>
      <c r="AA477" s="11"/>
      <c r="AB477" s="38"/>
      <c r="AC477" s="38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</row>
    <row r="478" spans="1:61" ht="1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38"/>
      <c r="Y478" s="11"/>
      <c r="Z478" s="11"/>
      <c r="AA478" s="11"/>
      <c r="AB478" s="38"/>
      <c r="AC478" s="38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</row>
    <row r="479" spans="1:61" ht="1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38"/>
      <c r="Y479" s="11"/>
      <c r="Z479" s="11"/>
      <c r="AA479" s="11"/>
      <c r="AB479" s="38"/>
      <c r="AC479" s="38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</row>
    <row r="480" spans="1:61" ht="1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38"/>
      <c r="Y480" s="11"/>
      <c r="Z480" s="11"/>
      <c r="AA480" s="11"/>
      <c r="AB480" s="38"/>
      <c r="AC480" s="38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</row>
    <row r="481" spans="1:61" ht="1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38"/>
      <c r="Y481" s="11"/>
      <c r="Z481" s="11"/>
      <c r="AA481" s="11"/>
      <c r="AB481" s="38"/>
      <c r="AC481" s="38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</row>
    <row r="482" spans="1:61" ht="1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38"/>
      <c r="Y482" s="11"/>
      <c r="Z482" s="11"/>
      <c r="AA482" s="11"/>
      <c r="AB482" s="38"/>
      <c r="AC482" s="38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</row>
    <row r="483" spans="1:61" ht="1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38"/>
      <c r="Y483" s="11"/>
      <c r="Z483" s="11"/>
      <c r="AA483" s="11"/>
      <c r="AB483" s="38"/>
      <c r="AC483" s="38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</row>
    <row r="484" spans="1:61" ht="1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38"/>
      <c r="Y484" s="11"/>
      <c r="Z484" s="11"/>
      <c r="AA484" s="11"/>
      <c r="AB484" s="38"/>
      <c r="AC484" s="38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</row>
    <row r="485" spans="1:61" ht="1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38"/>
      <c r="Y485" s="11"/>
      <c r="Z485" s="11"/>
      <c r="AA485" s="11"/>
      <c r="AB485" s="38"/>
      <c r="AC485" s="38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</row>
    <row r="486" spans="1:61" ht="1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38"/>
      <c r="Y486" s="11"/>
      <c r="Z486" s="11"/>
      <c r="AA486" s="11"/>
      <c r="AB486" s="38"/>
      <c r="AC486" s="38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</row>
    <row r="487" spans="1:61" ht="1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38"/>
      <c r="Y487" s="11"/>
      <c r="Z487" s="11"/>
      <c r="AA487" s="11"/>
      <c r="AB487" s="38"/>
      <c r="AC487" s="38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</row>
    <row r="488" spans="1:61" ht="1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38"/>
      <c r="Y488" s="11"/>
      <c r="Z488" s="11"/>
      <c r="AA488" s="11"/>
      <c r="AB488" s="38"/>
      <c r="AC488" s="38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</row>
    <row r="489" spans="1:61" ht="1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38"/>
      <c r="Y489" s="11"/>
      <c r="Z489" s="11"/>
      <c r="AA489" s="11"/>
      <c r="AB489" s="38"/>
      <c r="AC489" s="38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</row>
    <row r="490" spans="1:61" ht="1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38"/>
      <c r="Y490" s="11"/>
      <c r="Z490" s="11"/>
      <c r="AA490" s="11"/>
      <c r="AB490" s="38"/>
      <c r="AC490" s="38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</row>
    <row r="491" spans="1:61" ht="1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38"/>
      <c r="Y491" s="11"/>
      <c r="Z491" s="11"/>
      <c r="AA491" s="11"/>
      <c r="AB491" s="38"/>
      <c r="AC491" s="38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</row>
    <row r="492" spans="1:61" ht="1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38"/>
      <c r="Y492" s="11"/>
      <c r="Z492" s="11"/>
      <c r="AA492" s="11"/>
      <c r="AB492" s="38"/>
      <c r="AC492" s="38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</row>
    <row r="493" spans="1:61" ht="1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38"/>
      <c r="Y493" s="11"/>
      <c r="Z493" s="11"/>
      <c r="AA493" s="11"/>
      <c r="AB493" s="38"/>
      <c r="AC493" s="38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</row>
    <row r="494" spans="1:61" ht="1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38"/>
      <c r="Y494" s="11"/>
      <c r="Z494" s="11"/>
      <c r="AA494" s="11"/>
      <c r="AB494" s="38"/>
      <c r="AC494" s="38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</row>
    <row r="495" spans="1:61" ht="1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38"/>
      <c r="Y495" s="11"/>
      <c r="Z495" s="11"/>
      <c r="AA495" s="11"/>
      <c r="AB495" s="38"/>
      <c r="AC495" s="38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</row>
    <row r="496" spans="1:61" ht="1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38"/>
      <c r="Y496" s="11"/>
      <c r="Z496" s="11"/>
      <c r="AA496" s="11"/>
      <c r="AB496" s="38"/>
      <c r="AC496" s="38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</row>
    <row r="497" spans="1:61" ht="1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38"/>
      <c r="Y497" s="11"/>
      <c r="Z497" s="11"/>
      <c r="AA497" s="11"/>
      <c r="AB497" s="38"/>
      <c r="AC497" s="38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</row>
    <row r="498" spans="1:61" ht="1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38"/>
      <c r="Y498" s="11"/>
      <c r="Z498" s="11"/>
      <c r="AA498" s="11"/>
      <c r="AB498" s="38"/>
      <c r="AC498" s="38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</row>
    <row r="499" spans="1:61" ht="1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38"/>
      <c r="Y499" s="11"/>
      <c r="Z499" s="11"/>
      <c r="AA499" s="11"/>
      <c r="AB499" s="38"/>
      <c r="AC499" s="38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</row>
    <row r="500" spans="1:61" ht="1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38"/>
      <c r="Y500" s="11"/>
      <c r="Z500" s="11"/>
      <c r="AA500" s="11"/>
      <c r="AB500" s="38"/>
      <c r="AC500" s="38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</row>
    <row r="501" spans="1:61" ht="1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38"/>
      <c r="Y501" s="11"/>
      <c r="Z501" s="11"/>
      <c r="AA501" s="11"/>
      <c r="AB501" s="38"/>
      <c r="AC501" s="38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</row>
    <row r="502" spans="1:61" ht="1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38"/>
      <c r="Y502" s="11"/>
      <c r="Z502" s="11"/>
      <c r="AA502" s="11"/>
      <c r="AB502" s="38"/>
      <c r="AC502" s="38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</row>
    <row r="503" spans="1:61" ht="1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38"/>
      <c r="Y503" s="11"/>
      <c r="Z503" s="11"/>
      <c r="AA503" s="11"/>
      <c r="AB503" s="38"/>
      <c r="AC503" s="38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</row>
    <row r="504" spans="1:61" ht="1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38"/>
      <c r="Y504" s="11"/>
      <c r="Z504" s="11"/>
      <c r="AA504" s="11"/>
      <c r="AB504" s="38"/>
      <c r="AC504" s="38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</row>
    <row r="505" spans="1:61" ht="1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38"/>
      <c r="Y505" s="11"/>
      <c r="Z505" s="11"/>
      <c r="AA505" s="11"/>
      <c r="AB505" s="38"/>
      <c r="AC505" s="38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</row>
    <row r="506" spans="1:61" ht="1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38"/>
      <c r="Y506" s="11"/>
      <c r="Z506" s="11"/>
      <c r="AA506" s="11"/>
      <c r="AB506" s="38"/>
      <c r="AC506" s="38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</row>
    <row r="507" spans="1:61" ht="1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38"/>
      <c r="Y507" s="11"/>
      <c r="Z507" s="11"/>
      <c r="AA507" s="11"/>
      <c r="AB507" s="38"/>
      <c r="AC507" s="38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</row>
    <row r="508" spans="1:61" ht="1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38"/>
      <c r="Y508" s="11"/>
      <c r="Z508" s="11"/>
      <c r="AA508" s="11"/>
      <c r="AB508" s="38"/>
      <c r="AC508" s="38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</row>
    <row r="509" spans="1:61" ht="1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38"/>
      <c r="Y509" s="11"/>
      <c r="Z509" s="11"/>
      <c r="AA509" s="11"/>
      <c r="AB509" s="38"/>
      <c r="AC509" s="38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</row>
    <row r="510" spans="1:61" ht="1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38"/>
      <c r="Y510" s="11"/>
      <c r="Z510" s="11"/>
      <c r="AA510" s="11"/>
      <c r="AB510" s="38"/>
      <c r="AC510" s="38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</row>
    <row r="511" spans="1:61" ht="1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38"/>
      <c r="Y511" s="11"/>
      <c r="Z511" s="11"/>
      <c r="AA511" s="11"/>
      <c r="AB511" s="38"/>
      <c r="AC511" s="38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</row>
    <row r="512" spans="1:61" ht="1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38"/>
      <c r="Y512" s="11"/>
      <c r="Z512" s="11"/>
      <c r="AA512" s="11"/>
      <c r="AB512" s="38"/>
      <c r="AC512" s="38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</row>
    <row r="513" spans="1:61" ht="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38"/>
      <c r="Y513" s="11"/>
      <c r="Z513" s="11"/>
      <c r="AA513" s="11"/>
      <c r="AB513" s="38"/>
      <c r="AC513" s="38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</row>
    <row r="514" spans="1:61" ht="1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38"/>
      <c r="Y514" s="11"/>
      <c r="Z514" s="11"/>
      <c r="AA514" s="11"/>
      <c r="AB514" s="38"/>
      <c r="AC514" s="38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</row>
    <row r="515" spans="1:61" ht="1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38"/>
      <c r="Y515" s="11"/>
      <c r="Z515" s="11"/>
      <c r="AA515" s="11"/>
      <c r="AB515" s="38"/>
      <c r="AC515" s="38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</row>
    <row r="516" spans="1:61" ht="1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38"/>
      <c r="Y516" s="11"/>
      <c r="Z516" s="11"/>
      <c r="AA516" s="11"/>
      <c r="AB516" s="38"/>
      <c r="AC516" s="38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</row>
    <row r="517" spans="1:61" ht="1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38"/>
      <c r="Y517" s="11"/>
      <c r="Z517" s="11"/>
      <c r="AA517" s="11"/>
      <c r="AB517" s="38"/>
      <c r="AC517" s="38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</row>
    <row r="518" spans="1:61" ht="1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38"/>
      <c r="Y518" s="11"/>
      <c r="Z518" s="11"/>
      <c r="AA518" s="11"/>
      <c r="AB518" s="38"/>
      <c r="AC518" s="38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</row>
    <row r="519" spans="1:61" ht="1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38"/>
      <c r="Y519" s="11"/>
      <c r="Z519" s="11"/>
      <c r="AA519" s="11"/>
      <c r="AB519" s="38"/>
      <c r="AC519" s="38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</row>
    <row r="520" spans="1:61" ht="1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38"/>
      <c r="Y520" s="11"/>
      <c r="Z520" s="11"/>
      <c r="AA520" s="11"/>
      <c r="AB520" s="38"/>
      <c r="AC520" s="38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</row>
    <row r="521" spans="1:61" ht="1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38"/>
      <c r="Y521" s="11"/>
      <c r="Z521" s="11"/>
      <c r="AA521" s="11"/>
      <c r="AB521" s="38"/>
      <c r="AC521" s="38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</row>
    <row r="522" spans="1:61" ht="1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38"/>
      <c r="Y522" s="11"/>
      <c r="Z522" s="11"/>
      <c r="AA522" s="11"/>
      <c r="AB522" s="38"/>
      <c r="AC522" s="38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</row>
    <row r="523" spans="1:61" ht="1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38"/>
      <c r="Y523" s="11"/>
      <c r="Z523" s="11"/>
      <c r="AA523" s="11"/>
      <c r="AB523" s="38"/>
      <c r="AC523" s="38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</row>
    <row r="524" spans="1:61" ht="1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38"/>
      <c r="Y524" s="11"/>
      <c r="Z524" s="11"/>
      <c r="AA524" s="11"/>
      <c r="AB524" s="38"/>
      <c r="AC524" s="38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</row>
    <row r="525" spans="1:61" ht="1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38"/>
      <c r="Y525" s="11"/>
      <c r="Z525" s="11"/>
      <c r="AA525" s="11"/>
      <c r="AB525" s="38"/>
      <c r="AC525" s="38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</row>
    <row r="526" spans="1:61" ht="1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38"/>
      <c r="Y526" s="11"/>
      <c r="Z526" s="11"/>
      <c r="AA526" s="11"/>
      <c r="AB526" s="38"/>
      <c r="AC526" s="38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</row>
    <row r="527" spans="1:61" ht="1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38"/>
      <c r="Y527" s="11"/>
      <c r="Z527" s="11"/>
      <c r="AA527" s="11"/>
      <c r="AB527" s="38"/>
      <c r="AC527" s="38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</row>
    <row r="528" spans="1:61" ht="1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38"/>
      <c r="Y528" s="11"/>
      <c r="Z528" s="11"/>
      <c r="AA528" s="11"/>
      <c r="AB528" s="38"/>
      <c r="AC528" s="38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</row>
    <row r="529" spans="1:61" ht="1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38"/>
      <c r="Y529" s="11"/>
      <c r="Z529" s="11"/>
      <c r="AA529" s="11"/>
      <c r="AB529" s="38"/>
      <c r="AC529" s="38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</row>
    <row r="530" spans="1:61" ht="1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38"/>
      <c r="Y530" s="11"/>
      <c r="Z530" s="11"/>
      <c r="AA530" s="11"/>
      <c r="AB530" s="38"/>
      <c r="AC530" s="38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</row>
    <row r="531" spans="1:61" ht="1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38"/>
      <c r="Y531" s="11"/>
      <c r="Z531" s="11"/>
      <c r="AA531" s="11"/>
      <c r="AB531" s="38"/>
      <c r="AC531" s="38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</row>
    <row r="532" spans="1:61" ht="1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38"/>
      <c r="Y532" s="11"/>
      <c r="Z532" s="11"/>
      <c r="AA532" s="11"/>
      <c r="AB532" s="38"/>
      <c r="AC532" s="38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</row>
    <row r="533" spans="1:61" ht="1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38"/>
      <c r="Y533" s="11"/>
      <c r="Z533" s="11"/>
      <c r="AA533" s="11"/>
      <c r="AB533" s="38"/>
      <c r="AC533" s="38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</row>
    <row r="534" spans="1:61" ht="1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38"/>
      <c r="Y534" s="11"/>
      <c r="Z534" s="11"/>
      <c r="AA534" s="11"/>
      <c r="AB534" s="38"/>
      <c r="AC534" s="38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</row>
    <row r="535" spans="1:61" ht="1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38"/>
      <c r="Y535" s="11"/>
      <c r="Z535" s="11"/>
      <c r="AA535" s="11"/>
      <c r="AB535" s="38"/>
      <c r="AC535" s="38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</row>
    <row r="536" spans="1:61" ht="1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38"/>
      <c r="Y536" s="11"/>
      <c r="Z536" s="11"/>
      <c r="AA536" s="11"/>
      <c r="AB536" s="38"/>
      <c r="AC536" s="38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</row>
    <row r="537" spans="1:61" ht="1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38"/>
      <c r="Y537" s="11"/>
      <c r="Z537" s="11"/>
      <c r="AA537" s="11"/>
      <c r="AB537" s="38"/>
      <c r="AC537" s="38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</row>
    <row r="538" spans="1:61" ht="1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38"/>
      <c r="Y538" s="11"/>
      <c r="Z538" s="11"/>
      <c r="AA538" s="11"/>
      <c r="AB538" s="38"/>
      <c r="AC538" s="38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</row>
    <row r="539" spans="1:61" ht="1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38"/>
      <c r="Y539" s="11"/>
      <c r="Z539" s="11"/>
      <c r="AA539" s="11"/>
      <c r="AB539" s="38"/>
      <c r="AC539" s="38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</row>
    <row r="540" spans="1:61" ht="1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38"/>
      <c r="Y540" s="11"/>
      <c r="Z540" s="11"/>
      <c r="AA540" s="11"/>
      <c r="AB540" s="38"/>
      <c r="AC540" s="38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</row>
    <row r="541" spans="1:61" ht="1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38"/>
      <c r="Y541" s="11"/>
      <c r="Z541" s="11"/>
      <c r="AA541" s="11"/>
      <c r="AB541" s="38"/>
      <c r="AC541" s="38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</row>
    <row r="542" spans="1:61" ht="1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38"/>
      <c r="Y542" s="11"/>
      <c r="Z542" s="11"/>
      <c r="AA542" s="11"/>
      <c r="AB542" s="38"/>
      <c r="AC542" s="38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</row>
    <row r="543" spans="1:61" ht="1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38"/>
      <c r="Y543" s="11"/>
      <c r="Z543" s="11"/>
      <c r="AA543" s="11"/>
      <c r="AB543" s="38"/>
      <c r="AC543" s="38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</row>
    <row r="544" spans="1:61" ht="1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38"/>
      <c r="Y544" s="11"/>
      <c r="Z544" s="11"/>
      <c r="AA544" s="11"/>
      <c r="AB544" s="38"/>
      <c r="AC544" s="38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</row>
    <row r="545" spans="1:61" ht="1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38"/>
      <c r="Y545" s="11"/>
      <c r="Z545" s="11"/>
      <c r="AA545" s="11"/>
      <c r="AB545" s="38"/>
      <c r="AC545" s="38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</row>
    <row r="546" spans="1:61" ht="1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38"/>
      <c r="Y546" s="11"/>
      <c r="Z546" s="11"/>
      <c r="AA546" s="11"/>
      <c r="AB546" s="38"/>
      <c r="AC546" s="38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</row>
    <row r="547" spans="1:61" ht="1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38"/>
      <c r="Y547" s="11"/>
      <c r="Z547" s="11"/>
      <c r="AA547" s="11"/>
      <c r="AB547" s="38"/>
      <c r="AC547" s="38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</row>
    <row r="548" spans="1:61" ht="1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38"/>
      <c r="Y548" s="11"/>
      <c r="Z548" s="11"/>
      <c r="AA548" s="11"/>
      <c r="AB548" s="38"/>
      <c r="AC548" s="38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</row>
    <row r="549" spans="1:61" ht="1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38"/>
      <c r="Y549" s="11"/>
      <c r="Z549" s="11"/>
      <c r="AA549" s="11"/>
      <c r="AB549" s="38"/>
      <c r="AC549" s="38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</row>
    <row r="550" spans="1:61" ht="1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38"/>
      <c r="Y550" s="11"/>
      <c r="Z550" s="11"/>
      <c r="AA550" s="11"/>
      <c r="AB550" s="38"/>
      <c r="AC550" s="38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</row>
    <row r="551" spans="1:61" ht="1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38"/>
      <c r="Y551" s="11"/>
      <c r="Z551" s="11"/>
      <c r="AA551" s="11"/>
      <c r="AB551" s="38"/>
      <c r="AC551" s="38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</row>
    <row r="552" spans="1:61" ht="1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38"/>
      <c r="Y552" s="11"/>
      <c r="Z552" s="11"/>
      <c r="AA552" s="11"/>
      <c r="AB552" s="38"/>
      <c r="AC552" s="38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</row>
    <row r="553" spans="1:61" ht="1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38"/>
      <c r="Y553" s="11"/>
      <c r="Z553" s="11"/>
      <c r="AA553" s="11"/>
      <c r="AB553" s="38"/>
      <c r="AC553" s="38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</row>
    <row r="554" spans="1:61" ht="1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38"/>
      <c r="Y554" s="11"/>
      <c r="Z554" s="11"/>
      <c r="AA554" s="11"/>
      <c r="AB554" s="38"/>
      <c r="AC554" s="38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</row>
    <row r="555" spans="1:61" ht="1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38"/>
      <c r="Y555" s="11"/>
      <c r="Z555" s="11"/>
      <c r="AA555" s="11"/>
      <c r="AB555" s="38"/>
      <c r="AC555" s="38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</row>
    <row r="556" spans="1:61" ht="1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38"/>
      <c r="Y556" s="11"/>
      <c r="Z556" s="11"/>
      <c r="AA556" s="11"/>
      <c r="AB556" s="38"/>
      <c r="AC556" s="38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</row>
    <row r="557" spans="1:61" ht="1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38"/>
      <c r="Y557" s="11"/>
      <c r="Z557" s="11"/>
      <c r="AA557" s="11"/>
      <c r="AB557" s="38"/>
      <c r="AC557" s="38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</row>
    <row r="558" spans="1:61" ht="1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38"/>
      <c r="Y558" s="11"/>
      <c r="Z558" s="11"/>
      <c r="AA558" s="11"/>
      <c r="AB558" s="38"/>
      <c r="AC558" s="38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</row>
    <row r="559" spans="1:61" ht="1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38"/>
      <c r="Y559" s="11"/>
      <c r="Z559" s="11"/>
      <c r="AA559" s="11"/>
      <c r="AB559" s="38"/>
      <c r="AC559" s="38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</row>
    <row r="560" spans="1:61" ht="1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38"/>
      <c r="Y560" s="11"/>
      <c r="Z560" s="11"/>
      <c r="AA560" s="11"/>
      <c r="AB560" s="38"/>
      <c r="AC560" s="38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</row>
    <row r="561" spans="1:61" ht="1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38"/>
      <c r="Y561" s="11"/>
      <c r="Z561" s="11"/>
      <c r="AA561" s="11"/>
      <c r="AB561" s="38"/>
      <c r="AC561" s="38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</row>
    <row r="562" spans="1:61" ht="1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38"/>
      <c r="Y562" s="11"/>
      <c r="Z562" s="11"/>
      <c r="AA562" s="11"/>
      <c r="AB562" s="38"/>
      <c r="AC562" s="38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</row>
    <row r="563" spans="1:61" ht="1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38"/>
      <c r="Y563" s="11"/>
      <c r="Z563" s="11"/>
      <c r="AA563" s="11"/>
      <c r="AB563" s="38"/>
      <c r="AC563" s="38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</row>
    <row r="564" spans="1:61" ht="1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38"/>
      <c r="Y564" s="11"/>
      <c r="Z564" s="11"/>
      <c r="AA564" s="11"/>
      <c r="AB564" s="38"/>
      <c r="AC564" s="38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</row>
    <row r="565" spans="1:61" ht="1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38"/>
      <c r="Y565" s="11"/>
      <c r="Z565" s="11"/>
      <c r="AA565" s="11"/>
      <c r="AB565" s="38"/>
      <c r="AC565" s="38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</row>
    <row r="566" spans="1:61" ht="1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38"/>
      <c r="Y566" s="11"/>
      <c r="Z566" s="11"/>
      <c r="AA566" s="11"/>
      <c r="AB566" s="38"/>
      <c r="AC566" s="38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</row>
    <row r="567" spans="1:61" ht="1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38"/>
      <c r="Y567" s="11"/>
      <c r="Z567" s="11"/>
      <c r="AA567" s="11"/>
      <c r="AB567" s="38"/>
      <c r="AC567" s="38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</row>
    <row r="568" spans="1:61" ht="1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38"/>
      <c r="Y568" s="11"/>
      <c r="Z568" s="11"/>
      <c r="AA568" s="11"/>
      <c r="AB568" s="38"/>
      <c r="AC568" s="38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</row>
    <row r="569" spans="1:61" ht="1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38"/>
      <c r="Y569" s="11"/>
      <c r="Z569" s="11"/>
      <c r="AA569" s="11"/>
      <c r="AB569" s="38"/>
      <c r="AC569" s="38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</row>
    <row r="570" spans="1:61" ht="1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38"/>
      <c r="Y570" s="11"/>
      <c r="Z570" s="11"/>
      <c r="AA570" s="11"/>
      <c r="AB570" s="38"/>
      <c r="AC570" s="38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</row>
    <row r="571" spans="1:61" ht="1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38"/>
      <c r="Y571" s="11"/>
      <c r="Z571" s="11"/>
      <c r="AA571" s="11"/>
      <c r="AB571" s="38"/>
      <c r="AC571" s="38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</row>
    <row r="572" spans="1:61" ht="1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38"/>
      <c r="Y572" s="11"/>
      <c r="Z572" s="11"/>
      <c r="AA572" s="11"/>
      <c r="AB572" s="38"/>
      <c r="AC572" s="38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</row>
    <row r="573" spans="1:61" ht="1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38"/>
      <c r="Y573" s="11"/>
      <c r="Z573" s="11"/>
      <c r="AA573" s="11"/>
      <c r="AB573" s="38"/>
      <c r="AC573" s="38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</row>
    <row r="574" spans="1:61" ht="1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38"/>
      <c r="Y574" s="11"/>
      <c r="Z574" s="11"/>
      <c r="AA574" s="11"/>
      <c r="AB574" s="38"/>
      <c r="AC574" s="38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</row>
    <row r="575" spans="1:61" ht="1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38"/>
      <c r="Y575" s="11"/>
      <c r="Z575" s="11"/>
      <c r="AA575" s="11"/>
      <c r="AB575" s="38"/>
      <c r="AC575" s="38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</row>
    <row r="576" spans="1:61" ht="1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38"/>
      <c r="Y576" s="11"/>
      <c r="Z576" s="11"/>
      <c r="AA576" s="11"/>
      <c r="AB576" s="38"/>
      <c r="AC576" s="38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</row>
    <row r="577" spans="1:61" ht="1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38"/>
      <c r="Y577" s="11"/>
      <c r="Z577" s="11"/>
      <c r="AA577" s="11"/>
      <c r="AB577" s="38"/>
      <c r="AC577" s="38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</row>
    <row r="578" spans="1:61" ht="1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38"/>
      <c r="Y578" s="11"/>
      <c r="Z578" s="11"/>
      <c r="AA578" s="11"/>
      <c r="AB578" s="38"/>
      <c r="AC578" s="38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</row>
    <row r="579" spans="1:61" ht="1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38"/>
      <c r="Y579" s="11"/>
      <c r="Z579" s="11"/>
      <c r="AA579" s="11"/>
      <c r="AB579" s="38"/>
      <c r="AC579" s="38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</row>
    <row r="580" spans="1:61" ht="1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38"/>
      <c r="Y580" s="11"/>
      <c r="Z580" s="11"/>
      <c r="AA580" s="11"/>
      <c r="AB580" s="38"/>
      <c r="AC580" s="38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</row>
    <row r="581" spans="1:61" ht="1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38"/>
      <c r="Y581" s="11"/>
      <c r="Z581" s="11"/>
      <c r="AA581" s="11"/>
      <c r="AB581" s="38"/>
      <c r="AC581" s="38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</row>
    <row r="582" spans="1:61" ht="1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38"/>
      <c r="Y582" s="11"/>
      <c r="Z582" s="11"/>
      <c r="AA582" s="11"/>
      <c r="AB582" s="38"/>
      <c r="AC582" s="38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</row>
    <row r="583" spans="1:61" ht="1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38"/>
      <c r="Y583" s="11"/>
      <c r="Z583" s="11"/>
      <c r="AA583" s="11"/>
      <c r="AB583" s="38"/>
      <c r="AC583" s="38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</row>
    <row r="584" spans="1:61" ht="1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38"/>
      <c r="Y584" s="11"/>
      <c r="Z584" s="11"/>
      <c r="AA584" s="11"/>
      <c r="AB584" s="38"/>
      <c r="AC584" s="38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</row>
    <row r="585" spans="1:61" ht="1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38"/>
      <c r="Y585" s="11"/>
      <c r="Z585" s="11"/>
      <c r="AA585" s="11"/>
      <c r="AB585" s="38"/>
      <c r="AC585" s="38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</row>
    <row r="586" spans="1:61" ht="1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38"/>
      <c r="Y586" s="11"/>
      <c r="Z586" s="11"/>
      <c r="AA586" s="11"/>
      <c r="AB586" s="38"/>
      <c r="AC586" s="38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</row>
    <row r="587" spans="1:61" ht="1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38"/>
      <c r="Y587" s="11"/>
      <c r="Z587" s="11"/>
      <c r="AA587" s="11"/>
      <c r="AB587" s="38"/>
      <c r="AC587" s="38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</row>
    <row r="588" spans="1:61" ht="1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38"/>
      <c r="Y588" s="11"/>
      <c r="Z588" s="11"/>
      <c r="AA588" s="11"/>
      <c r="AB588" s="38"/>
      <c r="AC588" s="38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</row>
    <row r="589" spans="1:61" ht="1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38"/>
      <c r="Y589" s="11"/>
      <c r="Z589" s="11"/>
      <c r="AA589" s="11"/>
      <c r="AB589" s="38"/>
      <c r="AC589" s="38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</row>
    <row r="590" spans="1:61" ht="1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38"/>
      <c r="Y590" s="11"/>
      <c r="Z590" s="11"/>
      <c r="AA590" s="11"/>
      <c r="AB590" s="38"/>
      <c r="AC590" s="38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</row>
    <row r="591" spans="1:61" ht="1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38"/>
      <c r="Y591" s="11"/>
      <c r="Z591" s="11"/>
      <c r="AA591" s="11"/>
      <c r="AB591" s="38"/>
      <c r="AC591" s="38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</row>
    <row r="592" spans="1:61" ht="1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38"/>
      <c r="Y592" s="11"/>
      <c r="Z592" s="11"/>
      <c r="AA592" s="11"/>
      <c r="AB592" s="38"/>
      <c r="AC592" s="38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</row>
    <row r="593" spans="1:61" ht="1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38"/>
      <c r="Y593" s="11"/>
      <c r="Z593" s="11"/>
      <c r="AA593" s="11"/>
      <c r="AB593" s="38"/>
      <c r="AC593" s="38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</row>
    <row r="594" spans="1:61" ht="1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38"/>
      <c r="Y594" s="11"/>
      <c r="Z594" s="11"/>
      <c r="AA594" s="11"/>
      <c r="AB594" s="38"/>
      <c r="AC594" s="38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</row>
    <row r="595" spans="1:61" ht="1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38"/>
      <c r="Y595" s="11"/>
      <c r="Z595" s="11"/>
      <c r="AA595" s="11"/>
      <c r="AB595" s="38"/>
      <c r="AC595" s="38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</row>
    <row r="596" spans="1:61" ht="1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38"/>
      <c r="Y596" s="11"/>
      <c r="Z596" s="11"/>
      <c r="AA596" s="11"/>
      <c r="AB596" s="38"/>
      <c r="AC596" s="38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</row>
    <row r="597" spans="1:61" ht="1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38"/>
      <c r="Y597" s="11"/>
      <c r="Z597" s="11"/>
      <c r="AA597" s="11"/>
      <c r="AB597" s="38"/>
      <c r="AC597" s="38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</row>
    <row r="598" spans="1:61" ht="1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38"/>
      <c r="Y598" s="11"/>
      <c r="Z598" s="11"/>
      <c r="AA598" s="11"/>
      <c r="AB598" s="38"/>
      <c r="AC598" s="38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</row>
    <row r="599" spans="1:61" ht="1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38"/>
      <c r="Y599" s="11"/>
      <c r="Z599" s="11"/>
      <c r="AA599" s="11"/>
      <c r="AB599" s="38"/>
      <c r="AC599" s="38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</row>
    <row r="600" spans="1:61" ht="1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38"/>
      <c r="Y600" s="11"/>
      <c r="Z600" s="11"/>
      <c r="AA600" s="11"/>
      <c r="AB600" s="38"/>
      <c r="AC600" s="38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</row>
    <row r="601" spans="1:61" ht="1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38"/>
      <c r="Y601" s="11"/>
      <c r="Z601" s="11"/>
      <c r="AA601" s="11"/>
      <c r="AB601" s="38"/>
      <c r="AC601" s="38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</row>
    <row r="602" spans="1:61" ht="1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38"/>
      <c r="Y602" s="11"/>
      <c r="Z602" s="11"/>
      <c r="AA602" s="11"/>
      <c r="AB602" s="38"/>
      <c r="AC602" s="38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</row>
    <row r="603" spans="1:61" ht="1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38"/>
      <c r="Y603" s="11"/>
      <c r="Z603" s="11"/>
      <c r="AA603" s="11"/>
      <c r="AB603" s="38"/>
      <c r="AC603" s="38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</row>
    <row r="604" spans="1:61" ht="1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38"/>
      <c r="Y604" s="11"/>
      <c r="Z604" s="11"/>
      <c r="AA604" s="11"/>
      <c r="AB604" s="38"/>
      <c r="AC604" s="38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</row>
    <row r="605" spans="1:61" ht="1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38"/>
      <c r="Y605" s="11"/>
      <c r="Z605" s="11"/>
      <c r="AA605" s="11"/>
      <c r="AB605" s="38"/>
      <c r="AC605" s="38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</row>
    <row r="606" spans="1:61" ht="1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38"/>
      <c r="Y606" s="11"/>
      <c r="Z606" s="11"/>
      <c r="AA606" s="11"/>
      <c r="AB606" s="38"/>
      <c r="AC606" s="38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</row>
    <row r="607" spans="1:61" ht="1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38"/>
      <c r="Y607" s="11"/>
      <c r="Z607" s="11"/>
      <c r="AA607" s="11"/>
      <c r="AB607" s="38"/>
      <c r="AC607" s="38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</row>
    <row r="608" spans="1:61" ht="1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38"/>
      <c r="Y608" s="11"/>
      <c r="Z608" s="11"/>
      <c r="AA608" s="11"/>
      <c r="AB608" s="38"/>
      <c r="AC608" s="38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</row>
    <row r="609" spans="1:61" ht="1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38"/>
      <c r="Y609" s="11"/>
      <c r="Z609" s="11"/>
      <c r="AA609" s="11"/>
      <c r="AB609" s="38"/>
      <c r="AC609" s="38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</row>
    <row r="610" spans="1:61" ht="1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38"/>
      <c r="Y610" s="11"/>
      <c r="Z610" s="11"/>
      <c r="AA610" s="11"/>
      <c r="AB610" s="38"/>
      <c r="AC610" s="38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</row>
    <row r="611" spans="1:61" ht="1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38"/>
      <c r="Y611" s="11"/>
      <c r="Z611" s="11"/>
      <c r="AA611" s="11"/>
      <c r="AB611" s="38"/>
      <c r="AC611" s="38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</row>
    <row r="612" spans="1:61" ht="1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38"/>
      <c r="Y612" s="11"/>
      <c r="Z612" s="11"/>
      <c r="AA612" s="11"/>
      <c r="AB612" s="38"/>
      <c r="AC612" s="38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</row>
    <row r="613" spans="1:61" ht="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38"/>
      <c r="Y613" s="11"/>
      <c r="Z613" s="11"/>
      <c r="AA613" s="11"/>
      <c r="AB613" s="38"/>
      <c r="AC613" s="38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</row>
    <row r="614" spans="1:61" ht="1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38"/>
      <c r="Y614" s="11"/>
      <c r="Z614" s="11"/>
      <c r="AA614" s="11"/>
      <c r="AB614" s="38"/>
      <c r="AC614" s="38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</row>
    <row r="615" spans="1:61" ht="1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38"/>
      <c r="Y615" s="11"/>
      <c r="Z615" s="11"/>
      <c r="AA615" s="11"/>
      <c r="AB615" s="38"/>
      <c r="AC615" s="38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</row>
    <row r="616" spans="1:61" ht="1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38"/>
      <c r="Y616" s="11"/>
      <c r="Z616" s="11"/>
      <c r="AA616" s="11"/>
      <c r="AB616" s="38"/>
      <c r="AC616" s="38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</row>
    <row r="617" spans="1:61" ht="1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38"/>
      <c r="Y617" s="11"/>
      <c r="Z617" s="11"/>
      <c r="AA617" s="11"/>
      <c r="AB617" s="38"/>
      <c r="AC617" s="38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</row>
    <row r="618" spans="1:61" ht="1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38"/>
      <c r="Y618" s="11"/>
      <c r="Z618" s="11"/>
      <c r="AA618" s="11"/>
      <c r="AB618" s="38"/>
      <c r="AC618" s="38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</row>
    <row r="619" spans="1:61" ht="1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38"/>
      <c r="Y619" s="11"/>
      <c r="Z619" s="11"/>
      <c r="AA619" s="11"/>
      <c r="AB619" s="38"/>
      <c r="AC619" s="38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</row>
    <row r="620" spans="1:61" ht="1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38"/>
      <c r="Y620" s="11"/>
      <c r="Z620" s="11"/>
      <c r="AA620" s="11"/>
      <c r="AB620" s="38"/>
      <c r="AC620" s="38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</row>
    <row r="621" spans="1:61" ht="1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38"/>
      <c r="Y621" s="11"/>
      <c r="Z621" s="11"/>
      <c r="AA621" s="11"/>
      <c r="AB621" s="38"/>
      <c r="AC621" s="38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</row>
    <row r="622" spans="1:61" ht="1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38"/>
      <c r="Y622" s="11"/>
      <c r="Z622" s="11"/>
      <c r="AA622" s="11"/>
      <c r="AB622" s="38"/>
      <c r="AC622" s="38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</row>
    <row r="623" spans="1:61" ht="1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38"/>
      <c r="Y623" s="11"/>
      <c r="Z623" s="11"/>
      <c r="AA623" s="11"/>
      <c r="AB623" s="38"/>
      <c r="AC623" s="38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</row>
    <row r="624" spans="1:61" ht="1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38"/>
      <c r="Y624" s="11"/>
      <c r="Z624" s="11"/>
      <c r="AA624" s="11"/>
      <c r="AB624" s="38"/>
      <c r="AC624" s="38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</row>
    <row r="625" spans="1:61" ht="1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38"/>
      <c r="Y625" s="11"/>
      <c r="Z625" s="11"/>
      <c r="AA625" s="11"/>
      <c r="AB625" s="38"/>
      <c r="AC625" s="38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</row>
    <row r="626" spans="1:61" ht="1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38"/>
      <c r="Y626" s="11"/>
      <c r="Z626" s="11"/>
      <c r="AA626" s="11"/>
      <c r="AB626" s="38"/>
      <c r="AC626" s="38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</row>
    <row r="627" spans="1:61" ht="1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38"/>
      <c r="Y627" s="11"/>
      <c r="Z627" s="11"/>
      <c r="AA627" s="11"/>
      <c r="AB627" s="38"/>
      <c r="AC627" s="38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</row>
    <row r="628" spans="1:61" ht="1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38"/>
      <c r="Y628" s="11"/>
      <c r="Z628" s="11"/>
      <c r="AA628" s="11"/>
      <c r="AB628" s="38"/>
      <c r="AC628" s="38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</row>
    <row r="629" spans="1:61" ht="1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38"/>
      <c r="Y629" s="11"/>
      <c r="Z629" s="11"/>
      <c r="AA629" s="11"/>
      <c r="AB629" s="38"/>
      <c r="AC629" s="38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</row>
    <row r="630" spans="1:61" ht="1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38"/>
      <c r="Y630" s="11"/>
      <c r="Z630" s="11"/>
      <c r="AA630" s="11"/>
      <c r="AB630" s="38"/>
      <c r="AC630" s="38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</row>
    <row r="631" spans="1:61" ht="1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38"/>
      <c r="Y631" s="11"/>
      <c r="Z631" s="11"/>
      <c r="AA631" s="11"/>
      <c r="AB631" s="38"/>
      <c r="AC631" s="38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</row>
    <row r="632" spans="1:61" ht="1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38"/>
      <c r="Y632" s="11"/>
      <c r="Z632" s="11"/>
      <c r="AA632" s="11"/>
      <c r="AB632" s="38"/>
      <c r="AC632" s="38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</row>
    <row r="633" spans="1:61" ht="1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38"/>
      <c r="Y633" s="11"/>
      <c r="Z633" s="11"/>
      <c r="AA633" s="11"/>
      <c r="AB633" s="38"/>
      <c r="AC633" s="38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</row>
    <row r="634" spans="1:61" ht="1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38"/>
      <c r="Y634" s="11"/>
      <c r="Z634" s="11"/>
      <c r="AA634" s="11"/>
      <c r="AB634" s="38"/>
      <c r="AC634" s="38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</row>
    <row r="635" spans="1:61" ht="1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38"/>
      <c r="Y635" s="11"/>
      <c r="Z635" s="11"/>
      <c r="AA635" s="11"/>
      <c r="AB635" s="38"/>
      <c r="AC635" s="38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</row>
    <row r="636" spans="1:61" ht="1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38"/>
      <c r="Y636" s="11"/>
      <c r="Z636" s="11"/>
      <c r="AA636" s="11"/>
      <c r="AB636" s="38"/>
      <c r="AC636" s="38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</row>
    <row r="637" spans="1:61" ht="1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38"/>
      <c r="Y637" s="11"/>
      <c r="Z637" s="11"/>
      <c r="AA637" s="11"/>
      <c r="AB637" s="38"/>
      <c r="AC637" s="38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</row>
    <row r="638" spans="1:61" ht="1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38"/>
      <c r="Y638" s="11"/>
      <c r="Z638" s="11"/>
      <c r="AA638" s="11"/>
      <c r="AB638" s="38"/>
      <c r="AC638" s="38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</row>
    <row r="639" spans="1:61" ht="1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38"/>
      <c r="Y639" s="11"/>
      <c r="Z639" s="11"/>
      <c r="AA639" s="11"/>
      <c r="AB639" s="38"/>
      <c r="AC639" s="38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</row>
    <row r="640" spans="1:61" ht="1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38"/>
      <c r="Y640" s="11"/>
      <c r="Z640" s="11"/>
      <c r="AA640" s="11"/>
      <c r="AB640" s="38"/>
      <c r="AC640" s="38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</row>
    <row r="641" spans="1:61" ht="1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38"/>
      <c r="Y641" s="11"/>
      <c r="Z641" s="11"/>
      <c r="AA641" s="11"/>
      <c r="AB641" s="38"/>
      <c r="AC641" s="38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</row>
    <row r="642" spans="1:61" ht="1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38"/>
      <c r="Y642" s="11"/>
      <c r="Z642" s="11"/>
      <c r="AA642" s="11"/>
      <c r="AB642" s="38"/>
      <c r="AC642" s="38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</row>
    <row r="643" spans="1:61" ht="1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38"/>
      <c r="Y643" s="11"/>
      <c r="Z643" s="11"/>
      <c r="AA643" s="11"/>
      <c r="AB643" s="38"/>
      <c r="AC643" s="38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</row>
    <row r="644" spans="1:61" ht="1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38"/>
      <c r="Y644" s="11"/>
      <c r="Z644" s="11"/>
      <c r="AA644" s="11"/>
      <c r="AB644" s="38"/>
      <c r="AC644" s="38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</row>
    <row r="645" spans="1:61" ht="1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38"/>
      <c r="Y645" s="11"/>
      <c r="Z645" s="11"/>
      <c r="AA645" s="11"/>
      <c r="AB645" s="38"/>
      <c r="AC645" s="38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</row>
    <row r="646" spans="1:61" ht="1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38"/>
      <c r="Y646" s="11"/>
      <c r="Z646" s="11"/>
      <c r="AA646" s="11"/>
      <c r="AB646" s="38"/>
      <c r="AC646" s="38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</row>
    <row r="647" spans="1:61" ht="1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38"/>
      <c r="Y647" s="11"/>
      <c r="Z647" s="11"/>
      <c r="AA647" s="11"/>
      <c r="AB647" s="38"/>
      <c r="AC647" s="38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</row>
    <row r="648" spans="1:61" ht="1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38"/>
      <c r="Y648" s="11"/>
      <c r="Z648" s="11"/>
      <c r="AA648" s="11"/>
      <c r="AB648" s="38"/>
      <c r="AC648" s="38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</row>
    <row r="649" spans="1:61" ht="1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38"/>
      <c r="Y649" s="11"/>
      <c r="Z649" s="11"/>
      <c r="AA649" s="11"/>
      <c r="AB649" s="38"/>
      <c r="AC649" s="38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</row>
    <row r="650" spans="1:61" ht="1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38"/>
      <c r="Y650" s="11"/>
      <c r="Z650" s="11"/>
      <c r="AA650" s="11"/>
      <c r="AB650" s="38"/>
      <c r="AC650" s="38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</row>
    <row r="651" spans="1:61" ht="1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38"/>
      <c r="Y651" s="11"/>
      <c r="Z651" s="11"/>
      <c r="AA651" s="11"/>
      <c r="AB651" s="38"/>
      <c r="AC651" s="38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</row>
    <row r="652" spans="1:61" ht="1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38"/>
      <c r="Y652" s="11"/>
      <c r="Z652" s="11"/>
      <c r="AA652" s="11"/>
      <c r="AB652" s="38"/>
      <c r="AC652" s="38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</row>
    <row r="653" spans="1:61" ht="1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38"/>
      <c r="Y653" s="11"/>
      <c r="Z653" s="11"/>
      <c r="AA653" s="11"/>
      <c r="AB653" s="38"/>
      <c r="AC653" s="38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</row>
    <row r="654" spans="1:61" ht="1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38"/>
      <c r="Y654" s="11"/>
      <c r="Z654" s="11"/>
      <c r="AA654" s="11"/>
      <c r="AB654" s="38"/>
      <c r="AC654" s="38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</row>
    <row r="655" spans="1:61" ht="1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38"/>
      <c r="Y655" s="11"/>
      <c r="Z655" s="11"/>
      <c r="AA655" s="11"/>
      <c r="AB655" s="38"/>
      <c r="AC655" s="38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</row>
    <row r="656" spans="1:61" ht="1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38"/>
      <c r="Y656" s="11"/>
      <c r="Z656" s="11"/>
      <c r="AA656" s="11"/>
      <c r="AB656" s="38"/>
      <c r="AC656" s="38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</row>
    <row r="657" spans="1:61" ht="1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38"/>
      <c r="Y657" s="11"/>
      <c r="Z657" s="11"/>
      <c r="AA657" s="11"/>
      <c r="AB657" s="38"/>
      <c r="AC657" s="38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</row>
    <row r="658" spans="1:61" ht="1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38"/>
      <c r="Y658" s="11"/>
      <c r="Z658" s="11"/>
      <c r="AA658" s="11"/>
      <c r="AB658" s="38"/>
      <c r="AC658" s="38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</row>
    <row r="659" spans="1:61" ht="1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38"/>
      <c r="Y659" s="11"/>
      <c r="Z659" s="11"/>
      <c r="AA659" s="11"/>
      <c r="AB659" s="38"/>
      <c r="AC659" s="38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</row>
    <row r="660" spans="1:61" ht="1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38"/>
      <c r="Y660" s="11"/>
      <c r="Z660" s="11"/>
      <c r="AA660" s="11"/>
      <c r="AB660" s="38"/>
      <c r="AC660" s="38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</row>
    <row r="661" spans="1:61" ht="1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38"/>
      <c r="Y661" s="11"/>
      <c r="Z661" s="11"/>
      <c r="AA661" s="11"/>
      <c r="AB661" s="38"/>
      <c r="AC661" s="38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</row>
    <row r="662" spans="1:61" ht="1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38"/>
      <c r="Y662" s="11"/>
      <c r="Z662" s="11"/>
      <c r="AA662" s="11"/>
      <c r="AB662" s="38"/>
      <c r="AC662" s="38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</row>
    <row r="663" spans="1:61" ht="1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38"/>
      <c r="Y663" s="11"/>
      <c r="Z663" s="11"/>
      <c r="AA663" s="11"/>
      <c r="AB663" s="38"/>
      <c r="AC663" s="38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</row>
    <row r="664" spans="1:61" ht="1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38"/>
      <c r="Y664" s="11"/>
      <c r="Z664" s="11"/>
      <c r="AA664" s="11"/>
      <c r="AB664" s="38"/>
      <c r="AC664" s="38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</row>
    <row r="665" spans="1:61" ht="1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38"/>
      <c r="Y665" s="11"/>
      <c r="Z665" s="11"/>
      <c r="AA665" s="11"/>
      <c r="AB665" s="38"/>
      <c r="AC665" s="38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</row>
    <row r="666" spans="1:61" ht="1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38"/>
      <c r="Y666" s="11"/>
      <c r="Z666" s="11"/>
      <c r="AA666" s="11"/>
      <c r="AB666" s="38"/>
      <c r="AC666" s="38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</row>
    <row r="667" spans="1:61" ht="1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38"/>
      <c r="Y667" s="11"/>
      <c r="Z667" s="11"/>
      <c r="AA667" s="11"/>
      <c r="AB667" s="38"/>
      <c r="AC667" s="38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</row>
    <row r="668" spans="1:61" ht="1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38"/>
      <c r="Y668" s="11"/>
      <c r="Z668" s="11"/>
      <c r="AA668" s="11"/>
      <c r="AB668" s="38"/>
      <c r="AC668" s="38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</row>
    <row r="669" spans="1:61" ht="1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38"/>
      <c r="Y669" s="11"/>
      <c r="Z669" s="11"/>
      <c r="AA669" s="11"/>
      <c r="AB669" s="38"/>
      <c r="AC669" s="38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</row>
    <row r="670" spans="1:61" ht="1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38"/>
      <c r="Y670" s="11"/>
      <c r="Z670" s="11"/>
      <c r="AA670" s="11"/>
      <c r="AB670" s="38"/>
      <c r="AC670" s="38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</row>
    <row r="671" spans="1:61" ht="1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38"/>
      <c r="Y671" s="11"/>
      <c r="Z671" s="11"/>
      <c r="AA671" s="11"/>
      <c r="AB671" s="38"/>
      <c r="AC671" s="38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</row>
    <row r="672" spans="1:61" ht="1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38"/>
      <c r="Y672" s="11"/>
      <c r="Z672" s="11"/>
      <c r="AA672" s="11"/>
      <c r="AB672" s="38"/>
      <c r="AC672" s="38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</row>
    <row r="673" spans="1:61" ht="1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38"/>
      <c r="Y673" s="11"/>
      <c r="Z673" s="11"/>
      <c r="AA673" s="11"/>
      <c r="AB673" s="38"/>
      <c r="AC673" s="38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</row>
    <row r="674" spans="1:61" ht="1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38"/>
      <c r="Y674" s="11"/>
      <c r="Z674" s="11"/>
      <c r="AA674" s="11"/>
      <c r="AB674" s="38"/>
      <c r="AC674" s="38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</row>
    <row r="675" spans="1:61" ht="1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38"/>
      <c r="Y675" s="11"/>
      <c r="Z675" s="11"/>
      <c r="AA675" s="11"/>
      <c r="AB675" s="38"/>
      <c r="AC675" s="38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</row>
    <row r="676" spans="1:61" ht="1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38"/>
      <c r="Y676" s="11"/>
      <c r="Z676" s="11"/>
      <c r="AA676" s="11"/>
      <c r="AB676" s="38"/>
      <c r="AC676" s="38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</row>
    <row r="677" spans="1:61" ht="1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38"/>
      <c r="Y677" s="11"/>
      <c r="Z677" s="11"/>
      <c r="AA677" s="11"/>
      <c r="AB677" s="38"/>
      <c r="AC677" s="38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</row>
    <row r="678" spans="1:61" ht="1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38"/>
      <c r="Y678" s="11"/>
      <c r="Z678" s="11"/>
      <c r="AA678" s="11"/>
      <c r="AB678" s="38"/>
      <c r="AC678" s="38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</row>
    <row r="679" spans="1:61" ht="1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38"/>
      <c r="Y679" s="11"/>
      <c r="Z679" s="11"/>
      <c r="AA679" s="11"/>
      <c r="AB679" s="38"/>
      <c r="AC679" s="38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</row>
    <row r="680" spans="1:61" ht="1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38"/>
      <c r="Y680" s="11"/>
      <c r="Z680" s="11"/>
      <c r="AA680" s="11"/>
      <c r="AB680" s="38"/>
      <c r="AC680" s="38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</row>
    <row r="681" spans="1:61" ht="1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38"/>
      <c r="Y681" s="11"/>
      <c r="Z681" s="11"/>
      <c r="AA681" s="11"/>
      <c r="AB681" s="38"/>
      <c r="AC681" s="38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</row>
    <row r="682" spans="1:61" ht="1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38"/>
      <c r="Y682" s="11"/>
      <c r="Z682" s="11"/>
      <c r="AA682" s="11"/>
      <c r="AB682" s="38"/>
      <c r="AC682" s="38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</row>
    <row r="683" spans="1:61" ht="1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38"/>
      <c r="Y683" s="11"/>
      <c r="Z683" s="11"/>
      <c r="AA683" s="11"/>
      <c r="AB683" s="38"/>
      <c r="AC683" s="38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</row>
    <row r="684" spans="1:61" ht="1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38"/>
      <c r="Y684" s="11"/>
      <c r="Z684" s="11"/>
      <c r="AA684" s="11"/>
      <c r="AB684" s="38"/>
      <c r="AC684" s="38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</row>
    <row r="685" spans="1:61" ht="1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38"/>
      <c r="Y685" s="11"/>
      <c r="Z685" s="11"/>
      <c r="AA685" s="11"/>
      <c r="AB685" s="38"/>
      <c r="AC685" s="38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</row>
    <row r="686" spans="1:61" ht="1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38"/>
      <c r="Y686" s="11"/>
      <c r="Z686" s="11"/>
      <c r="AA686" s="11"/>
      <c r="AB686" s="38"/>
      <c r="AC686" s="38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</row>
    <row r="687" spans="1:61" ht="1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38"/>
      <c r="Y687" s="11"/>
      <c r="Z687" s="11"/>
      <c r="AA687" s="11"/>
      <c r="AB687" s="38"/>
      <c r="AC687" s="38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</row>
    <row r="688" spans="1:61" ht="1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38"/>
      <c r="Y688" s="11"/>
      <c r="Z688" s="11"/>
      <c r="AA688" s="11"/>
      <c r="AB688" s="38"/>
      <c r="AC688" s="38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</row>
    <row r="689" spans="1:61" ht="1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38"/>
      <c r="Y689" s="11"/>
      <c r="Z689" s="11"/>
      <c r="AA689" s="11"/>
      <c r="AB689" s="38"/>
      <c r="AC689" s="38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</row>
    <row r="690" spans="1:61" ht="1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38"/>
      <c r="Y690" s="11"/>
      <c r="Z690" s="11"/>
      <c r="AA690" s="11"/>
      <c r="AB690" s="38"/>
      <c r="AC690" s="38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</row>
    <row r="691" spans="1:61" ht="1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38"/>
      <c r="Y691" s="11"/>
      <c r="Z691" s="11"/>
      <c r="AA691" s="11"/>
      <c r="AB691" s="38"/>
      <c r="AC691" s="38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</row>
    <row r="692" spans="1:61" ht="1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38"/>
      <c r="Y692" s="11"/>
      <c r="Z692" s="11"/>
      <c r="AA692" s="11"/>
      <c r="AB692" s="38"/>
      <c r="AC692" s="38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</row>
    <row r="693" spans="1:61" ht="1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38"/>
      <c r="Y693" s="11"/>
      <c r="Z693" s="11"/>
      <c r="AA693" s="11"/>
      <c r="AB693" s="38"/>
      <c r="AC693" s="38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</row>
    <row r="694" spans="1:61" ht="1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38"/>
      <c r="Y694" s="11"/>
      <c r="Z694" s="11"/>
      <c r="AA694" s="11"/>
      <c r="AB694" s="38"/>
      <c r="AC694" s="38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</row>
    <row r="695" spans="1:61" ht="1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38"/>
      <c r="Y695" s="11"/>
      <c r="Z695" s="11"/>
      <c r="AA695" s="11"/>
      <c r="AB695" s="38"/>
      <c r="AC695" s="38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</row>
    <row r="696" spans="1:61" ht="1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38"/>
      <c r="Y696" s="11"/>
      <c r="Z696" s="11"/>
      <c r="AA696" s="11"/>
      <c r="AB696" s="38"/>
      <c r="AC696" s="38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</row>
    <row r="697" spans="1:61" ht="1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38"/>
      <c r="Y697" s="11"/>
      <c r="Z697" s="11"/>
      <c r="AA697" s="11"/>
      <c r="AB697" s="38"/>
      <c r="AC697" s="38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</row>
    <row r="698" spans="1:61" ht="1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38"/>
      <c r="Y698" s="11"/>
      <c r="Z698" s="11"/>
      <c r="AA698" s="11"/>
      <c r="AB698" s="38"/>
      <c r="AC698" s="38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</row>
    <row r="699" spans="1:61" ht="1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38"/>
      <c r="Y699" s="11"/>
      <c r="Z699" s="11"/>
      <c r="AA699" s="11"/>
      <c r="AB699" s="38"/>
      <c r="AC699" s="38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</row>
    <row r="700" spans="1:61" ht="1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38"/>
      <c r="Y700" s="11"/>
      <c r="Z700" s="11"/>
      <c r="AA700" s="11"/>
      <c r="AB700" s="38"/>
      <c r="AC700" s="38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</row>
    <row r="701" spans="1:61" ht="1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38"/>
      <c r="Y701" s="11"/>
      <c r="Z701" s="11"/>
      <c r="AA701" s="11"/>
      <c r="AB701" s="38"/>
      <c r="AC701" s="38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</row>
    <row r="702" spans="1:61" ht="1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38"/>
      <c r="Y702" s="11"/>
      <c r="Z702" s="11"/>
      <c r="AA702" s="11"/>
      <c r="AB702" s="38"/>
      <c r="AC702" s="38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</row>
    <row r="703" spans="1:61" ht="1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38"/>
      <c r="Y703" s="11"/>
      <c r="Z703" s="11"/>
      <c r="AA703" s="11"/>
      <c r="AB703" s="38"/>
      <c r="AC703" s="38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</row>
    <row r="704" spans="1:61" ht="1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38"/>
      <c r="Y704" s="11"/>
      <c r="Z704" s="11"/>
      <c r="AA704" s="11"/>
      <c r="AB704" s="38"/>
      <c r="AC704" s="38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</row>
    <row r="705" spans="1:61" ht="1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38"/>
      <c r="Y705" s="11"/>
      <c r="Z705" s="11"/>
      <c r="AA705" s="11"/>
      <c r="AB705" s="38"/>
      <c r="AC705" s="38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</row>
    <row r="706" spans="1:61" ht="1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38"/>
      <c r="Y706" s="11"/>
      <c r="Z706" s="11"/>
      <c r="AA706" s="11"/>
      <c r="AB706" s="38"/>
      <c r="AC706" s="38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</row>
    <row r="707" spans="1:61" ht="1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38"/>
      <c r="Y707" s="11"/>
      <c r="Z707" s="11"/>
      <c r="AA707" s="11"/>
      <c r="AB707" s="38"/>
      <c r="AC707" s="38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</row>
    <row r="708" spans="1:61" ht="1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38"/>
      <c r="Y708" s="11"/>
      <c r="Z708" s="11"/>
      <c r="AA708" s="11"/>
      <c r="AB708" s="38"/>
      <c r="AC708" s="38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</row>
    <row r="709" spans="1:61" ht="1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38"/>
      <c r="Y709" s="11"/>
      <c r="Z709" s="11"/>
      <c r="AA709" s="11"/>
      <c r="AB709" s="38"/>
      <c r="AC709" s="38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</row>
    <row r="710" spans="1:61" ht="1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38"/>
      <c r="Y710" s="11"/>
      <c r="Z710" s="11"/>
      <c r="AA710" s="11"/>
      <c r="AB710" s="38"/>
      <c r="AC710" s="38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</row>
    <row r="711" spans="1:61" ht="1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38"/>
      <c r="Y711" s="11"/>
      <c r="Z711" s="11"/>
      <c r="AA711" s="11"/>
      <c r="AB711" s="38"/>
      <c r="AC711" s="38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</row>
    <row r="712" spans="1:61" ht="1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38"/>
      <c r="Y712" s="11"/>
      <c r="Z712" s="11"/>
      <c r="AA712" s="11"/>
      <c r="AB712" s="38"/>
      <c r="AC712" s="38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</row>
    <row r="713" spans="1:61" ht="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38"/>
      <c r="Y713" s="11"/>
      <c r="Z713" s="11"/>
      <c r="AA713" s="11"/>
      <c r="AB713" s="38"/>
      <c r="AC713" s="38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</row>
    <row r="714" spans="1:61" ht="1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38"/>
      <c r="Y714" s="11"/>
      <c r="Z714" s="11"/>
      <c r="AA714" s="11"/>
      <c r="AB714" s="38"/>
      <c r="AC714" s="38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</row>
    <row r="715" spans="1:61" ht="1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38"/>
      <c r="Y715" s="11"/>
      <c r="Z715" s="11"/>
      <c r="AA715" s="11"/>
      <c r="AB715" s="38"/>
      <c r="AC715" s="38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</row>
    <row r="716" spans="1:61" ht="1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38"/>
      <c r="Y716" s="11"/>
      <c r="Z716" s="11"/>
      <c r="AA716" s="11"/>
      <c r="AB716" s="38"/>
      <c r="AC716" s="38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</row>
    <row r="717" spans="1:61" ht="1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38"/>
      <c r="Y717" s="11"/>
      <c r="Z717" s="11"/>
      <c r="AA717" s="11"/>
      <c r="AB717" s="38"/>
      <c r="AC717" s="38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</row>
    <row r="718" spans="1:61" ht="1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38"/>
      <c r="Y718" s="11"/>
      <c r="Z718" s="11"/>
      <c r="AA718" s="11"/>
      <c r="AB718" s="38"/>
      <c r="AC718" s="38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</row>
    <row r="719" spans="1:61" ht="1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38"/>
      <c r="Y719" s="11"/>
      <c r="Z719" s="11"/>
      <c r="AA719" s="11"/>
      <c r="AB719" s="38"/>
      <c r="AC719" s="38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</row>
    <row r="720" spans="1:61" ht="1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38"/>
      <c r="Y720" s="11"/>
      <c r="Z720" s="11"/>
      <c r="AA720" s="11"/>
      <c r="AB720" s="38"/>
      <c r="AC720" s="38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</row>
    <row r="721" spans="1:61" ht="1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38"/>
      <c r="Y721" s="11"/>
      <c r="Z721" s="11"/>
      <c r="AA721" s="11"/>
      <c r="AB721" s="38"/>
      <c r="AC721" s="38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</row>
    <row r="722" spans="1:61" ht="1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38"/>
      <c r="Y722" s="11"/>
      <c r="Z722" s="11"/>
      <c r="AA722" s="11"/>
      <c r="AB722" s="38"/>
      <c r="AC722" s="38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</row>
    <row r="723" spans="1:61" ht="1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38"/>
      <c r="Y723" s="11"/>
      <c r="Z723" s="11"/>
      <c r="AA723" s="11"/>
      <c r="AB723" s="38"/>
      <c r="AC723" s="38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</row>
    <row r="724" spans="1:61" ht="1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38"/>
      <c r="Y724" s="11"/>
      <c r="Z724" s="11"/>
      <c r="AA724" s="11"/>
      <c r="AB724" s="38"/>
      <c r="AC724" s="38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</row>
    <row r="725" spans="1:61" ht="1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38"/>
      <c r="Y725" s="11"/>
      <c r="Z725" s="11"/>
      <c r="AA725" s="11"/>
      <c r="AB725" s="38"/>
      <c r="AC725" s="38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</row>
    <row r="726" spans="1:61" ht="1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38"/>
      <c r="Y726" s="11"/>
      <c r="Z726" s="11"/>
      <c r="AA726" s="11"/>
      <c r="AB726" s="38"/>
      <c r="AC726" s="38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</row>
    <row r="727" spans="1:61" ht="1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38"/>
      <c r="Y727" s="11"/>
      <c r="Z727" s="11"/>
      <c r="AA727" s="11"/>
      <c r="AB727" s="38"/>
      <c r="AC727" s="38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</row>
    <row r="728" spans="1:61" ht="1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38"/>
      <c r="Y728" s="11"/>
      <c r="Z728" s="11"/>
      <c r="AA728" s="11"/>
      <c r="AB728" s="38"/>
      <c r="AC728" s="38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</row>
    <row r="729" spans="1:61" ht="1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38"/>
      <c r="Y729" s="11"/>
      <c r="Z729" s="11"/>
      <c r="AA729" s="11"/>
      <c r="AB729" s="38"/>
      <c r="AC729" s="38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</row>
    <row r="730" spans="1:61" ht="1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38"/>
      <c r="Y730" s="11"/>
      <c r="Z730" s="11"/>
      <c r="AA730" s="11"/>
      <c r="AB730" s="38"/>
      <c r="AC730" s="38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</row>
    <row r="731" spans="1:61" ht="1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38"/>
      <c r="Y731" s="11"/>
      <c r="Z731" s="11"/>
      <c r="AA731" s="11"/>
      <c r="AB731" s="38"/>
      <c r="AC731" s="38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</row>
    <row r="732" spans="1:61" ht="1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38"/>
      <c r="Y732" s="11"/>
      <c r="Z732" s="11"/>
      <c r="AA732" s="11"/>
      <c r="AB732" s="38"/>
      <c r="AC732" s="38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</row>
    <row r="733" spans="1:61" ht="1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38"/>
      <c r="Y733" s="11"/>
      <c r="Z733" s="11"/>
      <c r="AA733" s="11"/>
      <c r="AB733" s="38"/>
      <c r="AC733" s="38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</row>
    <row r="734" spans="1:61" ht="1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38"/>
      <c r="Y734" s="11"/>
      <c r="Z734" s="11"/>
      <c r="AA734" s="11"/>
      <c r="AB734" s="38"/>
      <c r="AC734" s="38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</row>
    <row r="735" spans="1:61" ht="1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38"/>
      <c r="Y735" s="11"/>
      <c r="Z735" s="11"/>
      <c r="AA735" s="11"/>
      <c r="AB735" s="38"/>
      <c r="AC735" s="38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</row>
    <row r="736" spans="1:61" ht="1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38"/>
      <c r="Y736" s="11"/>
      <c r="Z736" s="11"/>
      <c r="AA736" s="11"/>
      <c r="AB736" s="38"/>
      <c r="AC736" s="38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</row>
    <row r="737" spans="1:61" ht="1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38"/>
      <c r="Y737" s="11"/>
      <c r="Z737" s="11"/>
      <c r="AA737" s="11"/>
      <c r="AB737" s="38"/>
      <c r="AC737" s="38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</row>
    <row r="738" spans="1:61" ht="1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38"/>
      <c r="Y738" s="11"/>
      <c r="Z738" s="11"/>
      <c r="AA738" s="11"/>
      <c r="AB738" s="38"/>
      <c r="AC738" s="38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</row>
    <row r="739" spans="1:61" ht="1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38"/>
      <c r="Y739" s="11"/>
      <c r="Z739" s="11"/>
      <c r="AA739" s="11"/>
      <c r="AB739" s="38"/>
      <c r="AC739" s="38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</row>
    <row r="740" spans="1:61" ht="1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38"/>
      <c r="Y740" s="11"/>
      <c r="Z740" s="11"/>
      <c r="AA740" s="11"/>
      <c r="AB740" s="38"/>
      <c r="AC740" s="38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</row>
    <row r="741" spans="1:61" ht="1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38"/>
      <c r="Y741" s="11"/>
      <c r="Z741" s="11"/>
      <c r="AA741" s="11"/>
      <c r="AB741" s="38"/>
      <c r="AC741" s="38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</row>
    <row r="742" spans="1:61" ht="1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38"/>
      <c r="Y742" s="11"/>
      <c r="Z742" s="11"/>
      <c r="AA742" s="11"/>
      <c r="AB742" s="38"/>
      <c r="AC742" s="38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</row>
    <row r="743" spans="1:61" ht="1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38"/>
      <c r="Y743" s="11"/>
      <c r="Z743" s="11"/>
      <c r="AA743" s="11"/>
      <c r="AB743" s="38"/>
      <c r="AC743" s="38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</row>
    <row r="744" spans="1:61" ht="1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38"/>
      <c r="Y744" s="11"/>
      <c r="Z744" s="11"/>
      <c r="AA744" s="11"/>
      <c r="AB744" s="38"/>
      <c r="AC744" s="38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</row>
    <row r="745" spans="1:61" ht="1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38"/>
      <c r="Y745" s="11"/>
      <c r="Z745" s="11"/>
      <c r="AA745" s="11"/>
      <c r="AB745" s="38"/>
      <c r="AC745" s="38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</row>
    <row r="746" spans="1:61" ht="1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38"/>
      <c r="Y746" s="11"/>
      <c r="Z746" s="11"/>
      <c r="AA746" s="11"/>
      <c r="AB746" s="38"/>
      <c r="AC746" s="38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</row>
    <row r="747" spans="1:61" ht="1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38"/>
      <c r="Y747" s="11"/>
      <c r="Z747" s="11"/>
      <c r="AA747" s="11"/>
      <c r="AB747" s="38"/>
      <c r="AC747" s="38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</row>
    <row r="748" spans="1:61" ht="1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38"/>
      <c r="Y748" s="11"/>
      <c r="Z748" s="11"/>
      <c r="AA748" s="11"/>
      <c r="AB748" s="38"/>
      <c r="AC748" s="38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</row>
    <row r="749" spans="1:61" ht="1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38"/>
      <c r="Y749" s="11"/>
      <c r="Z749" s="11"/>
      <c r="AA749" s="11"/>
      <c r="AB749" s="38"/>
      <c r="AC749" s="38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</row>
    <row r="750" spans="1:61" ht="1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38"/>
      <c r="Y750" s="11"/>
      <c r="Z750" s="11"/>
      <c r="AA750" s="11"/>
      <c r="AB750" s="38"/>
      <c r="AC750" s="38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</row>
    <row r="751" spans="1:61" ht="1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38"/>
      <c r="Y751" s="11"/>
      <c r="Z751" s="11"/>
      <c r="AA751" s="11"/>
      <c r="AB751" s="38"/>
      <c r="AC751" s="38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</row>
    <row r="752" spans="1:61" ht="1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38"/>
      <c r="Y752" s="11"/>
      <c r="Z752" s="11"/>
      <c r="AA752" s="11"/>
      <c r="AB752" s="38"/>
      <c r="AC752" s="38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</row>
    <row r="753" spans="1:61" ht="1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38"/>
      <c r="Y753" s="11"/>
      <c r="Z753" s="11"/>
      <c r="AA753" s="11"/>
      <c r="AB753" s="38"/>
      <c r="AC753" s="38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</row>
    <row r="754" spans="1:61" ht="1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38"/>
      <c r="Y754" s="11"/>
      <c r="Z754" s="11"/>
      <c r="AA754" s="11"/>
      <c r="AB754" s="38"/>
      <c r="AC754" s="38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</row>
    <row r="755" spans="1:61" ht="1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38"/>
      <c r="Y755" s="11"/>
      <c r="Z755" s="11"/>
      <c r="AA755" s="11"/>
      <c r="AB755" s="38"/>
      <c r="AC755" s="38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</row>
    <row r="756" spans="1:61" ht="1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38"/>
      <c r="Y756" s="11"/>
      <c r="Z756" s="11"/>
      <c r="AA756" s="11"/>
      <c r="AB756" s="38"/>
      <c r="AC756" s="38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</row>
    <row r="757" spans="1:61" ht="1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38"/>
      <c r="Y757" s="11"/>
      <c r="Z757" s="11"/>
      <c r="AA757" s="11"/>
      <c r="AB757" s="38"/>
      <c r="AC757" s="38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</row>
    <row r="758" spans="1:61" ht="1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38"/>
      <c r="Y758" s="11"/>
      <c r="Z758" s="11"/>
      <c r="AA758" s="11"/>
      <c r="AB758" s="38"/>
      <c r="AC758" s="38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</row>
    <row r="759" spans="1:61" ht="1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38"/>
      <c r="Y759" s="11"/>
      <c r="Z759" s="11"/>
      <c r="AA759" s="11"/>
      <c r="AB759" s="38"/>
      <c r="AC759" s="38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</row>
    <row r="760" spans="1:61" ht="1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38"/>
      <c r="Y760" s="11"/>
      <c r="Z760" s="11"/>
      <c r="AA760" s="11"/>
      <c r="AB760" s="38"/>
      <c r="AC760" s="38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</row>
    <row r="761" spans="1:61" ht="1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38"/>
      <c r="Y761" s="11"/>
      <c r="Z761" s="11"/>
      <c r="AA761" s="11"/>
      <c r="AB761" s="38"/>
      <c r="AC761" s="38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</row>
    <row r="762" spans="1:61" ht="1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38"/>
      <c r="Y762" s="11"/>
      <c r="Z762" s="11"/>
      <c r="AA762" s="11"/>
      <c r="AB762" s="38"/>
      <c r="AC762" s="38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</row>
    <row r="763" spans="1:61" ht="1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38"/>
      <c r="Y763" s="11"/>
      <c r="Z763" s="11"/>
      <c r="AA763" s="11"/>
      <c r="AB763" s="38"/>
      <c r="AC763" s="38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</row>
    <row r="764" spans="1:61" ht="1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38"/>
      <c r="Y764" s="11"/>
      <c r="Z764" s="11"/>
      <c r="AA764" s="11"/>
      <c r="AB764" s="38"/>
      <c r="AC764" s="38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</row>
    <row r="765" spans="1:61" ht="1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38"/>
      <c r="Y765" s="11"/>
      <c r="Z765" s="11"/>
      <c r="AA765" s="11"/>
      <c r="AB765" s="38"/>
      <c r="AC765" s="38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</row>
    <row r="766" spans="1:61" ht="1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38"/>
      <c r="Y766" s="11"/>
      <c r="Z766" s="11"/>
      <c r="AA766" s="11"/>
      <c r="AB766" s="38"/>
      <c r="AC766" s="38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</row>
    <row r="767" spans="1:61" ht="1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38"/>
      <c r="Y767" s="11"/>
      <c r="Z767" s="11"/>
      <c r="AA767" s="11"/>
      <c r="AB767" s="38"/>
      <c r="AC767" s="38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</row>
    <row r="768" spans="1:61" ht="1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38"/>
      <c r="Y768" s="11"/>
      <c r="Z768" s="11"/>
      <c r="AA768" s="11"/>
      <c r="AB768" s="38"/>
      <c r="AC768" s="38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</row>
    <row r="769" spans="1:61" ht="1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38"/>
      <c r="Y769" s="11"/>
      <c r="Z769" s="11"/>
      <c r="AA769" s="11"/>
      <c r="AB769" s="38"/>
      <c r="AC769" s="38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</row>
    <row r="770" spans="1:61" ht="1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38"/>
      <c r="Y770" s="11"/>
      <c r="Z770" s="11"/>
      <c r="AA770" s="11"/>
      <c r="AB770" s="38"/>
      <c r="AC770" s="38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</row>
    <row r="771" spans="1:61" ht="1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38"/>
      <c r="Y771" s="11"/>
      <c r="Z771" s="11"/>
      <c r="AA771" s="11"/>
      <c r="AB771" s="38"/>
      <c r="AC771" s="38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</row>
    <row r="772" spans="1:61" ht="1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38"/>
      <c r="Y772" s="11"/>
      <c r="Z772" s="11"/>
      <c r="AA772" s="11"/>
      <c r="AB772" s="38"/>
      <c r="AC772" s="38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</row>
    <row r="773" spans="1:61" ht="1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38"/>
      <c r="Y773" s="11"/>
      <c r="Z773" s="11"/>
      <c r="AA773" s="11"/>
      <c r="AB773" s="38"/>
      <c r="AC773" s="38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</row>
    <row r="774" spans="1:61" ht="1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38"/>
      <c r="Y774" s="11"/>
      <c r="Z774" s="11"/>
      <c r="AA774" s="11"/>
      <c r="AB774" s="38"/>
      <c r="AC774" s="38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</row>
    <row r="775" spans="1:61" ht="1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38"/>
      <c r="Y775" s="11"/>
      <c r="Z775" s="11"/>
      <c r="AA775" s="11"/>
      <c r="AB775" s="38"/>
      <c r="AC775" s="38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</row>
    <row r="776" spans="1:61" ht="1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38"/>
      <c r="Y776" s="11"/>
      <c r="Z776" s="11"/>
      <c r="AA776" s="11"/>
      <c r="AB776" s="38"/>
      <c r="AC776" s="38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</row>
    <row r="777" spans="1:61" ht="1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38"/>
      <c r="Y777" s="11"/>
      <c r="Z777" s="11"/>
      <c r="AA777" s="11"/>
      <c r="AB777" s="38"/>
      <c r="AC777" s="38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</row>
    <row r="778" spans="1:61" ht="1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38"/>
      <c r="Y778" s="11"/>
      <c r="Z778" s="11"/>
      <c r="AA778" s="11"/>
      <c r="AB778" s="38"/>
      <c r="AC778" s="38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</row>
    <row r="779" spans="1:61" ht="1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38"/>
      <c r="Y779" s="11"/>
      <c r="Z779" s="11"/>
      <c r="AA779" s="11"/>
      <c r="AB779" s="38"/>
      <c r="AC779" s="38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</row>
    <row r="780" spans="1:61" ht="1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38"/>
      <c r="Y780" s="11"/>
      <c r="Z780" s="11"/>
      <c r="AA780" s="11"/>
      <c r="AB780" s="38"/>
      <c r="AC780" s="38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</row>
    <row r="781" spans="1:61" ht="1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38"/>
      <c r="Y781" s="11"/>
      <c r="Z781" s="11"/>
      <c r="AA781" s="11"/>
      <c r="AB781" s="38"/>
      <c r="AC781" s="38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</row>
    <row r="782" spans="1:61" ht="1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38"/>
      <c r="Y782" s="11"/>
      <c r="Z782" s="11"/>
      <c r="AA782" s="11"/>
      <c r="AB782" s="38"/>
      <c r="AC782" s="38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</row>
    <row r="783" spans="1:61" ht="1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38"/>
      <c r="Y783" s="11"/>
      <c r="Z783" s="11"/>
      <c r="AA783" s="11"/>
      <c r="AB783" s="38"/>
      <c r="AC783" s="38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</row>
    <row r="784" spans="1:61" ht="1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38"/>
      <c r="Y784" s="11"/>
      <c r="Z784" s="11"/>
      <c r="AA784" s="11"/>
      <c r="AB784" s="38"/>
      <c r="AC784" s="38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</row>
    <row r="785" spans="1:61" ht="1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38"/>
      <c r="Y785" s="11"/>
      <c r="Z785" s="11"/>
      <c r="AA785" s="11"/>
      <c r="AB785" s="38"/>
      <c r="AC785" s="38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</row>
    <row r="786" spans="1:61" ht="1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38"/>
      <c r="Y786" s="11"/>
      <c r="Z786" s="11"/>
      <c r="AA786" s="11"/>
      <c r="AB786" s="38"/>
      <c r="AC786" s="38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</row>
    <row r="787" spans="1:61" ht="1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38"/>
      <c r="Y787" s="11"/>
      <c r="Z787" s="11"/>
      <c r="AA787" s="11"/>
      <c r="AB787" s="38"/>
      <c r="AC787" s="38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</row>
    <row r="788" spans="1:61" ht="1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38"/>
      <c r="Y788" s="11"/>
      <c r="Z788" s="11"/>
      <c r="AA788" s="11"/>
      <c r="AB788" s="38"/>
      <c r="AC788" s="38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</row>
    <row r="789" spans="1:61" ht="1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38"/>
      <c r="Y789" s="11"/>
      <c r="Z789" s="11"/>
      <c r="AA789" s="11"/>
      <c r="AB789" s="38"/>
      <c r="AC789" s="38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</row>
    <row r="790" spans="1:61" ht="1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38"/>
      <c r="Y790" s="11"/>
      <c r="Z790" s="11"/>
      <c r="AA790" s="11"/>
      <c r="AB790" s="38"/>
      <c r="AC790" s="38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</row>
    <row r="791" spans="1:61" ht="1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38"/>
      <c r="Y791" s="11"/>
      <c r="Z791" s="11"/>
      <c r="AA791" s="11"/>
      <c r="AB791" s="38"/>
      <c r="AC791" s="38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</row>
    <row r="792" spans="1:61" ht="1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38"/>
      <c r="Y792" s="11"/>
      <c r="Z792" s="11"/>
      <c r="AA792" s="11"/>
      <c r="AB792" s="38"/>
      <c r="AC792" s="38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</row>
    <row r="793" spans="1:61" ht="1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38"/>
      <c r="Y793" s="11"/>
      <c r="Z793" s="11"/>
      <c r="AA793" s="11"/>
      <c r="AB793" s="38"/>
      <c r="AC793" s="38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</row>
    <row r="794" spans="1:61" ht="1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38"/>
      <c r="Y794" s="11"/>
      <c r="Z794" s="11"/>
      <c r="AA794" s="11"/>
      <c r="AB794" s="38"/>
      <c r="AC794" s="38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</row>
    <row r="795" spans="1:61" ht="1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38"/>
      <c r="Y795" s="11"/>
      <c r="Z795" s="11"/>
      <c r="AA795" s="11"/>
      <c r="AB795" s="38"/>
      <c r="AC795" s="38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</row>
    <row r="796" spans="1:61" ht="1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38"/>
      <c r="Y796" s="11"/>
      <c r="Z796" s="11"/>
      <c r="AA796" s="11"/>
      <c r="AB796" s="38"/>
      <c r="AC796" s="38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</row>
    <row r="797" spans="1:61" ht="1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38"/>
      <c r="Y797" s="11"/>
      <c r="Z797" s="11"/>
      <c r="AA797" s="11"/>
      <c r="AB797" s="38"/>
      <c r="AC797" s="38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</row>
    <row r="798" spans="1:61" ht="1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38"/>
      <c r="Y798" s="11"/>
      <c r="Z798" s="11"/>
      <c r="AA798" s="11"/>
      <c r="AB798" s="38"/>
      <c r="AC798" s="38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</row>
    <row r="799" spans="1:61" ht="1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38"/>
      <c r="Y799" s="11"/>
      <c r="Z799" s="11"/>
      <c r="AA799" s="11"/>
      <c r="AB799" s="38"/>
      <c r="AC799" s="38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</row>
    <row r="800" spans="1:61" ht="1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38"/>
      <c r="Y800" s="11"/>
      <c r="Z800" s="11"/>
      <c r="AA800" s="11"/>
      <c r="AB800" s="38"/>
      <c r="AC800" s="38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</row>
    <row r="801" spans="1:61" ht="1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38"/>
      <c r="Y801" s="11"/>
      <c r="Z801" s="11"/>
      <c r="AA801" s="11"/>
      <c r="AB801" s="38"/>
      <c r="AC801" s="38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</row>
    <row r="802" spans="1:61" ht="1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38"/>
      <c r="Y802" s="11"/>
      <c r="Z802" s="11"/>
      <c r="AA802" s="11"/>
      <c r="AB802" s="38"/>
      <c r="AC802" s="38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</row>
    <row r="803" spans="1:61" ht="1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38"/>
      <c r="Y803" s="11"/>
      <c r="Z803" s="11"/>
      <c r="AA803" s="11"/>
      <c r="AB803" s="38"/>
      <c r="AC803" s="38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</row>
    <row r="804" spans="1:61" ht="1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38"/>
      <c r="Y804" s="11"/>
      <c r="Z804" s="11"/>
      <c r="AA804" s="11"/>
      <c r="AB804" s="38"/>
      <c r="AC804" s="38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</row>
    <row r="805" spans="1:61" ht="1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38"/>
      <c r="Y805" s="11"/>
      <c r="Z805" s="11"/>
      <c r="AA805" s="11"/>
      <c r="AB805" s="38"/>
      <c r="AC805" s="38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</row>
    <row r="806" spans="1:61" ht="1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38"/>
      <c r="Y806" s="11"/>
      <c r="Z806" s="11"/>
      <c r="AA806" s="11"/>
      <c r="AB806" s="38"/>
      <c r="AC806" s="38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</row>
    <row r="807" spans="1:61" ht="1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38"/>
      <c r="Y807" s="11"/>
      <c r="Z807" s="11"/>
      <c r="AA807" s="11"/>
      <c r="AB807" s="38"/>
      <c r="AC807" s="38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</row>
    <row r="808" spans="1:61" ht="1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38"/>
      <c r="Y808" s="11"/>
      <c r="Z808" s="11"/>
      <c r="AA808" s="11"/>
      <c r="AB808" s="38"/>
      <c r="AC808" s="38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</row>
    <row r="809" spans="1:61" ht="1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38"/>
      <c r="Y809" s="11"/>
      <c r="Z809" s="11"/>
      <c r="AA809" s="11"/>
      <c r="AB809" s="38"/>
      <c r="AC809" s="38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</row>
    <row r="810" spans="1:61" ht="1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38"/>
      <c r="Y810" s="11"/>
      <c r="Z810" s="11"/>
      <c r="AA810" s="11"/>
      <c r="AB810" s="38"/>
      <c r="AC810" s="38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</row>
    <row r="811" spans="1:61" ht="1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38"/>
      <c r="Y811" s="11"/>
      <c r="Z811" s="11"/>
      <c r="AA811" s="11"/>
      <c r="AB811" s="38"/>
      <c r="AC811" s="38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</row>
    <row r="812" spans="1:61" ht="1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38"/>
      <c r="Y812" s="11"/>
      <c r="Z812" s="11"/>
      <c r="AA812" s="11"/>
      <c r="AB812" s="38"/>
      <c r="AC812" s="38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</row>
    <row r="813" spans="1:61" ht="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38"/>
      <c r="Y813" s="11"/>
      <c r="Z813" s="11"/>
      <c r="AA813" s="11"/>
      <c r="AB813" s="38"/>
      <c r="AC813" s="38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</row>
    <row r="814" spans="1:61" ht="1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38"/>
      <c r="Y814" s="11"/>
      <c r="Z814" s="11"/>
      <c r="AA814" s="11"/>
      <c r="AB814" s="38"/>
      <c r="AC814" s="38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</row>
    <row r="815" spans="1:61" ht="1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38"/>
      <c r="Y815" s="11"/>
      <c r="Z815" s="11"/>
      <c r="AA815" s="11"/>
      <c r="AB815" s="38"/>
      <c r="AC815" s="38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</row>
    <row r="816" spans="1:61" ht="1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38"/>
      <c r="Y816" s="11"/>
      <c r="Z816" s="11"/>
      <c r="AA816" s="11"/>
      <c r="AB816" s="38"/>
      <c r="AC816" s="38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</row>
    <row r="817" spans="1:61" ht="1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38"/>
      <c r="Y817" s="11"/>
      <c r="Z817" s="11"/>
      <c r="AA817" s="11"/>
      <c r="AB817" s="38"/>
      <c r="AC817" s="38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</row>
    <row r="818" spans="1:61" ht="1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38"/>
      <c r="Y818" s="11"/>
      <c r="Z818" s="11"/>
      <c r="AA818" s="11"/>
      <c r="AB818" s="38"/>
      <c r="AC818" s="38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</row>
    <row r="819" spans="1:61" ht="1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38"/>
      <c r="Y819" s="11"/>
      <c r="Z819" s="11"/>
      <c r="AA819" s="11"/>
      <c r="AB819" s="38"/>
      <c r="AC819" s="38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</row>
    <row r="820" spans="1:61" ht="1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38"/>
      <c r="Y820" s="11"/>
      <c r="Z820" s="11"/>
      <c r="AA820" s="11"/>
      <c r="AB820" s="38"/>
      <c r="AC820" s="38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</row>
    <row r="821" spans="1:61" ht="1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38"/>
      <c r="Y821" s="11"/>
      <c r="Z821" s="11"/>
      <c r="AA821" s="11"/>
      <c r="AB821" s="38"/>
      <c r="AC821" s="38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</row>
    <row r="822" spans="1:61" ht="1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38"/>
      <c r="Y822" s="11"/>
      <c r="Z822" s="11"/>
      <c r="AA822" s="11"/>
      <c r="AB822" s="38"/>
      <c r="AC822" s="38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</row>
    <row r="823" spans="1:61" ht="1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38"/>
      <c r="Y823" s="11"/>
      <c r="Z823" s="11"/>
      <c r="AA823" s="11"/>
      <c r="AB823" s="38"/>
      <c r="AC823" s="38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</row>
    <row r="824" spans="1:61" ht="1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38"/>
      <c r="Y824" s="11"/>
      <c r="Z824" s="11"/>
      <c r="AA824" s="11"/>
      <c r="AB824" s="38"/>
      <c r="AC824" s="38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</row>
    <row r="825" spans="1:61" ht="1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38"/>
      <c r="Y825" s="11"/>
      <c r="Z825" s="11"/>
      <c r="AA825" s="11"/>
      <c r="AB825" s="38"/>
      <c r="AC825" s="38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</row>
    <row r="826" spans="1:61" ht="1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38"/>
      <c r="Y826" s="11"/>
      <c r="Z826" s="11"/>
      <c r="AA826" s="11"/>
      <c r="AB826" s="38"/>
      <c r="AC826" s="38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</row>
    <row r="827" spans="1:61" ht="1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38"/>
      <c r="Y827" s="11"/>
      <c r="Z827" s="11"/>
      <c r="AA827" s="11"/>
      <c r="AB827" s="38"/>
      <c r="AC827" s="38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</row>
    <row r="828" spans="1:61" ht="1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38"/>
      <c r="Y828" s="11"/>
      <c r="Z828" s="11"/>
      <c r="AA828" s="11"/>
      <c r="AB828" s="38"/>
      <c r="AC828" s="38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</row>
    <row r="829" spans="1:61" ht="1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38"/>
      <c r="Y829" s="11"/>
      <c r="Z829" s="11"/>
      <c r="AA829" s="11"/>
      <c r="AB829" s="38"/>
      <c r="AC829" s="38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</row>
    <row r="830" spans="1:61" ht="1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38"/>
      <c r="Y830" s="11"/>
      <c r="Z830" s="11"/>
      <c r="AA830" s="11"/>
      <c r="AB830" s="38"/>
      <c r="AC830" s="38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</row>
    <row r="831" spans="1:61" ht="1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38"/>
      <c r="Y831" s="11"/>
      <c r="Z831" s="11"/>
      <c r="AA831" s="11"/>
      <c r="AB831" s="38"/>
      <c r="AC831" s="38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</row>
    <row r="832" spans="1:61" ht="1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38"/>
      <c r="Y832" s="11"/>
      <c r="Z832" s="11"/>
      <c r="AA832" s="11"/>
      <c r="AB832" s="38"/>
      <c r="AC832" s="38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</row>
    <row r="833" spans="1:61" ht="1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38"/>
      <c r="Y833" s="11"/>
      <c r="Z833" s="11"/>
      <c r="AA833" s="11"/>
      <c r="AB833" s="38"/>
      <c r="AC833" s="38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</row>
    <row r="834" spans="1:61" ht="1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38"/>
      <c r="Y834" s="11"/>
      <c r="Z834" s="11"/>
      <c r="AA834" s="11"/>
      <c r="AB834" s="38"/>
      <c r="AC834" s="38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</row>
    <row r="835" spans="1:61" ht="1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38"/>
      <c r="Y835" s="11"/>
      <c r="Z835" s="11"/>
      <c r="AA835" s="11"/>
      <c r="AB835" s="38"/>
      <c r="AC835" s="38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</row>
    <row r="836" spans="1:61" ht="1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38"/>
      <c r="Y836" s="11"/>
      <c r="Z836" s="11"/>
      <c r="AA836" s="11"/>
      <c r="AB836" s="38"/>
      <c r="AC836" s="38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</row>
    <row r="837" spans="1:61" ht="1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38"/>
      <c r="Y837" s="11"/>
      <c r="Z837" s="11"/>
      <c r="AA837" s="11"/>
      <c r="AB837" s="38"/>
      <c r="AC837" s="38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</row>
    <row r="838" spans="1:61" ht="1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38"/>
      <c r="Y838" s="11"/>
      <c r="Z838" s="11"/>
      <c r="AA838" s="11"/>
      <c r="AB838" s="38"/>
      <c r="AC838" s="38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</row>
    <row r="839" spans="1:61" ht="1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38"/>
      <c r="Y839" s="11"/>
      <c r="Z839" s="11"/>
      <c r="AA839" s="11"/>
      <c r="AB839" s="38"/>
      <c r="AC839" s="38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</row>
    <row r="840" spans="1:61" ht="1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38"/>
      <c r="Y840" s="11"/>
      <c r="Z840" s="11"/>
      <c r="AA840" s="11"/>
      <c r="AB840" s="38"/>
      <c r="AC840" s="38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</row>
    <row r="841" spans="1:61" ht="1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38"/>
      <c r="Y841" s="11"/>
      <c r="Z841" s="11"/>
      <c r="AA841" s="11"/>
      <c r="AB841" s="38"/>
      <c r="AC841" s="38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</row>
    <row r="842" spans="1:61" ht="1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38"/>
      <c r="Y842" s="11"/>
      <c r="Z842" s="11"/>
      <c r="AA842" s="11"/>
      <c r="AB842" s="38"/>
      <c r="AC842" s="38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</row>
    <row r="843" spans="1:61" ht="1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38"/>
      <c r="Y843" s="11"/>
      <c r="Z843" s="11"/>
      <c r="AA843" s="11"/>
      <c r="AB843" s="38"/>
      <c r="AC843" s="38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</row>
    <row r="844" spans="1:61" ht="1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38"/>
      <c r="Y844" s="11"/>
      <c r="Z844" s="11"/>
      <c r="AA844" s="11"/>
      <c r="AB844" s="38"/>
      <c r="AC844" s="38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</row>
    <row r="845" spans="1:61" ht="1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38"/>
      <c r="Y845" s="11"/>
      <c r="Z845" s="11"/>
      <c r="AA845" s="11"/>
      <c r="AB845" s="38"/>
      <c r="AC845" s="38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</row>
    <row r="846" spans="1:61" ht="1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38"/>
      <c r="Y846" s="11"/>
      <c r="Z846" s="11"/>
      <c r="AA846" s="11"/>
      <c r="AB846" s="38"/>
      <c r="AC846" s="38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</row>
    <row r="847" spans="1:61" ht="1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38"/>
      <c r="Y847" s="11"/>
      <c r="Z847" s="11"/>
      <c r="AA847" s="11"/>
      <c r="AB847" s="38"/>
      <c r="AC847" s="38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</row>
    <row r="848" spans="1:61" ht="1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38"/>
      <c r="Y848" s="11"/>
      <c r="Z848" s="11"/>
      <c r="AA848" s="11"/>
      <c r="AB848" s="38"/>
      <c r="AC848" s="38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</row>
    <row r="849" spans="1:61" ht="1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38"/>
      <c r="Y849" s="11"/>
      <c r="Z849" s="11"/>
      <c r="AA849" s="11"/>
      <c r="AB849" s="38"/>
      <c r="AC849" s="38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</row>
    <row r="850" spans="1:61" ht="1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38"/>
      <c r="Y850" s="11"/>
      <c r="Z850" s="11"/>
      <c r="AA850" s="11"/>
      <c r="AB850" s="38"/>
      <c r="AC850" s="38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</row>
    <row r="851" spans="1:61" ht="1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38"/>
      <c r="Y851" s="11"/>
      <c r="Z851" s="11"/>
      <c r="AA851" s="11"/>
      <c r="AB851" s="38"/>
      <c r="AC851" s="38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</row>
    <row r="852" spans="1:61" ht="1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38"/>
      <c r="Y852" s="11"/>
      <c r="Z852" s="11"/>
      <c r="AA852" s="11"/>
      <c r="AB852" s="38"/>
      <c r="AC852" s="38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</row>
    <row r="853" spans="1:61" ht="1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38"/>
      <c r="Y853" s="11"/>
      <c r="Z853" s="11"/>
      <c r="AA853" s="11"/>
      <c r="AB853" s="38"/>
      <c r="AC853" s="38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</row>
    <row r="854" spans="1:61" ht="1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38"/>
      <c r="Y854" s="11"/>
      <c r="Z854" s="11"/>
      <c r="AA854" s="11"/>
      <c r="AB854" s="38"/>
      <c r="AC854" s="38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</row>
    <row r="855" spans="1:61" ht="1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38"/>
      <c r="Y855" s="11"/>
      <c r="Z855" s="11"/>
      <c r="AA855" s="11"/>
      <c r="AB855" s="38"/>
      <c r="AC855" s="38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</row>
    <row r="856" spans="1:61" ht="1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38"/>
      <c r="Y856" s="11"/>
      <c r="Z856" s="11"/>
      <c r="AA856" s="11"/>
      <c r="AB856" s="38"/>
      <c r="AC856" s="38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</row>
    <row r="857" spans="1:61" ht="1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38"/>
      <c r="Y857" s="11"/>
      <c r="Z857" s="11"/>
      <c r="AA857" s="11"/>
      <c r="AB857" s="38"/>
      <c r="AC857" s="38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</row>
    <row r="858" spans="1:61" ht="1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38"/>
      <c r="Y858" s="11"/>
      <c r="Z858" s="11"/>
      <c r="AA858" s="11"/>
      <c r="AB858" s="38"/>
      <c r="AC858" s="38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</row>
    <row r="859" spans="1:61" ht="1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38"/>
      <c r="Y859" s="11"/>
      <c r="Z859" s="11"/>
      <c r="AA859" s="11"/>
      <c r="AB859" s="38"/>
      <c r="AC859" s="38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</row>
    <row r="860" spans="1:61" ht="1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38"/>
      <c r="Y860" s="11"/>
      <c r="Z860" s="11"/>
      <c r="AA860" s="11"/>
      <c r="AB860" s="38"/>
      <c r="AC860" s="38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</row>
    <row r="861" spans="1:61" ht="1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38"/>
      <c r="Y861" s="11"/>
      <c r="Z861" s="11"/>
      <c r="AA861" s="11"/>
      <c r="AB861" s="38"/>
      <c r="AC861" s="38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</row>
    <row r="862" spans="1:61" ht="1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38"/>
      <c r="Y862" s="11"/>
      <c r="Z862" s="11"/>
      <c r="AA862" s="11"/>
      <c r="AB862" s="38"/>
      <c r="AC862" s="38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</row>
    <row r="863" spans="1:61" ht="1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38"/>
      <c r="Y863" s="11"/>
      <c r="Z863" s="11"/>
      <c r="AA863" s="11"/>
      <c r="AB863" s="38"/>
      <c r="AC863" s="38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</row>
    <row r="864" spans="1:61" ht="1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38"/>
      <c r="Y864" s="11"/>
      <c r="Z864" s="11"/>
      <c r="AA864" s="11"/>
      <c r="AB864" s="38"/>
      <c r="AC864" s="38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</row>
    <row r="865" spans="1:61" ht="1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38"/>
      <c r="Y865" s="11"/>
      <c r="Z865" s="11"/>
      <c r="AA865" s="11"/>
      <c r="AB865" s="38"/>
      <c r="AC865" s="38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</row>
    <row r="866" spans="1:61" ht="1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38"/>
      <c r="Y866" s="11"/>
      <c r="Z866" s="11"/>
      <c r="AA866" s="11"/>
      <c r="AB866" s="38"/>
      <c r="AC866" s="38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</row>
    <row r="867" spans="1:61" ht="1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38"/>
      <c r="Y867" s="11"/>
      <c r="Z867" s="11"/>
      <c r="AA867" s="11"/>
      <c r="AB867" s="38"/>
      <c r="AC867" s="38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</row>
    <row r="868" spans="1:61" ht="1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38"/>
      <c r="Y868" s="11"/>
      <c r="Z868" s="11"/>
      <c r="AA868" s="11"/>
      <c r="AB868" s="38"/>
      <c r="AC868" s="38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</row>
    <row r="869" spans="1:61" ht="1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38"/>
      <c r="Y869" s="11"/>
      <c r="Z869" s="11"/>
      <c r="AA869" s="11"/>
      <c r="AB869" s="38"/>
      <c r="AC869" s="38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</row>
    <row r="870" spans="1:61" ht="1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38"/>
      <c r="Y870" s="11"/>
      <c r="Z870" s="11"/>
      <c r="AA870" s="11"/>
      <c r="AB870" s="38"/>
      <c r="AC870" s="38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</row>
    <row r="871" spans="1:61" ht="1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38"/>
      <c r="Y871" s="11"/>
      <c r="Z871" s="11"/>
      <c r="AA871" s="11"/>
      <c r="AB871" s="38"/>
      <c r="AC871" s="38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</row>
    <row r="872" spans="1:61" ht="1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38"/>
      <c r="Y872" s="11"/>
      <c r="Z872" s="11"/>
      <c r="AA872" s="11"/>
      <c r="AB872" s="38"/>
      <c r="AC872" s="38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</row>
    <row r="873" spans="1:61" ht="1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38"/>
      <c r="Y873" s="11"/>
      <c r="Z873" s="11"/>
      <c r="AA873" s="11"/>
      <c r="AB873" s="38"/>
      <c r="AC873" s="38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</row>
    <row r="874" spans="1:61" ht="1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38"/>
      <c r="Y874" s="11"/>
      <c r="Z874" s="11"/>
      <c r="AA874" s="11"/>
      <c r="AB874" s="38"/>
      <c r="AC874" s="38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</row>
    <row r="875" spans="1:61" ht="1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38"/>
      <c r="Y875" s="11"/>
      <c r="Z875" s="11"/>
      <c r="AA875" s="11"/>
      <c r="AB875" s="38"/>
      <c r="AC875" s="38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</row>
    <row r="876" spans="1:61" ht="1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38"/>
      <c r="Y876" s="11"/>
      <c r="Z876" s="11"/>
      <c r="AA876" s="11"/>
      <c r="AB876" s="38"/>
      <c r="AC876" s="38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</row>
    <row r="877" spans="1:61" ht="1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38"/>
      <c r="Y877" s="11"/>
      <c r="Z877" s="11"/>
      <c r="AA877" s="11"/>
      <c r="AB877" s="38"/>
      <c r="AC877" s="38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</row>
    <row r="878" spans="1:61" ht="1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38"/>
      <c r="Y878" s="11"/>
      <c r="Z878" s="11"/>
      <c r="AA878" s="11"/>
      <c r="AB878" s="38"/>
      <c r="AC878" s="38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</row>
    <row r="879" spans="1:61" ht="1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38"/>
      <c r="Y879" s="11"/>
      <c r="Z879" s="11"/>
      <c r="AA879" s="11"/>
      <c r="AB879" s="38"/>
      <c r="AC879" s="38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</row>
    <row r="880" spans="1:61" ht="1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38"/>
      <c r="Y880" s="11"/>
      <c r="Z880" s="11"/>
      <c r="AA880" s="11"/>
      <c r="AB880" s="38"/>
      <c r="AC880" s="38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</row>
    <row r="881" spans="1:61" ht="1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38"/>
      <c r="Y881" s="11"/>
      <c r="Z881" s="11"/>
      <c r="AA881" s="11"/>
      <c r="AB881" s="38"/>
      <c r="AC881" s="38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</row>
    <row r="882" spans="1:61" ht="1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38"/>
      <c r="Y882" s="11"/>
      <c r="Z882" s="11"/>
      <c r="AA882" s="11"/>
      <c r="AB882" s="38"/>
      <c r="AC882" s="38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</row>
    <row r="883" spans="1:61" ht="1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38"/>
      <c r="Y883" s="11"/>
      <c r="Z883" s="11"/>
      <c r="AA883" s="11"/>
      <c r="AB883" s="38"/>
      <c r="AC883" s="38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</row>
    <row r="884" spans="1:61" ht="1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38"/>
      <c r="Y884" s="11"/>
      <c r="Z884" s="11"/>
      <c r="AA884" s="11"/>
      <c r="AB884" s="38"/>
      <c r="AC884" s="38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</row>
    <row r="885" spans="1:61" ht="1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38"/>
      <c r="Y885" s="11"/>
      <c r="Z885" s="11"/>
      <c r="AA885" s="11"/>
      <c r="AB885" s="38"/>
      <c r="AC885" s="38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</row>
    <row r="886" spans="1:61" ht="1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38"/>
      <c r="Y886" s="11"/>
      <c r="Z886" s="11"/>
      <c r="AA886" s="11"/>
      <c r="AB886" s="38"/>
      <c r="AC886" s="38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</row>
    <row r="887" spans="1:61" ht="1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38"/>
      <c r="Y887" s="11"/>
      <c r="Z887" s="11"/>
      <c r="AA887" s="11"/>
      <c r="AB887" s="38"/>
      <c r="AC887" s="38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</row>
    <row r="888" spans="1:61" ht="1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38"/>
      <c r="Y888" s="11"/>
      <c r="Z888" s="11"/>
      <c r="AA888" s="11"/>
      <c r="AB888" s="38"/>
      <c r="AC888" s="38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</row>
    <row r="889" spans="1:61" ht="1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38"/>
      <c r="Y889" s="11"/>
      <c r="Z889" s="11"/>
      <c r="AA889" s="11"/>
      <c r="AB889" s="38"/>
      <c r="AC889" s="38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</row>
    <row r="890" spans="1:61" ht="1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38"/>
      <c r="Y890" s="11"/>
      <c r="Z890" s="11"/>
      <c r="AA890" s="11"/>
      <c r="AB890" s="38"/>
      <c r="AC890" s="38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</row>
    <row r="891" spans="1:61" ht="1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38"/>
      <c r="Y891" s="11"/>
      <c r="Z891" s="11"/>
      <c r="AA891" s="11"/>
      <c r="AB891" s="38"/>
      <c r="AC891" s="38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</row>
    <row r="892" spans="1:61" ht="1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38"/>
      <c r="Y892" s="11"/>
      <c r="Z892" s="11"/>
      <c r="AA892" s="11"/>
      <c r="AB892" s="38"/>
      <c r="AC892" s="38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</row>
    <row r="893" spans="1:61" ht="1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38"/>
      <c r="Y893" s="11"/>
      <c r="Z893" s="11"/>
      <c r="AA893" s="11"/>
      <c r="AB893" s="38"/>
      <c r="AC893" s="38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</row>
    <row r="894" spans="1:61" ht="1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38"/>
      <c r="Y894" s="11"/>
      <c r="Z894" s="11"/>
      <c r="AA894" s="11"/>
      <c r="AB894" s="38"/>
      <c r="AC894" s="38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</row>
    <row r="895" spans="1:61" ht="1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38"/>
      <c r="Y895" s="11"/>
      <c r="Z895" s="11"/>
      <c r="AA895" s="11"/>
      <c r="AB895" s="38"/>
      <c r="AC895" s="38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</row>
    <row r="896" spans="1:61" ht="1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38"/>
      <c r="Y896" s="11"/>
      <c r="Z896" s="11"/>
      <c r="AA896" s="11"/>
      <c r="AB896" s="38"/>
      <c r="AC896" s="38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</row>
    <row r="897" spans="1:61" ht="1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38"/>
      <c r="Y897" s="11"/>
      <c r="Z897" s="11"/>
      <c r="AA897" s="11"/>
      <c r="AB897" s="38"/>
      <c r="AC897" s="38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</row>
    <row r="898" spans="1:61" ht="1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38"/>
      <c r="Y898" s="11"/>
      <c r="Z898" s="11"/>
      <c r="AA898" s="11"/>
      <c r="AB898" s="38"/>
      <c r="AC898" s="38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</row>
    <row r="899" spans="1:61" ht="1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38"/>
      <c r="Y899" s="11"/>
      <c r="Z899" s="11"/>
      <c r="AA899" s="11"/>
      <c r="AB899" s="38"/>
      <c r="AC899" s="38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</row>
    <row r="900" spans="1:61" ht="1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38"/>
      <c r="Y900" s="11"/>
      <c r="Z900" s="11"/>
      <c r="AA900" s="11"/>
      <c r="AB900" s="38"/>
      <c r="AC900" s="38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</row>
    <row r="901" spans="1:61" ht="1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38"/>
      <c r="Y901" s="11"/>
      <c r="Z901" s="11"/>
      <c r="AA901" s="11"/>
      <c r="AB901" s="38"/>
      <c r="AC901" s="38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</row>
    <row r="902" spans="1:61" ht="1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38"/>
      <c r="Y902" s="11"/>
      <c r="Z902" s="11"/>
      <c r="AA902" s="11"/>
      <c r="AB902" s="38"/>
      <c r="AC902" s="38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</row>
    <row r="903" spans="1:61" ht="1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38"/>
      <c r="Y903" s="11"/>
      <c r="Z903" s="11"/>
      <c r="AA903" s="11"/>
      <c r="AB903" s="38"/>
      <c r="AC903" s="38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</row>
    <row r="904" spans="1:61" ht="1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38"/>
      <c r="Y904" s="11"/>
      <c r="Z904" s="11"/>
      <c r="AA904" s="11"/>
      <c r="AB904" s="38"/>
      <c r="AC904" s="38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</row>
    <row r="905" spans="1:61" ht="1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38"/>
      <c r="Y905" s="11"/>
      <c r="Z905" s="11"/>
      <c r="AA905" s="11"/>
      <c r="AB905" s="38"/>
      <c r="AC905" s="38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</row>
    <row r="906" spans="1:61" ht="1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38"/>
      <c r="Y906" s="11"/>
      <c r="Z906" s="11"/>
      <c r="AA906" s="11"/>
      <c r="AB906" s="38"/>
      <c r="AC906" s="38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</row>
    <row r="907" spans="1:61" ht="1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38"/>
      <c r="Y907" s="11"/>
      <c r="Z907" s="11"/>
      <c r="AA907" s="11"/>
      <c r="AB907" s="38"/>
      <c r="AC907" s="38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</row>
    <row r="908" spans="1:61" ht="1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38"/>
      <c r="Y908" s="11"/>
      <c r="Z908" s="11"/>
      <c r="AA908" s="11"/>
      <c r="AB908" s="38"/>
      <c r="AC908" s="38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</row>
    <row r="909" spans="1:61" ht="1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38"/>
      <c r="Y909" s="11"/>
      <c r="Z909" s="11"/>
      <c r="AA909" s="11"/>
      <c r="AB909" s="38"/>
      <c r="AC909" s="38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</row>
    <row r="910" spans="1:61" ht="1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38"/>
      <c r="Y910" s="11"/>
      <c r="Z910" s="11"/>
      <c r="AA910" s="11"/>
      <c r="AB910" s="38"/>
      <c r="AC910" s="38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</row>
    <row r="911" spans="1:61" ht="1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38"/>
      <c r="Y911" s="11"/>
      <c r="Z911" s="11"/>
      <c r="AA911" s="11"/>
      <c r="AB911" s="38"/>
      <c r="AC911" s="38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</row>
    <row r="912" spans="1:61" ht="1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38"/>
      <c r="Y912" s="11"/>
      <c r="Z912" s="11"/>
      <c r="AA912" s="11"/>
      <c r="AB912" s="38"/>
      <c r="AC912" s="38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</row>
    <row r="913" spans="1:61" ht="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38"/>
      <c r="Y913" s="11"/>
      <c r="Z913" s="11"/>
      <c r="AA913" s="11"/>
      <c r="AB913" s="38"/>
      <c r="AC913" s="38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</row>
    <row r="914" spans="1:61" ht="1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38"/>
      <c r="Y914" s="11"/>
      <c r="Z914" s="11"/>
      <c r="AA914" s="11"/>
      <c r="AB914" s="38"/>
      <c r="AC914" s="38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</row>
    <row r="915" spans="1:61" ht="1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38"/>
      <c r="Y915" s="11"/>
      <c r="Z915" s="11"/>
      <c r="AA915" s="11"/>
      <c r="AB915" s="38"/>
      <c r="AC915" s="38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</row>
    <row r="916" spans="1:61" ht="1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38"/>
      <c r="Y916" s="11"/>
      <c r="Z916" s="11"/>
      <c r="AA916" s="11"/>
      <c r="AB916" s="38"/>
      <c r="AC916" s="38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</row>
    <row r="917" spans="1:61" ht="1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38"/>
      <c r="Y917" s="11"/>
      <c r="Z917" s="11"/>
      <c r="AA917" s="11"/>
      <c r="AB917" s="38"/>
      <c r="AC917" s="38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</row>
    <row r="918" spans="1:61" ht="1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38"/>
      <c r="Y918" s="11"/>
      <c r="Z918" s="11"/>
      <c r="AA918" s="11"/>
      <c r="AB918" s="38"/>
      <c r="AC918" s="38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</row>
    <row r="919" spans="1:61" ht="1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38"/>
      <c r="Y919" s="11"/>
      <c r="Z919" s="11"/>
      <c r="AA919" s="11"/>
      <c r="AB919" s="38"/>
      <c r="AC919" s="38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</row>
    <row r="920" spans="1:61" ht="1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38"/>
      <c r="Y920" s="11"/>
      <c r="Z920" s="11"/>
      <c r="AA920" s="11"/>
      <c r="AB920" s="38"/>
      <c r="AC920" s="38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</row>
    <row r="921" spans="1:61" ht="1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38"/>
      <c r="Y921" s="11"/>
      <c r="Z921" s="11"/>
      <c r="AA921" s="11"/>
      <c r="AB921" s="38"/>
      <c r="AC921" s="38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</row>
    <row r="922" spans="1:61" ht="1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38"/>
      <c r="Y922" s="11"/>
      <c r="Z922" s="11"/>
      <c r="AA922" s="11"/>
      <c r="AB922" s="38"/>
      <c r="AC922" s="38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</row>
    <row r="923" spans="1:61" ht="1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38"/>
      <c r="Y923" s="11"/>
      <c r="Z923" s="11"/>
      <c r="AA923" s="11"/>
      <c r="AB923" s="38"/>
      <c r="AC923" s="38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</row>
    <row r="924" spans="1:61" ht="1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38"/>
      <c r="Y924" s="11"/>
      <c r="Z924" s="11"/>
      <c r="AA924" s="11"/>
      <c r="AB924" s="38"/>
      <c r="AC924" s="38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</row>
    <row r="925" spans="1:61" ht="1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38"/>
      <c r="Y925" s="11"/>
      <c r="Z925" s="11"/>
      <c r="AA925" s="11"/>
      <c r="AB925" s="38"/>
      <c r="AC925" s="38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</row>
    <row r="926" spans="1:61" ht="1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38"/>
      <c r="Y926" s="11"/>
      <c r="Z926" s="11"/>
      <c r="AA926" s="11"/>
      <c r="AB926" s="38"/>
      <c r="AC926" s="38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</row>
    <row r="927" spans="1:61" ht="1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38"/>
      <c r="Y927" s="11"/>
      <c r="Z927" s="11"/>
      <c r="AA927" s="11"/>
      <c r="AB927" s="38"/>
      <c r="AC927" s="38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</row>
    <row r="928" spans="1:61" ht="1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38"/>
      <c r="Y928" s="11"/>
      <c r="Z928" s="11"/>
      <c r="AA928" s="11"/>
      <c r="AB928" s="38"/>
      <c r="AC928" s="38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</row>
    <row r="929" spans="1:61" ht="1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38"/>
      <c r="Y929" s="11"/>
      <c r="Z929" s="11"/>
      <c r="AA929" s="11"/>
      <c r="AB929" s="38"/>
      <c r="AC929" s="38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</row>
    <row r="930" spans="1:61" ht="1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38"/>
      <c r="Y930" s="11"/>
      <c r="Z930" s="11"/>
      <c r="AA930" s="11"/>
      <c r="AB930" s="38"/>
      <c r="AC930" s="38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</row>
    <row r="931" spans="1:61" ht="1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38"/>
      <c r="Y931" s="11"/>
      <c r="Z931" s="11"/>
      <c r="AA931" s="11"/>
      <c r="AB931" s="38"/>
      <c r="AC931" s="38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</row>
    <row r="932" spans="1:61" ht="1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38"/>
      <c r="Y932" s="11"/>
      <c r="Z932" s="11"/>
      <c r="AA932" s="11"/>
      <c r="AB932" s="38"/>
      <c r="AC932" s="38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</row>
    <row r="933" spans="1:61" ht="1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38"/>
      <c r="Y933" s="11"/>
      <c r="Z933" s="11"/>
      <c r="AA933" s="11"/>
      <c r="AB933" s="38"/>
      <c r="AC933" s="38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</row>
    <row r="934" spans="1:61" ht="1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38"/>
      <c r="Y934" s="11"/>
      <c r="Z934" s="11"/>
      <c r="AA934" s="11"/>
      <c r="AB934" s="38"/>
      <c r="AC934" s="38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</row>
    <row r="935" spans="1:61" ht="1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38"/>
      <c r="Y935" s="11"/>
      <c r="Z935" s="11"/>
      <c r="AA935" s="11"/>
      <c r="AB935" s="38"/>
      <c r="AC935" s="38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</row>
    <row r="936" spans="1:61" ht="1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38"/>
      <c r="Y936" s="11"/>
      <c r="Z936" s="11"/>
      <c r="AA936" s="11"/>
      <c r="AB936" s="38"/>
      <c r="AC936" s="38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</row>
    <row r="937" spans="1:61" ht="1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38"/>
      <c r="Y937" s="11"/>
      <c r="Z937" s="11"/>
      <c r="AA937" s="11"/>
      <c r="AB937" s="38"/>
      <c r="AC937" s="38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</row>
    <row r="938" spans="1:61" ht="1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38"/>
      <c r="Y938" s="11"/>
      <c r="Z938" s="11"/>
      <c r="AA938" s="11"/>
      <c r="AB938" s="38"/>
      <c r="AC938" s="38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</row>
    <row r="939" spans="1:61" ht="1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38"/>
      <c r="Y939" s="11"/>
      <c r="Z939" s="11"/>
      <c r="AA939" s="11"/>
      <c r="AB939" s="38"/>
      <c r="AC939" s="38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</row>
    <row r="940" spans="1:61" ht="1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38"/>
      <c r="Y940" s="11"/>
      <c r="Z940" s="11"/>
      <c r="AA940" s="11"/>
      <c r="AB940" s="38"/>
      <c r="AC940" s="38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</row>
    <row r="941" spans="1:61" ht="1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38"/>
      <c r="Y941" s="11"/>
      <c r="Z941" s="11"/>
      <c r="AA941" s="11"/>
      <c r="AB941" s="38"/>
      <c r="AC941" s="38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</row>
    <row r="942" spans="1:61" ht="1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38"/>
      <c r="Y942" s="11"/>
      <c r="Z942" s="11"/>
      <c r="AA942" s="11"/>
      <c r="AB942" s="38"/>
      <c r="AC942" s="38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</row>
    <row r="943" spans="1:61" ht="1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38"/>
      <c r="Y943" s="11"/>
      <c r="Z943" s="11"/>
      <c r="AA943" s="11"/>
      <c r="AB943" s="38"/>
      <c r="AC943" s="38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</row>
    <row r="944" spans="1:61" ht="1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38"/>
      <c r="Y944" s="11"/>
      <c r="Z944" s="11"/>
      <c r="AA944" s="11"/>
      <c r="AB944" s="38"/>
      <c r="AC944" s="38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</row>
    <row r="945" spans="1:61" ht="1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38"/>
      <c r="Y945" s="11"/>
      <c r="Z945" s="11"/>
      <c r="AA945" s="11"/>
      <c r="AB945" s="38"/>
      <c r="AC945" s="38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</row>
    <row r="946" spans="1:61" ht="1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38"/>
      <c r="Y946" s="11"/>
      <c r="Z946" s="11"/>
      <c r="AA946" s="11"/>
      <c r="AB946" s="38"/>
      <c r="AC946" s="38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</row>
    <row r="947" spans="1:61" ht="1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38"/>
      <c r="Y947" s="11"/>
      <c r="Z947" s="11"/>
      <c r="AA947" s="11"/>
      <c r="AB947" s="38"/>
      <c r="AC947" s="38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</row>
    <row r="948" spans="1:61" ht="1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38"/>
      <c r="Y948" s="11"/>
      <c r="Z948" s="11"/>
      <c r="AA948" s="11"/>
      <c r="AB948" s="38"/>
      <c r="AC948" s="38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</row>
    <row r="949" spans="1:61" ht="1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38"/>
      <c r="Y949" s="11"/>
      <c r="Z949" s="11"/>
      <c r="AA949" s="11"/>
      <c r="AB949" s="38"/>
      <c r="AC949" s="38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</row>
    <row r="950" spans="1:61" ht="1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38"/>
      <c r="Y950" s="11"/>
      <c r="Z950" s="11"/>
      <c r="AA950" s="11"/>
      <c r="AB950" s="38"/>
      <c r="AC950" s="38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</row>
    <row r="951" spans="1:61" ht="1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38"/>
      <c r="Y951" s="11"/>
      <c r="Z951" s="11"/>
      <c r="AA951" s="11"/>
      <c r="AB951" s="38"/>
      <c r="AC951" s="38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</row>
    <row r="952" spans="1:61" ht="1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38"/>
      <c r="Y952" s="11"/>
      <c r="Z952" s="11"/>
      <c r="AA952" s="11"/>
      <c r="AB952" s="38"/>
      <c r="AC952" s="38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</row>
    <row r="953" spans="1:61" ht="1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38"/>
      <c r="Y953" s="11"/>
      <c r="Z953" s="11"/>
      <c r="AA953" s="11"/>
      <c r="AB953" s="38"/>
      <c r="AC953" s="38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</row>
    <row r="954" spans="1:61" ht="1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38"/>
      <c r="Y954" s="11"/>
      <c r="Z954" s="11"/>
      <c r="AA954" s="11"/>
      <c r="AB954" s="38"/>
      <c r="AC954" s="38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</row>
    <row r="955" spans="1:61" ht="1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38"/>
      <c r="Y955" s="11"/>
      <c r="Z955" s="11"/>
      <c r="AA955" s="11"/>
      <c r="AB955" s="38"/>
      <c r="AC955" s="38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</row>
    <row r="956" spans="1:61" ht="1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38"/>
      <c r="Y956" s="11"/>
      <c r="Z956" s="11"/>
      <c r="AA956" s="11"/>
      <c r="AB956" s="38"/>
      <c r="AC956" s="38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</row>
    <row r="957" spans="1:61" ht="1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38"/>
      <c r="Y957" s="11"/>
      <c r="Z957" s="11"/>
      <c r="AA957" s="11"/>
      <c r="AB957" s="38"/>
      <c r="AC957" s="38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</row>
    <row r="958" spans="1:61" ht="1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38"/>
      <c r="Y958" s="11"/>
      <c r="Z958" s="11"/>
      <c r="AA958" s="11"/>
      <c r="AB958" s="38"/>
      <c r="AC958" s="38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</row>
    <row r="959" spans="1:61" ht="1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38"/>
      <c r="Y959" s="11"/>
      <c r="Z959" s="11"/>
      <c r="AA959" s="11"/>
      <c r="AB959" s="38"/>
      <c r="AC959" s="38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</row>
    <row r="960" spans="1:61" ht="1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38"/>
      <c r="Y960" s="11"/>
      <c r="Z960" s="11"/>
      <c r="AA960" s="11"/>
      <c r="AB960" s="38"/>
      <c r="AC960" s="38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</row>
    <row r="961" spans="1:61" ht="1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38"/>
      <c r="Y961" s="11"/>
      <c r="Z961" s="11"/>
      <c r="AA961" s="11"/>
      <c r="AB961" s="38"/>
      <c r="AC961" s="38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</row>
    <row r="962" spans="1:61" ht="1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38"/>
      <c r="Y962" s="11"/>
      <c r="Z962" s="11"/>
      <c r="AA962" s="11"/>
      <c r="AB962" s="38"/>
      <c r="AC962" s="38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</row>
    <row r="963" spans="1:61" ht="1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38"/>
      <c r="Y963" s="11"/>
      <c r="Z963" s="11"/>
      <c r="AA963" s="11"/>
      <c r="AB963" s="38"/>
      <c r="AC963" s="38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</row>
    <row r="964" spans="1:61" ht="1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38"/>
      <c r="Y964" s="11"/>
      <c r="Z964" s="11"/>
      <c r="AA964" s="11"/>
      <c r="AB964" s="38"/>
      <c r="AC964" s="38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</row>
    <row r="965" spans="1:61" ht="1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38"/>
      <c r="Y965" s="11"/>
      <c r="Z965" s="11"/>
      <c r="AA965" s="11"/>
      <c r="AB965" s="38"/>
      <c r="AC965" s="38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</row>
    <row r="966" spans="1:61" ht="1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38"/>
      <c r="Y966" s="11"/>
      <c r="Z966" s="11"/>
      <c r="AA966" s="11"/>
      <c r="AB966" s="38"/>
      <c r="AC966" s="38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</row>
    <row r="967" spans="1:61" ht="1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38"/>
      <c r="Y967" s="11"/>
      <c r="Z967" s="11"/>
      <c r="AA967" s="11"/>
      <c r="AB967" s="38"/>
      <c r="AC967" s="38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</row>
    <row r="968" spans="1:61" ht="1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38"/>
      <c r="Y968" s="11"/>
      <c r="Z968" s="11"/>
      <c r="AA968" s="11"/>
      <c r="AB968" s="38"/>
      <c r="AC968" s="38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</row>
    <row r="969" spans="1:61" ht="1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38"/>
      <c r="Y969" s="11"/>
      <c r="Z969" s="11"/>
      <c r="AA969" s="11"/>
      <c r="AB969" s="38"/>
      <c r="AC969" s="38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</row>
    <row r="970" spans="1:61" ht="1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38"/>
      <c r="Y970" s="11"/>
      <c r="Z970" s="11"/>
      <c r="AA970" s="11"/>
      <c r="AB970" s="38"/>
      <c r="AC970" s="38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</row>
    <row r="971" spans="1:61" ht="1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38"/>
      <c r="Y971" s="11"/>
      <c r="Z971" s="11"/>
      <c r="AA971" s="11"/>
      <c r="AB971" s="38"/>
      <c r="AC971" s="38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</row>
    <row r="972" spans="1:61" ht="1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38"/>
      <c r="Y972" s="11"/>
      <c r="Z972" s="11"/>
      <c r="AA972" s="11"/>
      <c r="AB972" s="38"/>
      <c r="AC972" s="38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</row>
    <row r="973" spans="1:61" ht="1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38"/>
      <c r="Y973" s="11"/>
      <c r="Z973" s="11"/>
      <c r="AA973" s="11"/>
      <c r="AB973" s="38"/>
      <c r="AC973" s="38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</row>
    <row r="974" spans="1:61" ht="1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38"/>
      <c r="Y974" s="11"/>
      <c r="Z974" s="11"/>
      <c r="AA974" s="11"/>
      <c r="AB974" s="38"/>
      <c r="AC974" s="38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</row>
    <row r="975" spans="1:61" ht="1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38"/>
      <c r="Y975" s="11"/>
      <c r="Z975" s="11"/>
      <c r="AA975" s="11"/>
      <c r="AB975" s="38"/>
      <c r="AC975" s="38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</row>
    <row r="976" spans="1:61" ht="1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38"/>
      <c r="Y976" s="11"/>
      <c r="Z976" s="11"/>
      <c r="AA976" s="11"/>
      <c r="AB976" s="38"/>
      <c r="AC976" s="38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</row>
    <row r="977" spans="1:61" ht="1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38"/>
      <c r="Y977" s="11"/>
      <c r="Z977" s="11"/>
      <c r="AA977" s="11"/>
      <c r="AB977" s="38"/>
      <c r="AC977" s="38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</row>
    <row r="978" spans="1:61" ht="1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38"/>
      <c r="Y978" s="11"/>
      <c r="Z978" s="11"/>
      <c r="AA978" s="11"/>
      <c r="AB978" s="38"/>
      <c r="AC978" s="38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</row>
    <row r="979" spans="1:61" ht="1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38"/>
      <c r="Y979" s="11"/>
      <c r="Z979" s="11"/>
      <c r="AA979" s="11"/>
      <c r="AB979" s="38"/>
      <c r="AC979" s="38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</row>
    <row r="980" spans="1:61" ht="1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38"/>
      <c r="Y980" s="11"/>
      <c r="Z980" s="11"/>
      <c r="AA980" s="11"/>
      <c r="AB980" s="38"/>
      <c r="AC980" s="38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</row>
    <row r="981" spans="1:61" ht="1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38"/>
      <c r="Y981" s="11"/>
      <c r="Z981" s="11"/>
      <c r="AA981" s="11"/>
      <c r="AB981" s="38"/>
      <c r="AC981" s="38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</row>
    <row r="982" spans="1:61" ht="1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38"/>
      <c r="Y982" s="11"/>
      <c r="Z982" s="11"/>
      <c r="AA982" s="11"/>
      <c r="AB982" s="38"/>
      <c r="AC982" s="38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</row>
    <row r="983" spans="1:61" ht="1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38"/>
      <c r="Y983" s="11"/>
      <c r="Z983" s="11"/>
      <c r="AA983" s="11"/>
      <c r="AB983" s="38"/>
      <c r="AC983" s="38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</row>
    <row r="984" spans="1:61" ht="1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38"/>
      <c r="Y984" s="11"/>
      <c r="Z984" s="11"/>
      <c r="AA984" s="11"/>
      <c r="AB984" s="38"/>
      <c r="AC984" s="38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</row>
    <row r="985" spans="1:61" ht="1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38"/>
      <c r="Y985" s="11"/>
      <c r="Z985" s="11"/>
      <c r="AA985" s="11"/>
      <c r="AB985" s="38"/>
      <c r="AC985" s="38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</row>
    <row r="986" spans="1:61" ht="1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38"/>
      <c r="Y986" s="11"/>
      <c r="Z986" s="11"/>
      <c r="AA986" s="11"/>
      <c r="AB986" s="38"/>
      <c r="AC986" s="38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</row>
    <row r="987" spans="1:61" ht="1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38"/>
      <c r="Y987" s="11"/>
      <c r="Z987" s="11"/>
      <c r="AA987" s="11"/>
      <c r="AB987" s="38"/>
      <c r="AC987" s="38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</row>
    <row r="988" spans="1:61" ht="1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38"/>
      <c r="Y988" s="11"/>
      <c r="Z988" s="11"/>
      <c r="AA988" s="11"/>
      <c r="AB988" s="38"/>
      <c r="AC988" s="38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</row>
    <row r="989" spans="1:61" ht="1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38"/>
      <c r="Y989" s="11"/>
      <c r="Z989" s="11"/>
      <c r="AA989" s="11"/>
      <c r="AB989" s="38"/>
      <c r="AC989" s="38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</row>
    <row r="990" spans="1:61" ht="1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38"/>
      <c r="Y990" s="11"/>
      <c r="Z990" s="11"/>
      <c r="AA990" s="11"/>
      <c r="AB990" s="38"/>
      <c r="AC990" s="38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</row>
    <row r="991" spans="1:61" ht="1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38"/>
      <c r="Y991" s="11"/>
      <c r="Z991" s="11"/>
      <c r="AA991" s="11"/>
      <c r="AB991" s="38"/>
      <c r="AC991" s="38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</row>
    <row r="992" spans="1:61" ht="1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38"/>
      <c r="Y992" s="11"/>
      <c r="Z992" s="11"/>
      <c r="AA992" s="11"/>
      <c r="AB992" s="38"/>
      <c r="AC992" s="38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</row>
    <row r="993" spans="1:61" ht="1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38"/>
      <c r="Y993" s="11"/>
      <c r="Z993" s="11"/>
      <c r="AA993" s="11"/>
      <c r="AB993" s="38"/>
      <c r="AC993" s="38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</row>
    <row r="994" spans="1:61" ht="1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38"/>
      <c r="Y994" s="11"/>
      <c r="Z994" s="11"/>
      <c r="AA994" s="11"/>
      <c r="AB994" s="38"/>
      <c r="AC994" s="38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</row>
    <row r="995" spans="1:61" ht="1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38"/>
      <c r="Y995" s="11"/>
      <c r="Z995" s="11"/>
      <c r="AA995" s="11"/>
      <c r="AB995" s="38"/>
      <c r="AC995" s="38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</row>
    <row r="996" spans="1:61" ht="1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38"/>
      <c r="Y996" s="11"/>
      <c r="Z996" s="11"/>
      <c r="AA996" s="11"/>
      <c r="AB996" s="38"/>
      <c r="AC996" s="38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</row>
    <row r="997" spans="1:61" ht="1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38"/>
      <c r="Y997" s="11"/>
      <c r="Z997" s="11"/>
      <c r="AA997" s="11"/>
      <c r="AB997" s="38"/>
      <c r="AC997" s="38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</row>
    <row r="998" spans="1:61" ht="1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38"/>
      <c r="Y998" s="11"/>
      <c r="Z998" s="11"/>
      <c r="AA998" s="11"/>
      <c r="AB998" s="38"/>
      <c r="AC998" s="38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</row>
    <row r="999" spans="1:61" ht="1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38"/>
      <c r="Y999" s="11"/>
      <c r="Z999" s="11"/>
      <c r="AA999" s="11"/>
      <c r="AB999" s="38"/>
      <c r="AC999" s="38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</row>
    <row r="1000" spans="1:61" ht="1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38"/>
      <c r="Y1000" s="11"/>
      <c r="Z1000" s="11"/>
      <c r="AA1000" s="11"/>
      <c r="AB1000" s="38"/>
      <c r="AC1000" s="38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</row>
    <row r="1001" spans="1:61" ht="13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38"/>
      <c r="Y1001" s="11"/>
      <c r="Z1001" s="11"/>
      <c r="AA1001" s="11"/>
      <c r="AB1001" s="38"/>
      <c r="AC1001" s="38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</row>
    <row r="1002" spans="1:61" ht="13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38"/>
      <c r="Y1002" s="11"/>
      <c r="Z1002" s="11"/>
      <c r="AA1002" s="11"/>
      <c r="AB1002" s="38"/>
      <c r="AC1002" s="38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</row>
    <row r="1003" spans="1:61" ht="1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38"/>
      <c r="Y1003" s="11"/>
      <c r="Z1003" s="11"/>
      <c r="AA1003" s="11"/>
      <c r="AB1003" s="38"/>
      <c r="AC1003" s="38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</row>
    <row r="1004" spans="1:61" ht="13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38"/>
      <c r="Y1004" s="11"/>
      <c r="Z1004" s="11"/>
      <c r="AA1004" s="11"/>
      <c r="AB1004" s="38"/>
      <c r="AC1004" s="38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</row>
    <row r="1005" spans="1:61" ht="13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38"/>
      <c r="Y1005" s="11"/>
      <c r="Z1005" s="11"/>
      <c r="AA1005" s="11"/>
      <c r="AB1005" s="38"/>
      <c r="AC1005" s="38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</row>
    <row r="1006" spans="1:61" ht="13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38"/>
      <c r="Y1006" s="11"/>
      <c r="Z1006" s="11"/>
      <c r="AA1006" s="11"/>
      <c r="AB1006" s="38"/>
      <c r="AC1006" s="38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</row>
  </sheetData>
  <conditionalFormatting sqref="AB2:AB32">
    <cfRule type="colorScale" priority="1">
      <colorScale>
        <cfvo type="min"/>
        <cfvo type="max"/>
        <color rgb="FF999999"/>
        <color rgb="FFFFFFFF"/>
      </colorScale>
    </cfRule>
  </conditionalFormatting>
  <printOptions horizontalCentered="1" gridLines="1"/>
  <pageMargins left="0.7" right="0.7" top="0.75" bottom="0.75" header="0" footer="0"/>
  <pageSetup pageOrder="overThenDown" orientation="landscape" cellComments="atEnd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I10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6.1640625" customWidth="1"/>
    <col min="3" max="3" width="6.6640625" customWidth="1"/>
    <col min="4" max="4" width="13.1640625" customWidth="1"/>
    <col min="5" max="5" width="6.1640625" customWidth="1"/>
    <col min="6" max="6" width="9.1640625" customWidth="1"/>
    <col min="7" max="7" width="8.83203125" customWidth="1"/>
    <col min="8" max="8" width="8.6640625" customWidth="1"/>
    <col min="9" max="9" width="5.6640625" customWidth="1"/>
    <col min="10" max="11" width="6.1640625" customWidth="1"/>
    <col min="12" max="12" width="18" customWidth="1"/>
    <col min="13" max="13" width="7.83203125" customWidth="1"/>
    <col min="14" max="14" width="8" customWidth="1"/>
    <col min="15" max="15" width="8.6640625" customWidth="1"/>
    <col min="16" max="16" width="8.5" customWidth="1"/>
    <col min="17" max="17" width="7.83203125" customWidth="1"/>
    <col min="18" max="18" width="8.83203125" customWidth="1"/>
    <col min="19" max="19" width="9.1640625" customWidth="1"/>
    <col min="20" max="20" width="8.6640625" customWidth="1"/>
    <col min="21" max="21" width="9" customWidth="1"/>
    <col min="22" max="22" width="7.83203125" customWidth="1"/>
    <col min="23" max="23" width="7.5" customWidth="1"/>
    <col min="24" max="24" width="6.6640625" customWidth="1"/>
    <col min="25" max="26" width="5.6640625" customWidth="1"/>
    <col min="27" max="27" width="7.6640625" customWidth="1"/>
    <col min="28" max="28" width="9.6640625" hidden="1" customWidth="1"/>
    <col min="29" max="29" width="50.33203125" customWidth="1"/>
  </cols>
  <sheetData>
    <row r="1" spans="1:61" ht="15.75" customHeight="1">
      <c r="A1" s="1" t="s">
        <v>0</v>
      </c>
      <c r="B1" s="1" t="s">
        <v>1</v>
      </c>
      <c r="C1" s="1" t="s">
        <v>2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154</v>
      </c>
      <c r="I1" s="2" t="s">
        <v>9</v>
      </c>
      <c r="J1" s="2" t="s">
        <v>204</v>
      </c>
      <c r="K1" s="2" t="s">
        <v>205</v>
      </c>
      <c r="L1" s="1" t="s">
        <v>12</v>
      </c>
      <c r="M1" s="63" t="s">
        <v>13</v>
      </c>
      <c r="N1" s="63" t="s">
        <v>14</v>
      </c>
      <c r="O1" s="63" t="s">
        <v>104</v>
      </c>
      <c r="P1" s="63" t="s">
        <v>105</v>
      </c>
      <c r="Q1" s="63" t="s">
        <v>206</v>
      </c>
      <c r="R1" s="63" t="s">
        <v>107</v>
      </c>
      <c r="S1" s="63" t="s">
        <v>108</v>
      </c>
      <c r="T1" s="63" t="s">
        <v>109</v>
      </c>
      <c r="U1" s="63" t="s">
        <v>156</v>
      </c>
      <c r="V1" s="63" t="s">
        <v>111</v>
      </c>
      <c r="W1" s="63" t="s">
        <v>207</v>
      </c>
      <c r="X1" s="63" t="s">
        <v>113</v>
      </c>
      <c r="Y1" s="2" t="s">
        <v>208</v>
      </c>
      <c r="Z1" s="2" t="s">
        <v>115</v>
      </c>
      <c r="AA1" s="2" t="s">
        <v>209</v>
      </c>
      <c r="AB1" s="2" t="s">
        <v>26</v>
      </c>
      <c r="AC1" s="2" t="s">
        <v>27</v>
      </c>
      <c r="AD1" s="111"/>
      <c r="AE1" s="111"/>
      <c r="AF1" s="111"/>
      <c r="AG1" s="111"/>
      <c r="AH1" s="111"/>
      <c r="AI1" s="111"/>
      <c r="AJ1" s="112"/>
      <c r="AK1" s="112"/>
      <c r="AL1" s="112"/>
      <c r="AM1" s="112"/>
      <c r="AN1" s="112"/>
      <c r="AO1" s="112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ht="15.75" customHeight="1">
      <c r="A2" s="5">
        <v>42826</v>
      </c>
      <c r="C2" s="6">
        <v>2009</v>
      </c>
      <c r="D2" s="65" t="str">
        <f t="shared" ref="D2:D6" si="0">CHOOSE(WEEKDAY(A2),"Anne/Fred", "Jane", "Tom","Sue/Panos","Shawn/Orem","Jeff", "Rob")</f>
        <v>Rob</v>
      </c>
      <c r="E2" s="65"/>
      <c r="F2" s="146"/>
      <c r="G2" s="146"/>
      <c r="H2" s="65"/>
      <c r="I2" s="65"/>
      <c r="J2" s="65"/>
      <c r="K2" s="65"/>
      <c r="L2" s="65"/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10">
        <v>0</v>
      </c>
      <c r="Z2" s="10">
        <f t="shared" ref="Z2:Z24" si="1">SUM(Q2:T2)</f>
        <v>0</v>
      </c>
      <c r="AA2" s="10">
        <f t="shared" ref="AA2:AA24" si="2">SUM(M2:U2)</f>
        <v>0</v>
      </c>
      <c r="AB2" s="67">
        <v>0.23</v>
      </c>
      <c r="AC2" s="68"/>
      <c r="AD2" s="113"/>
      <c r="AE2" s="113"/>
      <c r="AF2" s="113"/>
      <c r="AG2" s="113"/>
      <c r="AH2" s="113"/>
      <c r="AI2" s="113"/>
      <c r="AJ2" s="114"/>
      <c r="AK2" s="114"/>
      <c r="AL2" s="114"/>
      <c r="AM2" s="114"/>
      <c r="AN2" s="114"/>
      <c r="AO2" s="114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spans="1:61" ht="15.75" customHeight="1">
      <c r="A3" s="12">
        <v>42827</v>
      </c>
      <c r="C3" s="6">
        <v>2011</v>
      </c>
      <c r="D3" s="65" t="str">
        <f t="shared" si="0"/>
        <v>Anne/Fred</v>
      </c>
      <c r="E3" s="65"/>
      <c r="F3" s="146"/>
      <c r="G3" s="146"/>
      <c r="H3" s="65"/>
      <c r="I3" s="65"/>
      <c r="J3" s="65"/>
      <c r="K3" s="65"/>
      <c r="L3" s="65"/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17">
        <f t="shared" ref="Y3:Y24" si="3">SUM(M3:P3)</f>
        <v>0</v>
      </c>
      <c r="Z3" s="17">
        <f t="shared" si="1"/>
        <v>0</v>
      </c>
      <c r="AA3" s="17">
        <f t="shared" si="2"/>
        <v>0</v>
      </c>
      <c r="AB3" s="67">
        <v>0.34</v>
      </c>
      <c r="AC3" s="78"/>
      <c r="AD3" s="113"/>
      <c r="AE3" s="113"/>
      <c r="AF3" s="113"/>
      <c r="AG3" s="113"/>
      <c r="AH3" s="113"/>
      <c r="AI3" s="113"/>
      <c r="AJ3" s="114"/>
      <c r="AK3" s="114"/>
      <c r="AL3" s="114"/>
      <c r="AM3" s="114"/>
      <c r="AN3" s="114"/>
      <c r="AO3" s="114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61" ht="15.75" customHeight="1">
      <c r="A4" s="12">
        <v>42828</v>
      </c>
      <c r="C4" s="6">
        <v>2012</v>
      </c>
      <c r="D4" s="65" t="str">
        <f t="shared" si="0"/>
        <v>Jane</v>
      </c>
      <c r="E4" s="65" t="s">
        <v>33</v>
      </c>
      <c r="F4" s="146"/>
      <c r="G4" s="146"/>
      <c r="H4" s="65"/>
      <c r="I4" s="65"/>
      <c r="J4" s="65">
        <v>46</v>
      </c>
      <c r="K4" s="65"/>
      <c r="L4" s="65" t="s">
        <v>35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17">
        <f t="shared" si="3"/>
        <v>0</v>
      </c>
      <c r="Z4" s="17">
        <f t="shared" si="1"/>
        <v>0</v>
      </c>
      <c r="AA4" s="17">
        <f t="shared" si="2"/>
        <v>0</v>
      </c>
      <c r="AB4" s="67">
        <v>0.45</v>
      </c>
      <c r="AC4" s="78"/>
      <c r="AD4" s="113"/>
      <c r="AE4" s="113"/>
      <c r="AF4" s="113"/>
      <c r="AG4" s="113"/>
      <c r="AH4" s="113"/>
      <c r="AI4" s="113"/>
      <c r="AJ4" s="114"/>
      <c r="AK4" s="114"/>
      <c r="AL4" s="114"/>
      <c r="AM4" s="114"/>
      <c r="AN4" s="114"/>
      <c r="AO4" s="114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1" ht="15.75" customHeight="1">
      <c r="A5" s="12">
        <v>42829</v>
      </c>
      <c r="C5" s="6">
        <v>2013</v>
      </c>
      <c r="D5" s="65" t="str">
        <f t="shared" si="0"/>
        <v>Tom</v>
      </c>
      <c r="E5" s="65"/>
      <c r="F5" s="146"/>
      <c r="G5" s="146"/>
      <c r="H5" s="65"/>
      <c r="I5" s="65"/>
      <c r="J5" s="65"/>
      <c r="K5" s="65"/>
      <c r="L5" s="65"/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10">
        <f t="shared" si="3"/>
        <v>0</v>
      </c>
      <c r="Z5" s="10">
        <f t="shared" si="1"/>
        <v>0</v>
      </c>
      <c r="AA5" s="10">
        <f t="shared" si="2"/>
        <v>0</v>
      </c>
      <c r="AB5" s="67">
        <v>0.56000000000000005</v>
      </c>
      <c r="AC5" s="68"/>
      <c r="AD5" s="113"/>
      <c r="AE5" s="113"/>
      <c r="AF5" s="113"/>
      <c r="AG5" s="113"/>
      <c r="AH5" s="113"/>
      <c r="AI5" s="113"/>
      <c r="AJ5" s="114"/>
      <c r="AK5" s="114"/>
      <c r="AL5" s="114"/>
      <c r="AM5" s="114"/>
      <c r="AN5" s="114"/>
      <c r="AO5" s="114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 spans="1:61" ht="15.75" customHeight="1">
      <c r="A6" s="12">
        <v>42830</v>
      </c>
      <c r="C6" s="6">
        <v>2015</v>
      </c>
      <c r="D6" s="65" t="str">
        <f t="shared" si="0"/>
        <v>Sue/Panos</v>
      </c>
      <c r="E6" s="65"/>
      <c r="F6" s="146"/>
      <c r="G6" s="146"/>
      <c r="H6" s="65"/>
      <c r="I6" s="65"/>
      <c r="J6" s="65"/>
      <c r="K6" s="65"/>
      <c r="L6" s="108"/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10">
        <f t="shared" si="3"/>
        <v>0</v>
      </c>
      <c r="Z6" s="10">
        <f t="shared" si="1"/>
        <v>0</v>
      </c>
      <c r="AA6" s="10">
        <f t="shared" si="2"/>
        <v>0</v>
      </c>
      <c r="AB6" s="67">
        <v>0.67</v>
      </c>
      <c r="AC6" s="68"/>
      <c r="AD6" s="113"/>
      <c r="AE6" s="113"/>
      <c r="AF6" s="113"/>
      <c r="AG6" s="113"/>
      <c r="AH6" s="113"/>
      <c r="AI6" s="113"/>
      <c r="AJ6" s="114"/>
      <c r="AK6" s="114"/>
      <c r="AL6" s="114"/>
      <c r="AM6" s="114"/>
      <c r="AN6" s="114"/>
      <c r="AO6" s="114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 spans="1:61" ht="15.75" customHeight="1">
      <c r="A7" s="14">
        <v>42831</v>
      </c>
      <c r="C7" s="6">
        <v>2016</v>
      </c>
      <c r="D7" s="65" t="str">
        <f>CHOOSE(WEEKDAY(A7),"Anne/Fred", "Jane/Murr", "Tom","Sue/Panos","Shawn/Orem","Jeff", "Rob")</f>
        <v>Shawn/Orem</v>
      </c>
      <c r="E7" s="65" t="s">
        <v>33</v>
      </c>
      <c r="F7" s="146"/>
      <c r="G7" s="146"/>
      <c r="H7" s="65"/>
      <c r="I7" s="65"/>
      <c r="J7" s="65">
        <v>57</v>
      </c>
      <c r="K7" s="65"/>
      <c r="L7" s="108" t="s">
        <v>257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10">
        <f t="shared" si="3"/>
        <v>0</v>
      </c>
      <c r="Z7" s="10">
        <f t="shared" si="1"/>
        <v>0</v>
      </c>
      <c r="AA7" s="10">
        <f t="shared" si="2"/>
        <v>0</v>
      </c>
      <c r="AB7" s="67">
        <v>0.77</v>
      </c>
      <c r="AC7" s="68"/>
      <c r="AD7" s="113"/>
      <c r="AE7" s="113"/>
      <c r="AF7" s="113"/>
      <c r="AG7" s="113"/>
      <c r="AH7" s="113"/>
      <c r="AI7" s="113"/>
      <c r="AJ7" s="114"/>
      <c r="AK7" s="114"/>
      <c r="AL7" s="114"/>
      <c r="AM7" s="114"/>
      <c r="AN7" s="114"/>
      <c r="AO7" s="114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 spans="1:61" ht="15.75" customHeight="1">
      <c r="A8" s="14">
        <v>42832</v>
      </c>
      <c r="C8" s="6">
        <v>2017</v>
      </c>
      <c r="D8" s="65" t="str">
        <f t="shared" ref="D8:D13" si="4">CHOOSE(WEEKDAY(A8),"Anne/Fred", "Jane", "Tom","Sue/Panos","Shawn/Orem","Jeff", "Rob")</f>
        <v>Jeff</v>
      </c>
      <c r="E8" s="65" t="s">
        <v>33</v>
      </c>
      <c r="F8" s="146">
        <v>0.8125</v>
      </c>
      <c r="G8" s="146"/>
      <c r="H8" s="65"/>
      <c r="I8" s="65"/>
      <c r="J8" s="65">
        <v>53</v>
      </c>
      <c r="K8" s="65"/>
      <c r="L8" s="108" t="s">
        <v>258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17">
        <f t="shared" si="3"/>
        <v>0</v>
      </c>
      <c r="Z8" s="17">
        <f t="shared" si="1"/>
        <v>0</v>
      </c>
      <c r="AA8" s="17">
        <f t="shared" si="2"/>
        <v>0</v>
      </c>
      <c r="AB8" s="67">
        <v>0.85</v>
      </c>
      <c r="AC8" s="78"/>
      <c r="AD8" s="113"/>
      <c r="AE8" s="113"/>
      <c r="AF8" s="113"/>
      <c r="AG8" s="113"/>
      <c r="AH8" s="113"/>
      <c r="AI8" s="113"/>
      <c r="AJ8" s="114"/>
      <c r="AK8" s="114"/>
      <c r="AL8" s="114"/>
      <c r="AM8" s="114"/>
      <c r="AN8" s="114"/>
      <c r="AO8" s="114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</row>
    <row r="9" spans="1:61" ht="15.75" customHeight="1">
      <c r="A9" s="14">
        <v>42833</v>
      </c>
      <c r="C9" s="6">
        <v>2019</v>
      </c>
      <c r="D9" s="65" t="str">
        <f t="shared" si="4"/>
        <v>Rob</v>
      </c>
      <c r="E9" s="65"/>
      <c r="F9" s="146"/>
      <c r="G9" s="146"/>
      <c r="H9" s="65"/>
      <c r="I9" s="65"/>
      <c r="J9" s="65"/>
      <c r="K9" s="65"/>
      <c r="L9" s="108"/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17">
        <f t="shared" si="3"/>
        <v>0</v>
      </c>
      <c r="Z9" s="17">
        <f t="shared" si="1"/>
        <v>0</v>
      </c>
      <c r="AA9" s="17">
        <f t="shared" si="2"/>
        <v>0</v>
      </c>
      <c r="AB9" s="67">
        <v>0.92</v>
      </c>
      <c r="AC9" s="78"/>
      <c r="AD9" s="113"/>
      <c r="AE9" s="113"/>
      <c r="AF9" s="113"/>
      <c r="AG9" s="113"/>
      <c r="AH9" s="113"/>
      <c r="AI9" s="113"/>
      <c r="AJ9" s="114"/>
      <c r="AK9" s="114"/>
      <c r="AL9" s="114"/>
      <c r="AM9" s="114"/>
      <c r="AN9" s="114"/>
      <c r="AO9" s="114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</row>
    <row r="10" spans="1:61" ht="15.75" customHeight="1">
      <c r="A10" s="14">
        <v>42834</v>
      </c>
      <c r="C10" s="6">
        <v>2020</v>
      </c>
      <c r="D10" s="65" t="str">
        <f t="shared" si="4"/>
        <v>Anne/Fred</v>
      </c>
      <c r="E10" s="65"/>
      <c r="F10" s="146"/>
      <c r="G10" s="146"/>
      <c r="H10" s="65"/>
      <c r="I10" s="65"/>
      <c r="J10" s="65"/>
      <c r="K10" s="65"/>
      <c r="L10" s="108"/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17">
        <f t="shared" si="3"/>
        <v>0</v>
      </c>
      <c r="Z10" s="17">
        <f t="shared" si="1"/>
        <v>0</v>
      </c>
      <c r="AA10" s="17">
        <f t="shared" si="2"/>
        <v>0</v>
      </c>
      <c r="AB10" s="67">
        <v>0.96</v>
      </c>
      <c r="AC10" s="78"/>
      <c r="AD10" s="113"/>
      <c r="AE10" s="113"/>
      <c r="AF10" s="113"/>
      <c r="AG10" s="113"/>
      <c r="AH10" s="113"/>
      <c r="AI10" s="113"/>
      <c r="AJ10" s="114"/>
      <c r="AK10" s="114"/>
      <c r="AL10" s="114"/>
      <c r="AM10" s="114"/>
      <c r="AN10" s="114"/>
      <c r="AO10" s="114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spans="1:61" ht="15.75" customHeight="1">
      <c r="A11" s="15">
        <v>42835</v>
      </c>
      <c r="C11" s="6">
        <v>2022</v>
      </c>
      <c r="D11" s="148" t="str">
        <f t="shared" si="4"/>
        <v>Jane</v>
      </c>
      <c r="E11" s="148" t="s">
        <v>33</v>
      </c>
      <c r="F11" s="148"/>
      <c r="G11" s="148"/>
      <c r="H11" s="149"/>
      <c r="I11" s="149"/>
      <c r="J11" s="149">
        <v>49</v>
      </c>
      <c r="K11" s="149"/>
      <c r="L11" s="151" t="s">
        <v>259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118">
        <f t="shared" si="3"/>
        <v>0</v>
      </c>
      <c r="Z11" s="118">
        <f t="shared" si="1"/>
        <v>0</v>
      </c>
      <c r="AA11" s="118">
        <f t="shared" si="2"/>
        <v>0</v>
      </c>
      <c r="AB11" s="67">
        <v>0.99</v>
      </c>
      <c r="AC11" s="98"/>
      <c r="AD11" s="119"/>
      <c r="AE11" s="119"/>
      <c r="AF11" s="119"/>
      <c r="AG11" s="119"/>
      <c r="AH11" s="119"/>
      <c r="AI11" s="119"/>
      <c r="AJ11" s="120"/>
      <c r="AK11" s="120"/>
      <c r="AL11" s="120"/>
      <c r="AM11" s="120"/>
      <c r="AN11" s="120"/>
      <c r="AO11" s="12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</row>
    <row r="12" spans="1:61" ht="15.75" customHeight="1">
      <c r="A12" s="15">
        <v>42836</v>
      </c>
      <c r="C12" s="6">
        <v>2023</v>
      </c>
      <c r="D12" s="65" t="str">
        <f t="shared" si="4"/>
        <v>Tom</v>
      </c>
      <c r="E12" s="65"/>
      <c r="F12" s="152"/>
      <c r="G12" s="152"/>
      <c r="H12" s="65"/>
      <c r="I12" s="65"/>
      <c r="J12" s="65"/>
      <c r="K12" s="65"/>
      <c r="L12" s="108"/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17">
        <f t="shared" si="3"/>
        <v>0</v>
      </c>
      <c r="Z12" s="17">
        <f t="shared" si="1"/>
        <v>0</v>
      </c>
      <c r="AA12" s="17">
        <f t="shared" si="2"/>
        <v>0</v>
      </c>
      <c r="AB12" s="67">
        <v>1</v>
      </c>
      <c r="AC12" s="78"/>
      <c r="AD12" s="113"/>
      <c r="AE12" s="113"/>
      <c r="AF12" s="113"/>
      <c r="AG12" s="113"/>
      <c r="AH12" s="113"/>
      <c r="AI12" s="113"/>
      <c r="AJ12" s="114"/>
      <c r="AK12" s="114"/>
      <c r="AL12" s="114"/>
      <c r="AM12" s="114"/>
      <c r="AN12" s="114"/>
      <c r="AO12" s="114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spans="1:61" ht="15.75" customHeight="1">
      <c r="A13" s="15">
        <v>42837</v>
      </c>
      <c r="C13" s="6">
        <v>2024</v>
      </c>
      <c r="D13" s="65" t="str">
        <f t="shared" si="4"/>
        <v>Sue/Panos</v>
      </c>
      <c r="E13" s="65"/>
      <c r="F13" s="146"/>
      <c r="G13" s="152"/>
      <c r="H13" s="65"/>
      <c r="I13" s="65"/>
      <c r="J13" s="65"/>
      <c r="K13" s="65"/>
      <c r="L13" s="108"/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10">
        <f t="shared" si="3"/>
        <v>0</v>
      </c>
      <c r="Z13" s="10">
        <f t="shared" si="1"/>
        <v>0</v>
      </c>
      <c r="AA13" s="10">
        <f t="shared" si="2"/>
        <v>0</v>
      </c>
      <c r="AB13" s="67">
        <v>0.99</v>
      </c>
      <c r="AC13" s="68"/>
      <c r="AD13" s="113"/>
      <c r="AE13" s="113"/>
      <c r="AF13" s="113"/>
      <c r="AG13" s="113"/>
      <c r="AH13" s="113"/>
      <c r="AI13" s="113"/>
      <c r="AJ13" s="114"/>
      <c r="AK13" s="114"/>
      <c r="AL13" s="114"/>
      <c r="AM13" s="114"/>
      <c r="AN13" s="114"/>
      <c r="AO13" s="114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61" ht="15.75" customHeight="1">
      <c r="A14" s="20">
        <v>42838</v>
      </c>
      <c r="C14" s="6">
        <v>2026</v>
      </c>
      <c r="D14" s="65" t="s">
        <v>229</v>
      </c>
      <c r="E14" s="65"/>
      <c r="F14" s="146"/>
      <c r="G14" s="146"/>
      <c r="H14" s="65"/>
      <c r="I14" s="65"/>
      <c r="J14" s="65"/>
      <c r="K14" s="65"/>
      <c r="L14" s="108"/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17">
        <f t="shared" si="3"/>
        <v>0</v>
      </c>
      <c r="Z14" s="17">
        <f t="shared" si="1"/>
        <v>0</v>
      </c>
      <c r="AA14" s="17">
        <f t="shared" si="2"/>
        <v>0</v>
      </c>
      <c r="AB14" s="67">
        <v>0.96</v>
      </c>
      <c r="AC14" s="78"/>
      <c r="AD14" s="113"/>
      <c r="AE14" s="113"/>
      <c r="AF14" s="113"/>
      <c r="AG14" s="113"/>
      <c r="AH14" s="113"/>
      <c r="AI14" s="113"/>
      <c r="AJ14" s="114"/>
      <c r="AK14" s="114"/>
      <c r="AL14" s="114"/>
      <c r="AM14" s="114"/>
      <c r="AN14" s="114"/>
      <c r="AO14" s="114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</row>
    <row r="15" spans="1:61" ht="15.75" customHeight="1">
      <c r="A15" s="20">
        <v>42839</v>
      </c>
      <c r="C15" s="6">
        <v>2027</v>
      </c>
      <c r="D15" s="65" t="str">
        <f t="shared" ref="D15:D20" si="5">CHOOSE(WEEKDAY(A15),"Anne/Fred", "Jane", "Tom","Sue/Panos","Shawn/Orem","Jeff", "Rob")</f>
        <v>Jeff</v>
      </c>
      <c r="E15" s="65"/>
      <c r="F15" s="146"/>
      <c r="G15" s="146"/>
      <c r="H15" s="65"/>
      <c r="I15" s="65"/>
      <c r="J15" s="65"/>
      <c r="K15" s="65"/>
      <c r="L15" s="108"/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17">
        <f t="shared" si="3"/>
        <v>0</v>
      </c>
      <c r="Z15" s="17">
        <f t="shared" si="1"/>
        <v>0</v>
      </c>
      <c r="AA15" s="17">
        <f t="shared" si="2"/>
        <v>0</v>
      </c>
      <c r="AB15" s="67">
        <v>0.91</v>
      </c>
      <c r="AC15" s="78"/>
      <c r="AD15" s="113"/>
      <c r="AE15" s="113"/>
      <c r="AF15" s="113"/>
      <c r="AG15" s="113"/>
      <c r="AH15" s="113"/>
      <c r="AI15" s="113"/>
      <c r="AJ15" s="114"/>
      <c r="AK15" s="114"/>
      <c r="AL15" s="114"/>
      <c r="AM15" s="114"/>
      <c r="AN15" s="114"/>
      <c r="AO15" s="114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</row>
    <row r="16" spans="1:61" ht="15.75" customHeight="1">
      <c r="A16" s="20">
        <v>42840</v>
      </c>
      <c r="C16" s="6">
        <v>2028</v>
      </c>
      <c r="D16" s="65" t="str">
        <f t="shared" si="5"/>
        <v>Rob</v>
      </c>
      <c r="E16" s="65"/>
      <c r="F16" s="146"/>
      <c r="G16" s="146"/>
      <c r="H16" s="65"/>
      <c r="I16" s="65"/>
      <c r="J16" s="65"/>
      <c r="K16" s="65"/>
      <c r="L16" s="108"/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10">
        <f t="shared" si="3"/>
        <v>0</v>
      </c>
      <c r="Z16" s="10">
        <f t="shared" si="1"/>
        <v>0</v>
      </c>
      <c r="AA16" s="10">
        <f t="shared" si="2"/>
        <v>0</v>
      </c>
      <c r="AB16" s="67">
        <v>0.85</v>
      </c>
      <c r="AC16" s="68"/>
      <c r="AD16" s="38"/>
      <c r="AE16" s="38"/>
      <c r="AF16" s="38"/>
      <c r="AG16" s="38"/>
      <c r="AH16" s="38"/>
      <c r="AI16" s="38"/>
      <c r="AJ16" s="59"/>
      <c r="AK16" s="59"/>
      <c r="AL16" s="59"/>
      <c r="AM16" s="59"/>
      <c r="AN16" s="59"/>
      <c r="AO16" s="59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 spans="1:61" ht="15.75" customHeight="1">
      <c r="A17" s="20">
        <v>42841</v>
      </c>
      <c r="C17" s="6">
        <v>2030</v>
      </c>
      <c r="D17" s="65" t="str">
        <f t="shared" si="5"/>
        <v>Anne/Fred</v>
      </c>
      <c r="E17" s="65" t="s">
        <v>33</v>
      </c>
      <c r="F17" s="146"/>
      <c r="G17" s="146"/>
      <c r="H17" s="153"/>
      <c r="I17" s="65"/>
      <c r="J17" s="65">
        <v>54</v>
      </c>
      <c r="K17" s="65"/>
      <c r="L17" s="108" t="s">
        <v>260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10">
        <f t="shared" si="3"/>
        <v>0</v>
      </c>
      <c r="Z17" s="10">
        <f t="shared" si="1"/>
        <v>0</v>
      </c>
      <c r="AA17" s="10">
        <f t="shared" si="2"/>
        <v>0</v>
      </c>
      <c r="AB17" s="67">
        <v>0.78</v>
      </c>
      <c r="AC17" s="68"/>
      <c r="AD17" s="113"/>
      <c r="AE17" s="113"/>
      <c r="AF17" s="113"/>
      <c r="AG17" s="113"/>
      <c r="AH17" s="113"/>
      <c r="AI17" s="113"/>
      <c r="AJ17" s="114"/>
      <c r="AK17" s="114"/>
      <c r="AL17" s="114"/>
      <c r="AM17" s="114"/>
      <c r="AN17" s="114"/>
      <c r="AO17" s="114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 spans="1:61" ht="15.75" customHeight="1">
      <c r="A18" s="22">
        <v>42842</v>
      </c>
      <c r="C18" s="6">
        <v>2031</v>
      </c>
      <c r="D18" s="65" t="str">
        <f t="shared" si="5"/>
        <v>Jane</v>
      </c>
      <c r="E18" s="65"/>
      <c r="F18" s="146"/>
      <c r="G18" s="146"/>
      <c r="H18" s="65"/>
      <c r="I18" s="65"/>
      <c r="J18" s="65"/>
      <c r="K18" s="65"/>
      <c r="L18" s="108"/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10">
        <f t="shared" si="3"/>
        <v>0</v>
      </c>
      <c r="Z18" s="10">
        <f t="shared" si="1"/>
        <v>0</v>
      </c>
      <c r="AA18" s="10">
        <f t="shared" si="2"/>
        <v>0</v>
      </c>
      <c r="AB18" s="67">
        <v>0.7</v>
      </c>
      <c r="AC18" s="68"/>
      <c r="AD18" s="113"/>
      <c r="AE18" s="113"/>
      <c r="AF18" s="113"/>
      <c r="AG18" s="113"/>
      <c r="AH18" s="113"/>
      <c r="AI18" s="113"/>
      <c r="AJ18" s="114"/>
      <c r="AK18" s="114"/>
      <c r="AL18" s="114"/>
      <c r="AM18" s="114"/>
      <c r="AN18" s="114"/>
      <c r="AO18" s="114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spans="1:61" ht="15.75" customHeight="1">
      <c r="A19" s="22">
        <v>42843</v>
      </c>
      <c r="C19" s="6">
        <v>2033</v>
      </c>
      <c r="D19" s="65" t="str">
        <f t="shared" si="5"/>
        <v>Tom</v>
      </c>
      <c r="E19" s="65"/>
      <c r="F19" s="146"/>
      <c r="G19" s="146"/>
      <c r="H19" s="65"/>
      <c r="I19" s="65"/>
      <c r="J19" s="65"/>
      <c r="K19" s="65"/>
      <c r="L19" s="108"/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10">
        <f t="shared" si="3"/>
        <v>0</v>
      </c>
      <c r="Z19" s="10">
        <f t="shared" si="1"/>
        <v>0</v>
      </c>
      <c r="AA19" s="10">
        <f t="shared" si="2"/>
        <v>0</v>
      </c>
      <c r="AB19" s="67">
        <v>0.61</v>
      </c>
      <c r="AC19" s="68"/>
      <c r="AD19" s="113"/>
      <c r="AE19" s="113"/>
      <c r="AF19" s="113"/>
      <c r="AG19" s="113"/>
      <c r="AH19" s="113"/>
      <c r="AI19" s="113"/>
      <c r="AJ19" s="114"/>
      <c r="AK19" s="114"/>
      <c r="AL19" s="114"/>
      <c r="AM19" s="114"/>
      <c r="AN19" s="114"/>
      <c r="AO19" s="114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 spans="1:61" ht="15.75" customHeight="1">
      <c r="A20" s="22">
        <v>42844</v>
      </c>
      <c r="C20" s="6">
        <v>2034</v>
      </c>
      <c r="D20" s="65" t="str">
        <f t="shared" si="5"/>
        <v>Sue/Panos</v>
      </c>
      <c r="E20" s="65"/>
      <c r="F20" s="146"/>
      <c r="G20" s="11"/>
      <c r="H20" s="153"/>
      <c r="I20" s="65"/>
      <c r="J20" s="65"/>
      <c r="K20" s="65"/>
      <c r="L20" s="108"/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10">
        <f t="shared" si="3"/>
        <v>0</v>
      </c>
      <c r="Z20" s="10">
        <f t="shared" si="1"/>
        <v>0</v>
      </c>
      <c r="AA20" s="10">
        <f t="shared" si="2"/>
        <v>0</v>
      </c>
      <c r="AB20" s="67">
        <v>0.51</v>
      </c>
      <c r="AC20" s="68"/>
      <c r="AD20" s="113"/>
      <c r="AE20" s="113"/>
      <c r="AF20" s="113"/>
      <c r="AG20" s="113"/>
      <c r="AH20" s="113"/>
      <c r="AI20" s="113"/>
      <c r="AJ20" s="114"/>
      <c r="AK20" s="114"/>
      <c r="AL20" s="114"/>
      <c r="AM20" s="114"/>
      <c r="AN20" s="114"/>
      <c r="AO20" s="114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spans="1:61" ht="15.75" customHeight="1">
      <c r="A21" s="22">
        <v>42845</v>
      </c>
      <c r="C21" s="6">
        <v>2035</v>
      </c>
      <c r="D21" s="65" t="str">
        <f>CHOOSE(WEEKDAY(A21),"Anne/Fred", "Jane/Murr", "Tom","Sue/Panos","Shawn/Orem","Jeff", "Rob")</f>
        <v>Shawn/Orem</v>
      </c>
      <c r="E21" s="65"/>
      <c r="F21" s="146"/>
      <c r="G21" s="146"/>
      <c r="H21" s="65"/>
      <c r="I21" s="65"/>
      <c r="J21" s="65"/>
      <c r="K21" s="65"/>
      <c r="L21" s="108"/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10">
        <f t="shared" si="3"/>
        <v>0</v>
      </c>
      <c r="Z21" s="10">
        <f t="shared" si="1"/>
        <v>0</v>
      </c>
      <c r="AA21" s="10">
        <f t="shared" si="2"/>
        <v>0</v>
      </c>
      <c r="AB21" s="67">
        <v>0.41</v>
      </c>
      <c r="AC21" s="68"/>
      <c r="AD21" s="113"/>
      <c r="AE21" s="113"/>
      <c r="AF21" s="113"/>
      <c r="AG21" s="113"/>
      <c r="AH21" s="113"/>
      <c r="AI21" s="113"/>
      <c r="AJ21" s="114"/>
      <c r="AK21" s="114"/>
      <c r="AL21" s="114"/>
      <c r="AM21" s="114"/>
      <c r="AN21" s="114"/>
      <c r="AO21" s="114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</row>
    <row r="22" spans="1:61" ht="15.75" customHeight="1">
      <c r="A22" s="22">
        <v>42846</v>
      </c>
      <c r="C22" s="6">
        <v>2037</v>
      </c>
      <c r="D22" s="65" t="str">
        <f t="shared" ref="D22:D24" si="6">CHOOSE(WEEKDAY(A22),"Anne/Fred", "Jane", "Tom","Sue/Panos","Shawn/Orem","Jeff", "Rob")</f>
        <v>Jeff</v>
      </c>
      <c r="E22" s="65"/>
      <c r="F22" s="146"/>
      <c r="G22" s="146"/>
      <c r="H22" s="65"/>
      <c r="I22" s="65"/>
      <c r="J22" s="65"/>
      <c r="K22" s="65"/>
      <c r="L22" s="108"/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17">
        <f t="shared" si="3"/>
        <v>0</v>
      </c>
      <c r="Z22" s="17">
        <f t="shared" si="1"/>
        <v>0</v>
      </c>
      <c r="AA22" s="17">
        <f t="shared" si="2"/>
        <v>0</v>
      </c>
      <c r="AB22" s="67">
        <v>0.31</v>
      </c>
      <c r="AC22" s="78"/>
      <c r="AD22" s="113"/>
      <c r="AE22" s="113"/>
      <c r="AF22" s="113"/>
      <c r="AG22" s="113"/>
      <c r="AH22" s="113"/>
      <c r="AI22" s="113"/>
      <c r="AJ22" s="126"/>
      <c r="AK22" s="126"/>
      <c r="AL22" s="126"/>
      <c r="AM22" s="126"/>
      <c r="AN22" s="126"/>
      <c r="AO22" s="12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pans="1:61" ht="15.75" customHeight="1">
      <c r="A23" s="24">
        <v>42847</v>
      </c>
      <c r="C23" s="6">
        <v>2038</v>
      </c>
      <c r="D23" s="65" t="str">
        <f t="shared" si="6"/>
        <v>Rob</v>
      </c>
      <c r="E23" s="65"/>
      <c r="F23" s="146"/>
      <c r="G23" s="146"/>
      <c r="H23" s="153"/>
      <c r="I23" s="65"/>
      <c r="J23" s="65"/>
      <c r="K23" s="65"/>
      <c r="L23" s="108"/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10">
        <f t="shared" si="3"/>
        <v>0</v>
      </c>
      <c r="Z23" s="10">
        <f t="shared" si="1"/>
        <v>0</v>
      </c>
      <c r="AA23" s="10">
        <f t="shared" si="2"/>
        <v>0</v>
      </c>
      <c r="AB23" s="67">
        <v>0.22</v>
      </c>
      <c r="AC23" s="68"/>
      <c r="AD23" s="113"/>
      <c r="AE23" s="113"/>
      <c r="AF23" s="113"/>
      <c r="AG23" s="113"/>
      <c r="AH23" s="113"/>
      <c r="AI23" s="113"/>
      <c r="AJ23" s="114"/>
      <c r="AK23" s="114"/>
      <c r="AL23" s="114"/>
      <c r="AM23" s="114"/>
      <c r="AN23" s="114"/>
      <c r="AO23" s="114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spans="1:61" ht="15.75" customHeight="1">
      <c r="A24" s="24">
        <v>42848</v>
      </c>
      <c r="C24" s="6">
        <v>2040</v>
      </c>
      <c r="D24" s="65" t="str">
        <f t="shared" si="6"/>
        <v>Anne/Fred</v>
      </c>
      <c r="E24" s="65"/>
      <c r="F24" s="146"/>
      <c r="G24" s="154"/>
      <c r="H24" s="65"/>
      <c r="I24" s="65"/>
      <c r="J24" s="65"/>
      <c r="K24" s="65"/>
      <c r="L24" s="108"/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10">
        <f t="shared" si="3"/>
        <v>0</v>
      </c>
      <c r="Z24" s="10">
        <f t="shared" si="1"/>
        <v>0</v>
      </c>
      <c r="AA24" s="10">
        <f t="shared" si="2"/>
        <v>0</v>
      </c>
      <c r="AB24" s="67">
        <v>0.14000000000000001</v>
      </c>
      <c r="AC24" s="68"/>
      <c r="AD24" s="113"/>
      <c r="AE24" s="113"/>
      <c r="AF24" s="113"/>
      <c r="AG24" s="113"/>
      <c r="AH24" s="113"/>
      <c r="AI24" s="113"/>
      <c r="AJ24" s="114"/>
      <c r="AK24" s="114"/>
      <c r="AL24" s="114"/>
      <c r="AM24" s="114"/>
      <c r="AN24" s="114"/>
      <c r="AO24" s="114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</row>
    <row r="25" spans="1:61" ht="15.75" customHeight="1">
      <c r="A25" s="24">
        <v>42849</v>
      </c>
      <c r="C25" s="6">
        <v>2041</v>
      </c>
      <c r="D25" s="65" t="s">
        <v>245</v>
      </c>
      <c r="E25" s="65"/>
      <c r="F25" s="146"/>
      <c r="G25" s="146"/>
      <c r="H25" s="65"/>
      <c r="I25" s="65"/>
      <c r="J25" s="65"/>
      <c r="K25" s="65"/>
      <c r="L25" s="108"/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67">
        <v>7.0000000000000007E-2</v>
      </c>
      <c r="AC25" s="68"/>
      <c r="AD25" s="113"/>
      <c r="AE25" s="113"/>
      <c r="AF25" s="113"/>
      <c r="AG25" s="113"/>
      <c r="AH25" s="113"/>
      <c r="AI25" s="113"/>
      <c r="AJ25" s="114"/>
      <c r="AK25" s="114"/>
      <c r="AL25" s="114"/>
      <c r="AM25" s="114"/>
      <c r="AN25" s="114"/>
      <c r="AO25" s="114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 spans="1:61" ht="15.75" customHeight="1">
      <c r="A26" s="25">
        <v>42850</v>
      </c>
      <c r="C26" s="6">
        <v>2042</v>
      </c>
      <c r="D26" s="65" t="str">
        <f t="shared" ref="D26:D27" si="7">CHOOSE(WEEKDAY(A26),"Anne/Fred", "Jane", "Tom","Sue/Panos","Shawn/Orem","Jeff", "Rob")</f>
        <v>Tom</v>
      </c>
      <c r="E26" s="65"/>
      <c r="F26" s="146"/>
      <c r="G26" s="146"/>
      <c r="H26" s="153"/>
      <c r="I26" s="65"/>
      <c r="J26" s="65"/>
      <c r="K26" s="65"/>
      <c r="L26" s="108"/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67">
        <v>0.02</v>
      </c>
      <c r="AC26" s="63"/>
      <c r="AD26" s="129"/>
      <c r="AE26" s="129"/>
      <c r="AF26" s="129"/>
      <c r="AG26" s="129"/>
      <c r="AH26" s="129"/>
      <c r="AI26" s="129"/>
      <c r="AJ26" s="63"/>
      <c r="AK26" s="63"/>
      <c r="AL26" s="2"/>
      <c r="AM26" s="2"/>
      <c r="AN26" s="2"/>
      <c r="AO26" s="2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 spans="1:61" ht="15.75" customHeight="1">
      <c r="A27" s="25">
        <v>42851</v>
      </c>
      <c r="C27" s="6">
        <v>2044</v>
      </c>
      <c r="D27" s="65" t="str">
        <f t="shared" si="7"/>
        <v>Sue/Panos</v>
      </c>
      <c r="E27" s="65"/>
      <c r="F27" s="146"/>
      <c r="G27" s="146"/>
      <c r="H27" s="65"/>
      <c r="I27" s="65"/>
      <c r="J27" s="65"/>
      <c r="K27" s="65"/>
      <c r="L27" s="108"/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f t="shared" ref="Y27:Y31" si="8">SUM(M27:P27)</f>
        <v>0</v>
      </c>
      <c r="Z27" s="7">
        <f t="shared" ref="Z27:Z31" si="9">SUM(Q27:T27)</f>
        <v>0</v>
      </c>
      <c r="AA27" s="7">
        <f t="shared" ref="AA27:AA31" si="10">SUM(M27:U27)</f>
        <v>0</v>
      </c>
      <c r="AB27" s="67">
        <v>0</v>
      </c>
      <c r="AC27" s="68"/>
      <c r="AD27" s="65"/>
      <c r="AE27" s="65"/>
      <c r="AF27" s="65"/>
      <c r="AG27" s="65"/>
      <c r="AH27" s="65"/>
      <c r="AI27" s="65"/>
      <c r="AJ27" s="7"/>
      <c r="AK27" s="7"/>
      <c r="AL27" s="10"/>
      <c r="AM27" s="10"/>
      <c r="AN27" s="10"/>
      <c r="AO27" s="68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1:61" ht="15.75" customHeight="1">
      <c r="A28" s="25">
        <v>42852</v>
      </c>
      <c r="C28" s="6">
        <v>2045</v>
      </c>
      <c r="D28" s="65" t="str">
        <f>CHOOSE(WEEKDAY(A28),"Anne/Fred", "Jane/Murr", "Tom","Sue/Panos","Shawn/Orem","Jeff", "Rob")</f>
        <v>Shawn/Orem</v>
      </c>
      <c r="E28" s="65"/>
      <c r="F28" s="146"/>
      <c r="G28" s="146"/>
      <c r="H28" s="65"/>
      <c r="I28" s="65"/>
      <c r="J28" s="65"/>
      <c r="K28" s="65"/>
      <c r="L28" s="108"/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65">
        <f t="shared" si="8"/>
        <v>0</v>
      </c>
      <c r="Z28" s="65">
        <f t="shared" si="9"/>
        <v>0</v>
      </c>
      <c r="AA28" s="65">
        <f t="shared" si="10"/>
        <v>0</v>
      </c>
      <c r="AB28" s="67">
        <v>0.01</v>
      </c>
      <c r="AC28" s="108"/>
      <c r="AD28" s="65"/>
      <c r="AE28" s="65"/>
      <c r="AF28" s="65"/>
      <c r="AG28" s="65"/>
      <c r="AH28" s="65"/>
      <c r="AI28" s="65"/>
      <c r="AJ28" s="17"/>
      <c r="AK28" s="17"/>
      <c r="AL28" s="17"/>
      <c r="AM28" s="17"/>
      <c r="AN28" s="17"/>
      <c r="AO28" s="78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</row>
    <row r="29" spans="1:61" ht="15.75" customHeight="1">
      <c r="A29" s="5">
        <v>42853</v>
      </c>
      <c r="C29" s="6">
        <v>2047</v>
      </c>
      <c r="D29" s="65" t="str">
        <f t="shared" ref="D29:D31" si="11">CHOOSE(WEEKDAY(A29),"Anne/Fred", "Jane", "Tom","Sue/Panos","Shawn/Orem","Jeff", "Rob")</f>
        <v>Jeff</v>
      </c>
      <c r="E29" s="65"/>
      <c r="F29" s="11"/>
      <c r="G29" s="11"/>
      <c r="H29" s="153"/>
      <c r="I29" s="145"/>
      <c r="J29" s="65"/>
      <c r="K29" s="65"/>
      <c r="L29" s="108"/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65">
        <f t="shared" si="8"/>
        <v>0</v>
      </c>
      <c r="Z29" s="65">
        <f t="shared" si="9"/>
        <v>0</v>
      </c>
      <c r="AA29" s="65">
        <f t="shared" si="10"/>
        <v>0</v>
      </c>
      <c r="AB29" s="67">
        <v>0.05</v>
      </c>
      <c r="AC29" s="108"/>
      <c r="AD29" s="65"/>
      <c r="AE29" s="65"/>
      <c r="AF29" s="65"/>
      <c r="AG29" s="65"/>
      <c r="AH29" s="65"/>
      <c r="AI29" s="65"/>
      <c r="AJ29" s="17"/>
      <c r="AK29" s="17"/>
      <c r="AL29" s="17"/>
      <c r="AM29" s="17"/>
      <c r="AN29" s="17"/>
      <c r="AO29" s="78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 spans="1:61" ht="15.75" customHeight="1">
      <c r="A30" s="5">
        <v>42854</v>
      </c>
      <c r="B30" s="6"/>
      <c r="C30" s="65"/>
      <c r="D30" s="65" t="str">
        <f t="shared" si="11"/>
        <v>Rob</v>
      </c>
      <c r="E30" s="65"/>
      <c r="F30" s="146"/>
      <c r="G30" s="146"/>
      <c r="H30" s="65"/>
      <c r="I30" s="145"/>
      <c r="J30" s="65"/>
      <c r="K30" s="65"/>
      <c r="L30" s="108"/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17">
        <f t="shared" si="8"/>
        <v>0</v>
      </c>
      <c r="Z30" s="17">
        <f t="shared" si="9"/>
        <v>0</v>
      </c>
      <c r="AA30" s="17">
        <f t="shared" si="10"/>
        <v>0</v>
      </c>
      <c r="AB30" s="67">
        <v>0.12</v>
      </c>
      <c r="AC30" s="78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78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pans="1:61" ht="15.75" customHeight="1">
      <c r="A31" s="5">
        <v>42855</v>
      </c>
      <c r="B31" s="6"/>
      <c r="C31" s="65"/>
      <c r="D31" s="65" t="str">
        <f t="shared" si="11"/>
        <v>Anne/Fred</v>
      </c>
      <c r="E31" s="65"/>
      <c r="F31" s="11"/>
      <c r="G31" s="11"/>
      <c r="H31" s="153"/>
      <c r="I31" s="145"/>
      <c r="J31" s="65"/>
      <c r="K31" s="65"/>
      <c r="L31" s="108"/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f t="shared" si="8"/>
        <v>0</v>
      </c>
      <c r="Z31" s="7">
        <f t="shared" si="9"/>
        <v>0</v>
      </c>
      <c r="AA31" s="7">
        <f t="shared" si="10"/>
        <v>0</v>
      </c>
      <c r="AB31" s="67">
        <v>0.2</v>
      </c>
      <c r="AC31" s="68"/>
      <c r="AD31" s="65"/>
      <c r="AE31" s="65"/>
      <c r="AF31" s="65"/>
      <c r="AG31" s="65"/>
      <c r="AH31" s="65"/>
      <c r="AI31" s="65"/>
      <c r="AJ31" s="7"/>
      <c r="AK31" s="7"/>
      <c r="AL31" s="10"/>
      <c r="AM31" s="10"/>
      <c r="AN31" s="10"/>
      <c r="AO31" s="68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</row>
    <row r="32" spans="1:61" ht="15.75" customHeight="1">
      <c r="A32" s="71"/>
      <c r="B32" s="6"/>
      <c r="C32" s="6"/>
      <c r="D32" s="7"/>
      <c r="E32" s="7"/>
      <c r="F32" s="47"/>
      <c r="G32" s="47"/>
      <c r="H32" s="7"/>
      <c r="I32" s="130"/>
      <c r="J32" s="7"/>
      <c r="K32" s="7"/>
      <c r="L32" s="6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68"/>
      <c r="Y32" s="7"/>
      <c r="Z32" s="7"/>
      <c r="AA32" s="7"/>
      <c r="AB32" s="68"/>
      <c r="AC32" s="68"/>
      <c r="AD32" s="65"/>
      <c r="AE32" s="65"/>
      <c r="AF32" s="65"/>
      <c r="AG32" s="65"/>
      <c r="AH32" s="65"/>
      <c r="AI32" s="65"/>
      <c r="AJ32" s="7"/>
      <c r="AK32" s="7"/>
      <c r="AL32" s="10"/>
      <c r="AM32" s="10"/>
      <c r="AN32" s="10"/>
      <c r="AO32" s="68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</row>
    <row r="33" spans="1:61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38"/>
      <c r="M33" s="15"/>
      <c r="N33" s="11"/>
      <c r="O33" s="11"/>
      <c r="P33" s="65"/>
      <c r="Q33" s="65"/>
      <c r="R33" s="144"/>
      <c r="S33" s="144"/>
      <c r="T33" s="65"/>
      <c r="U33" s="145"/>
      <c r="V33" s="65"/>
      <c r="W33" s="65"/>
      <c r="X33" s="108"/>
      <c r="Y33" s="65"/>
      <c r="Z33" s="65"/>
      <c r="AA33" s="65"/>
      <c r="AB33" s="108"/>
      <c r="AC33" s="108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108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 spans="1:61" ht="15.75" customHeight="1">
      <c r="A34" s="142"/>
      <c r="B34" s="142"/>
      <c r="C34" s="27"/>
      <c r="D34" s="27"/>
      <c r="E34" s="28" t="s">
        <v>56</v>
      </c>
      <c r="F34" s="27"/>
      <c r="G34" s="27"/>
      <c r="H34" s="143"/>
      <c r="I34" s="27">
        <f>SUM(I2:I32)</f>
        <v>0</v>
      </c>
      <c r="J34" s="27"/>
      <c r="K34" s="27"/>
      <c r="L34" s="38"/>
      <c r="M34" s="11">
        <f t="shared" ref="M34:X34" si="12">SUM(M2:M32)</f>
        <v>0</v>
      </c>
      <c r="N34" s="11">
        <f t="shared" si="12"/>
        <v>0</v>
      </c>
      <c r="O34" s="11">
        <f t="shared" si="12"/>
        <v>0</v>
      </c>
      <c r="P34" s="65">
        <f t="shared" si="12"/>
        <v>0</v>
      </c>
      <c r="Q34" s="65">
        <f t="shared" si="12"/>
        <v>0</v>
      </c>
      <c r="R34" s="144">
        <f t="shared" si="12"/>
        <v>0</v>
      </c>
      <c r="S34" s="144">
        <f t="shared" si="12"/>
        <v>0</v>
      </c>
      <c r="T34" s="65">
        <f t="shared" si="12"/>
        <v>0</v>
      </c>
      <c r="U34" s="145">
        <f t="shared" si="12"/>
        <v>0</v>
      </c>
      <c r="V34" s="65">
        <f t="shared" si="12"/>
        <v>0</v>
      </c>
      <c r="W34" s="65">
        <f t="shared" si="12"/>
        <v>0</v>
      </c>
      <c r="X34" s="108">
        <f t="shared" si="12"/>
        <v>0</v>
      </c>
      <c r="Y34" s="65">
        <f t="shared" ref="Y34:AA34" si="13">SUM(Y2:Y32)</f>
        <v>0</v>
      </c>
      <c r="Z34" s="65">
        <f t="shared" si="13"/>
        <v>0</v>
      </c>
      <c r="AA34" s="65">
        <f t="shared" si="13"/>
        <v>0</v>
      </c>
      <c r="AB34" s="108"/>
      <c r="AC34" s="108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108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 spans="1:61" ht="15.75" customHeight="1">
      <c r="A35" s="11"/>
      <c r="B35" s="27"/>
      <c r="C35" s="27"/>
      <c r="D35" s="27"/>
      <c r="E35" s="28" t="s">
        <v>57</v>
      </c>
      <c r="F35" s="27"/>
      <c r="G35" s="27"/>
      <c r="H35" s="27"/>
      <c r="I35" s="30">
        <f>nov_tot_hrs+dec_tot_hrs+jan_tot_hrs+feb_tot_hrs+'April 2017'!mar_tot_hrs</f>
        <v>306.37</v>
      </c>
      <c r="J35" s="27"/>
      <c r="K35" s="27"/>
      <c r="L35" s="11"/>
      <c r="M35" s="15"/>
      <c r="N35" s="11"/>
      <c r="O35" s="11"/>
      <c r="P35" s="65"/>
      <c r="Q35" s="65"/>
      <c r="R35" s="146"/>
      <c r="S35" s="146"/>
      <c r="T35" s="65"/>
      <c r="U35" s="145"/>
      <c r="V35" s="65"/>
      <c r="W35" s="65"/>
      <c r="X35" s="108"/>
      <c r="Y35" s="144">
        <f>nov_tot_down+dec_tot_down+jan_tot_down+feb_tot_down+'April 2017'!mar_tot_down</f>
        <v>831</v>
      </c>
      <c r="Z35" s="65" t="e">
        <f>nov_tot_up + dec_tot_up+jan_tot_up+feb_tot_up+'April 2017'!mar_tot_up+apr_tot_up</f>
        <v>#REF!</v>
      </c>
      <c r="AA35" s="65" t="e">
        <f>SUM(Y35:Z35)</f>
        <v>#REF!</v>
      </c>
      <c r="AB35" s="108"/>
      <c r="AC35" s="108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108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 spans="1:61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47"/>
      <c r="N36" s="100"/>
      <c r="O36" s="100"/>
      <c r="P36" s="148"/>
      <c r="Q36" s="148"/>
      <c r="R36" s="148"/>
      <c r="S36" s="148"/>
      <c r="T36" s="149"/>
      <c r="U36" s="150"/>
      <c r="V36" s="149"/>
      <c r="W36" s="149"/>
      <c r="X36" s="151"/>
      <c r="Y36" s="148"/>
      <c r="Z36" s="148"/>
      <c r="AA36" s="148"/>
      <c r="AB36" s="151"/>
      <c r="AC36" s="151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5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 spans="1:61" ht="15.75" customHeight="1">
      <c r="A37" s="11"/>
      <c r="B37" s="27"/>
      <c r="C37" s="32" t="s">
        <v>58</v>
      </c>
      <c r="D37" s="27"/>
      <c r="E37" s="27"/>
      <c r="F37" s="27"/>
      <c r="G37" s="27"/>
      <c r="H37" s="27"/>
      <c r="I37" s="28"/>
      <c r="J37" s="28"/>
      <c r="K37" s="28"/>
      <c r="L37" s="33"/>
      <c r="M37" s="15"/>
      <c r="N37" s="11"/>
      <c r="O37" s="11"/>
      <c r="P37" s="65"/>
      <c r="Q37" s="65"/>
      <c r="R37" s="152"/>
      <c r="S37" s="152"/>
      <c r="T37" s="65"/>
      <c r="U37" s="145"/>
      <c r="V37" s="65"/>
      <c r="W37" s="65"/>
      <c r="X37" s="108"/>
      <c r="Y37" s="65"/>
      <c r="Z37" s="65"/>
      <c r="AA37" s="65"/>
      <c r="AB37" s="108"/>
      <c r="AC37" s="108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108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</row>
    <row r="38" spans="1:61" ht="15.75" customHeight="1">
      <c r="A38" s="11"/>
      <c r="B38" s="27"/>
      <c r="C38" s="28" t="s">
        <v>59</v>
      </c>
      <c r="D38" s="27"/>
      <c r="E38" s="27"/>
      <c r="F38" s="27"/>
      <c r="G38" s="27"/>
      <c r="H38" s="11"/>
      <c r="I38" s="28" t="s">
        <v>60</v>
      </c>
      <c r="J38" s="11"/>
      <c r="K38" s="11"/>
      <c r="L38" s="11"/>
      <c r="M38" s="15" t="s">
        <v>61</v>
      </c>
      <c r="N38" s="127"/>
      <c r="O38" s="127"/>
      <c r="P38" s="65"/>
      <c r="Q38" s="65"/>
      <c r="R38" s="146" t="s">
        <v>62</v>
      </c>
      <c r="S38" s="152"/>
      <c r="T38" s="65"/>
      <c r="U38" s="145"/>
      <c r="V38" s="144">
        <f>nov_tot_down+dec_tot_down+jan_tot_down+feb_tot_down+'April 2017'!mar_tot_down</f>
        <v>831</v>
      </c>
      <c r="W38" s="65"/>
      <c r="X38" s="108"/>
      <c r="Y38" s="65"/>
      <c r="Z38" s="65"/>
      <c r="AA38" s="65"/>
      <c r="AB38" s="108"/>
      <c r="AC38" s="108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108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</row>
    <row r="39" spans="1:61" ht="15.75" customHeight="1">
      <c r="A39" s="11"/>
      <c r="B39" s="27"/>
      <c r="C39" s="28" t="s">
        <v>64</v>
      </c>
      <c r="D39" s="27"/>
      <c r="E39" s="27"/>
      <c r="F39" s="27"/>
      <c r="G39" s="40"/>
      <c r="H39" s="11"/>
      <c r="I39" s="28" t="s">
        <v>65</v>
      </c>
      <c r="J39" s="11"/>
      <c r="K39" s="11"/>
      <c r="L39" s="11"/>
      <c r="M39" s="15" t="s">
        <v>66</v>
      </c>
      <c r="N39" s="127"/>
      <c r="O39" s="127"/>
      <c r="P39" s="65"/>
      <c r="Q39" s="65"/>
      <c r="R39" s="146" t="s">
        <v>67</v>
      </c>
      <c r="S39" s="146"/>
      <c r="T39" s="65"/>
      <c r="U39" s="145"/>
      <c r="V39" s="144">
        <f>nov_tot_up + dec_tot_up+jan_tot_up+feb_tot_up+'April 2017'!mar_tot_up</f>
        <v>188</v>
      </c>
      <c r="W39" s="65"/>
      <c r="X39" s="108"/>
      <c r="Y39" s="65"/>
      <c r="Z39" s="65"/>
      <c r="AA39" s="65"/>
      <c r="AB39" s="108"/>
      <c r="AC39" s="108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108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</row>
    <row r="40" spans="1:61" ht="15.75" customHeight="1">
      <c r="A40" s="11"/>
      <c r="B40" s="27"/>
      <c r="C40" s="11"/>
      <c r="D40" s="27"/>
      <c r="E40" s="27"/>
      <c r="F40" s="27"/>
      <c r="G40" s="27"/>
      <c r="H40" s="11"/>
      <c r="I40" s="28" t="s">
        <v>68</v>
      </c>
      <c r="J40" s="11"/>
      <c r="K40" s="11"/>
      <c r="L40" s="11"/>
      <c r="M40" s="15" t="s">
        <v>69</v>
      </c>
      <c r="N40" s="127"/>
      <c r="O40" s="127"/>
      <c r="P40" s="65"/>
      <c r="Q40" s="65"/>
      <c r="R40" s="146"/>
      <c r="S40" s="146"/>
      <c r="T40" s="65"/>
      <c r="U40" s="145"/>
      <c r="V40" s="65"/>
      <c r="W40" s="65"/>
      <c r="X40" s="108"/>
      <c r="Y40" s="65"/>
      <c r="Z40" s="65"/>
      <c r="AA40" s="65"/>
      <c r="AB40" s="108"/>
      <c r="AC40" s="108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108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</row>
    <row r="41" spans="1:61" ht="15.75" customHeight="1">
      <c r="A41" s="11"/>
      <c r="B41" s="27"/>
      <c r="C41" s="11"/>
      <c r="D41" s="27"/>
      <c r="E41" s="27"/>
      <c r="F41" s="27"/>
      <c r="G41" s="27"/>
      <c r="H41" s="27"/>
      <c r="I41" s="28"/>
      <c r="J41" s="28"/>
      <c r="K41" s="28"/>
      <c r="L41" s="33"/>
      <c r="M41" s="71"/>
      <c r="N41" s="6"/>
      <c r="O41" s="6"/>
      <c r="P41" s="7"/>
      <c r="Q41" s="7"/>
      <c r="R41" s="47"/>
      <c r="S41" s="47"/>
      <c r="T41" s="7"/>
      <c r="U41" s="130"/>
      <c r="V41" s="7"/>
      <c r="W41" s="7"/>
      <c r="X41" s="68"/>
      <c r="Y41" s="7"/>
      <c r="Z41" s="7"/>
      <c r="AA41" s="7"/>
      <c r="AB41" s="68"/>
      <c r="AC41" s="68"/>
      <c r="AD41" s="65"/>
      <c r="AE41" s="65"/>
      <c r="AF41" s="65"/>
      <c r="AG41" s="65"/>
      <c r="AH41" s="65"/>
      <c r="AI41" s="65"/>
      <c r="AJ41" s="7"/>
      <c r="AK41" s="7"/>
      <c r="AL41" s="10"/>
      <c r="AM41" s="10"/>
      <c r="AN41" s="10"/>
      <c r="AO41" s="59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</row>
    <row r="42" spans="1:61" ht="15.75" customHeight="1">
      <c r="A42" s="11"/>
      <c r="B42" s="27"/>
      <c r="C42" s="27"/>
      <c r="D42" s="41" t="s">
        <v>70</v>
      </c>
      <c r="E42" s="11"/>
      <c r="F42" s="11"/>
      <c r="G42" s="11"/>
      <c r="H42" s="11"/>
      <c r="I42" s="11"/>
      <c r="J42" s="11"/>
      <c r="K42" s="27"/>
      <c r="L42" s="41" t="s">
        <v>71</v>
      </c>
      <c r="M42" s="71"/>
      <c r="N42" s="123"/>
      <c r="O42" s="123"/>
      <c r="P42" s="7"/>
      <c r="Q42" s="7" t="s">
        <v>203</v>
      </c>
      <c r="R42" s="47"/>
      <c r="S42" s="47"/>
      <c r="T42" s="125"/>
      <c r="U42" s="130"/>
      <c r="V42" s="7"/>
      <c r="W42" s="7"/>
      <c r="X42" s="68"/>
      <c r="Y42" s="7"/>
      <c r="Z42" s="7"/>
      <c r="AA42" s="7"/>
      <c r="AB42" s="68"/>
      <c r="AC42" s="68"/>
      <c r="AD42" s="65"/>
      <c r="AE42" s="65"/>
      <c r="AF42" s="65"/>
      <c r="AG42" s="65"/>
      <c r="AH42" s="65"/>
      <c r="AI42" s="65"/>
      <c r="AJ42" s="7"/>
      <c r="AK42" s="7"/>
      <c r="AL42" s="10"/>
      <c r="AM42" s="10"/>
      <c r="AN42" s="10"/>
      <c r="AO42" s="68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</row>
    <row r="43" spans="1:61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1"/>
      <c r="N43" s="6"/>
      <c r="O43" s="6"/>
      <c r="P43" s="7"/>
      <c r="Q43" s="7"/>
      <c r="R43" s="47"/>
      <c r="S43" s="47"/>
      <c r="T43" s="7"/>
      <c r="U43" s="130"/>
      <c r="V43" s="7"/>
      <c r="W43" s="7"/>
      <c r="X43" s="68"/>
      <c r="Y43" s="7"/>
      <c r="Z43" s="7"/>
      <c r="AA43" s="7"/>
      <c r="AB43" s="68"/>
      <c r="AC43" s="68"/>
      <c r="AD43" s="65"/>
      <c r="AE43" s="65"/>
      <c r="AF43" s="65"/>
      <c r="AG43" s="65"/>
      <c r="AH43" s="65"/>
      <c r="AI43" s="65"/>
      <c r="AJ43" s="7"/>
      <c r="AK43" s="7"/>
      <c r="AL43" s="10"/>
      <c r="AM43" s="10"/>
      <c r="AN43" s="10"/>
      <c r="AO43" s="68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</row>
    <row r="44" spans="1:61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71"/>
      <c r="N44" s="123"/>
      <c r="O44" s="123"/>
      <c r="P44" s="7"/>
      <c r="Q44" s="7"/>
      <c r="R44" s="47"/>
      <c r="S44" s="47"/>
      <c r="T44" s="7"/>
      <c r="U44" s="7"/>
      <c r="V44" s="7"/>
      <c r="W44" s="7"/>
      <c r="X44" s="68"/>
      <c r="Y44" s="7"/>
      <c r="Z44" s="7"/>
      <c r="AA44" s="7"/>
      <c r="AB44" s="68"/>
      <c r="AC44" s="68"/>
      <c r="AD44" s="65"/>
      <c r="AE44" s="65"/>
      <c r="AF44" s="65"/>
      <c r="AG44" s="65"/>
      <c r="AH44" s="65"/>
      <c r="AI44" s="65"/>
      <c r="AJ44" s="7"/>
      <c r="AK44" s="7"/>
      <c r="AL44" s="10"/>
      <c r="AM44" s="10"/>
      <c r="AN44" s="10"/>
      <c r="AO44" s="68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</row>
    <row r="45" spans="1:61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71"/>
      <c r="N45" s="6"/>
      <c r="O45" s="6"/>
      <c r="P45" s="7"/>
      <c r="Q45" s="7"/>
      <c r="R45" s="47"/>
      <c r="T45" s="125"/>
      <c r="U45" s="130"/>
      <c r="V45" s="7"/>
      <c r="W45" s="7"/>
      <c r="X45" s="68"/>
      <c r="Y45" s="7"/>
      <c r="Z45" s="7"/>
      <c r="AA45" s="7"/>
      <c r="AB45" s="68"/>
      <c r="AC45" s="68"/>
      <c r="AD45" s="65"/>
      <c r="AE45" s="65"/>
      <c r="AF45" s="65"/>
      <c r="AG45" s="65"/>
      <c r="AH45" s="65"/>
      <c r="AI45" s="65"/>
      <c r="AJ45" s="7"/>
      <c r="AK45" s="7"/>
      <c r="AL45" s="10"/>
      <c r="AM45" s="10"/>
      <c r="AN45" s="10"/>
      <c r="AO45" s="68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</row>
    <row r="46" spans="1:61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71"/>
      <c r="N46" s="123"/>
      <c r="O46" s="123"/>
      <c r="P46" s="7"/>
      <c r="Q46" s="7"/>
      <c r="R46" s="47"/>
      <c r="S46" s="47"/>
      <c r="T46" s="7"/>
      <c r="U46" s="130"/>
      <c r="V46" s="7"/>
      <c r="W46" s="7"/>
      <c r="X46" s="68"/>
      <c r="Y46" s="7"/>
      <c r="Z46" s="7"/>
      <c r="AA46" s="7"/>
      <c r="AB46" s="68"/>
      <c r="AC46" s="68"/>
      <c r="AD46" s="65"/>
      <c r="AE46" s="65"/>
      <c r="AF46" s="65"/>
      <c r="AG46" s="65"/>
      <c r="AH46" s="65"/>
      <c r="AI46" s="65"/>
      <c r="AJ46" s="7"/>
      <c r="AK46" s="7"/>
      <c r="AL46" s="10"/>
      <c r="AM46" s="10"/>
      <c r="AN46" s="10"/>
      <c r="AO46" s="68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</row>
    <row r="47" spans="1:61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71"/>
      <c r="N47" s="6"/>
      <c r="O47" s="6"/>
      <c r="P47" s="7"/>
      <c r="Q47" s="7"/>
      <c r="R47" s="47"/>
      <c r="S47" s="47"/>
      <c r="T47" s="7"/>
      <c r="U47" s="130"/>
      <c r="V47" s="7"/>
      <c r="W47" s="7"/>
      <c r="X47" s="68"/>
      <c r="Y47" s="7"/>
      <c r="Z47" s="7"/>
      <c r="AA47" s="7"/>
      <c r="AB47" s="68"/>
      <c r="AC47" s="68"/>
      <c r="AD47" s="65"/>
      <c r="AE47" s="65"/>
      <c r="AF47" s="65"/>
      <c r="AG47" s="65"/>
      <c r="AH47" s="65"/>
      <c r="AI47" s="65"/>
      <c r="AJ47" s="7"/>
      <c r="AK47" s="7"/>
      <c r="AL47" s="10"/>
      <c r="AM47" s="10"/>
      <c r="AN47" s="10"/>
      <c r="AO47" s="68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</row>
    <row r="48" spans="1:61" ht="1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71"/>
      <c r="N48" s="123"/>
      <c r="O48" s="123"/>
      <c r="P48" s="7"/>
      <c r="Q48" s="7"/>
      <c r="R48" s="47"/>
      <c r="S48" s="47"/>
      <c r="T48" s="125"/>
      <c r="U48" s="130"/>
      <c r="V48" s="7"/>
      <c r="W48" s="7"/>
      <c r="X48" s="68"/>
      <c r="Y48" s="7"/>
      <c r="Z48" s="7"/>
      <c r="AA48" s="7"/>
      <c r="AB48" s="68"/>
      <c r="AC48" s="68"/>
      <c r="AD48" s="65"/>
      <c r="AE48" s="65"/>
      <c r="AF48" s="65"/>
      <c r="AG48" s="65"/>
      <c r="AH48" s="65"/>
      <c r="AI48" s="65"/>
      <c r="AJ48" s="7"/>
      <c r="AK48" s="7"/>
      <c r="AL48" s="10"/>
      <c r="AM48" s="10"/>
      <c r="AN48" s="10"/>
      <c r="AO48" s="68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</row>
    <row r="49" spans="1:61" ht="1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71"/>
      <c r="N49" s="127"/>
      <c r="O49" s="6"/>
      <c r="P49" s="7"/>
      <c r="Q49" s="7"/>
      <c r="R49" s="47"/>
      <c r="S49" s="128"/>
      <c r="T49" s="7"/>
      <c r="U49" s="130"/>
      <c r="V49" s="7"/>
      <c r="W49" s="7"/>
      <c r="X49" s="68"/>
      <c r="Y49" s="7"/>
      <c r="Z49" s="7"/>
      <c r="AA49" s="7"/>
      <c r="AB49" s="68"/>
      <c r="AC49" s="68"/>
      <c r="AD49" s="65"/>
      <c r="AE49" s="65"/>
      <c r="AF49" s="65"/>
      <c r="AG49" s="65"/>
      <c r="AH49" s="65"/>
      <c r="AI49" s="65"/>
      <c r="AJ49" s="7"/>
      <c r="AK49" s="7"/>
      <c r="AL49" s="10"/>
      <c r="AM49" s="10"/>
      <c r="AN49" s="10"/>
      <c r="AO49" s="68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</row>
    <row r="50" spans="1:61" ht="1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71"/>
      <c r="N50" s="123"/>
      <c r="O50" s="123"/>
      <c r="P50" s="7"/>
      <c r="Q50" s="7"/>
      <c r="R50" s="47"/>
      <c r="S50" s="47"/>
      <c r="T50" s="125"/>
      <c r="U50" s="130"/>
      <c r="V50" s="7"/>
      <c r="W50" s="7"/>
      <c r="X50" s="68"/>
      <c r="Y50" s="7"/>
      <c r="Z50" s="7"/>
      <c r="AA50" s="7"/>
      <c r="AB50" s="68"/>
      <c r="AC50" s="68"/>
      <c r="AD50" s="65"/>
      <c r="AE50" s="65"/>
      <c r="AF50" s="65"/>
      <c r="AG50" s="65"/>
      <c r="AH50" s="65"/>
      <c r="AI50" s="65"/>
      <c r="AJ50" s="7"/>
      <c r="AK50" s="7"/>
      <c r="AL50" s="10"/>
      <c r="AM50" s="10"/>
      <c r="AN50" s="10"/>
      <c r="AO50" s="68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</row>
    <row r="51" spans="1:61" ht="1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71"/>
      <c r="N51" s="6"/>
      <c r="O51" s="6"/>
      <c r="P51" s="7"/>
      <c r="Q51" s="7"/>
      <c r="R51" s="47"/>
      <c r="S51" s="47"/>
      <c r="T51" s="125"/>
      <c r="U51" s="130"/>
      <c r="V51" s="7"/>
      <c r="W51" s="7"/>
      <c r="X51" s="68"/>
      <c r="Y51" s="7"/>
      <c r="Z51" s="7"/>
      <c r="AA51" s="7"/>
      <c r="AB51" s="68"/>
      <c r="AC51" s="68"/>
      <c r="AD51" s="65"/>
      <c r="AE51" s="65"/>
      <c r="AF51" s="65"/>
      <c r="AG51" s="65"/>
      <c r="AH51" s="65"/>
      <c r="AI51" s="65"/>
      <c r="AJ51" s="7"/>
      <c r="AK51" s="7"/>
      <c r="AL51" s="10"/>
      <c r="AM51" s="10"/>
      <c r="AN51" s="10"/>
      <c r="AO51" s="59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</row>
    <row r="52" spans="1:61" ht="1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71"/>
      <c r="N52" s="123"/>
      <c r="O52" s="123"/>
      <c r="P52" s="7"/>
      <c r="Q52" s="7"/>
      <c r="R52" s="47"/>
      <c r="S52" s="47"/>
      <c r="T52" s="125"/>
      <c r="U52" s="130"/>
      <c r="V52" s="7"/>
      <c r="W52" s="7"/>
      <c r="X52" s="68"/>
      <c r="Y52" s="7"/>
      <c r="Z52" s="7"/>
      <c r="AA52" s="7"/>
      <c r="AB52" s="68"/>
      <c r="AC52" s="68"/>
      <c r="AD52" s="65"/>
      <c r="AE52" s="65"/>
      <c r="AF52" s="65"/>
      <c r="AG52" s="65"/>
      <c r="AH52" s="65"/>
      <c r="AI52" s="65"/>
      <c r="AJ52" s="7"/>
      <c r="AK52" s="7"/>
      <c r="AL52" s="10"/>
      <c r="AM52" s="10"/>
      <c r="AN52" s="10"/>
      <c r="AO52" s="68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</row>
    <row r="53" spans="1:61" ht="1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71"/>
      <c r="N53" s="6"/>
      <c r="O53" s="6"/>
      <c r="P53" s="7"/>
      <c r="Q53" s="7"/>
      <c r="R53" s="47"/>
      <c r="S53" s="47"/>
      <c r="T53" s="125"/>
      <c r="U53" s="130"/>
      <c r="V53" s="7"/>
      <c r="W53" s="7"/>
      <c r="X53" s="68"/>
      <c r="Y53" s="7"/>
      <c r="Z53" s="7"/>
      <c r="AA53" s="7"/>
      <c r="AB53" s="68"/>
      <c r="AC53" s="68"/>
      <c r="AD53" s="65"/>
      <c r="AE53" s="65"/>
      <c r="AF53" s="65"/>
      <c r="AG53" s="65"/>
      <c r="AH53" s="65"/>
      <c r="AI53" s="65"/>
      <c r="AJ53" s="7"/>
      <c r="AK53" s="7"/>
      <c r="AL53" s="10"/>
      <c r="AM53" s="10"/>
      <c r="AN53" s="10"/>
      <c r="AO53" s="68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</row>
    <row r="54" spans="1:61" ht="1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71"/>
      <c r="N54" s="123"/>
      <c r="O54" s="123"/>
      <c r="P54" s="7"/>
      <c r="Q54" s="7"/>
      <c r="T54" s="125"/>
      <c r="U54" s="130"/>
      <c r="V54" s="7"/>
      <c r="W54" s="7"/>
      <c r="X54" s="68"/>
      <c r="Y54" s="7"/>
      <c r="Z54" s="7"/>
      <c r="AA54" s="7"/>
      <c r="AB54" s="68"/>
      <c r="AC54" s="68"/>
      <c r="AD54" s="65"/>
      <c r="AE54" s="65"/>
      <c r="AF54" s="65"/>
      <c r="AG54" s="65"/>
      <c r="AH54" s="65"/>
      <c r="AI54" s="65"/>
      <c r="AJ54" s="7"/>
      <c r="AK54" s="7"/>
      <c r="AL54" s="10"/>
      <c r="AM54" s="10"/>
      <c r="AN54" s="10"/>
      <c r="AO54" s="59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</row>
    <row r="55" spans="1:61" ht="1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71"/>
      <c r="N55" s="6"/>
      <c r="O55" s="6"/>
      <c r="P55" s="7"/>
      <c r="Q55" s="7"/>
      <c r="T55" s="125"/>
      <c r="U55" s="130"/>
      <c r="V55" s="7"/>
      <c r="W55" s="7"/>
      <c r="X55" s="68"/>
      <c r="Y55" s="7"/>
      <c r="Z55" s="7"/>
      <c r="AA55" s="7"/>
      <c r="AB55" s="68"/>
      <c r="AC55" s="68"/>
      <c r="AD55" s="65"/>
      <c r="AE55" s="65"/>
      <c r="AF55" s="65"/>
      <c r="AG55" s="65"/>
      <c r="AH55" s="65"/>
      <c r="AI55" s="65"/>
      <c r="AJ55" s="7"/>
      <c r="AK55" s="7"/>
      <c r="AL55" s="10"/>
      <c r="AM55" s="10"/>
      <c r="AN55" s="10"/>
      <c r="AO55" s="59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</row>
    <row r="56" spans="1:61" ht="1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71"/>
      <c r="N56" s="123"/>
      <c r="O56" s="123"/>
      <c r="P56" s="7"/>
      <c r="Q56" s="7"/>
      <c r="T56" s="125"/>
      <c r="U56" s="130"/>
      <c r="V56" s="7"/>
      <c r="W56" s="7"/>
      <c r="X56" s="59"/>
      <c r="Y56" s="7"/>
      <c r="Z56" s="7"/>
      <c r="AA56" s="7"/>
      <c r="AB56" s="68"/>
      <c r="AC56" s="68"/>
      <c r="AD56" s="65"/>
      <c r="AE56" s="65"/>
      <c r="AF56" s="65"/>
      <c r="AG56" s="65"/>
      <c r="AH56" s="65"/>
      <c r="AI56" s="65"/>
      <c r="AJ56" s="7"/>
      <c r="AK56" s="7"/>
      <c r="AL56" s="10"/>
      <c r="AM56" s="10"/>
      <c r="AN56" s="10"/>
      <c r="AO56" s="59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</row>
    <row r="57" spans="1:61" ht="1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71"/>
      <c r="N57" s="6"/>
      <c r="O57" s="6"/>
      <c r="P57" s="7"/>
      <c r="T57" s="125"/>
      <c r="U57" s="130"/>
      <c r="V57" s="7"/>
      <c r="W57" s="7"/>
      <c r="X57" s="59"/>
      <c r="Y57" s="7"/>
      <c r="Z57" s="7"/>
      <c r="AA57" s="7"/>
      <c r="AB57" s="68"/>
      <c r="AC57" s="68"/>
      <c r="AD57" s="65"/>
      <c r="AE57" s="65"/>
      <c r="AF57" s="65"/>
      <c r="AG57" s="65"/>
      <c r="AH57" s="65"/>
      <c r="AI57" s="65"/>
      <c r="AJ57" s="7"/>
      <c r="AK57" s="7"/>
      <c r="AL57" s="10"/>
      <c r="AM57" s="10"/>
      <c r="AN57" s="10"/>
      <c r="AO57" s="59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</row>
    <row r="58" spans="1:61" ht="1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38"/>
      <c r="Y58" s="11"/>
      <c r="Z58" s="11"/>
      <c r="AA58" s="11"/>
      <c r="AB58" s="38"/>
      <c r="AC58" s="38"/>
      <c r="AD58" s="11"/>
      <c r="AE58" s="11"/>
      <c r="AF58" s="11"/>
      <c r="AG58" s="11"/>
      <c r="AH58" s="11"/>
      <c r="AI58" s="11"/>
      <c r="AJ58" s="11"/>
      <c r="AK58" s="36"/>
      <c r="AL58" s="11"/>
      <c r="AM58" s="11"/>
      <c r="AN58" s="27"/>
      <c r="AO58" s="38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</row>
    <row r="59" spans="1:61" ht="1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42"/>
      <c r="N59" s="142"/>
      <c r="O59" s="27"/>
      <c r="P59" s="27"/>
      <c r="Q59" s="28"/>
      <c r="R59" s="27"/>
      <c r="S59" s="27"/>
      <c r="T59" s="143"/>
      <c r="U59" s="30"/>
      <c r="V59" s="27"/>
      <c r="W59" s="27"/>
      <c r="X59" s="38"/>
      <c r="Y59" s="51"/>
      <c r="Z59" s="51"/>
      <c r="AA59" s="51"/>
      <c r="AB59" s="57"/>
      <c r="AC59" s="57"/>
      <c r="AD59" s="31"/>
      <c r="AE59" s="31"/>
      <c r="AF59" s="31"/>
      <c r="AG59" s="31"/>
      <c r="AH59" s="31"/>
      <c r="AI59" s="31"/>
      <c r="AJ59" s="51"/>
      <c r="AK59" s="51"/>
      <c r="AL59" s="27"/>
      <c r="AM59" s="27"/>
      <c r="AN59" s="27"/>
      <c r="AO59" s="38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</row>
    <row r="60" spans="1:61" ht="1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7"/>
      <c r="O60" s="27"/>
      <c r="P60" s="27"/>
      <c r="Q60" s="28"/>
      <c r="R60" s="27"/>
      <c r="S60" s="27"/>
      <c r="T60" s="27"/>
      <c r="U60" s="30"/>
      <c r="V60" s="27"/>
      <c r="W60" s="27"/>
      <c r="X60" s="11"/>
      <c r="Y60" s="11"/>
      <c r="Z60" s="11"/>
      <c r="AA60" s="27"/>
      <c r="AB60" s="40"/>
      <c r="AC60" s="40"/>
      <c r="AD60" s="27"/>
      <c r="AE60" s="27"/>
      <c r="AF60" s="27"/>
      <c r="AG60" s="27"/>
      <c r="AH60" s="28"/>
      <c r="AI60" s="27"/>
      <c r="AJ60" s="27"/>
      <c r="AK60" s="36"/>
      <c r="AL60" s="31"/>
      <c r="AM60" s="39"/>
      <c r="AN60" s="31"/>
      <c r="AO60" s="38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</row>
    <row r="61" spans="1:61" ht="1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38"/>
      <c r="Y61" s="11"/>
      <c r="Z61" s="11"/>
      <c r="AA61" s="11"/>
      <c r="AB61" s="38"/>
      <c r="AC61" s="38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</row>
    <row r="62" spans="1:61" ht="1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38"/>
      <c r="Y62" s="11"/>
      <c r="Z62" s="11"/>
      <c r="AA62" s="11"/>
      <c r="AB62" s="38"/>
      <c r="AC62" s="38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</row>
    <row r="63" spans="1:61" ht="1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38"/>
      <c r="Y63" s="11"/>
      <c r="Z63" s="11"/>
      <c r="AA63" s="11"/>
      <c r="AB63" s="38"/>
      <c r="AC63" s="38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</row>
    <row r="64" spans="1:61" ht="1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38"/>
      <c r="Y64" s="11"/>
      <c r="Z64" s="11"/>
      <c r="AA64" s="11"/>
      <c r="AB64" s="38"/>
      <c r="AC64" s="38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</row>
    <row r="65" spans="1:61" ht="1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38"/>
      <c r="Y65" s="11"/>
      <c r="Z65" s="11"/>
      <c r="AA65" s="11"/>
      <c r="AB65" s="38"/>
      <c r="AC65" s="38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</row>
    <row r="66" spans="1:61" ht="13">
      <c r="A66" s="155">
        <v>43065</v>
      </c>
      <c r="B66" s="146">
        <v>0.22916666666666666</v>
      </c>
      <c r="C66" s="11"/>
      <c r="D66" s="65" t="s">
        <v>261</v>
      </c>
      <c r="E66" s="65" t="s">
        <v>29</v>
      </c>
      <c r="F66" s="146">
        <v>0.20833333333333334</v>
      </c>
      <c r="G66" s="146">
        <v>0.27083333333333331</v>
      </c>
      <c r="H66" s="65">
        <v>1.5</v>
      </c>
      <c r="I66" s="65">
        <v>1.5</v>
      </c>
      <c r="J66" s="65">
        <v>47</v>
      </c>
      <c r="K66" s="65">
        <v>46</v>
      </c>
      <c r="L66" s="65" t="s">
        <v>76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108">
        <v>0</v>
      </c>
      <c r="Y66" s="65">
        <v>0</v>
      </c>
      <c r="Z66" s="65">
        <v>0</v>
      </c>
      <c r="AA66" s="65">
        <v>0</v>
      </c>
      <c r="AB66" s="38"/>
      <c r="AC66" s="38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</row>
    <row r="67" spans="1:61" ht="1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38"/>
      <c r="Y67" s="11"/>
      <c r="Z67" s="11"/>
      <c r="AA67" s="11"/>
      <c r="AB67" s="38"/>
      <c r="AC67" s="38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</row>
    <row r="68" spans="1:61" ht="1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38"/>
      <c r="Y68" s="11"/>
      <c r="Z68" s="11"/>
      <c r="AA68" s="11"/>
      <c r="AB68" s="38"/>
      <c r="AC68" s="38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</row>
    <row r="69" spans="1:61" ht="1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38"/>
      <c r="Y69" s="11"/>
      <c r="Z69" s="11"/>
      <c r="AA69" s="11"/>
      <c r="AB69" s="38"/>
      <c r="AC69" s="38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</row>
    <row r="70" spans="1:61" ht="1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38"/>
      <c r="Y70" s="11"/>
      <c r="Z70" s="11"/>
      <c r="AA70" s="11"/>
      <c r="AB70" s="38"/>
      <c r="AC70" s="38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</row>
    <row r="71" spans="1:61" ht="1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38"/>
      <c r="Y71" s="11"/>
      <c r="Z71" s="11"/>
      <c r="AA71" s="11"/>
      <c r="AB71" s="38"/>
      <c r="AC71" s="38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</row>
    <row r="72" spans="1:61" ht="1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38"/>
      <c r="Y72" s="11"/>
      <c r="Z72" s="11"/>
      <c r="AA72" s="11"/>
      <c r="AB72" s="38"/>
      <c r="AC72" s="38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</row>
    <row r="73" spans="1:61" ht="1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38"/>
      <c r="Y73" s="11"/>
      <c r="Z73" s="11"/>
      <c r="AA73" s="11"/>
      <c r="AB73" s="38"/>
      <c r="AC73" s="38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</row>
    <row r="74" spans="1:61" ht="1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38"/>
      <c r="Y74" s="11"/>
      <c r="Z74" s="11"/>
      <c r="AA74" s="11"/>
      <c r="AB74" s="38"/>
      <c r="AC74" s="38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</row>
    <row r="75" spans="1:61" ht="1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38"/>
      <c r="Y75" s="11"/>
      <c r="Z75" s="11"/>
      <c r="AA75" s="11"/>
      <c r="AB75" s="38"/>
      <c r="AC75" s="38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</row>
    <row r="76" spans="1:61" ht="1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38"/>
      <c r="Y76" s="11"/>
      <c r="Z76" s="11"/>
      <c r="AA76" s="11"/>
      <c r="AB76" s="38"/>
      <c r="AC76" s="38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</row>
    <row r="77" spans="1:61" ht="1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38"/>
      <c r="Y77" s="11"/>
      <c r="Z77" s="11"/>
      <c r="AA77" s="11"/>
      <c r="AB77" s="38"/>
      <c r="AC77" s="38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</row>
    <row r="78" spans="1:61" ht="1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38"/>
      <c r="Y78" s="11"/>
      <c r="Z78" s="11"/>
      <c r="AA78" s="11"/>
      <c r="AB78" s="38"/>
      <c r="AC78" s="38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</row>
    <row r="79" spans="1:61" ht="1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38"/>
      <c r="Y79" s="11"/>
      <c r="Z79" s="11"/>
      <c r="AA79" s="11"/>
      <c r="AB79" s="38"/>
      <c r="AC79" s="38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</row>
    <row r="80" spans="1:61" ht="1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38"/>
      <c r="Y80" s="11"/>
      <c r="Z80" s="11"/>
      <c r="AA80" s="11"/>
      <c r="AB80" s="38"/>
      <c r="AC80" s="38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</row>
    <row r="81" spans="1:61" ht="1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38"/>
      <c r="Y81" s="11"/>
      <c r="Z81" s="11"/>
      <c r="AA81" s="11"/>
      <c r="AB81" s="38"/>
      <c r="AC81" s="38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</row>
    <row r="82" spans="1:61" ht="1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38"/>
      <c r="Y82" s="11"/>
      <c r="Z82" s="11"/>
      <c r="AA82" s="11"/>
      <c r="AB82" s="38"/>
      <c r="AC82" s="38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</row>
    <row r="83" spans="1:61" ht="1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38"/>
      <c r="Y83" s="11"/>
      <c r="Z83" s="11"/>
      <c r="AA83" s="11"/>
      <c r="AB83" s="38"/>
      <c r="AC83" s="38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</row>
    <row r="84" spans="1:61" ht="1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38"/>
      <c r="Y84" s="11"/>
      <c r="Z84" s="11"/>
      <c r="AA84" s="11"/>
      <c r="AB84" s="38"/>
      <c r="AC84" s="38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</row>
    <row r="85" spans="1:61" ht="1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38"/>
      <c r="Y85" s="11"/>
      <c r="Z85" s="11"/>
      <c r="AA85" s="11"/>
      <c r="AB85" s="38"/>
      <c r="AC85" s="38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</row>
    <row r="86" spans="1:61" ht="1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38"/>
      <c r="Y86" s="11"/>
      <c r="Z86" s="11"/>
      <c r="AA86" s="11"/>
      <c r="AB86" s="38"/>
      <c r="AC86" s="38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</row>
    <row r="87" spans="1:61" ht="1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38"/>
      <c r="Y87" s="11"/>
      <c r="Z87" s="11"/>
      <c r="AA87" s="11"/>
      <c r="AB87" s="38"/>
      <c r="AC87" s="38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</row>
    <row r="88" spans="1:61" ht="1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38"/>
      <c r="Y88" s="11"/>
      <c r="Z88" s="11"/>
      <c r="AA88" s="11"/>
      <c r="AB88" s="38"/>
      <c r="AC88" s="38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</row>
    <row r="89" spans="1:61" ht="1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38"/>
      <c r="Y89" s="11"/>
      <c r="Z89" s="11"/>
      <c r="AA89" s="11"/>
      <c r="AB89" s="38"/>
      <c r="AC89" s="38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</row>
    <row r="90" spans="1:61" ht="1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38"/>
      <c r="Y90" s="11"/>
      <c r="Z90" s="11"/>
      <c r="AA90" s="11"/>
      <c r="AB90" s="38"/>
      <c r="AC90" s="38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</row>
    <row r="91" spans="1:61" ht="1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38"/>
      <c r="Y91" s="11"/>
      <c r="Z91" s="11"/>
      <c r="AA91" s="11"/>
      <c r="AB91" s="38"/>
      <c r="AC91" s="38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</row>
    <row r="92" spans="1:61" ht="1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38"/>
      <c r="Y92" s="11"/>
      <c r="Z92" s="11"/>
      <c r="AA92" s="11"/>
      <c r="AB92" s="38"/>
      <c r="AC92" s="38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</row>
    <row r="93" spans="1:61" ht="1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38"/>
      <c r="Y93" s="11"/>
      <c r="Z93" s="11"/>
      <c r="AA93" s="11"/>
      <c r="AB93" s="38"/>
      <c r="AC93" s="38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spans="1:61" ht="1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38"/>
      <c r="Y94" s="11"/>
      <c r="Z94" s="11"/>
      <c r="AA94" s="11"/>
      <c r="AB94" s="38"/>
      <c r="AC94" s="38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</row>
    <row r="95" spans="1:61" ht="1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38"/>
      <c r="Y95" s="11"/>
      <c r="Z95" s="11"/>
      <c r="AA95" s="11"/>
      <c r="AB95" s="38"/>
      <c r="AC95" s="38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</row>
    <row r="96" spans="1:61" ht="1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38"/>
      <c r="Y96" s="11"/>
      <c r="Z96" s="11"/>
      <c r="AA96" s="11"/>
      <c r="AB96" s="38"/>
      <c r="AC96" s="38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spans="1:61" ht="1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38"/>
      <c r="Y97" s="11"/>
      <c r="Z97" s="11"/>
      <c r="AA97" s="11"/>
      <c r="AB97" s="38"/>
      <c r="AC97" s="38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</row>
    <row r="98" spans="1:61" ht="1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38"/>
      <c r="Y98" s="11"/>
      <c r="Z98" s="11"/>
      <c r="AA98" s="11"/>
      <c r="AB98" s="38"/>
      <c r="AC98" s="38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</row>
    <row r="99" spans="1:61" ht="1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38"/>
      <c r="Y99" s="11"/>
      <c r="Z99" s="11"/>
      <c r="AA99" s="11"/>
      <c r="AB99" s="38"/>
      <c r="AC99" s="38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</row>
    <row r="100" spans="1:61" ht="1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38"/>
      <c r="Y100" s="11"/>
      <c r="Z100" s="11"/>
      <c r="AA100" s="11"/>
      <c r="AB100" s="38"/>
      <c r="AC100" s="38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</row>
    <row r="101" spans="1:61" ht="1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38"/>
      <c r="Y101" s="11"/>
      <c r="Z101" s="11"/>
      <c r="AA101" s="11"/>
      <c r="AB101" s="38"/>
      <c r="AC101" s="38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</row>
    <row r="102" spans="1:61" ht="1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38"/>
      <c r="Y102" s="11"/>
      <c r="Z102" s="11"/>
      <c r="AA102" s="11"/>
      <c r="AB102" s="38"/>
      <c r="AC102" s="38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</row>
    <row r="103" spans="1:61" ht="1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38"/>
      <c r="Y103" s="11"/>
      <c r="Z103" s="11"/>
      <c r="AA103" s="11"/>
      <c r="AB103" s="38"/>
      <c r="AC103" s="38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</row>
    <row r="104" spans="1:61" ht="1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38"/>
      <c r="Y104" s="11"/>
      <c r="Z104" s="11"/>
      <c r="AA104" s="11"/>
      <c r="AB104" s="38"/>
      <c r="AC104" s="38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</row>
    <row r="105" spans="1:61" ht="1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38"/>
      <c r="Y105" s="11"/>
      <c r="Z105" s="11"/>
      <c r="AA105" s="11"/>
      <c r="AB105" s="38"/>
      <c r="AC105" s="38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</row>
    <row r="106" spans="1:61" ht="1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38"/>
      <c r="Y106" s="11"/>
      <c r="Z106" s="11"/>
      <c r="AA106" s="11"/>
      <c r="AB106" s="38"/>
      <c r="AC106" s="38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</row>
    <row r="107" spans="1:61" ht="1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38"/>
      <c r="Y107" s="11"/>
      <c r="Z107" s="11"/>
      <c r="AA107" s="11"/>
      <c r="AB107" s="38"/>
      <c r="AC107" s="38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</row>
    <row r="108" spans="1:61" ht="1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38"/>
      <c r="Y108" s="11"/>
      <c r="Z108" s="11"/>
      <c r="AA108" s="11"/>
      <c r="AB108" s="38"/>
      <c r="AC108" s="38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</row>
    <row r="109" spans="1:61" ht="1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38"/>
      <c r="Y109" s="11"/>
      <c r="Z109" s="11"/>
      <c r="AA109" s="11"/>
      <c r="AB109" s="38"/>
      <c r="AC109" s="38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</row>
    <row r="110" spans="1:61" ht="1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38"/>
      <c r="Y110" s="11"/>
      <c r="Z110" s="11"/>
      <c r="AA110" s="11"/>
      <c r="AB110" s="38"/>
      <c r="AC110" s="38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</row>
    <row r="111" spans="1:61" ht="1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38"/>
      <c r="Y111" s="11"/>
      <c r="Z111" s="11"/>
      <c r="AA111" s="11"/>
      <c r="AB111" s="38"/>
      <c r="AC111" s="38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</row>
    <row r="112" spans="1:61" ht="1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38"/>
      <c r="Y112" s="11"/>
      <c r="Z112" s="11"/>
      <c r="AA112" s="11"/>
      <c r="AB112" s="38"/>
      <c r="AC112" s="38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</row>
    <row r="113" spans="1:61" ht="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38"/>
      <c r="Y113" s="11"/>
      <c r="Z113" s="11"/>
      <c r="AA113" s="11"/>
      <c r="AB113" s="38"/>
      <c r="AC113" s="38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</row>
    <row r="114" spans="1:61" ht="1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38"/>
      <c r="Y114" s="11"/>
      <c r="Z114" s="11"/>
      <c r="AA114" s="11"/>
      <c r="AB114" s="38"/>
      <c r="AC114" s="38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</row>
    <row r="115" spans="1:61" ht="1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38"/>
      <c r="Y115" s="11"/>
      <c r="Z115" s="11"/>
      <c r="AA115" s="11"/>
      <c r="AB115" s="38"/>
      <c r="AC115" s="38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</row>
    <row r="116" spans="1:61" ht="1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38"/>
      <c r="Y116" s="11"/>
      <c r="Z116" s="11"/>
      <c r="AA116" s="11"/>
      <c r="AB116" s="38"/>
      <c r="AC116" s="38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</row>
    <row r="117" spans="1:61" ht="1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38"/>
      <c r="Y117" s="11"/>
      <c r="Z117" s="11"/>
      <c r="AA117" s="11"/>
      <c r="AB117" s="38"/>
      <c r="AC117" s="38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</row>
    <row r="118" spans="1:61" ht="1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38"/>
      <c r="Y118" s="11"/>
      <c r="Z118" s="11"/>
      <c r="AA118" s="11"/>
      <c r="AB118" s="38"/>
      <c r="AC118" s="38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</row>
    <row r="119" spans="1:61" ht="1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38"/>
      <c r="Y119" s="11"/>
      <c r="Z119" s="11"/>
      <c r="AA119" s="11"/>
      <c r="AB119" s="38"/>
      <c r="AC119" s="38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</row>
    <row r="120" spans="1:61" ht="1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38"/>
      <c r="Y120" s="11"/>
      <c r="Z120" s="11"/>
      <c r="AA120" s="11"/>
      <c r="AB120" s="38"/>
      <c r="AC120" s="38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</row>
    <row r="121" spans="1:61" ht="1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38"/>
      <c r="Y121" s="11"/>
      <c r="Z121" s="11"/>
      <c r="AA121" s="11"/>
      <c r="AB121" s="38"/>
      <c r="AC121" s="38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</row>
    <row r="122" spans="1:61" ht="1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38"/>
      <c r="Y122" s="11"/>
      <c r="Z122" s="11"/>
      <c r="AA122" s="11"/>
      <c r="AB122" s="38"/>
      <c r="AC122" s="38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</row>
    <row r="123" spans="1:61" ht="1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38"/>
      <c r="Y123" s="11"/>
      <c r="Z123" s="11"/>
      <c r="AA123" s="11"/>
      <c r="AB123" s="38"/>
      <c r="AC123" s="38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</row>
    <row r="124" spans="1:61" ht="1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38"/>
      <c r="Y124" s="11"/>
      <c r="Z124" s="11"/>
      <c r="AA124" s="11"/>
      <c r="AB124" s="38"/>
      <c r="AC124" s="38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</row>
    <row r="125" spans="1:61" ht="1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38"/>
      <c r="Y125" s="11"/>
      <c r="Z125" s="11"/>
      <c r="AA125" s="11"/>
      <c r="AB125" s="38"/>
      <c r="AC125" s="38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</row>
    <row r="126" spans="1:61" ht="1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38"/>
      <c r="Y126" s="11"/>
      <c r="Z126" s="11"/>
      <c r="AA126" s="11"/>
      <c r="AB126" s="38"/>
      <c r="AC126" s="38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</row>
    <row r="127" spans="1:61" ht="1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38"/>
      <c r="Y127" s="11"/>
      <c r="Z127" s="11"/>
      <c r="AA127" s="11"/>
      <c r="AB127" s="38"/>
      <c r="AC127" s="38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</row>
    <row r="128" spans="1:61" ht="1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38"/>
      <c r="Y128" s="11"/>
      <c r="Z128" s="11"/>
      <c r="AA128" s="11"/>
      <c r="AB128" s="38"/>
      <c r="AC128" s="38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</row>
    <row r="129" spans="1:61" ht="1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38"/>
      <c r="Y129" s="11"/>
      <c r="Z129" s="11"/>
      <c r="AA129" s="11"/>
      <c r="AB129" s="38"/>
      <c r="AC129" s="38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</row>
    <row r="130" spans="1:61" ht="1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38"/>
      <c r="Y130" s="11"/>
      <c r="Z130" s="11"/>
      <c r="AA130" s="11"/>
      <c r="AB130" s="38"/>
      <c r="AC130" s="38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</row>
    <row r="131" spans="1:61" ht="1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38"/>
      <c r="Y131" s="11"/>
      <c r="Z131" s="11"/>
      <c r="AA131" s="11"/>
      <c r="AB131" s="38"/>
      <c r="AC131" s="38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</row>
    <row r="132" spans="1:61" ht="1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38"/>
      <c r="Y132" s="11"/>
      <c r="Z132" s="11"/>
      <c r="AA132" s="11"/>
      <c r="AB132" s="38"/>
      <c r="AC132" s="38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</row>
    <row r="133" spans="1:61" ht="1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38"/>
      <c r="Y133" s="11"/>
      <c r="Z133" s="11"/>
      <c r="AA133" s="11"/>
      <c r="AB133" s="38"/>
      <c r="AC133" s="38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</row>
    <row r="134" spans="1:61" ht="1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38"/>
      <c r="Y134" s="11"/>
      <c r="Z134" s="11"/>
      <c r="AA134" s="11"/>
      <c r="AB134" s="38"/>
      <c r="AC134" s="38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</row>
    <row r="135" spans="1:61" ht="1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38"/>
      <c r="Y135" s="11"/>
      <c r="Z135" s="11"/>
      <c r="AA135" s="11"/>
      <c r="AB135" s="38"/>
      <c r="AC135" s="38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</row>
    <row r="136" spans="1:61" ht="1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38"/>
      <c r="Y136" s="11"/>
      <c r="Z136" s="11"/>
      <c r="AA136" s="11"/>
      <c r="AB136" s="38"/>
      <c r="AC136" s="38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</row>
    <row r="137" spans="1:61" ht="1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38"/>
      <c r="Y137" s="11"/>
      <c r="Z137" s="11"/>
      <c r="AA137" s="11"/>
      <c r="AB137" s="38"/>
      <c r="AC137" s="38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</row>
    <row r="138" spans="1:61" ht="1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38"/>
      <c r="Y138" s="11"/>
      <c r="Z138" s="11"/>
      <c r="AA138" s="11"/>
      <c r="AB138" s="38"/>
      <c r="AC138" s="38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</row>
    <row r="139" spans="1:61" ht="1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38"/>
      <c r="Y139" s="11"/>
      <c r="Z139" s="11"/>
      <c r="AA139" s="11"/>
      <c r="AB139" s="38"/>
      <c r="AC139" s="38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</row>
    <row r="140" spans="1:61" ht="1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38"/>
      <c r="Y140" s="11"/>
      <c r="Z140" s="11"/>
      <c r="AA140" s="11"/>
      <c r="AB140" s="38"/>
      <c r="AC140" s="38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</row>
    <row r="141" spans="1:61" ht="1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38"/>
      <c r="Y141" s="11"/>
      <c r="Z141" s="11"/>
      <c r="AA141" s="11"/>
      <c r="AB141" s="38"/>
      <c r="AC141" s="38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</row>
    <row r="142" spans="1:61" ht="1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38"/>
      <c r="Y142" s="11"/>
      <c r="Z142" s="11"/>
      <c r="AA142" s="11"/>
      <c r="AB142" s="38"/>
      <c r="AC142" s="38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</row>
    <row r="143" spans="1:61" ht="1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38"/>
      <c r="Y143" s="11"/>
      <c r="Z143" s="11"/>
      <c r="AA143" s="11"/>
      <c r="AB143" s="38"/>
      <c r="AC143" s="38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</row>
    <row r="144" spans="1:61" ht="1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38"/>
      <c r="Y144" s="11"/>
      <c r="Z144" s="11"/>
      <c r="AA144" s="11"/>
      <c r="AB144" s="38"/>
      <c r="AC144" s="38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</row>
    <row r="145" spans="1:61" ht="1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38"/>
      <c r="Y145" s="11"/>
      <c r="Z145" s="11"/>
      <c r="AA145" s="11"/>
      <c r="AB145" s="38"/>
      <c r="AC145" s="38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</row>
    <row r="146" spans="1:61" ht="1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38"/>
      <c r="Y146" s="11"/>
      <c r="Z146" s="11"/>
      <c r="AA146" s="11"/>
      <c r="AB146" s="38"/>
      <c r="AC146" s="38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</row>
    <row r="147" spans="1:61" ht="1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38"/>
      <c r="Y147" s="11"/>
      <c r="Z147" s="11"/>
      <c r="AA147" s="11"/>
      <c r="AB147" s="38"/>
      <c r="AC147" s="38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</row>
    <row r="148" spans="1:61" ht="1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38"/>
      <c r="Y148" s="11"/>
      <c r="Z148" s="11"/>
      <c r="AA148" s="11"/>
      <c r="AB148" s="38"/>
      <c r="AC148" s="38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</row>
    <row r="149" spans="1:61" ht="1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38"/>
      <c r="Y149" s="11"/>
      <c r="Z149" s="11"/>
      <c r="AA149" s="11"/>
      <c r="AB149" s="38"/>
      <c r="AC149" s="38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</row>
    <row r="150" spans="1:61" ht="1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38"/>
      <c r="Y150" s="11"/>
      <c r="Z150" s="11"/>
      <c r="AA150" s="11"/>
      <c r="AB150" s="38"/>
      <c r="AC150" s="38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</row>
    <row r="151" spans="1:61" ht="1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38"/>
      <c r="Y151" s="11"/>
      <c r="Z151" s="11"/>
      <c r="AA151" s="11"/>
      <c r="AB151" s="38"/>
      <c r="AC151" s="38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</row>
    <row r="152" spans="1:61" ht="1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38"/>
      <c r="Y152" s="11"/>
      <c r="Z152" s="11"/>
      <c r="AA152" s="11"/>
      <c r="AB152" s="38"/>
      <c r="AC152" s="38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</row>
    <row r="153" spans="1:61" ht="1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38"/>
      <c r="Y153" s="11"/>
      <c r="Z153" s="11"/>
      <c r="AA153" s="11"/>
      <c r="AB153" s="38"/>
      <c r="AC153" s="38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</row>
    <row r="154" spans="1:61" ht="1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38"/>
      <c r="Y154" s="11"/>
      <c r="Z154" s="11"/>
      <c r="AA154" s="11"/>
      <c r="AB154" s="38"/>
      <c r="AC154" s="38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</row>
    <row r="155" spans="1:61" ht="1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38"/>
      <c r="Y155" s="11"/>
      <c r="Z155" s="11"/>
      <c r="AA155" s="11"/>
      <c r="AB155" s="38"/>
      <c r="AC155" s="38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</row>
    <row r="156" spans="1:61" ht="1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38"/>
      <c r="Y156" s="11"/>
      <c r="Z156" s="11"/>
      <c r="AA156" s="11"/>
      <c r="AB156" s="38"/>
      <c r="AC156" s="38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</row>
    <row r="157" spans="1:61" ht="1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38"/>
      <c r="Y157" s="11"/>
      <c r="Z157" s="11"/>
      <c r="AA157" s="11"/>
      <c r="AB157" s="38"/>
      <c r="AC157" s="38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</row>
    <row r="158" spans="1:61" ht="1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38"/>
      <c r="Y158" s="11"/>
      <c r="Z158" s="11"/>
      <c r="AA158" s="11"/>
      <c r="AB158" s="38"/>
      <c r="AC158" s="38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</row>
    <row r="159" spans="1:61" ht="1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38"/>
      <c r="Y159" s="11"/>
      <c r="Z159" s="11"/>
      <c r="AA159" s="11"/>
      <c r="AB159" s="38"/>
      <c r="AC159" s="38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</row>
    <row r="160" spans="1:61" ht="1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38"/>
      <c r="Y160" s="11"/>
      <c r="Z160" s="11"/>
      <c r="AA160" s="11"/>
      <c r="AB160" s="38"/>
      <c r="AC160" s="38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</row>
    <row r="161" spans="1:61" ht="1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38"/>
      <c r="Y161" s="11"/>
      <c r="Z161" s="11"/>
      <c r="AA161" s="11"/>
      <c r="AB161" s="38"/>
      <c r="AC161" s="38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</row>
    <row r="162" spans="1:61" ht="1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38"/>
      <c r="Y162" s="11"/>
      <c r="Z162" s="11"/>
      <c r="AA162" s="11"/>
      <c r="AB162" s="38"/>
      <c r="AC162" s="38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</row>
    <row r="163" spans="1:61" ht="1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38"/>
      <c r="Y163" s="11"/>
      <c r="Z163" s="11"/>
      <c r="AA163" s="11"/>
      <c r="AB163" s="38"/>
      <c r="AC163" s="38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</row>
    <row r="164" spans="1:61" ht="1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38"/>
      <c r="Y164" s="11"/>
      <c r="Z164" s="11"/>
      <c r="AA164" s="11"/>
      <c r="AB164" s="38"/>
      <c r="AC164" s="38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</row>
    <row r="165" spans="1:61" ht="1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38"/>
      <c r="Y165" s="11"/>
      <c r="Z165" s="11"/>
      <c r="AA165" s="11"/>
      <c r="AB165" s="38"/>
      <c r="AC165" s="38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</row>
    <row r="166" spans="1:61" ht="1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38"/>
      <c r="Y166" s="11"/>
      <c r="Z166" s="11"/>
      <c r="AA166" s="11"/>
      <c r="AB166" s="38"/>
      <c r="AC166" s="38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</row>
    <row r="167" spans="1:61" ht="1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38"/>
      <c r="Y167" s="11"/>
      <c r="Z167" s="11"/>
      <c r="AA167" s="11"/>
      <c r="AB167" s="38"/>
      <c r="AC167" s="38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</row>
    <row r="168" spans="1:61" ht="1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38"/>
      <c r="Y168" s="11"/>
      <c r="Z168" s="11"/>
      <c r="AA168" s="11"/>
      <c r="AB168" s="38"/>
      <c r="AC168" s="38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</row>
    <row r="169" spans="1:61" ht="1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38"/>
      <c r="Y169" s="11"/>
      <c r="Z169" s="11"/>
      <c r="AA169" s="11"/>
      <c r="AB169" s="38"/>
      <c r="AC169" s="38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</row>
    <row r="170" spans="1:61" ht="1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38"/>
      <c r="Y170" s="11"/>
      <c r="Z170" s="11"/>
      <c r="AA170" s="11"/>
      <c r="AB170" s="38"/>
      <c r="AC170" s="38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</row>
    <row r="171" spans="1:61" ht="1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38"/>
      <c r="Y171" s="11"/>
      <c r="Z171" s="11"/>
      <c r="AA171" s="11"/>
      <c r="AB171" s="38"/>
      <c r="AC171" s="38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</row>
    <row r="172" spans="1:61" ht="1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38"/>
      <c r="Y172" s="11"/>
      <c r="Z172" s="11"/>
      <c r="AA172" s="11"/>
      <c r="AB172" s="38"/>
      <c r="AC172" s="38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</row>
    <row r="173" spans="1:61" ht="1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38"/>
      <c r="Y173" s="11"/>
      <c r="Z173" s="11"/>
      <c r="AA173" s="11"/>
      <c r="AB173" s="38"/>
      <c r="AC173" s="38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</row>
    <row r="174" spans="1:61" ht="1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38"/>
      <c r="Y174" s="11"/>
      <c r="Z174" s="11"/>
      <c r="AA174" s="11"/>
      <c r="AB174" s="38"/>
      <c r="AC174" s="38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</row>
    <row r="175" spans="1:61" ht="1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38"/>
      <c r="Y175" s="11"/>
      <c r="Z175" s="11"/>
      <c r="AA175" s="11"/>
      <c r="AB175" s="38"/>
      <c r="AC175" s="38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</row>
    <row r="176" spans="1:61" ht="1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38"/>
      <c r="Y176" s="11"/>
      <c r="Z176" s="11"/>
      <c r="AA176" s="11"/>
      <c r="AB176" s="38"/>
      <c r="AC176" s="38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</row>
    <row r="177" spans="1:61" ht="1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38"/>
      <c r="Y177" s="11"/>
      <c r="Z177" s="11"/>
      <c r="AA177" s="11"/>
      <c r="AB177" s="38"/>
      <c r="AC177" s="38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</row>
    <row r="178" spans="1:61" ht="1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38"/>
      <c r="Y178" s="11"/>
      <c r="Z178" s="11"/>
      <c r="AA178" s="11"/>
      <c r="AB178" s="38"/>
      <c r="AC178" s="38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</row>
    <row r="179" spans="1:61" ht="1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38"/>
      <c r="Y179" s="11"/>
      <c r="Z179" s="11"/>
      <c r="AA179" s="11"/>
      <c r="AB179" s="38"/>
      <c r="AC179" s="38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</row>
    <row r="180" spans="1:61" ht="1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38"/>
      <c r="Y180" s="11"/>
      <c r="Z180" s="11"/>
      <c r="AA180" s="11"/>
      <c r="AB180" s="38"/>
      <c r="AC180" s="38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</row>
    <row r="181" spans="1:61" ht="1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38"/>
      <c r="Y181" s="11"/>
      <c r="Z181" s="11"/>
      <c r="AA181" s="11"/>
      <c r="AB181" s="38"/>
      <c r="AC181" s="38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</row>
    <row r="182" spans="1:61" ht="1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38"/>
      <c r="Y182" s="11"/>
      <c r="Z182" s="11"/>
      <c r="AA182" s="11"/>
      <c r="AB182" s="38"/>
      <c r="AC182" s="38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</row>
    <row r="183" spans="1:61" ht="1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38"/>
      <c r="Y183" s="11"/>
      <c r="Z183" s="11"/>
      <c r="AA183" s="11"/>
      <c r="AB183" s="38"/>
      <c r="AC183" s="38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</row>
    <row r="184" spans="1:61" ht="1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38"/>
      <c r="Y184" s="11"/>
      <c r="Z184" s="11"/>
      <c r="AA184" s="11"/>
      <c r="AB184" s="38"/>
      <c r="AC184" s="38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</row>
    <row r="185" spans="1:61" ht="1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38"/>
      <c r="Y185" s="11"/>
      <c r="Z185" s="11"/>
      <c r="AA185" s="11"/>
      <c r="AB185" s="38"/>
      <c r="AC185" s="38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</row>
    <row r="186" spans="1:61" ht="1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38"/>
      <c r="Y186" s="11"/>
      <c r="Z186" s="11"/>
      <c r="AA186" s="11"/>
      <c r="AB186" s="38"/>
      <c r="AC186" s="38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</row>
    <row r="187" spans="1:61" ht="1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38"/>
      <c r="Y187" s="11"/>
      <c r="Z187" s="11"/>
      <c r="AA187" s="11"/>
      <c r="AB187" s="38"/>
      <c r="AC187" s="38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</row>
    <row r="188" spans="1:61" ht="1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38"/>
      <c r="Y188" s="11"/>
      <c r="Z188" s="11"/>
      <c r="AA188" s="11"/>
      <c r="AB188" s="38"/>
      <c r="AC188" s="38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</row>
    <row r="189" spans="1:61" ht="1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38"/>
      <c r="Y189" s="11"/>
      <c r="Z189" s="11"/>
      <c r="AA189" s="11"/>
      <c r="AB189" s="38"/>
      <c r="AC189" s="38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</row>
    <row r="190" spans="1:61" ht="1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38"/>
      <c r="Y190" s="11"/>
      <c r="Z190" s="11"/>
      <c r="AA190" s="11"/>
      <c r="AB190" s="38"/>
      <c r="AC190" s="38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</row>
    <row r="191" spans="1:61" ht="1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38"/>
      <c r="Y191" s="11"/>
      <c r="Z191" s="11"/>
      <c r="AA191" s="11"/>
      <c r="AB191" s="38"/>
      <c r="AC191" s="38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</row>
    <row r="192" spans="1:61" ht="1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38"/>
      <c r="Y192" s="11"/>
      <c r="Z192" s="11"/>
      <c r="AA192" s="11"/>
      <c r="AB192" s="38"/>
      <c r="AC192" s="38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</row>
    <row r="193" spans="1:61" ht="1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38"/>
      <c r="Y193" s="11"/>
      <c r="Z193" s="11"/>
      <c r="AA193" s="11"/>
      <c r="AB193" s="38"/>
      <c r="AC193" s="38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</row>
    <row r="194" spans="1:61" ht="1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38"/>
      <c r="Y194" s="11"/>
      <c r="Z194" s="11"/>
      <c r="AA194" s="11"/>
      <c r="AB194" s="38"/>
      <c r="AC194" s="38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</row>
    <row r="195" spans="1:61" ht="1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38"/>
      <c r="Y195" s="11"/>
      <c r="Z195" s="11"/>
      <c r="AA195" s="11"/>
      <c r="AB195" s="38"/>
      <c r="AC195" s="38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</row>
    <row r="196" spans="1:61" ht="1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38"/>
      <c r="Y196" s="11"/>
      <c r="Z196" s="11"/>
      <c r="AA196" s="11"/>
      <c r="AB196" s="38"/>
      <c r="AC196" s="38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</row>
    <row r="197" spans="1:61" ht="1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38"/>
      <c r="Y197" s="11"/>
      <c r="Z197" s="11"/>
      <c r="AA197" s="11"/>
      <c r="AB197" s="38"/>
      <c r="AC197" s="38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</row>
    <row r="198" spans="1:61" ht="1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38"/>
      <c r="Y198" s="11"/>
      <c r="Z198" s="11"/>
      <c r="AA198" s="11"/>
      <c r="AB198" s="38"/>
      <c r="AC198" s="38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</row>
    <row r="199" spans="1:61" ht="1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38"/>
      <c r="Y199" s="11"/>
      <c r="Z199" s="11"/>
      <c r="AA199" s="11"/>
      <c r="AB199" s="38"/>
      <c r="AC199" s="38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</row>
    <row r="200" spans="1:61" ht="1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38"/>
      <c r="Y200" s="11"/>
      <c r="Z200" s="11"/>
      <c r="AA200" s="11"/>
      <c r="AB200" s="38"/>
      <c r="AC200" s="38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</row>
    <row r="201" spans="1:61" ht="1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38"/>
      <c r="Y201" s="11"/>
      <c r="Z201" s="11"/>
      <c r="AA201" s="11"/>
      <c r="AB201" s="38"/>
      <c r="AC201" s="38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</row>
    <row r="202" spans="1:61" ht="1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38"/>
      <c r="Y202" s="11"/>
      <c r="Z202" s="11"/>
      <c r="AA202" s="11"/>
      <c r="AB202" s="38"/>
      <c r="AC202" s="38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</row>
    <row r="203" spans="1:61" ht="1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38"/>
      <c r="Y203" s="11"/>
      <c r="Z203" s="11"/>
      <c r="AA203" s="11"/>
      <c r="AB203" s="38"/>
      <c r="AC203" s="38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</row>
    <row r="204" spans="1:61" ht="1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38"/>
      <c r="Y204" s="11"/>
      <c r="Z204" s="11"/>
      <c r="AA204" s="11"/>
      <c r="AB204" s="38"/>
      <c r="AC204" s="38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</row>
    <row r="205" spans="1:61" ht="1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38"/>
      <c r="Y205" s="11"/>
      <c r="Z205" s="11"/>
      <c r="AA205" s="11"/>
      <c r="AB205" s="38"/>
      <c r="AC205" s="38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</row>
    <row r="206" spans="1:61" ht="1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38"/>
      <c r="Y206" s="11"/>
      <c r="Z206" s="11"/>
      <c r="AA206" s="11"/>
      <c r="AB206" s="38"/>
      <c r="AC206" s="38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</row>
    <row r="207" spans="1:61" ht="1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38"/>
      <c r="Y207" s="11"/>
      <c r="Z207" s="11"/>
      <c r="AA207" s="11"/>
      <c r="AB207" s="38"/>
      <c r="AC207" s="38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</row>
    <row r="208" spans="1:61" ht="1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38"/>
      <c r="Y208" s="11"/>
      <c r="Z208" s="11"/>
      <c r="AA208" s="11"/>
      <c r="AB208" s="38"/>
      <c r="AC208" s="38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</row>
    <row r="209" spans="1:61" ht="1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38"/>
      <c r="Y209" s="11"/>
      <c r="Z209" s="11"/>
      <c r="AA209" s="11"/>
      <c r="AB209" s="38"/>
      <c r="AC209" s="38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</row>
    <row r="210" spans="1:61" ht="1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38"/>
      <c r="Y210" s="11"/>
      <c r="Z210" s="11"/>
      <c r="AA210" s="11"/>
      <c r="AB210" s="38"/>
      <c r="AC210" s="38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</row>
    <row r="211" spans="1:61" ht="1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38"/>
      <c r="Y211" s="11"/>
      <c r="Z211" s="11"/>
      <c r="AA211" s="11"/>
      <c r="AB211" s="38"/>
      <c r="AC211" s="38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</row>
    <row r="212" spans="1:61" ht="1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38"/>
      <c r="Y212" s="11"/>
      <c r="Z212" s="11"/>
      <c r="AA212" s="11"/>
      <c r="AB212" s="38"/>
      <c r="AC212" s="38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</row>
    <row r="213" spans="1:61" ht="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38"/>
      <c r="Y213" s="11"/>
      <c r="Z213" s="11"/>
      <c r="AA213" s="11"/>
      <c r="AB213" s="38"/>
      <c r="AC213" s="38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</row>
    <row r="214" spans="1:61" ht="1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38"/>
      <c r="Y214" s="11"/>
      <c r="Z214" s="11"/>
      <c r="AA214" s="11"/>
      <c r="AB214" s="38"/>
      <c r="AC214" s="38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</row>
    <row r="215" spans="1:61" ht="1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38"/>
      <c r="Y215" s="11"/>
      <c r="Z215" s="11"/>
      <c r="AA215" s="11"/>
      <c r="AB215" s="38"/>
      <c r="AC215" s="38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</row>
    <row r="216" spans="1:61" ht="1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38"/>
      <c r="Y216" s="11"/>
      <c r="Z216" s="11"/>
      <c r="AA216" s="11"/>
      <c r="AB216" s="38"/>
      <c r="AC216" s="38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</row>
    <row r="217" spans="1:61" ht="1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38"/>
      <c r="Y217" s="11"/>
      <c r="Z217" s="11"/>
      <c r="AA217" s="11"/>
      <c r="AB217" s="38"/>
      <c r="AC217" s="38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</row>
    <row r="218" spans="1:61" ht="1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38"/>
      <c r="Y218" s="11"/>
      <c r="Z218" s="11"/>
      <c r="AA218" s="11"/>
      <c r="AB218" s="38"/>
      <c r="AC218" s="38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</row>
    <row r="219" spans="1:61" ht="1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38"/>
      <c r="Y219" s="11"/>
      <c r="Z219" s="11"/>
      <c r="AA219" s="11"/>
      <c r="AB219" s="38"/>
      <c r="AC219" s="38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</row>
    <row r="220" spans="1:61" ht="1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38"/>
      <c r="Y220" s="11"/>
      <c r="Z220" s="11"/>
      <c r="AA220" s="11"/>
      <c r="AB220" s="38"/>
      <c r="AC220" s="38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</row>
    <row r="221" spans="1:61" ht="1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38"/>
      <c r="Y221" s="11"/>
      <c r="Z221" s="11"/>
      <c r="AA221" s="11"/>
      <c r="AB221" s="38"/>
      <c r="AC221" s="38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</row>
    <row r="222" spans="1:61" ht="1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38"/>
      <c r="Y222" s="11"/>
      <c r="Z222" s="11"/>
      <c r="AA222" s="11"/>
      <c r="AB222" s="38"/>
      <c r="AC222" s="38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</row>
    <row r="223" spans="1:61" ht="1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38"/>
      <c r="Y223" s="11"/>
      <c r="Z223" s="11"/>
      <c r="AA223" s="11"/>
      <c r="AB223" s="38"/>
      <c r="AC223" s="38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</row>
    <row r="224" spans="1:61" ht="1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38"/>
      <c r="Y224" s="11"/>
      <c r="Z224" s="11"/>
      <c r="AA224" s="11"/>
      <c r="AB224" s="38"/>
      <c r="AC224" s="38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</row>
    <row r="225" spans="1:61" ht="1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38"/>
      <c r="Y225" s="11"/>
      <c r="Z225" s="11"/>
      <c r="AA225" s="11"/>
      <c r="AB225" s="38"/>
      <c r="AC225" s="38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</row>
    <row r="226" spans="1:61" ht="1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38"/>
      <c r="Y226" s="11"/>
      <c r="Z226" s="11"/>
      <c r="AA226" s="11"/>
      <c r="AB226" s="38"/>
      <c r="AC226" s="38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</row>
    <row r="227" spans="1:61" ht="1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38"/>
      <c r="Y227" s="11"/>
      <c r="Z227" s="11"/>
      <c r="AA227" s="11"/>
      <c r="AB227" s="38"/>
      <c r="AC227" s="38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</row>
    <row r="228" spans="1:61" ht="1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38"/>
      <c r="Y228" s="11"/>
      <c r="Z228" s="11"/>
      <c r="AA228" s="11"/>
      <c r="AB228" s="38"/>
      <c r="AC228" s="38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</row>
    <row r="229" spans="1:61" ht="1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38"/>
      <c r="Y229" s="11"/>
      <c r="Z229" s="11"/>
      <c r="AA229" s="11"/>
      <c r="AB229" s="38"/>
      <c r="AC229" s="38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</row>
    <row r="230" spans="1:61" ht="1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38"/>
      <c r="Y230" s="11"/>
      <c r="Z230" s="11"/>
      <c r="AA230" s="11"/>
      <c r="AB230" s="38"/>
      <c r="AC230" s="38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</row>
    <row r="231" spans="1:61" ht="1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38"/>
      <c r="Y231" s="11"/>
      <c r="Z231" s="11"/>
      <c r="AA231" s="11"/>
      <c r="AB231" s="38"/>
      <c r="AC231" s="38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</row>
    <row r="232" spans="1:61" ht="1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38"/>
      <c r="Y232" s="11"/>
      <c r="Z232" s="11"/>
      <c r="AA232" s="11"/>
      <c r="AB232" s="38"/>
      <c r="AC232" s="38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</row>
    <row r="233" spans="1:61" ht="1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38"/>
      <c r="Y233" s="11"/>
      <c r="Z233" s="11"/>
      <c r="AA233" s="11"/>
      <c r="AB233" s="38"/>
      <c r="AC233" s="38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</row>
    <row r="234" spans="1:61" ht="1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38"/>
      <c r="Y234" s="11"/>
      <c r="Z234" s="11"/>
      <c r="AA234" s="11"/>
      <c r="AB234" s="38"/>
      <c r="AC234" s="38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</row>
    <row r="235" spans="1:61" ht="1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38"/>
      <c r="Y235" s="11"/>
      <c r="Z235" s="11"/>
      <c r="AA235" s="11"/>
      <c r="AB235" s="38"/>
      <c r="AC235" s="38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</row>
    <row r="236" spans="1:61" ht="1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38"/>
      <c r="Y236" s="11"/>
      <c r="Z236" s="11"/>
      <c r="AA236" s="11"/>
      <c r="AB236" s="38"/>
      <c r="AC236" s="38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</row>
    <row r="237" spans="1:61" ht="1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38"/>
      <c r="Y237" s="11"/>
      <c r="Z237" s="11"/>
      <c r="AA237" s="11"/>
      <c r="AB237" s="38"/>
      <c r="AC237" s="38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</row>
    <row r="238" spans="1:61" ht="1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38"/>
      <c r="Y238" s="11"/>
      <c r="Z238" s="11"/>
      <c r="AA238" s="11"/>
      <c r="AB238" s="38"/>
      <c r="AC238" s="38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</row>
    <row r="239" spans="1:61" ht="1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38"/>
      <c r="Y239" s="11"/>
      <c r="Z239" s="11"/>
      <c r="AA239" s="11"/>
      <c r="AB239" s="38"/>
      <c r="AC239" s="38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</row>
    <row r="240" spans="1:61" ht="1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38"/>
      <c r="Y240" s="11"/>
      <c r="Z240" s="11"/>
      <c r="AA240" s="11"/>
      <c r="AB240" s="38"/>
      <c r="AC240" s="38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</row>
    <row r="241" spans="1:61" ht="1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38"/>
      <c r="Y241" s="11"/>
      <c r="Z241" s="11"/>
      <c r="AA241" s="11"/>
      <c r="AB241" s="38"/>
      <c r="AC241" s="38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</row>
    <row r="242" spans="1:61" ht="1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38"/>
      <c r="Y242" s="11"/>
      <c r="Z242" s="11"/>
      <c r="AA242" s="11"/>
      <c r="AB242" s="38"/>
      <c r="AC242" s="38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</row>
    <row r="243" spans="1:61" ht="1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38"/>
      <c r="Y243" s="11"/>
      <c r="Z243" s="11"/>
      <c r="AA243" s="11"/>
      <c r="AB243" s="38"/>
      <c r="AC243" s="38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</row>
    <row r="244" spans="1:61" ht="1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38"/>
      <c r="Y244" s="11"/>
      <c r="Z244" s="11"/>
      <c r="AA244" s="11"/>
      <c r="AB244" s="38"/>
      <c r="AC244" s="38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</row>
    <row r="245" spans="1:61" ht="1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38"/>
      <c r="Y245" s="11"/>
      <c r="Z245" s="11"/>
      <c r="AA245" s="11"/>
      <c r="AB245" s="38"/>
      <c r="AC245" s="38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</row>
    <row r="246" spans="1:61" ht="1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38"/>
      <c r="Y246" s="11"/>
      <c r="Z246" s="11"/>
      <c r="AA246" s="11"/>
      <c r="AB246" s="38"/>
      <c r="AC246" s="38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</row>
    <row r="247" spans="1:61" ht="1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38"/>
      <c r="Y247" s="11"/>
      <c r="Z247" s="11"/>
      <c r="AA247" s="11"/>
      <c r="AB247" s="38"/>
      <c r="AC247" s="38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</row>
    <row r="248" spans="1:61" ht="1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38"/>
      <c r="Y248" s="11"/>
      <c r="Z248" s="11"/>
      <c r="AA248" s="11"/>
      <c r="AB248" s="38"/>
      <c r="AC248" s="38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</row>
    <row r="249" spans="1:61" ht="1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38"/>
      <c r="Y249" s="11"/>
      <c r="Z249" s="11"/>
      <c r="AA249" s="11"/>
      <c r="AB249" s="38"/>
      <c r="AC249" s="38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</row>
    <row r="250" spans="1:61" ht="1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38"/>
      <c r="Y250" s="11"/>
      <c r="Z250" s="11"/>
      <c r="AA250" s="11"/>
      <c r="AB250" s="38"/>
      <c r="AC250" s="38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</row>
    <row r="251" spans="1:61" ht="1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38"/>
      <c r="Y251" s="11"/>
      <c r="Z251" s="11"/>
      <c r="AA251" s="11"/>
      <c r="AB251" s="38"/>
      <c r="AC251" s="38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</row>
    <row r="252" spans="1:61" ht="1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38"/>
      <c r="Y252" s="11"/>
      <c r="Z252" s="11"/>
      <c r="AA252" s="11"/>
      <c r="AB252" s="38"/>
      <c r="AC252" s="38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</row>
    <row r="253" spans="1:61" ht="1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38"/>
      <c r="Y253" s="11"/>
      <c r="Z253" s="11"/>
      <c r="AA253" s="11"/>
      <c r="AB253" s="38"/>
      <c r="AC253" s="38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</row>
    <row r="254" spans="1:61" ht="1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38"/>
      <c r="Y254" s="11"/>
      <c r="Z254" s="11"/>
      <c r="AA254" s="11"/>
      <c r="AB254" s="38"/>
      <c r="AC254" s="38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</row>
    <row r="255" spans="1:61" ht="1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38"/>
      <c r="Y255" s="11"/>
      <c r="Z255" s="11"/>
      <c r="AA255" s="11"/>
      <c r="AB255" s="38"/>
      <c r="AC255" s="38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</row>
    <row r="256" spans="1:61" ht="1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38"/>
      <c r="Y256" s="11"/>
      <c r="Z256" s="11"/>
      <c r="AA256" s="11"/>
      <c r="AB256" s="38"/>
      <c r="AC256" s="38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</row>
    <row r="257" spans="1:61" ht="1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38"/>
      <c r="Y257" s="11"/>
      <c r="Z257" s="11"/>
      <c r="AA257" s="11"/>
      <c r="AB257" s="38"/>
      <c r="AC257" s="38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</row>
    <row r="258" spans="1:61" ht="1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38"/>
      <c r="Y258" s="11"/>
      <c r="Z258" s="11"/>
      <c r="AA258" s="11"/>
      <c r="AB258" s="38"/>
      <c r="AC258" s="38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</row>
    <row r="259" spans="1:61" ht="1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38"/>
      <c r="Y259" s="11"/>
      <c r="Z259" s="11"/>
      <c r="AA259" s="11"/>
      <c r="AB259" s="38"/>
      <c r="AC259" s="38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</row>
    <row r="260" spans="1:61" ht="1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38"/>
      <c r="Y260" s="11"/>
      <c r="Z260" s="11"/>
      <c r="AA260" s="11"/>
      <c r="AB260" s="38"/>
      <c r="AC260" s="38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</row>
    <row r="261" spans="1:61" ht="1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38"/>
      <c r="Y261" s="11"/>
      <c r="Z261" s="11"/>
      <c r="AA261" s="11"/>
      <c r="AB261" s="38"/>
      <c r="AC261" s="38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</row>
    <row r="262" spans="1:61" ht="1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38"/>
      <c r="Y262" s="11"/>
      <c r="Z262" s="11"/>
      <c r="AA262" s="11"/>
      <c r="AB262" s="38"/>
      <c r="AC262" s="38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</row>
    <row r="263" spans="1:61" ht="1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38"/>
      <c r="Y263" s="11"/>
      <c r="Z263" s="11"/>
      <c r="AA263" s="11"/>
      <c r="AB263" s="38"/>
      <c r="AC263" s="38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</row>
    <row r="264" spans="1:61" ht="1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38"/>
      <c r="Y264" s="11"/>
      <c r="Z264" s="11"/>
      <c r="AA264" s="11"/>
      <c r="AB264" s="38"/>
      <c r="AC264" s="38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</row>
    <row r="265" spans="1:61" ht="1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38"/>
      <c r="Y265" s="11"/>
      <c r="Z265" s="11"/>
      <c r="AA265" s="11"/>
      <c r="AB265" s="38"/>
      <c r="AC265" s="38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</row>
    <row r="266" spans="1:61" ht="1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38"/>
      <c r="Y266" s="11"/>
      <c r="Z266" s="11"/>
      <c r="AA266" s="11"/>
      <c r="AB266" s="38"/>
      <c r="AC266" s="38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</row>
    <row r="267" spans="1:61" ht="1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38"/>
      <c r="Y267" s="11"/>
      <c r="Z267" s="11"/>
      <c r="AA267" s="11"/>
      <c r="AB267" s="38"/>
      <c r="AC267" s="38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</row>
    <row r="268" spans="1:61" ht="1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38"/>
      <c r="Y268" s="11"/>
      <c r="Z268" s="11"/>
      <c r="AA268" s="11"/>
      <c r="AB268" s="38"/>
      <c r="AC268" s="38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</row>
    <row r="269" spans="1:61" ht="1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38"/>
      <c r="Y269" s="11"/>
      <c r="Z269" s="11"/>
      <c r="AA269" s="11"/>
      <c r="AB269" s="38"/>
      <c r="AC269" s="38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</row>
    <row r="270" spans="1:61" ht="1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38"/>
      <c r="Y270" s="11"/>
      <c r="Z270" s="11"/>
      <c r="AA270" s="11"/>
      <c r="AB270" s="38"/>
      <c r="AC270" s="38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</row>
    <row r="271" spans="1:61" ht="1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38"/>
      <c r="Y271" s="11"/>
      <c r="Z271" s="11"/>
      <c r="AA271" s="11"/>
      <c r="AB271" s="38"/>
      <c r="AC271" s="38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</row>
    <row r="272" spans="1:61" ht="1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38"/>
      <c r="Y272" s="11"/>
      <c r="Z272" s="11"/>
      <c r="AA272" s="11"/>
      <c r="AB272" s="38"/>
      <c r="AC272" s="38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</row>
    <row r="273" spans="1:61" ht="1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38"/>
      <c r="Y273" s="11"/>
      <c r="Z273" s="11"/>
      <c r="AA273" s="11"/>
      <c r="AB273" s="38"/>
      <c r="AC273" s="38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</row>
    <row r="274" spans="1:61" ht="1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38"/>
      <c r="Y274" s="11"/>
      <c r="Z274" s="11"/>
      <c r="AA274" s="11"/>
      <c r="AB274" s="38"/>
      <c r="AC274" s="38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</row>
    <row r="275" spans="1:61" ht="1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38"/>
      <c r="Y275" s="11"/>
      <c r="Z275" s="11"/>
      <c r="AA275" s="11"/>
      <c r="AB275" s="38"/>
      <c r="AC275" s="38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</row>
    <row r="276" spans="1:61" ht="1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38"/>
      <c r="Y276" s="11"/>
      <c r="Z276" s="11"/>
      <c r="AA276" s="11"/>
      <c r="AB276" s="38"/>
      <c r="AC276" s="38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</row>
    <row r="277" spans="1:61" ht="1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38"/>
      <c r="Y277" s="11"/>
      <c r="Z277" s="11"/>
      <c r="AA277" s="11"/>
      <c r="AB277" s="38"/>
      <c r="AC277" s="38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</row>
    <row r="278" spans="1:61" ht="1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38"/>
      <c r="Y278" s="11"/>
      <c r="Z278" s="11"/>
      <c r="AA278" s="11"/>
      <c r="AB278" s="38"/>
      <c r="AC278" s="38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</row>
    <row r="279" spans="1:61" ht="1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38"/>
      <c r="Y279" s="11"/>
      <c r="Z279" s="11"/>
      <c r="AA279" s="11"/>
      <c r="AB279" s="38"/>
      <c r="AC279" s="38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</row>
    <row r="280" spans="1:61" ht="1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38"/>
      <c r="Y280" s="11"/>
      <c r="Z280" s="11"/>
      <c r="AA280" s="11"/>
      <c r="AB280" s="38"/>
      <c r="AC280" s="38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</row>
    <row r="281" spans="1:61" ht="1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38"/>
      <c r="Y281" s="11"/>
      <c r="Z281" s="11"/>
      <c r="AA281" s="11"/>
      <c r="AB281" s="38"/>
      <c r="AC281" s="38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</row>
    <row r="282" spans="1:61" ht="1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38"/>
      <c r="Y282" s="11"/>
      <c r="Z282" s="11"/>
      <c r="AA282" s="11"/>
      <c r="AB282" s="38"/>
      <c r="AC282" s="38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</row>
    <row r="283" spans="1:61" ht="1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38"/>
      <c r="Y283" s="11"/>
      <c r="Z283" s="11"/>
      <c r="AA283" s="11"/>
      <c r="AB283" s="38"/>
      <c r="AC283" s="38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</row>
    <row r="284" spans="1:61" ht="1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38"/>
      <c r="Y284" s="11"/>
      <c r="Z284" s="11"/>
      <c r="AA284" s="11"/>
      <c r="AB284" s="38"/>
      <c r="AC284" s="38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</row>
    <row r="285" spans="1:61" ht="1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38"/>
      <c r="Y285" s="11"/>
      <c r="Z285" s="11"/>
      <c r="AA285" s="11"/>
      <c r="AB285" s="38"/>
      <c r="AC285" s="38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</row>
    <row r="286" spans="1:61" ht="1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38"/>
      <c r="Y286" s="11"/>
      <c r="Z286" s="11"/>
      <c r="AA286" s="11"/>
      <c r="AB286" s="38"/>
      <c r="AC286" s="38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</row>
    <row r="287" spans="1:61" ht="1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38"/>
      <c r="Y287" s="11"/>
      <c r="Z287" s="11"/>
      <c r="AA287" s="11"/>
      <c r="AB287" s="38"/>
      <c r="AC287" s="38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</row>
    <row r="288" spans="1:61" ht="1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38"/>
      <c r="Y288" s="11"/>
      <c r="Z288" s="11"/>
      <c r="AA288" s="11"/>
      <c r="AB288" s="38"/>
      <c r="AC288" s="38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</row>
    <row r="289" spans="1:61" ht="1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38"/>
      <c r="Y289" s="11"/>
      <c r="Z289" s="11"/>
      <c r="AA289" s="11"/>
      <c r="AB289" s="38"/>
      <c r="AC289" s="38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</row>
    <row r="290" spans="1:61" ht="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38"/>
      <c r="Y290" s="11"/>
      <c r="Z290" s="11"/>
      <c r="AA290" s="11"/>
      <c r="AB290" s="38"/>
      <c r="AC290" s="38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</row>
    <row r="291" spans="1:61" ht="1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38"/>
      <c r="Y291" s="11"/>
      <c r="Z291" s="11"/>
      <c r="AA291" s="11"/>
      <c r="AB291" s="38"/>
      <c r="AC291" s="38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</row>
    <row r="292" spans="1:61" ht="1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38"/>
      <c r="Y292" s="11"/>
      <c r="Z292" s="11"/>
      <c r="AA292" s="11"/>
      <c r="AB292" s="38"/>
      <c r="AC292" s="38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</row>
    <row r="293" spans="1:61" ht="1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38"/>
      <c r="Y293" s="11"/>
      <c r="Z293" s="11"/>
      <c r="AA293" s="11"/>
      <c r="AB293" s="38"/>
      <c r="AC293" s="38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</row>
    <row r="294" spans="1:61" ht="1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38"/>
      <c r="Y294" s="11"/>
      <c r="Z294" s="11"/>
      <c r="AA294" s="11"/>
      <c r="AB294" s="38"/>
      <c r="AC294" s="38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</row>
    <row r="295" spans="1:61" ht="1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38"/>
      <c r="Y295" s="11"/>
      <c r="Z295" s="11"/>
      <c r="AA295" s="11"/>
      <c r="AB295" s="38"/>
      <c r="AC295" s="38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</row>
    <row r="296" spans="1:61" ht="1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38"/>
      <c r="Y296" s="11"/>
      <c r="Z296" s="11"/>
      <c r="AA296" s="11"/>
      <c r="AB296" s="38"/>
      <c r="AC296" s="38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</row>
    <row r="297" spans="1:61" ht="1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38"/>
      <c r="Y297" s="11"/>
      <c r="Z297" s="11"/>
      <c r="AA297" s="11"/>
      <c r="AB297" s="38"/>
      <c r="AC297" s="38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</row>
    <row r="298" spans="1:61" ht="1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38"/>
      <c r="Y298" s="11"/>
      <c r="Z298" s="11"/>
      <c r="AA298" s="11"/>
      <c r="AB298" s="38"/>
      <c r="AC298" s="38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</row>
    <row r="299" spans="1:61" ht="1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38"/>
      <c r="Y299" s="11"/>
      <c r="Z299" s="11"/>
      <c r="AA299" s="11"/>
      <c r="AB299" s="38"/>
      <c r="AC299" s="38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</row>
    <row r="300" spans="1:61" ht="1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38"/>
      <c r="Y300" s="11"/>
      <c r="Z300" s="11"/>
      <c r="AA300" s="11"/>
      <c r="AB300" s="38"/>
      <c r="AC300" s="38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</row>
    <row r="301" spans="1:61" ht="1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38"/>
      <c r="Y301" s="11"/>
      <c r="Z301" s="11"/>
      <c r="AA301" s="11"/>
      <c r="AB301" s="38"/>
      <c r="AC301" s="38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</row>
    <row r="302" spans="1:61" ht="1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38"/>
      <c r="Y302" s="11"/>
      <c r="Z302" s="11"/>
      <c r="AA302" s="11"/>
      <c r="AB302" s="38"/>
      <c r="AC302" s="38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</row>
    <row r="303" spans="1:61" ht="1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38"/>
      <c r="Y303" s="11"/>
      <c r="Z303" s="11"/>
      <c r="AA303" s="11"/>
      <c r="AB303" s="38"/>
      <c r="AC303" s="38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</row>
    <row r="304" spans="1:61" ht="1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38"/>
      <c r="Y304" s="11"/>
      <c r="Z304" s="11"/>
      <c r="AA304" s="11"/>
      <c r="AB304" s="38"/>
      <c r="AC304" s="38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</row>
    <row r="305" spans="1:61" ht="1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38"/>
      <c r="Y305" s="11"/>
      <c r="Z305" s="11"/>
      <c r="AA305" s="11"/>
      <c r="AB305" s="38"/>
      <c r="AC305" s="38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</row>
    <row r="306" spans="1:61" ht="1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38"/>
      <c r="Y306" s="11"/>
      <c r="Z306" s="11"/>
      <c r="AA306" s="11"/>
      <c r="AB306" s="38"/>
      <c r="AC306" s="38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</row>
    <row r="307" spans="1:61" ht="1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38"/>
      <c r="Y307" s="11"/>
      <c r="Z307" s="11"/>
      <c r="AA307" s="11"/>
      <c r="AB307" s="38"/>
      <c r="AC307" s="38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</row>
    <row r="308" spans="1:61" ht="1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38"/>
      <c r="Y308" s="11"/>
      <c r="Z308" s="11"/>
      <c r="AA308" s="11"/>
      <c r="AB308" s="38"/>
      <c r="AC308" s="38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</row>
    <row r="309" spans="1:61" ht="1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38"/>
      <c r="Y309" s="11"/>
      <c r="Z309" s="11"/>
      <c r="AA309" s="11"/>
      <c r="AB309" s="38"/>
      <c r="AC309" s="38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</row>
    <row r="310" spans="1:61" ht="1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38"/>
      <c r="Y310" s="11"/>
      <c r="Z310" s="11"/>
      <c r="AA310" s="11"/>
      <c r="AB310" s="38"/>
      <c r="AC310" s="38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</row>
    <row r="311" spans="1:61" ht="1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38"/>
      <c r="Y311" s="11"/>
      <c r="Z311" s="11"/>
      <c r="AA311" s="11"/>
      <c r="AB311" s="38"/>
      <c r="AC311" s="38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</row>
    <row r="312" spans="1:61" ht="1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38"/>
      <c r="Y312" s="11"/>
      <c r="Z312" s="11"/>
      <c r="AA312" s="11"/>
      <c r="AB312" s="38"/>
      <c r="AC312" s="38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</row>
    <row r="313" spans="1:61" ht="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38"/>
      <c r="Y313" s="11"/>
      <c r="Z313" s="11"/>
      <c r="AA313" s="11"/>
      <c r="AB313" s="38"/>
      <c r="AC313" s="38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</row>
    <row r="314" spans="1:61" ht="1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38"/>
      <c r="Y314" s="11"/>
      <c r="Z314" s="11"/>
      <c r="AA314" s="11"/>
      <c r="AB314" s="38"/>
      <c r="AC314" s="38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</row>
    <row r="315" spans="1:61" ht="1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38"/>
      <c r="Y315" s="11"/>
      <c r="Z315" s="11"/>
      <c r="AA315" s="11"/>
      <c r="AB315" s="38"/>
      <c r="AC315" s="38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</row>
    <row r="316" spans="1:61" ht="1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38"/>
      <c r="Y316" s="11"/>
      <c r="Z316" s="11"/>
      <c r="AA316" s="11"/>
      <c r="AB316" s="38"/>
      <c r="AC316" s="38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</row>
    <row r="317" spans="1:61" ht="1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38"/>
      <c r="Y317" s="11"/>
      <c r="Z317" s="11"/>
      <c r="AA317" s="11"/>
      <c r="AB317" s="38"/>
      <c r="AC317" s="38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</row>
    <row r="318" spans="1:61" ht="1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38"/>
      <c r="Y318" s="11"/>
      <c r="Z318" s="11"/>
      <c r="AA318" s="11"/>
      <c r="AB318" s="38"/>
      <c r="AC318" s="38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</row>
    <row r="319" spans="1:61" ht="1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38"/>
      <c r="Y319" s="11"/>
      <c r="Z319" s="11"/>
      <c r="AA319" s="11"/>
      <c r="AB319" s="38"/>
      <c r="AC319" s="38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</row>
    <row r="320" spans="1:61" ht="1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38"/>
      <c r="Y320" s="11"/>
      <c r="Z320" s="11"/>
      <c r="AA320" s="11"/>
      <c r="AB320" s="38"/>
      <c r="AC320" s="38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</row>
    <row r="321" spans="1:61" ht="1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38"/>
      <c r="Y321" s="11"/>
      <c r="Z321" s="11"/>
      <c r="AA321" s="11"/>
      <c r="AB321" s="38"/>
      <c r="AC321" s="38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</row>
    <row r="322" spans="1:61" ht="1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38"/>
      <c r="Y322" s="11"/>
      <c r="Z322" s="11"/>
      <c r="AA322" s="11"/>
      <c r="AB322" s="38"/>
      <c r="AC322" s="38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</row>
    <row r="323" spans="1:61" ht="1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38"/>
      <c r="Y323" s="11"/>
      <c r="Z323" s="11"/>
      <c r="AA323" s="11"/>
      <c r="AB323" s="38"/>
      <c r="AC323" s="38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</row>
    <row r="324" spans="1:61" ht="1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38"/>
      <c r="Y324" s="11"/>
      <c r="Z324" s="11"/>
      <c r="AA324" s="11"/>
      <c r="AB324" s="38"/>
      <c r="AC324" s="38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</row>
    <row r="325" spans="1:61" ht="1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38"/>
      <c r="Y325" s="11"/>
      <c r="Z325" s="11"/>
      <c r="AA325" s="11"/>
      <c r="AB325" s="38"/>
      <c r="AC325" s="38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</row>
    <row r="326" spans="1:61" ht="1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38"/>
      <c r="Y326" s="11"/>
      <c r="Z326" s="11"/>
      <c r="AA326" s="11"/>
      <c r="AB326" s="38"/>
      <c r="AC326" s="38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</row>
    <row r="327" spans="1:61" ht="1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38"/>
      <c r="Y327" s="11"/>
      <c r="Z327" s="11"/>
      <c r="AA327" s="11"/>
      <c r="AB327" s="38"/>
      <c r="AC327" s="38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</row>
    <row r="328" spans="1:61" ht="1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38"/>
      <c r="Y328" s="11"/>
      <c r="Z328" s="11"/>
      <c r="AA328" s="11"/>
      <c r="AB328" s="38"/>
      <c r="AC328" s="38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</row>
    <row r="329" spans="1:61" ht="1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38"/>
      <c r="Y329" s="11"/>
      <c r="Z329" s="11"/>
      <c r="AA329" s="11"/>
      <c r="AB329" s="38"/>
      <c r="AC329" s="38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</row>
    <row r="330" spans="1:61" ht="1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38"/>
      <c r="Y330" s="11"/>
      <c r="Z330" s="11"/>
      <c r="AA330" s="11"/>
      <c r="AB330" s="38"/>
      <c r="AC330" s="38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</row>
    <row r="331" spans="1:61" ht="1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38"/>
      <c r="Y331" s="11"/>
      <c r="Z331" s="11"/>
      <c r="AA331" s="11"/>
      <c r="AB331" s="38"/>
      <c r="AC331" s="38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</row>
    <row r="332" spans="1:61" ht="1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38"/>
      <c r="Y332" s="11"/>
      <c r="Z332" s="11"/>
      <c r="AA332" s="11"/>
      <c r="AB332" s="38"/>
      <c r="AC332" s="38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</row>
    <row r="333" spans="1:61" ht="1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38"/>
      <c r="Y333" s="11"/>
      <c r="Z333" s="11"/>
      <c r="AA333" s="11"/>
      <c r="AB333" s="38"/>
      <c r="AC333" s="38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</row>
    <row r="334" spans="1:61" ht="1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38"/>
      <c r="Y334" s="11"/>
      <c r="Z334" s="11"/>
      <c r="AA334" s="11"/>
      <c r="AB334" s="38"/>
      <c r="AC334" s="38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</row>
    <row r="335" spans="1:61" ht="1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38"/>
      <c r="Y335" s="11"/>
      <c r="Z335" s="11"/>
      <c r="AA335" s="11"/>
      <c r="AB335" s="38"/>
      <c r="AC335" s="38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</row>
    <row r="336" spans="1:61" ht="1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38"/>
      <c r="Y336" s="11"/>
      <c r="Z336" s="11"/>
      <c r="AA336" s="11"/>
      <c r="AB336" s="38"/>
      <c r="AC336" s="38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</row>
    <row r="337" spans="1:61" ht="1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38"/>
      <c r="Y337" s="11"/>
      <c r="Z337" s="11"/>
      <c r="AA337" s="11"/>
      <c r="AB337" s="38"/>
      <c r="AC337" s="38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</row>
    <row r="338" spans="1:61" ht="1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38"/>
      <c r="Y338" s="11"/>
      <c r="Z338" s="11"/>
      <c r="AA338" s="11"/>
      <c r="AB338" s="38"/>
      <c r="AC338" s="38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</row>
    <row r="339" spans="1:61" ht="1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38"/>
      <c r="Y339" s="11"/>
      <c r="Z339" s="11"/>
      <c r="AA339" s="11"/>
      <c r="AB339" s="38"/>
      <c r="AC339" s="38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</row>
    <row r="340" spans="1:61" ht="1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38"/>
      <c r="Y340" s="11"/>
      <c r="Z340" s="11"/>
      <c r="AA340" s="11"/>
      <c r="AB340" s="38"/>
      <c r="AC340" s="38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</row>
    <row r="341" spans="1:61" ht="1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38"/>
      <c r="Y341" s="11"/>
      <c r="Z341" s="11"/>
      <c r="AA341" s="11"/>
      <c r="AB341" s="38"/>
      <c r="AC341" s="38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</row>
    <row r="342" spans="1:61" ht="1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38"/>
      <c r="Y342" s="11"/>
      <c r="Z342" s="11"/>
      <c r="AA342" s="11"/>
      <c r="AB342" s="38"/>
      <c r="AC342" s="38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</row>
    <row r="343" spans="1:61" ht="1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38"/>
      <c r="Y343" s="11"/>
      <c r="Z343" s="11"/>
      <c r="AA343" s="11"/>
      <c r="AB343" s="38"/>
      <c r="AC343" s="38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</row>
    <row r="344" spans="1:61" ht="1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38"/>
      <c r="Y344" s="11"/>
      <c r="Z344" s="11"/>
      <c r="AA344" s="11"/>
      <c r="AB344" s="38"/>
      <c r="AC344" s="38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</row>
    <row r="345" spans="1:61" ht="1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38"/>
      <c r="Y345" s="11"/>
      <c r="Z345" s="11"/>
      <c r="AA345" s="11"/>
      <c r="AB345" s="38"/>
      <c r="AC345" s="38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</row>
    <row r="346" spans="1:61" ht="1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38"/>
      <c r="Y346" s="11"/>
      <c r="Z346" s="11"/>
      <c r="AA346" s="11"/>
      <c r="AB346" s="38"/>
      <c r="AC346" s="38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</row>
    <row r="347" spans="1:61" ht="1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38"/>
      <c r="Y347" s="11"/>
      <c r="Z347" s="11"/>
      <c r="AA347" s="11"/>
      <c r="AB347" s="38"/>
      <c r="AC347" s="38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</row>
    <row r="348" spans="1:61" ht="1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38"/>
      <c r="Y348" s="11"/>
      <c r="Z348" s="11"/>
      <c r="AA348" s="11"/>
      <c r="AB348" s="38"/>
      <c r="AC348" s="38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</row>
    <row r="349" spans="1:61" ht="1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38"/>
      <c r="Y349" s="11"/>
      <c r="Z349" s="11"/>
      <c r="AA349" s="11"/>
      <c r="AB349" s="38"/>
      <c r="AC349" s="38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</row>
    <row r="350" spans="1:61" ht="1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38"/>
      <c r="Y350" s="11"/>
      <c r="Z350" s="11"/>
      <c r="AA350" s="11"/>
      <c r="AB350" s="38"/>
      <c r="AC350" s="38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</row>
    <row r="351" spans="1:61" ht="1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38"/>
      <c r="Y351" s="11"/>
      <c r="Z351" s="11"/>
      <c r="AA351" s="11"/>
      <c r="AB351" s="38"/>
      <c r="AC351" s="38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</row>
    <row r="352" spans="1:61" ht="1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38"/>
      <c r="Y352" s="11"/>
      <c r="Z352" s="11"/>
      <c r="AA352" s="11"/>
      <c r="AB352" s="38"/>
      <c r="AC352" s="38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</row>
    <row r="353" spans="1:61" ht="1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38"/>
      <c r="Y353" s="11"/>
      <c r="Z353" s="11"/>
      <c r="AA353" s="11"/>
      <c r="AB353" s="38"/>
      <c r="AC353" s="38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</row>
    <row r="354" spans="1:61" ht="1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38"/>
      <c r="Y354" s="11"/>
      <c r="Z354" s="11"/>
      <c r="AA354" s="11"/>
      <c r="AB354" s="38"/>
      <c r="AC354" s="38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</row>
    <row r="355" spans="1:61" ht="1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38"/>
      <c r="Y355" s="11"/>
      <c r="Z355" s="11"/>
      <c r="AA355" s="11"/>
      <c r="AB355" s="38"/>
      <c r="AC355" s="38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</row>
    <row r="356" spans="1:61" ht="1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38"/>
      <c r="Y356" s="11"/>
      <c r="Z356" s="11"/>
      <c r="AA356" s="11"/>
      <c r="AB356" s="38"/>
      <c r="AC356" s="38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</row>
    <row r="357" spans="1:61" ht="1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38"/>
      <c r="Y357" s="11"/>
      <c r="Z357" s="11"/>
      <c r="AA357" s="11"/>
      <c r="AB357" s="38"/>
      <c r="AC357" s="38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</row>
    <row r="358" spans="1:61" ht="1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38"/>
      <c r="Y358" s="11"/>
      <c r="Z358" s="11"/>
      <c r="AA358" s="11"/>
      <c r="AB358" s="38"/>
      <c r="AC358" s="38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</row>
    <row r="359" spans="1:61" ht="1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38"/>
      <c r="Y359" s="11"/>
      <c r="Z359" s="11"/>
      <c r="AA359" s="11"/>
      <c r="AB359" s="38"/>
      <c r="AC359" s="38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</row>
    <row r="360" spans="1:61" ht="1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38"/>
      <c r="Y360" s="11"/>
      <c r="Z360" s="11"/>
      <c r="AA360" s="11"/>
      <c r="AB360" s="38"/>
      <c r="AC360" s="38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</row>
    <row r="361" spans="1:61" ht="1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38"/>
      <c r="Y361" s="11"/>
      <c r="Z361" s="11"/>
      <c r="AA361" s="11"/>
      <c r="AB361" s="38"/>
      <c r="AC361" s="38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</row>
    <row r="362" spans="1:61" ht="1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38"/>
      <c r="Y362" s="11"/>
      <c r="Z362" s="11"/>
      <c r="AA362" s="11"/>
      <c r="AB362" s="38"/>
      <c r="AC362" s="38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</row>
    <row r="363" spans="1:61" ht="1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38"/>
      <c r="Y363" s="11"/>
      <c r="Z363" s="11"/>
      <c r="AA363" s="11"/>
      <c r="AB363" s="38"/>
      <c r="AC363" s="38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</row>
    <row r="364" spans="1:61" ht="1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38"/>
      <c r="Y364" s="11"/>
      <c r="Z364" s="11"/>
      <c r="AA364" s="11"/>
      <c r="AB364" s="38"/>
      <c r="AC364" s="38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</row>
    <row r="365" spans="1:61" ht="1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38"/>
      <c r="Y365" s="11"/>
      <c r="Z365" s="11"/>
      <c r="AA365" s="11"/>
      <c r="AB365" s="38"/>
      <c r="AC365" s="38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</row>
    <row r="366" spans="1:61" ht="1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38"/>
      <c r="Y366" s="11"/>
      <c r="Z366" s="11"/>
      <c r="AA366" s="11"/>
      <c r="AB366" s="38"/>
      <c r="AC366" s="38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</row>
    <row r="367" spans="1:61" ht="1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38"/>
      <c r="Y367" s="11"/>
      <c r="Z367" s="11"/>
      <c r="AA367" s="11"/>
      <c r="AB367" s="38"/>
      <c r="AC367" s="38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</row>
    <row r="368" spans="1:61" ht="1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38"/>
      <c r="Y368" s="11"/>
      <c r="Z368" s="11"/>
      <c r="AA368" s="11"/>
      <c r="AB368" s="38"/>
      <c r="AC368" s="38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</row>
    <row r="369" spans="1:61" ht="1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38"/>
      <c r="Y369" s="11"/>
      <c r="Z369" s="11"/>
      <c r="AA369" s="11"/>
      <c r="AB369" s="38"/>
      <c r="AC369" s="38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</row>
    <row r="370" spans="1:61" ht="1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38"/>
      <c r="Y370" s="11"/>
      <c r="Z370" s="11"/>
      <c r="AA370" s="11"/>
      <c r="AB370" s="38"/>
      <c r="AC370" s="38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</row>
    <row r="371" spans="1:61" ht="1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38"/>
      <c r="Y371" s="11"/>
      <c r="Z371" s="11"/>
      <c r="AA371" s="11"/>
      <c r="AB371" s="38"/>
      <c r="AC371" s="38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</row>
    <row r="372" spans="1:61" ht="1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38"/>
      <c r="Y372" s="11"/>
      <c r="Z372" s="11"/>
      <c r="AA372" s="11"/>
      <c r="AB372" s="38"/>
      <c r="AC372" s="38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</row>
    <row r="373" spans="1:61" ht="1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38"/>
      <c r="Y373" s="11"/>
      <c r="Z373" s="11"/>
      <c r="AA373" s="11"/>
      <c r="AB373" s="38"/>
      <c r="AC373" s="38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</row>
    <row r="374" spans="1:61" ht="1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38"/>
      <c r="Y374" s="11"/>
      <c r="Z374" s="11"/>
      <c r="AA374" s="11"/>
      <c r="AB374" s="38"/>
      <c r="AC374" s="38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</row>
    <row r="375" spans="1:61" ht="1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38"/>
      <c r="Y375" s="11"/>
      <c r="Z375" s="11"/>
      <c r="AA375" s="11"/>
      <c r="AB375" s="38"/>
      <c r="AC375" s="38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</row>
    <row r="376" spans="1:61" ht="1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38"/>
      <c r="Y376" s="11"/>
      <c r="Z376" s="11"/>
      <c r="AA376" s="11"/>
      <c r="AB376" s="38"/>
      <c r="AC376" s="38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</row>
    <row r="377" spans="1:61" ht="1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38"/>
      <c r="Y377" s="11"/>
      <c r="Z377" s="11"/>
      <c r="AA377" s="11"/>
      <c r="AB377" s="38"/>
      <c r="AC377" s="38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</row>
    <row r="378" spans="1:61" ht="1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38"/>
      <c r="Y378" s="11"/>
      <c r="Z378" s="11"/>
      <c r="AA378" s="11"/>
      <c r="AB378" s="38"/>
      <c r="AC378" s="38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</row>
    <row r="379" spans="1:61" ht="1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38"/>
      <c r="Y379" s="11"/>
      <c r="Z379" s="11"/>
      <c r="AA379" s="11"/>
      <c r="AB379" s="38"/>
      <c r="AC379" s="38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</row>
    <row r="380" spans="1:61" ht="1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38"/>
      <c r="Y380" s="11"/>
      <c r="Z380" s="11"/>
      <c r="AA380" s="11"/>
      <c r="AB380" s="38"/>
      <c r="AC380" s="38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</row>
    <row r="381" spans="1:61" ht="1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38"/>
      <c r="Y381" s="11"/>
      <c r="Z381" s="11"/>
      <c r="AA381" s="11"/>
      <c r="AB381" s="38"/>
      <c r="AC381" s="38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</row>
    <row r="382" spans="1:61" ht="1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38"/>
      <c r="Y382" s="11"/>
      <c r="Z382" s="11"/>
      <c r="AA382" s="11"/>
      <c r="AB382" s="38"/>
      <c r="AC382" s="38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</row>
    <row r="383" spans="1:61" ht="1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38"/>
      <c r="Y383" s="11"/>
      <c r="Z383" s="11"/>
      <c r="AA383" s="11"/>
      <c r="AB383" s="38"/>
      <c r="AC383" s="38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</row>
    <row r="384" spans="1:61" ht="1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38"/>
      <c r="Y384" s="11"/>
      <c r="Z384" s="11"/>
      <c r="AA384" s="11"/>
      <c r="AB384" s="38"/>
      <c r="AC384" s="38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</row>
    <row r="385" spans="1:61" ht="1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38"/>
      <c r="Y385" s="11"/>
      <c r="Z385" s="11"/>
      <c r="AA385" s="11"/>
      <c r="AB385" s="38"/>
      <c r="AC385" s="38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</row>
    <row r="386" spans="1:61" ht="1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38"/>
      <c r="Y386" s="11"/>
      <c r="Z386" s="11"/>
      <c r="AA386" s="11"/>
      <c r="AB386" s="38"/>
      <c r="AC386" s="38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</row>
    <row r="387" spans="1:61" ht="1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38"/>
      <c r="Y387" s="11"/>
      <c r="Z387" s="11"/>
      <c r="AA387" s="11"/>
      <c r="AB387" s="38"/>
      <c r="AC387" s="38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</row>
    <row r="388" spans="1:61" ht="1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38"/>
      <c r="Y388" s="11"/>
      <c r="Z388" s="11"/>
      <c r="AA388" s="11"/>
      <c r="AB388" s="38"/>
      <c r="AC388" s="38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</row>
    <row r="389" spans="1:61" ht="1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38"/>
      <c r="Y389" s="11"/>
      <c r="Z389" s="11"/>
      <c r="AA389" s="11"/>
      <c r="AB389" s="38"/>
      <c r="AC389" s="38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</row>
    <row r="390" spans="1:61" ht="1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38"/>
      <c r="Y390" s="11"/>
      <c r="Z390" s="11"/>
      <c r="AA390" s="11"/>
      <c r="AB390" s="38"/>
      <c r="AC390" s="38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</row>
    <row r="391" spans="1:61" ht="1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38"/>
      <c r="Y391" s="11"/>
      <c r="Z391" s="11"/>
      <c r="AA391" s="11"/>
      <c r="AB391" s="38"/>
      <c r="AC391" s="38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</row>
    <row r="392" spans="1:61" ht="1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38"/>
      <c r="Y392" s="11"/>
      <c r="Z392" s="11"/>
      <c r="AA392" s="11"/>
      <c r="AB392" s="38"/>
      <c r="AC392" s="38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</row>
    <row r="393" spans="1:61" ht="1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38"/>
      <c r="Y393" s="11"/>
      <c r="Z393" s="11"/>
      <c r="AA393" s="11"/>
      <c r="AB393" s="38"/>
      <c r="AC393" s="38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</row>
    <row r="394" spans="1:61" ht="1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38"/>
      <c r="Y394" s="11"/>
      <c r="Z394" s="11"/>
      <c r="AA394" s="11"/>
      <c r="AB394" s="38"/>
      <c r="AC394" s="38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</row>
    <row r="395" spans="1:61" ht="1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38"/>
      <c r="Y395" s="11"/>
      <c r="Z395" s="11"/>
      <c r="AA395" s="11"/>
      <c r="AB395" s="38"/>
      <c r="AC395" s="38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</row>
    <row r="396" spans="1:61" ht="1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38"/>
      <c r="Y396" s="11"/>
      <c r="Z396" s="11"/>
      <c r="AA396" s="11"/>
      <c r="AB396" s="38"/>
      <c r="AC396" s="38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</row>
    <row r="397" spans="1:61" ht="1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38"/>
      <c r="Y397" s="11"/>
      <c r="Z397" s="11"/>
      <c r="AA397" s="11"/>
      <c r="AB397" s="38"/>
      <c r="AC397" s="38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</row>
    <row r="398" spans="1:61" ht="1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38"/>
      <c r="Y398" s="11"/>
      <c r="Z398" s="11"/>
      <c r="AA398" s="11"/>
      <c r="AB398" s="38"/>
      <c r="AC398" s="38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</row>
    <row r="399" spans="1:61" ht="1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38"/>
      <c r="Y399" s="11"/>
      <c r="Z399" s="11"/>
      <c r="AA399" s="11"/>
      <c r="AB399" s="38"/>
      <c r="AC399" s="38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</row>
    <row r="400" spans="1:61" ht="1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38"/>
      <c r="Y400" s="11"/>
      <c r="Z400" s="11"/>
      <c r="AA400" s="11"/>
      <c r="AB400" s="38"/>
      <c r="AC400" s="38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</row>
    <row r="401" spans="1:61" ht="1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38"/>
      <c r="Y401" s="11"/>
      <c r="Z401" s="11"/>
      <c r="AA401" s="11"/>
      <c r="AB401" s="38"/>
      <c r="AC401" s="38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</row>
    <row r="402" spans="1:61" ht="1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38"/>
      <c r="Y402" s="11"/>
      <c r="Z402" s="11"/>
      <c r="AA402" s="11"/>
      <c r="AB402" s="38"/>
      <c r="AC402" s="38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</row>
    <row r="403" spans="1:61" ht="1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38"/>
      <c r="Y403" s="11"/>
      <c r="Z403" s="11"/>
      <c r="AA403" s="11"/>
      <c r="AB403" s="38"/>
      <c r="AC403" s="38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</row>
    <row r="404" spans="1:61" ht="1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38"/>
      <c r="Y404" s="11"/>
      <c r="Z404" s="11"/>
      <c r="AA404" s="11"/>
      <c r="AB404" s="38"/>
      <c r="AC404" s="38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</row>
    <row r="405" spans="1:61" ht="1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38"/>
      <c r="Y405" s="11"/>
      <c r="Z405" s="11"/>
      <c r="AA405" s="11"/>
      <c r="AB405" s="38"/>
      <c r="AC405" s="38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</row>
    <row r="406" spans="1:61" ht="1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38"/>
      <c r="Y406" s="11"/>
      <c r="Z406" s="11"/>
      <c r="AA406" s="11"/>
      <c r="AB406" s="38"/>
      <c r="AC406" s="38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</row>
    <row r="407" spans="1:61" ht="1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38"/>
      <c r="Y407" s="11"/>
      <c r="Z407" s="11"/>
      <c r="AA407" s="11"/>
      <c r="AB407" s="38"/>
      <c r="AC407" s="38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</row>
    <row r="408" spans="1:61" ht="1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38"/>
      <c r="Y408" s="11"/>
      <c r="Z408" s="11"/>
      <c r="AA408" s="11"/>
      <c r="AB408" s="38"/>
      <c r="AC408" s="38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</row>
    <row r="409" spans="1:61" ht="1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38"/>
      <c r="Y409" s="11"/>
      <c r="Z409" s="11"/>
      <c r="AA409" s="11"/>
      <c r="AB409" s="38"/>
      <c r="AC409" s="38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</row>
    <row r="410" spans="1:61" ht="1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38"/>
      <c r="Y410" s="11"/>
      <c r="Z410" s="11"/>
      <c r="AA410" s="11"/>
      <c r="AB410" s="38"/>
      <c r="AC410" s="38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</row>
    <row r="411" spans="1:61" ht="1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38"/>
      <c r="Y411" s="11"/>
      <c r="Z411" s="11"/>
      <c r="AA411" s="11"/>
      <c r="AB411" s="38"/>
      <c r="AC411" s="38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</row>
    <row r="412" spans="1:61" ht="1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38"/>
      <c r="Y412" s="11"/>
      <c r="Z412" s="11"/>
      <c r="AA412" s="11"/>
      <c r="AB412" s="38"/>
      <c r="AC412" s="38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</row>
    <row r="413" spans="1:61" ht="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38"/>
      <c r="Y413" s="11"/>
      <c r="Z413" s="11"/>
      <c r="AA413" s="11"/>
      <c r="AB413" s="38"/>
      <c r="AC413" s="38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</row>
    <row r="414" spans="1:61" ht="1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38"/>
      <c r="Y414" s="11"/>
      <c r="Z414" s="11"/>
      <c r="AA414" s="11"/>
      <c r="AB414" s="38"/>
      <c r="AC414" s="38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</row>
    <row r="415" spans="1:61" ht="1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38"/>
      <c r="Y415" s="11"/>
      <c r="Z415" s="11"/>
      <c r="AA415" s="11"/>
      <c r="AB415" s="38"/>
      <c r="AC415" s="38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</row>
    <row r="416" spans="1:61" ht="1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38"/>
      <c r="Y416" s="11"/>
      <c r="Z416" s="11"/>
      <c r="AA416" s="11"/>
      <c r="AB416" s="38"/>
      <c r="AC416" s="38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</row>
    <row r="417" spans="1:61" ht="1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38"/>
      <c r="Y417" s="11"/>
      <c r="Z417" s="11"/>
      <c r="AA417" s="11"/>
      <c r="AB417" s="38"/>
      <c r="AC417" s="38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</row>
    <row r="418" spans="1:61" ht="1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38"/>
      <c r="Y418" s="11"/>
      <c r="Z418" s="11"/>
      <c r="AA418" s="11"/>
      <c r="AB418" s="38"/>
      <c r="AC418" s="38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</row>
    <row r="419" spans="1:61" ht="1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38"/>
      <c r="Y419" s="11"/>
      <c r="Z419" s="11"/>
      <c r="AA419" s="11"/>
      <c r="AB419" s="38"/>
      <c r="AC419" s="38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</row>
    <row r="420" spans="1:61" ht="1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38"/>
      <c r="Y420" s="11"/>
      <c r="Z420" s="11"/>
      <c r="AA420" s="11"/>
      <c r="AB420" s="38"/>
      <c r="AC420" s="38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</row>
    <row r="421" spans="1:61" ht="1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38"/>
      <c r="Y421" s="11"/>
      <c r="Z421" s="11"/>
      <c r="AA421" s="11"/>
      <c r="AB421" s="38"/>
      <c r="AC421" s="38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</row>
    <row r="422" spans="1:61" ht="1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38"/>
      <c r="Y422" s="11"/>
      <c r="Z422" s="11"/>
      <c r="AA422" s="11"/>
      <c r="AB422" s="38"/>
      <c r="AC422" s="38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</row>
    <row r="423" spans="1:61" ht="1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38"/>
      <c r="Y423" s="11"/>
      <c r="Z423" s="11"/>
      <c r="AA423" s="11"/>
      <c r="AB423" s="38"/>
      <c r="AC423" s="38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</row>
    <row r="424" spans="1:61" ht="1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38"/>
      <c r="Y424" s="11"/>
      <c r="Z424" s="11"/>
      <c r="AA424" s="11"/>
      <c r="AB424" s="38"/>
      <c r="AC424" s="38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</row>
    <row r="425" spans="1:61" ht="1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38"/>
      <c r="Y425" s="11"/>
      <c r="Z425" s="11"/>
      <c r="AA425" s="11"/>
      <c r="AB425" s="38"/>
      <c r="AC425" s="38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</row>
    <row r="426" spans="1:61" ht="1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38"/>
      <c r="Y426" s="11"/>
      <c r="Z426" s="11"/>
      <c r="AA426" s="11"/>
      <c r="AB426" s="38"/>
      <c r="AC426" s="38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</row>
    <row r="427" spans="1:61" ht="1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38"/>
      <c r="Y427" s="11"/>
      <c r="Z427" s="11"/>
      <c r="AA427" s="11"/>
      <c r="AB427" s="38"/>
      <c r="AC427" s="38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</row>
    <row r="428" spans="1:61" ht="1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38"/>
      <c r="Y428" s="11"/>
      <c r="Z428" s="11"/>
      <c r="AA428" s="11"/>
      <c r="AB428" s="38"/>
      <c r="AC428" s="38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</row>
    <row r="429" spans="1:61" ht="1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38"/>
      <c r="Y429" s="11"/>
      <c r="Z429" s="11"/>
      <c r="AA429" s="11"/>
      <c r="AB429" s="38"/>
      <c r="AC429" s="38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</row>
    <row r="430" spans="1:61" ht="1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38"/>
      <c r="Y430" s="11"/>
      <c r="Z430" s="11"/>
      <c r="AA430" s="11"/>
      <c r="AB430" s="38"/>
      <c r="AC430" s="38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</row>
    <row r="431" spans="1:61" ht="1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38"/>
      <c r="Y431" s="11"/>
      <c r="Z431" s="11"/>
      <c r="AA431" s="11"/>
      <c r="AB431" s="38"/>
      <c r="AC431" s="38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</row>
    <row r="432" spans="1:61" ht="1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38"/>
      <c r="Y432" s="11"/>
      <c r="Z432" s="11"/>
      <c r="AA432" s="11"/>
      <c r="AB432" s="38"/>
      <c r="AC432" s="38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</row>
    <row r="433" spans="1:61" ht="1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38"/>
      <c r="Y433" s="11"/>
      <c r="Z433" s="11"/>
      <c r="AA433" s="11"/>
      <c r="AB433" s="38"/>
      <c r="AC433" s="38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</row>
    <row r="434" spans="1:61" ht="1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38"/>
      <c r="Y434" s="11"/>
      <c r="Z434" s="11"/>
      <c r="AA434" s="11"/>
      <c r="AB434" s="38"/>
      <c r="AC434" s="38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</row>
    <row r="435" spans="1:61" ht="1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38"/>
      <c r="Y435" s="11"/>
      <c r="Z435" s="11"/>
      <c r="AA435" s="11"/>
      <c r="AB435" s="38"/>
      <c r="AC435" s="38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</row>
    <row r="436" spans="1:61" ht="1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38"/>
      <c r="Y436" s="11"/>
      <c r="Z436" s="11"/>
      <c r="AA436" s="11"/>
      <c r="AB436" s="38"/>
      <c r="AC436" s="38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</row>
    <row r="437" spans="1:61" ht="1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38"/>
      <c r="Y437" s="11"/>
      <c r="Z437" s="11"/>
      <c r="AA437" s="11"/>
      <c r="AB437" s="38"/>
      <c r="AC437" s="38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</row>
    <row r="438" spans="1:61" ht="1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38"/>
      <c r="Y438" s="11"/>
      <c r="Z438" s="11"/>
      <c r="AA438" s="11"/>
      <c r="AB438" s="38"/>
      <c r="AC438" s="38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</row>
    <row r="439" spans="1:61" ht="1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38"/>
      <c r="Y439" s="11"/>
      <c r="Z439" s="11"/>
      <c r="AA439" s="11"/>
      <c r="AB439" s="38"/>
      <c r="AC439" s="38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</row>
    <row r="440" spans="1:61" ht="1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38"/>
      <c r="Y440" s="11"/>
      <c r="Z440" s="11"/>
      <c r="AA440" s="11"/>
      <c r="AB440" s="38"/>
      <c r="AC440" s="38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</row>
    <row r="441" spans="1:61" ht="1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38"/>
      <c r="Y441" s="11"/>
      <c r="Z441" s="11"/>
      <c r="AA441" s="11"/>
      <c r="AB441" s="38"/>
      <c r="AC441" s="38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</row>
    <row r="442" spans="1:61" ht="1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38"/>
      <c r="Y442" s="11"/>
      <c r="Z442" s="11"/>
      <c r="AA442" s="11"/>
      <c r="AB442" s="38"/>
      <c r="AC442" s="38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</row>
    <row r="443" spans="1:61" ht="1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38"/>
      <c r="Y443" s="11"/>
      <c r="Z443" s="11"/>
      <c r="AA443" s="11"/>
      <c r="AB443" s="38"/>
      <c r="AC443" s="38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</row>
    <row r="444" spans="1:61" ht="1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38"/>
      <c r="Y444" s="11"/>
      <c r="Z444" s="11"/>
      <c r="AA444" s="11"/>
      <c r="AB444" s="38"/>
      <c r="AC444" s="38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</row>
    <row r="445" spans="1:61" ht="1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38"/>
      <c r="Y445" s="11"/>
      <c r="Z445" s="11"/>
      <c r="AA445" s="11"/>
      <c r="AB445" s="38"/>
      <c r="AC445" s="38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</row>
    <row r="446" spans="1:61" ht="1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38"/>
      <c r="Y446" s="11"/>
      <c r="Z446" s="11"/>
      <c r="AA446" s="11"/>
      <c r="AB446" s="38"/>
      <c r="AC446" s="38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</row>
    <row r="447" spans="1:61" ht="1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38"/>
      <c r="Y447" s="11"/>
      <c r="Z447" s="11"/>
      <c r="AA447" s="11"/>
      <c r="AB447" s="38"/>
      <c r="AC447" s="38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</row>
    <row r="448" spans="1:61" ht="1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38"/>
      <c r="Y448" s="11"/>
      <c r="Z448" s="11"/>
      <c r="AA448" s="11"/>
      <c r="AB448" s="38"/>
      <c r="AC448" s="38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</row>
    <row r="449" spans="1:61" ht="1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38"/>
      <c r="Y449" s="11"/>
      <c r="Z449" s="11"/>
      <c r="AA449" s="11"/>
      <c r="AB449" s="38"/>
      <c r="AC449" s="38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</row>
    <row r="450" spans="1:61" ht="1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38"/>
      <c r="Y450" s="11"/>
      <c r="Z450" s="11"/>
      <c r="AA450" s="11"/>
      <c r="AB450" s="38"/>
      <c r="AC450" s="38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</row>
    <row r="451" spans="1:61" ht="1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38"/>
      <c r="Y451" s="11"/>
      <c r="Z451" s="11"/>
      <c r="AA451" s="11"/>
      <c r="AB451" s="38"/>
      <c r="AC451" s="38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</row>
    <row r="452" spans="1:61" ht="1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38"/>
      <c r="Y452" s="11"/>
      <c r="Z452" s="11"/>
      <c r="AA452" s="11"/>
      <c r="AB452" s="38"/>
      <c r="AC452" s="38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</row>
    <row r="453" spans="1:61" ht="1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38"/>
      <c r="Y453" s="11"/>
      <c r="Z453" s="11"/>
      <c r="AA453" s="11"/>
      <c r="AB453" s="38"/>
      <c r="AC453" s="38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</row>
    <row r="454" spans="1:61" ht="1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38"/>
      <c r="Y454" s="11"/>
      <c r="Z454" s="11"/>
      <c r="AA454" s="11"/>
      <c r="AB454" s="38"/>
      <c r="AC454" s="38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</row>
    <row r="455" spans="1:61" ht="1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38"/>
      <c r="Y455" s="11"/>
      <c r="Z455" s="11"/>
      <c r="AA455" s="11"/>
      <c r="AB455" s="38"/>
      <c r="AC455" s="38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</row>
    <row r="456" spans="1:61" ht="1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38"/>
      <c r="Y456" s="11"/>
      <c r="Z456" s="11"/>
      <c r="AA456" s="11"/>
      <c r="AB456" s="38"/>
      <c r="AC456" s="38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</row>
    <row r="457" spans="1:61" ht="1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38"/>
      <c r="Y457" s="11"/>
      <c r="Z457" s="11"/>
      <c r="AA457" s="11"/>
      <c r="AB457" s="38"/>
      <c r="AC457" s="38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</row>
    <row r="458" spans="1:61" ht="1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38"/>
      <c r="Y458" s="11"/>
      <c r="Z458" s="11"/>
      <c r="AA458" s="11"/>
      <c r="AB458" s="38"/>
      <c r="AC458" s="38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</row>
    <row r="459" spans="1:61" ht="1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38"/>
      <c r="Y459" s="11"/>
      <c r="Z459" s="11"/>
      <c r="AA459" s="11"/>
      <c r="AB459" s="38"/>
      <c r="AC459" s="38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</row>
    <row r="460" spans="1:61" ht="1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38"/>
      <c r="Y460" s="11"/>
      <c r="Z460" s="11"/>
      <c r="AA460" s="11"/>
      <c r="AB460" s="38"/>
      <c r="AC460" s="38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</row>
    <row r="461" spans="1:61" ht="1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38"/>
      <c r="Y461" s="11"/>
      <c r="Z461" s="11"/>
      <c r="AA461" s="11"/>
      <c r="AB461" s="38"/>
      <c r="AC461" s="38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</row>
    <row r="462" spans="1:61" ht="1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38"/>
      <c r="Y462" s="11"/>
      <c r="Z462" s="11"/>
      <c r="AA462" s="11"/>
      <c r="AB462" s="38"/>
      <c r="AC462" s="38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</row>
    <row r="463" spans="1:61" ht="1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38"/>
      <c r="Y463" s="11"/>
      <c r="Z463" s="11"/>
      <c r="AA463" s="11"/>
      <c r="AB463" s="38"/>
      <c r="AC463" s="38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</row>
    <row r="464" spans="1:61" ht="1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38"/>
      <c r="Y464" s="11"/>
      <c r="Z464" s="11"/>
      <c r="AA464" s="11"/>
      <c r="AB464" s="38"/>
      <c r="AC464" s="38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</row>
    <row r="465" spans="1:61" ht="1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38"/>
      <c r="Y465" s="11"/>
      <c r="Z465" s="11"/>
      <c r="AA465" s="11"/>
      <c r="AB465" s="38"/>
      <c r="AC465" s="38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</row>
    <row r="466" spans="1:61" ht="1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38"/>
      <c r="Y466" s="11"/>
      <c r="Z466" s="11"/>
      <c r="AA466" s="11"/>
      <c r="AB466" s="38"/>
      <c r="AC466" s="38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</row>
    <row r="467" spans="1:61" ht="1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38"/>
      <c r="Y467" s="11"/>
      <c r="Z467" s="11"/>
      <c r="AA467" s="11"/>
      <c r="AB467" s="38"/>
      <c r="AC467" s="38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</row>
    <row r="468" spans="1:61" ht="1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38"/>
      <c r="Y468" s="11"/>
      <c r="Z468" s="11"/>
      <c r="AA468" s="11"/>
      <c r="AB468" s="38"/>
      <c r="AC468" s="38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</row>
    <row r="469" spans="1:61" ht="1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38"/>
      <c r="Y469" s="11"/>
      <c r="Z469" s="11"/>
      <c r="AA469" s="11"/>
      <c r="AB469" s="38"/>
      <c r="AC469" s="38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</row>
    <row r="470" spans="1:61" ht="1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38"/>
      <c r="Y470" s="11"/>
      <c r="Z470" s="11"/>
      <c r="AA470" s="11"/>
      <c r="AB470" s="38"/>
      <c r="AC470" s="38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</row>
    <row r="471" spans="1:61" ht="1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38"/>
      <c r="Y471" s="11"/>
      <c r="Z471" s="11"/>
      <c r="AA471" s="11"/>
      <c r="AB471" s="38"/>
      <c r="AC471" s="38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</row>
    <row r="472" spans="1:61" ht="1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38"/>
      <c r="Y472" s="11"/>
      <c r="Z472" s="11"/>
      <c r="AA472" s="11"/>
      <c r="AB472" s="38"/>
      <c r="AC472" s="38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</row>
    <row r="473" spans="1:61" ht="1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38"/>
      <c r="Y473" s="11"/>
      <c r="Z473" s="11"/>
      <c r="AA473" s="11"/>
      <c r="AB473" s="38"/>
      <c r="AC473" s="38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</row>
    <row r="474" spans="1:61" ht="1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38"/>
      <c r="Y474" s="11"/>
      <c r="Z474" s="11"/>
      <c r="AA474" s="11"/>
      <c r="AB474" s="38"/>
      <c r="AC474" s="38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</row>
    <row r="475" spans="1:61" ht="1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38"/>
      <c r="Y475" s="11"/>
      <c r="Z475" s="11"/>
      <c r="AA475" s="11"/>
      <c r="AB475" s="38"/>
      <c r="AC475" s="38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</row>
    <row r="476" spans="1:61" ht="1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38"/>
      <c r="Y476" s="11"/>
      <c r="Z476" s="11"/>
      <c r="AA476" s="11"/>
      <c r="AB476" s="38"/>
      <c r="AC476" s="38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</row>
    <row r="477" spans="1:61" ht="1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38"/>
      <c r="Y477" s="11"/>
      <c r="Z477" s="11"/>
      <c r="AA477" s="11"/>
      <c r="AB477" s="38"/>
      <c r="AC477" s="38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</row>
    <row r="478" spans="1:61" ht="1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38"/>
      <c r="Y478" s="11"/>
      <c r="Z478" s="11"/>
      <c r="AA478" s="11"/>
      <c r="AB478" s="38"/>
      <c r="AC478" s="38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</row>
    <row r="479" spans="1:61" ht="1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38"/>
      <c r="Y479" s="11"/>
      <c r="Z479" s="11"/>
      <c r="AA479" s="11"/>
      <c r="AB479" s="38"/>
      <c r="AC479" s="38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</row>
    <row r="480" spans="1:61" ht="1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38"/>
      <c r="Y480" s="11"/>
      <c r="Z480" s="11"/>
      <c r="AA480" s="11"/>
      <c r="AB480" s="38"/>
      <c r="AC480" s="38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</row>
    <row r="481" spans="1:61" ht="1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38"/>
      <c r="Y481" s="11"/>
      <c r="Z481" s="11"/>
      <c r="AA481" s="11"/>
      <c r="AB481" s="38"/>
      <c r="AC481" s="38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</row>
    <row r="482" spans="1:61" ht="1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38"/>
      <c r="Y482" s="11"/>
      <c r="Z482" s="11"/>
      <c r="AA482" s="11"/>
      <c r="AB482" s="38"/>
      <c r="AC482" s="38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</row>
    <row r="483" spans="1:61" ht="1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38"/>
      <c r="Y483" s="11"/>
      <c r="Z483" s="11"/>
      <c r="AA483" s="11"/>
      <c r="AB483" s="38"/>
      <c r="AC483" s="38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</row>
    <row r="484" spans="1:61" ht="1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38"/>
      <c r="Y484" s="11"/>
      <c r="Z484" s="11"/>
      <c r="AA484" s="11"/>
      <c r="AB484" s="38"/>
      <c r="AC484" s="38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</row>
    <row r="485" spans="1:61" ht="1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38"/>
      <c r="Y485" s="11"/>
      <c r="Z485" s="11"/>
      <c r="AA485" s="11"/>
      <c r="AB485" s="38"/>
      <c r="AC485" s="38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</row>
    <row r="486" spans="1:61" ht="1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38"/>
      <c r="Y486" s="11"/>
      <c r="Z486" s="11"/>
      <c r="AA486" s="11"/>
      <c r="AB486" s="38"/>
      <c r="AC486" s="38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</row>
    <row r="487" spans="1:61" ht="1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38"/>
      <c r="Y487" s="11"/>
      <c r="Z487" s="11"/>
      <c r="AA487" s="11"/>
      <c r="AB487" s="38"/>
      <c r="AC487" s="38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</row>
    <row r="488" spans="1:61" ht="1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38"/>
      <c r="Y488" s="11"/>
      <c r="Z488" s="11"/>
      <c r="AA488" s="11"/>
      <c r="AB488" s="38"/>
      <c r="AC488" s="38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</row>
    <row r="489" spans="1:61" ht="1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38"/>
      <c r="Y489" s="11"/>
      <c r="Z489" s="11"/>
      <c r="AA489" s="11"/>
      <c r="AB489" s="38"/>
      <c r="AC489" s="38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</row>
    <row r="490" spans="1:61" ht="1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38"/>
      <c r="Y490" s="11"/>
      <c r="Z490" s="11"/>
      <c r="AA490" s="11"/>
      <c r="AB490" s="38"/>
      <c r="AC490" s="38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</row>
    <row r="491" spans="1:61" ht="1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38"/>
      <c r="Y491" s="11"/>
      <c r="Z491" s="11"/>
      <c r="AA491" s="11"/>
      <c r="AB491" s="38"/>
      <c r="AC491" s="38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</row>
    <row r="492" spans="1:61" ht="1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38"/>
      <c r="Y492" s="11"/>
      <c r="Z492" s="11"/>
      <c r="AA492" s="11"/>
      <c r="AB492" s="38"/>
      <c r="AC492" s="38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</row>
    <row r="493" spans="1:61" ht="1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38"/>
      <c r="Y493" s="11"/>
      <c r="Z493" s="11"/>
      <c r="AA493" s="11"/>
      <c r="AB493" s="38"/>
      <c r="AC493" s="38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</row>
    <row r="494" spans="1:61" ht="1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38"/>
      <c r="Y494" s="11"/>
      <c r="Z494" s="11"/>
      <c r="AA494" s="11"/>
      <c r="AB494" s="38"/>
      <c r="AC494" s="38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</row>
    <row r="495" spans="1:61" ht="1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38"/>
      <c r="Y495" s="11"/>
      <c r="Z495" s="11"/>
      <c r="AA495" s="11"/>
      <c r="AB495" s="38"/>
      <c r="AC495" s="38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</row>
    <row r="496" spans="1:61" ht="1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38"/>
      <c r="Y496" s="11"/>
      <c r="Z496" s="11"/>
      <c r="AA496" s="11"/>
      <c r="AB496" s="38"/>
      <c r="AC496" s="38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</row>
    <row r="497" spans="1:61" ht="1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38"/>
      <c r="Y497" s="11"/>
      <c r="Z497" s="11"/>
      <c r="AA497" s="11"/>
      <c r="AB497" s="38"/>
      <c r="AC497" s="38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</row>
    <row r="498" spans="1:61" ht="1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38"/>
      <c r="Y498" s="11"/>
      <c r="Z498" s="11"/>
      <c r="AA498" s="11"/>
      <c r="AB498" s="38"/>
      <c r="AC498" s="38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</row>
    <row r="499" spans="1:61" ht="1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38"/>
      <c r="Y499" s="11"/>
      <c r="Z499" s="11"/>
      <c r="AA499" s="11"/>
      <c r="AB499" s="38"/>
      <c r="AC499" s="38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</row>
    <row r="500" spans="1:61" ht="1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38"/>
      <c r="Y500" s="11"/>
      <c r="Z500" s="11"/>
      <c r="AA500" s="11"/>
      <c r="AB500" s="38"/>
      <c r="AC500" s="38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</row>
    <row r="501" spans="1:61" ht="1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38"/>
      <c r="Y501" s="11"/>
      <c r="Z501" s="11"/>
      <c r="AA501" s="11"/>
      <c r="AB501" s="38"/>
      <c r="AC501" s="38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</row>
    <row r="502" spans="1:61" ht="1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38"/>
      <c r="Y502" s="11"/>
      <c r="Z502" s="11"/>
      <c r="AA502" s="11"/>
      <c r="AB502" s="38"/>
      <c r="AC502" s="38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</row>
    <row r="503" spans="1:61" ht="1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38"/>
      <c r="Y503" s="11"/>
      <c r="Z503" s="11"/>
      <c r="AA503" s="11"/>
      <c r="AB503" s="38"/>
      <c r="AC503" s="38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</row>
    <row r="504" spans="1:61" ht="1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38"/>
      <c r="Y504" s="11"/>
      <c r="Z504" s="11"/>
      <c r="AA504" s="11"/>
      <c r="AB504" s="38"/>
      <c r="AC504" s="38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</row>
    <row r="505" spans="1:61" ht="1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38"/>
      <c r="Y505" s="11"/>
      <c r="Z505" s="11"/>
      <c r="AA505" s="11"/>
      <c r="AB505" s="38"/>
      <c r="AC505" s="38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</row>
    <row r="506" spans="1:61" ht="1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38"/>
      <c r="Y506" s="11"/>
      <c r="Z506" s="11"/>
      <c r="AA506" s="11"/>
      <c r="AB506" s="38"/>
      <c r="AC506" s="38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</row>
    <row r="507" spans="1:61" ht="1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38"/>
      <c r="Y507" s="11"/>
      <c r="Z507" s="11"/>
      <c r="AA507" s="11"/>
      <c r="AB507" s="38"/>
      <c r="AC507" s="38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</row>
    <row r="508" spans="1:61" ht="1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38"/>
      <c r="Y508" s="11"/>
      <c r="Z508" s="11"/>
      <c r="AA508" s="11"/>
      <c r="AB508" s="38"/>
      <c r="AC508" s="38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</row>
    <row r="509" spans="1:61" ht="1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38"/>
      <c r="Y509" s="11"/>
      <c r="Z509" s="11"/>
      <c r="AA509" s="11"/>
      <c r="AB509" s="38"/>
      <c r="AC509" s="38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</row>
    <row r="510" spans="1:61" ht="1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38"/>
      <c r="Y510" s="11"/>
      <c r="Z510" s="11"/>
      <c r="AA510" s="11"/>
      <c r="AB510" s="38"/>
      <c r="AC510" s="38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</row>
    <row r="511" spans="1:61" ht="1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38"/>
      <c r="Y511" s="11"/>
      <c r="Z511" s="11"/>
      <c r="AA511" s="11"/>
      <c r="AB511" s="38"/>
      <c r="AC511" s="38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</row>
    <row r="512" spans="1:61" ht="1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38"/>
      <c r="Y512" s="11"/>
      <c r="Z512" s="11"/>
      <c r="AA512" s="11"/>
      <c r="AB512" s="38"/>
      <c r="AC512" s="38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</row>
    <row r="513" spans="1:61" ht="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38"/>
      <c r="Y513" s="11"/>
      <c r="Z513" s="11"/>
      <c r="AA513" s="11"/>
      <c r="AB513" s="38"/>
      <c r="AC513" s="38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</row>
    <row r="514" spans="1:61" ht="1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38"/>
      <c r="Y514" s="11"/>
      <c r="Z514" s="11"/>
      <c r="AA514" s="11"/>
      <c r="AB514" s="38"/>
      <c r="AC514" s="38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</row>
    <row r="515" spans="1:61" ht="1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38"/>
      <c r="Y515" s="11"/>
      <c r="Z515" s="11"/>
      <c r="AA515" s="11"/>
      <c r="AB515" s="38"/>
      <c r="AC515" s="38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</row>
    <row r="516" spans="1:61" ht="1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38"/>
      <c r="Y516" s="11"/>
      <c r="Z516" s="11"/>
      <c r="AA516" s="11"/>
      <c r="AB516" s="38"/>
      <c r="AC516" s="38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</row>
    <row r="517" spans="1:61" ht="1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38"/>
      <c r="Y517" s="11"/>
      <c r="Z517" s="11"/>
      <c r="AA517" s="11"/>
      <c r="AB517" s="38"/>
      <c r="AC517" s="38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</row>
    <row r="518" spans="1:61" ht="1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38"/>
      <c r="Y518" s="11"/>
      <c r="Z518" s="11"/>
      <c r="AA518" s="11"/>
      <c r="AB518" s="38"/>
      <c r="AC518" s="38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</row>
    <row r="519" spans="1:61" ht="1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38"/>
      <c r="Y519" s="11"/>
      <c r="Z519" s="11"/>
      <c r="AA519" s="11"/>
      <c r="AB519" s="38"/>
      <c r="AC519" s="38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</row>
    <row r="520" spans="1:61" ht="1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38"/>
      <c r="Y520" s="11"/>
      <c r="Z520" s="11"/>
      <c r="AA520" s="11"/>
      <c r="AB520" s="38"/>
      <c r="AC520" s="38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</row>
    <row r="521" spans="1:61" ht="1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38"/>
      <c r="Y521" s="11"/>
      <c r="Z521" s="11"/>
      <c r="AA521" s="11"/>
      <c r="AB521" s="38"/>
      <c r="AC521" s="38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</row>
    <row r="522" spans="1:61" ht="1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38"/>
      <c r="Y522" s="11"/>
      <c r="Z522" s="11"/>
      <c r="AA522" s="11"/>
      <c r="AB522" s="38"/>
      <c r="AC522" s="38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</row>
    <row r="523" spans="1:61" ht="1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38"/>
      <c r="Y523" s="11"/>
      <c r="Z523" s="11"/>
      <c r="AA523" s="11"/>
      <c r="AB523" s="38"/>
      <c r="AC523" s="38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</row>
    <row r="524" spans="1:61" ht="1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38"/>
      <c r="Y524" s="11"/>
      <c r="Z524" s="11"/>
      <c r="AA524" s="11"/>
      <c r="AB524" s="38"/>
      <c r="AC524" s="38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</row>
    <row r="525" spans="1:61" ht="1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38"/>
      <c r="Y525" s="11"/>
      <c r="Z525" s="11"/>
      <c r="AA525" s="11"/>
      <c r="AB525" s="38"/>
      <c r="AC525" s="38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</row>
    <row r="526" spans="1:61" ht="1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38"/>
      <c r="Y526" s="11"/>
      <c r="Z526" s="11"/>
      <c r="AA526" s="11"/>
      <c r="AB526" s="38"/>
      <c r="AC526" s="38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</row>
    <row r="527" spans="1:61" ht="1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38"/>
      <c r="Y527" s="11"/>
      <c r="Z527" s="11"/>
      <c r="AA527" s="11"/>
      <c r="AB527" s="38"/>
      <c r="AC527" s="38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</row>
    <row r="528" spans="1:61" ht="1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38"/>
      <c r="Y528" s="11"/>
      <c r="Z528" s="11"/>
      <c r="AA528" s="11"/>
      <c r="AB528" s="38"/>
      <c r="AC528" s="38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</row>
    <row r="529" spans="1:61" ht="1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38"/>
      <c r="Y529" s="11"/>
      <c r="Z529" s="11"/>
      <c r="AA529" s="11"/>
      <c r="AB529" s="38"/>
      <c r="AC529" s="38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</row>
    <row r="530" spans="1:61" ht="1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38"/>
      <c r="Y530" s="11"/>
      <c r="Z530" s="11"/>
      <c r="AA530" s="11"/>
      <c r="AB530" s="38"/>
      <c r="AC530" s="38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</row>
    <row r="531" spans="1:61" ht="1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38"/>
      <c r="Y531" s="11"/>
      <c r="Z531" s="11"/>
      <c r="AA531" s="11"/>
      <c r="AB531" s="38"/>
      <c r="AC531" s="38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</row>
    <row r="532" spans="1:61" ht="1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38"/>
      <c r="Y532" s="11"/>
      <c r="Z532" s="11"/>
      <c r="AA532" s="11"/>
      <c r="AB532" s="38"/>
      <c r="AC532" s="38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</row>
    <row r="533" spans="1:61" ht="1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38"/>
      <c r="Y533" s="11"/>
      <c r="Z533" s="11"/>
      <c r="AA533" s="11"/>
      <c r="AB533" s="38"/>
      <c r="AC533" s="38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</row>
    <row r="534" spans="1:61" ht="1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38"/>
      <c r="Y534" s="11"/>
      <c r="Z534" s="11"/>
      <c r="AA534" s="11"/>
      <c r="AB534" s="38"/>
      <c r="AC534" s="38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</row>
    <row r="535" spans="1:61" ht="1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38"/>
      <c r="Y535" s="11"/>
      <c r="Z535" s="11"/>
      <c r="AA535" s="11"/>
      <c r="AB535" s="38"/>
      <c r="AC535" s="38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</row>
    <row r="536" spans="1:61" ht="1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38"/>
      <c r="Y536" s="11"/>
      <c r="Z536" s="11"/>
      <c r="AA536" s="11"/>
      <c r="AB536" s="38"/>
      <c r="AC536" s="38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</row>
    <row r="537" spans="1:61" ht="1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38"/>
      <c r="Y537" s="11"/>
      <c r="Z537" s="11"/>
      <c r="AA537" s="11"/>
      <c r="AB537" s="38"/>
      <c r="AC537" s="38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</row>
    <row r="538" spans="1:61" ht="1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38"/>
      <c r="Y538" s="11"/>
      <c r="Z538" s="11"/>
      <c r="AA538" s="11"/>
      <c r="AB538" s="38"/>
      <c r="AC538" s="38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</row>
    <row r="539" spans="1:61" ht="1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38"/>
      <c r="Y539" s="11"/>
      <c r="Z539" s="11"/>
      <c r="AA539" s="11"/>
      <c r="AB539" s="38"/>
      <c r="AC539" s="38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</row>
    <row r="540" spans="1:61" ht="1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38"/>
      <c r="Y540" s="11"/>
      <c r="Z540" s="11"/>
      <c r="AA540" s="11"/>
      <c r="AB540" s="38"/>
      <c r="AC540" s="38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</row>
    <row r="541" spans="1:61" ht="1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38"/>
      <c r="Y541" s="11"/>
      <c r="Z541" s="11"/>
      <c r="AA541" s="11"/>
      <c r="AB541" s="38"/>
      <c r="AC541" s="38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</row>
    <row r="542" spans="1:61" ht="1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38"/>
      <c r="Y542" s="11"/>
      <c r="Z542" s="11"/>
      <c r="AA542" s="11"/>
      <c r="AB542" s="38"/>
      <c r="AC542" s="38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</row>
    <row r="543" spans="1:61" ht="1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38"/>
      <c r="Y543" s="11"/>
      <c r="Z543" s="11"/>
      <c r="AA543" s="11"/>
      <c r="AB543" s="38"/>
      <c r="AC543" s="38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</row>
    <row r="544" spans="1:61" ht="1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38"/>
      <c r="Y544" s="11"/>
      <c r="Z544" s="11"/>
      <c r="AA544" s="11"/>
      <c r="AB544" s="38"/>
      <c r="AC544" s="38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</row>
    <row r="545" spans="1:61" ht="1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38"/>
      <c r="Y545" s="11"/>
      <c r="Z545" s="11"/>
      <c r="AA545" s="11"/>
      <c r="AB545" s="38"/>
      <c r="AC545" s="38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</row>
    <row r="546" spans="1:61" ht="1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38"/>
      <c r="Y546" s="11"/>
      <c r="Z546" s="11"/>
      <c r="AA546" s="11"/>
      <c r="AB546" s="38"/>
      <c r="AC546" s="38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</row>
    <row r="547" spans="1:61" ht="1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38"/>
      <c r="Y547" s="11"/>
      <c r="Z547" s="11"/>
      <c r="AA547" s="11"/>
      <c r="AB547" s="38"/>
      <c r="AC547" s="38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</row>
    <row r="548" spans="1:61" ht="1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38"/>
      <c r="Y548" s="11"/>
      <c r="Z548" s="11"/>
      <c r="AA548" s="11"/>
      <c r="AB548" s="38"/>
      <c r="AC548" s="38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</row>
    <row r="549" spans="1:61" ht="1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38"/>
      <c r="Y549" s="11"/>
      <c r="Z549" s="11"/>
      <c r="AA549" s="11"/>
      <c r="AB549" s="38"/>
      <c r="AC549" s="38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</row>
    <row r="550" spans="1:61" ht="1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38"/>
      <c r="Y550" s="11"/>
      <c r="Z550" s="11"/>
      <c r="AA550" s="11"/>
      <c r="AB550" s="38"/>
      <c r="AC550" s="38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</row>
    <row r="551" spans="1:61" ht="1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38"/>
      <c r="Y551" s="11"/>
      <c r="Z551" s="11"/>
      <c r="AA551" s="11"/>
      <c r="AB551" s="38"/>
      <c r="AC551" s="38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</row>
    <row r="552" spans="1:61" ht="1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38"/>
      <c r="Y552" s="11"/>
      <c r="Z552" s="11"/>
      <c r="AA552" s="11"/>
      <c r="AB552" s="38"/>
      <c r="AC552" s="38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</row>
    <row r="553" spans="1:61" ht="1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38"/>
      <c r="Y553" s="11"/>
      <c r="Z553" s="11"/>
      <c r="AA553" s="11"/>
      <c r="AB553" s="38"/>
      <c r="AC553" s="38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</row>
    <row r="554" spans="1:61" ht="1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38"/>
      <c r="Y554" s="11"/>
      <c r="Z554" s="11"/>
      <c r="AA554" s="11"/>
      <c r="AB554" s="38"/>
      <c r="AC554" s="38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</row>
    <row r="555" spans="1:61" ht="1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38"/>
      <c r="Y555" s="11"/>
      <c r="Z555" s="11"/>
      <c r="AA555" s="11"/>
      <c r="AB555" s="38"/>
      <c r="AC555" s="38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</row>
    <row r="556" spans="1:61" ht="1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38"/>
      <c r="Y556" s="11"/>
      <c r="Z556" s="11"/>
      <c r="AA556" s="11"/>
      <c r="AB556" s="38"/>
      <c r="AC556" s="38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</row>
    <row r="557" spans="1:61" ht="1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38"/>
      <c r="Y557" s="11"/>
      <c r="Z557" s="11"/>
      <c r="AA557" s="11"/>
      <c r="AB557" s="38"/>
      <c r="AC557" s="38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</row>
    <row r="558" spans="1:61" ht="1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38"/>
      <c r="Y558" s="11"/>
      <c r="Z558" s="11"/>
      <c r="AA558" s="11"/>
      <c r="AB558" s="38"/>
      <c r="AC558" s="38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</row>
    <row r="559" spans="1:61" ht="1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38"/>
      <c r="Y559" s="11"/>
      <c r="Z559" s="11"/>
      <c r="AA559" s="11"/>
      <c r="AB559" s="38"/>
      <c r="AC559" s="38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</row>
    <row r="560" spans="1:61" ht="1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38"/>
      <c r="Y560" s="11"/>
      <c r="Z560" s="11"/>
      <c r="AA560" s="11"/>
      <c r="AB560" s="38"/>
      <c r="AC560" s="38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</row>
    <row r="561" spans="1:61" ht="1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38"/>
      <c r="Y561" s="11"/>
      <c r="Z561" s="11"/>
      <c r="AA561" s="11"/>
      <c r="AB561" s="38"/>
      <c r="AC561" s="38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</row>
    <row r="562" spans="1:61" ht="1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38"/>
      <c r="Y562" s="11"/>
      <c r="Z562" s="11"/>
      <c r="AA562" s="11"/>
      <c r="AB562" s="38"/>
      <c r="AC562" s="38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</row>
    <row r="563" spans="1:61" ht="1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38"/>
      <c r="Y563" s="11"/>
      <c r="Z563" s="11"/>
      <c r="AA563" s="11"/>
      <c r="AB563" s="38"/>
      <c r="AC563" s="38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</row>
    <row r="564" spans="1:61" ht="1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38"/>
      <c r="Y564" s="11"/>
      <c r="Z564" s="11"/>
      <c r="AA564" s="11"/>
      <c r="AB564" s="38"/>
      <c r="AC564" s="38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</row>
    <row r="565" spans="1:61" ht="1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38"/>
      <c r="Y565" s="11"/>
      <c r="Z565" s="11"/>
      <c r="AA565" s="11"/>
      <c r="AB565" s="38"/>
      <c r="AC565" s="38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</row>
    <row r="566" spans="1:61" ht="1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38"/>
      <c r="Y566" s="11"/>
      <c r="Z566" s="11"/>
      <c r="AA566" s="11"/>
      <c r="AB566" s="38"/>
      <c r="AC566" s="38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</row>
    <row r="567" spans="1:61" ht="1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38"/>
      <c r="Y567" s="11"/>
      <c r="Z567" s="11"/>
      <c r="AA567" s="11"/>
      <c r="AB567" s="38"/>
      <c r="AC567" s="38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</row>
    <row r="568" spans="1:61" ht="1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38"/>
      <c r="Y568" s="11"/>
      <c r="Z568" s="11"/>
      <c r="AA568" s="11"/>
      <c r="AB568" s="38"/>
      <c r="AC568" s="38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</row>
    <row r="569" spans="1:61" ht="1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38"/>
      <c r="Y569" s="11"/>
      <c r="Z569" s="11"/>
      <c r="AA569" s="11"/>
      <c r="AB569" s="38"/>
      <c r="AC569" s="38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</row>
    <row r="570" spans="1:61" ht="1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38"/>
      <c r="Y570" s="11"/>
      <c r="Z570" s="11"/>
      <c r="AA570" s="11"/>
      <c r="AB570" s="38"/>
      <c r="AC570" s="38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</row>
    <row r="571" spans="1:61" ht="1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38"/>
      <c r="Y571" s="11"/>
      <c r="Z571" s="11"/>
      <c r="AA571" s="11"/>
      <c r="AB571" s="38"/>
      <c r="AC571" s="38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</row>
    <row r="572" spans="1:61" ht="1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38"/>
      <c r="Y572" s="11"/>
      <c r="Z572" s="11"/>
      <c r="AA572" s="11"/>
      <c r="AB572" s="38"/>
      <c r="AC572" s="38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</row>
    <row r="573" spans="1:61" ht="1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38"/>
      <c r="Y573" s="11"/>
      <c r="Z573" s="11"/>
      <c r="AA573" s="11"/>
      <c r="AB573" s="38"/>
      <c r="AC573" s="38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</row>
    <row r="574" spans="1:61" ht="1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38"/>
      <c r="Y574" s="11"/>
      <c r="Z574" s="11"/>
      <c r="AA574" s="11"/>
      <c r="AB574" s="38"/>
      <c r="AC574" s="38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</row>
    <row r="575" spans="1:61" ht="1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38"/>
      <c r="Y575" s="11"/>
      <c r="Z575" s="11"/>
      <c r="AA575" s="11"/>
      <c r="AB575" s="38"/>
      <c r="AC575" s="38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</row>
    <row r="576" spans="1:61" ht="1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38"/>
      <c r="Y576" s="11"/>
      <c r="Z576" s="11"/>
      <c r="AA576" s="11"/>
      <c r="AB576" s="38"/>
      <c r="AC576" s="38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</row>
    <row r="577" spans="1:61" ht="1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38"/>
      <c r="Y577" s="11"/>
      <c r="Z577" s="11"/>
      <c r="AA577" s="11"/>
      <c r="AB577" s="38"/>
      <c r="AC577" s="38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</row>
    <row r="578" spans="1:61" ht="1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38"/>
      <c r="Y578" s="11"/>
      <c r="Z578" s="11"/>
      <c r="AA578" s="11"/>
      <c r="AB578" s="38"/>
      <c r="AC578" s="38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</row>
    <row r="579" spans="1:61" ht="1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38"/>
      <c r="Y579" s="11"/>
      <c r="Z579" s="11"/>
      <c r="AA579" s="11"/>
      <c r="AB579" s="38"/>
      <c r="AC579" s="38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</row>
    <row r="580" spans="1:61" ht="1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38"/>
      <c r="Y580" s="11"/>
      <c r="Z580" s="11"/>
      <c r="AA580" s="11"/>
      <c r="AB580" s="38"/>
      <c r="AC580" s="38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</row>
    <row r="581" spans="1:61" ht="1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38"/>
      <c r="Y581" s="11"/>
      <c r="Z581" s="11"/>
      <c r="AA581" s="11"/>
      <c r="AB581" s="38"/>
      <c r="AC581" s="38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</row>
    <row r="582" spans="1:61" ht="1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38"/>
      <c r="Y582" s="11"/>
      <c r="Z582" s="11"/>
      <c r="AA582" s="11"/>
      <c r="AB582" s="38"/>
      <c r="AC582" s="38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</row>
    <row r="583" spans="1:61" ht="1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38"/>
      <c r="Y583" s="11"/>
      <c r="Z583" s="11"/>
      <c r="AA583" s="11"/>
      <c r="AB583" s="38"/>
      <c r="AC583" s="38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</row>
    <row r="584" spans="1:61" ht="1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38"/>
      <c r="Y584" s="11"/>
      <c r="Z584" s="11"/>
      <c r="AA584" s="11"/>
      <c r="AB584" s="38"/>
      <c r="AC584" s="38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</row>
    <row r="585" spans="1:61" ht="1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38"/>
      <c r="Y585" s="11"/>
      <c r="Z585" s="11"/>
      <c r="AA585" s="11"/>
      <c r="AB585" s="38"/>
      <c r="AC585" s="38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</row>
    <row r="586" spans="1:61" ht="1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38"/>
      <c r="Y586" s="11"/>
      <c r="Z586" s="11"/>
      <c r="AA586" s="11"/>
      <c r="AB586" s="38"/>
      <c r="AC586" s="38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</row>
    <row r="587" spans="1:61" ht="1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38"/>
      <c r="Y587" s="11"/>
      <c r="Z587" s="11"/>
      <c r="AA587" s="11"/>
      <c r="AB587" s="38"/>
      <c r="AC587" s="38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</row>
    <row r="588" spans="1:61" ht="1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38"/>
      <c r="Y588" s="11"/>
      <c r="Z588" s="11"/>
      <c r="AA588" s="11"/>
      <c r="AB588" s="38"/>
      <c r="AC588" s="38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</row>
    <row r="589" spans="1:61" ht="1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38"/>
      <c r="Y589" s="11"/>
      <c r="Z589" s="11"/>
      <c r="AA589" s="11"/>
      <c r="AB589" s="38"/>
      <c r="AC589" s="38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</row>
    <row r="590" spans="1:61" ht="1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38"/>
      <c r="Y590" s="11"/>
      <c r="Z590" s="11"/>
      <c r="AA590" s="11"/>
      <c r="AB590" s="38"/>
      <c r="AC590" s="38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</row>
    <row r="591" spans="1:61" ht="1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38"/>
      <c r="Y591" s="11"/>
      <c r="Z591" s="11"/>
      <c r="AA591" s="11"/>
      <c r="AB591" s="38"/>
      <c r="AC591" s="38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</row>
    <row r="592" spans="1:61" ht="1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38"/>
      <c r="Y592" s="11"/>
      <c r="Z592" s="11"/>
      <c r="AA592" s="11"/>
      <c r="AB592" s="38"/>
      <c r="AC592" s="38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</row>
    <row r="593" spans="1:61" ht="1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38"/>
      <c r="Y593" s="11"/>
      <c r="Z593" s="11"/>
      <c r="AA593" s="11"/>
      <c r="AB593" s="38"/>
      <c r="AC593" s="38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</row>
    <row r="594" spans="1:61" ht="1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38"/>
      <c r="Y594" s="11"/>
      <c r="Z594" s="11"/>
      <c r="AA594" s="11"/>
      <c r="AB594" s="38"/>
      <c r="AC594" s="38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</row>
    <row r="595" spans="1:61" ht="1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38"/>
      <c r="Y595" s="11"/>
      <c r="Z595" s="11"/>
      <c r="AA595" s="11"/>
      <c r="AB595" s="38"/>
      <c r="AC595" s="38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</row>
    <row r="596" spans="1:61" ht="1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38"/>
      <c r="Y596" s="11"/>
      <c r="Z596" s="11"/>
      <c r="AA596" s="11"/>
      <c r="AB596" s="38"/>
      <c r="AC596" s="38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</row>
    <row r="597" spans="1:61" ht="1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38"/>
      <c r="Y597" s="11"/>
      <c r="Z597" s="11"/>
      <c r="AA597" s="11"/>
      <c r="AB597" s="38"/>
      <c r="AC597" s="38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</row>
    <row r="598" spans="1:61" ht="1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38"/>
      <c r="Y598" s="11"/>
      <c r="Z598" s="11"/>
      <c r="AA598" s="11"/>
      <c r="AB598" s="38"/>
      <c r="AC598" s="38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</row>
    <row r="599" spans="1:61" ht="1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38"/>
      <c r="Y599" s="11"/>
      <c r="Z599" s="11"/>
      <c r="AA599" s="11"/>
      <c r="AB599" s="38"/>
      <c r="AC599" s="38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</row>
    <row r="600" spans="1:61" ht="1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38"/>
      <c r="Y600" s="11"/>
      <c r="Z600" s="11"/>
      <c r="AA600" s="11"/>
      <c r="AB600" s="38"/>
      <c r="AC600" s="38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</row>
    <row r="601" spans="1:61" ht="1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38"/>
      <c r="Y601" s="11"/>
      <c r="Z601" s="11"/>
      <c r="AA601" s="11"/>
      <c r="AB601" s="38"/>
      <c r="AC601" s="38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</row>
    <row r="602" spans="1:61" ht="1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38"/>
      <c r="Y602" s="11"/>
      <c r="Z602" s="11"/>
      <c r="AA602" s="11"/>
      <c r="AB602" s="38"/>
      <c r="AC602" s="38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</row>
    <row r="603" spans="1:61" ht="1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38"/>
      <c r="Y603" s="11"/>
      <c r="Z603" s="11"/>
      <c r="AA603" s="11"/>
      <c r="AB603" s="38"/>
      <c r="AC603" s="38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</row>
    <row r="604" spans="1:61" ht="1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38"/>
      <c r="Y604" s="11"/>
      <c r="Z604" s="11"/>
      <c r="AA604" s="11"/>
      <c r="AB604" s="38"/>
      <c r="AC604" s="38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</row>
    <row r="605" spans="1:61" ht="1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38"/>
      <c r="Y605" s="11"/>
      <c r="Z605" s="11"/>
      <c r="AA605" s="11"/>
      <c r="AB605" s="38"/>
      <c r="AC605" s="38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</row>
    <row r="606" spans="1:61" ht="1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38"/>
      <c r="Y606" s="11"/>
      <c r="Z606" s="11"/>
      <c r="AA606" s="11"/>
      <c r="AB606" s="38"/>
      <c r="AC606" s="38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</row>
    <row r="607" spans="1:61" ht="1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38"/>
      <c r="Y607" s="11"/>
      <c r="Z607" s="11"/>
      <c r="AA607" s="11"/>
      <c r="AB607" s="38"/>
      <c r="AC607" s="38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</row>
    <row r="608" spans="1:61" ht="1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38"/>
      <c r="Y608" s="11"/>
      <c r="Z608" s="11"/>
      <c r="AA608" s="11"/>
      <c r="AB608" s="38"/>
      <c r="AC608" s="38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</row>
    <row r="609" spans="1:61" ht="1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38"/>
      <c r="Y609" s="11"/>
      <c r="Z609" s="11"/>
      <c r="AA609" s="11"/>
      <c r="AB609" s="38"/>
      <c r="AC609" s="38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</row>
    <row r="610" spans="1:61" ht="1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38"/>
      <c r="Y610" s="11"/>
      <c r="Z610" s="11"/>
      <c r="AA610" s="11"/>
      <c r="AB610" s="38"/>
      <c r="AC610" s="38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</row>
    <row r="611" spans="1:61" ht="1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38"/>
      <c r="Y611" s="11"/>
      <c r="Z611" s="11"/>
      <c r="AA611" s="11"/>
      <c r="AB611" s="38"/>
      <c r="AC611" s="38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</row>
    <row r="612" spans="1:61" ht="1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38"/>
      <c r="Y612" s="11"/>
      <c r="Z612" s="11"/>
      <c r="AA612" s="11"/>
      <c r="AB612" s="38"/>
      <c r="AC612" s="38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</row>
    <row r="613" spans="1:61" ht="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38"/>
      <c r="Y613" s="11"/>
      <c r="Z613" s="11"/>
      <c r="AA613" s="11"/>
      <c r="AB613" s="38"/>
      <c r="AC613" s="38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</row>
    <row r="614" spans="1:61" ht="1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38"/>
      <c r="Y614" s="11"/>
      <c r="Z614" s="11"/>
      <c r="AA614" s="11"/>
      <c r="AB614" s="38"/>
      <c r="AC614" s="38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</row>
    <row r="615" spans="1:61" ht="1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38"/>
      <c r="Y615" s="11"/>
      <c r="Z615" s="11"/>
      <c r="AA615" s="11"/>
      <c r="AB615" s="38"/>
      <c r="AC615" s="38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</row>
    <row r="616" spans="1:61" ht="1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38"/>
      <c r="Y616" s="11"/>
      <c r="Z616" s="11"/>
      <c r="AA616" s="11"/>
      <c r="AB616" s="38"/>
      <c r="AC616" s="38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</row>
    <row r="617" spans="1:61" ht="1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38"/>
      <c r="Y617" s="11"/>
      <c r="Z617" s="11"/>
      <c r="AA617" s="11"/>
      <c r="AB617" s="38"/>
      <c r="AC617" s="38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</row>
    <row r="618" spans="1:61" ht="1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38"/>
      <c r="Y618" s="11"/>
      <c r="Z618" s="11"/>
      <c r="AA618" s="11"/>
      <c r="AB618" s="38"/>
      <c r="AC618" s="38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</row>
    <row r="619" spans="1:61" ht="1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38"/>
      <c r="Y619" s="11"/>
      <c r="Z619" s="11"/>
      <c r="AA619" s="11"/>
      <c r="AB619" s="38"/>
      <c r="AC619" s="38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</row>
    <row r="620" spans="1:61" ht="1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38"/>
      <c r="Y620" s="11"/>
      <c r="Z620" s="11"/>
      <c r="AA620" s="11"/>
      <c r="AB620" s="38"/>
      <c r="AC620" s="38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</row>
    <row r="621" spans="1:61" ht="1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38"/>
      <c r="Y621" s="11"/>
      <c r="Z621" s="11"/>
      <c r="AA621" s="11"/>
      <c r="AB621" s="38"/>
      <c r="AC621" s="38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</row>
    <row r="622" spans="1:61" ht="1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38"/>
      <c r="Y622" s="11"/>
      <c r="Z622" s="11"/>
      <c r="AA622" s="11"/>
      <c r="AB622" s="38"/>
      <c r="AC622" s="38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</row>
    <row r="623" spans="1:61" ht="1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38"/>
      <c r="Y623" s="11"/>
      <c r="Z623" s="11"/>
      <c r="AA623" s="11"/>
      <c r="AB623" s="38"/>
      <c r="AC623" s="38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</row>
    <row r="624" spans="1:61" ht="1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38"/>
      <c r="Y624" s="11"/>
      <c r="Z624" s="11"/>
      <c r="AA624" s="11"/>
      <c r="AB624" s="38"/>
      <c r="AC624" s="38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</row>
    <row r="625" spans="1:61" ht="1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38"/>
      <c r="Y625" s="11"/>
      <c r="Z625" s="11"/>
      <c r="AA625" s="11"/>
      <c r="AB625" s="38"/>
      <c r="AC625" s="38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</row>
    <row r="626" spans="1:61" ht="1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38"/>
      <c r="Y626" s="11"/>
      <c r="Z626" s="11"/>
      <c r="AA626" s="11"/>
      <c r="AB626" s="38"/>
      <c r="AC626" s="38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</row>
    <row r="627" spans="1:61" ht="1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38"/>
      <c r="Y627" s="11"/>
      <c r="Z627" s="11"/>
      <c r="AA627" s="11"/>
      <c r="AB627" s="38"/>
      <c r="AC627" s="38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</row>
    <row r="628" spans="1:61" ht="1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38"/>
      <c r="Y628" s="11"/>
      <c r="Z628" s="11"/>
      <c r="AA628" s="11"/>
      <c r="AB628" s="38"/>
      <c r="AC628" s="38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</row>
    <row r="629" spans="1:61" ht="1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38"/>
      <c r="Y629" s="11"/>
      <c r="Z629" s="11"/>
      <c r="AA629" s="11"/>
      <c r="AB629" s="38"/>
      <c r="AC629" s="38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</row>
    <row r="630" spans="1:61" ht="1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38"/>
      <c r="Y630" s="11"/>
      <c r="Z630" s="11"/>
      <c r="AA630" s="11"/>
      <c r="AB630" s="38"/>
      <c r="AC630" s="38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</row>
    <row r="631" spans="1:61" ht="1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38"/>
      <c r="Y631" s="11"/>
      <c r="Z631" s="11"/>
      <c r="AA631" s="11"/>
      <c r="AB631" s="38"/>
      <c r="AC631" s="38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</row>
    <row r="632" spans="1:61" ht="1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38"/>
      <c r="Y632" s="11"/>
      <c r="Z632" s="11"/>
      <c r="AA632" s="11"/>
      <c r="AB632" s="38"/>
      <c r="AC632" s="38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</row>
    <row r="633" spans="1:61" ht="1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38"/>
      <c r="Y633" s="11"/>
      <c r="Z633" s="11"/>
      <c r="AA633" s="11"/>
      <c r="AB633" s="38"/>
      <c r="AC633" s="38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</row>
    <row r="634" spans="1:61" ht="1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38"/>
      <c r="Y634" s="11"/>
      <c r="Z634" s="11"/>
      <c r="AA634" s="11"/>
      <c r="AB634" s="38"/>
      <c r="AC634" s="38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</row>
    <row r="635" spans="1:61" ht="1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38"/>
      <c r="Y635" s="11"/>
      <c r="Z635" s="11"/>
      <c r="AA635" s="11"/>
      <c r="AB635" s="38"/>
      <c r="AC635" s="38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</row>
    <row r="636" spans="1:61" ht="1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38"/>
      <c r="Y636" s="11"/>
      <c r="Z636" s="11"/>
      <c r="AA636" s="11"/>
      <c r="AB636" s="38"/>
      <c r="AC636" s="38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</row>
    <row r="637" spans="1:61" ht="1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38"/>
      <c r="Y637" s="11"/>
      <c r="Z637" s="11"/>
      <c r="AA637" s="11"/>
      <c r="AB637" s="38"/>
      <c r="AC637" s="38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</row>
    <row r="638" spans="1:61" ht="1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38"/>
      <c r="Y638" s="11"/>
      <c r="Z638" s="11"/>
      <c r="AA638" s="11"/>
      <c r="AB638" s="38"/>
      <c r="AC638" s="38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</row>
    <row r="639" spans="1:61" ht="1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38"/>
      <c r="Y639" s="11"/>
      <c r="Z639" s="11"/>
      <c r="AA639" s="11"/>
      <c r="AB639" s="38"/>
      <c r="AC639" s="38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</row>
    <row r="640" spans="1:61" ht="1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38"/>
      <c r="Y640" s="11"/>
      <c r="Z640" s="11"/>
      <c r="AA640" s="11"/>
      <c r="AB640" s="38"/>
      <c r="AC640" s="38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</row>
    <row r="641" spans="1:61" ht="1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38"/>
      <c r="Y641" s="11"/>
      <c r="Z641" s="11"/>
      <c r="AA641" s="11"/>
      <c r="AB641" s="38"/>
      <c r="AC641" s="38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</row>
    <row r="642" spans="1:61" ht="1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38"/>
      <c r="Y642" s="11"/>
      <c r="Z642" s="11"/>
      <c r="AA642" s="11"/>
      <c r="AB642" s="38"/>
      <c r="AC642" s="38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</row>
    <row r="643" spans="1:61" ht="1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38"/>
      <c r="Y643" s="11"/>
      <c r="Z643" s="11"/>
      <c r="AA643" s="11"/>
      <c r="AB643" s="38"/>
      <c r="AC643" s="38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</row>
    <row r="644" spans="1:61" ht="1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38"/>
      <c r="Y644" s="11"/>
      <c r="Z644" s="11"/>
      <c r="AA644" s="11"/>
      <c r="AB644" s="38"/>
      <c r="AC644" s="38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</row>
    <row r="645" spans="1:61" ht="1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38"/>
      <c r="Y645" s="11"/>
      <c r="Z645" s="11"/>
      <c r="AA645" s="11"/>
      <c r="AB645" s="38"/>
      <c r="AC645" s="38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</row>
    <row r="646" spans="1:61" ht="1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38"/>
      <c r="Y646" s="11"/>
      <c r="Z646" s="11"/>
      <c r="AA646" s="11"/>
      <c r="AB646" s="38"/>
      <c r="AC646" s="38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</row>
    <row r="647" spans="1:61" ht="1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38"/>
      <c r="Y647" s="11"/>
      <c r="Z647" s="11"/>
      <c r="AA647" s="11"/>
      <c r="AB647" s="38"/>
      <c r="AC647" s="38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</row>
    <row r="648" spans="1:61" ht="1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38"/>
      <c r="Y648" s="11"/>
      <c r="Z648" s="11"/>
      <c r="AA648" s="11"/>
      <c r="AB648" s="38"/>
      <c r="AC648" s="38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</row>
    <row r="649" spans="1:61" ht="1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38"/>
      <c r="Y649" s="11"/>
      <c r="Z649" s="11"/>
      <c r="AA649" s="11"/>
      <c r="AB649" s="38"/>
      <c r="AC649" s="38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</row>
    <row r="650" spans="1:61" ht="1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38"/>
      <c r="Y650" s="11"/>
      <c r="Z650" s="11"/>
      <c r="AA650" s="11"/>
      <c r="AB650" s="38"/>
      <c r="AC650" s="38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</row>
    <row r="651" spans="1:61" ht="1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38"/>
      <c r="Y651" s="11"/>
      <c r="Z651" s="11"/>
      <c r="AA651" s="11"/>
      <c r="AB651" s="38"/>
      <c r="AC651" s="38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</row>
    <row r="652" spans="1:61" ht="1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38"/>
      <c r="Y652" s="11"/>
      <c r="Z652" s="11"/>
      <c r="AA652" s="11"/>
      <c r="AB652" s="38"/>
      <c r="AC652" s="38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</row>
    <row r="653" spans="1:61" ht="1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38"/>
      <c r="Y653" s="11"/>
      <c r="Z653" s="11"/>
      <c r="AA653" s="11"/>
      <c r="AB653" s="38"/>
      <c r="AC653" s="38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</row>
    <row r="654" spans="1:61" ht="1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38"/>
      <c r="Y654" s="11"/>
      <c r="Z654" s="11"/>
      <c r="AA654" s="11"/>
      <c r="AB654" s="38"/>
      <c r="AC654" s="38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</row>
    <row r="655" spans="1:61" ht="1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38"/>
      <c r="Y655" s="11"/>
      <c r="Z655" s="11"/>
      <c r="AA655" s="11"/>
      <c r="AB655" s="38"/>
      <c r="AC655" s="38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</row>
    <row r="656" spans="1:61" ht="1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38"/>
      <c r="Y656" s="11"/>
      <c r="Z656" s="11"/>
      <c r="AA656" s="11"/>
      <c r="AB656" s="38"/>
      <c r="AC656" s="38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</row>
    <row r="657" spans="1:61" ht="1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38"/>
      <c r="Y657" s="11"/>
      <c r="Z657" s="11"/>
      <c r="AA657" s="11"/>
      <c r="AB657" s="38"/>
      <c r="AC657" s="38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</row>
    <row r="658" spans="1:61" ht="1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38"/>
      <c r="Y658" s="11"/>
      <c r="Z658" s="11"/>
      <c r="AA658" s="11"/>
      <c r="AB658" s="38"/>
      <c r="AC658" s="38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</row>
    <row r="659" spans="1:61" ht="1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38"/>
      <c r="Y659" s="11"/>
      <c r="Z659" s="11"/>
      <c r="AA659" s="11"/>
      <c r="AB659" s="38"/>
      <c r="AC659" s="38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</row>
    <row r="660" spans="1:61" ht="1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38"/>
      <c r="Y660" s="11"/>
      <c r="Z660" s="11"/>
      <c r="AA660" s="11"/>
      <c r="AB660" s="38"/>
      <c r="AC660" s="38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</row>
    <row r="661" spans="1:61" ht="1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38"/>
      <c r="Y661" s="11"/>
      <c r="Z661" s="11"/>
      <c r="AA661" s="11"/>
      <c r="AB661" s="38"/>
      <c r="AC661" s="38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</row>
    <row r="662" spans="1:61" ht="1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38"/>
      <c r="Y662" s="11"/>
      <c r="Z662" s="11"/>
      <c r="AA662" s="11"/>
      <c r="AB662" s="38"/>
      <c r="AC662" s="38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</row>
    <row r="663" spans="1:61" ht="1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38"/>
      <c r="Y663" s="11"/>
      <c r="Z663" s="11"/>
      <c r="AA663" s="11"/>
      <c r="AB663" s="38"/>
      <c r="AC663" s="38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</row>
    <row r="664" spans="1:61" ht="1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38"/>
      <c r="Y664" s="11"/>
      <c r="Z664" s="11"/>
      <c r="AA664" s="11"/>
      <c r="AB664" s="38"/>
      <c r="AC664" s="38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</row>
    <row r="665" spans="1:61" ht="1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38"/>
      <c r="Y665" s="11"/>
      <c r="Z665" s="11"/>
      <c r="AA665" s="11"/>
      <c r="AB665" s="38"/>
      <c r="AC665" s="38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</row>
    <row r="666" spans="1:61" ht="1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38"/>
      <c r="Y666" s="11"/>
      <c r="Z666" s="11"/>
      <c r="AA666" s="11"/>
      <c r="AB666" s="38"/>
      <c r="AC666" s="38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</row>
    <row r="667" spans="1:61" ht="1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38"/>
      <c r="Y667" s="11"/>
      <c r="Z667" s="11"/>
      <c r="AA667" s="11"/>
      <c r="AB667" s="38"/>
      <c r="AC667" s="38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</row>
    <row r="668" spans="1:61" ht="1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38"/>
      <c r="Y668" s="11"/>
      <c r="Z668" s="11"/>
      <c r="AA668" s="11"/>
      <c r="AB668" s="38"/>
      <c r="AC668" s="38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</row>
    <row r="669" spans="1:61" ht="1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38"/>
      <c r="Y669" s="11"/>
      <c r="Z669" s="11"/>
      <c r="AA669" s="11"/>
      <c r="AB669" s="38"/>
      <c r="AC669" s="38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</row>
    <row r="670" spans="1:61" ht="1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38"/>
      <c r="Y670" s="11"/>
      <c r="Z670" s="11"/>
      <c r="AA670" s="11"/>
      <c r="AB670" s="38"/>
      <c r="AC670" s="38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</row>
    <row r="671" spans="1:61" ht="1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38"/>
      <c r="Y671" s="11"/>
      <c r="Z671" s="11"/>
      <c r="AA671" s="11"/>
      <c r="AB671" s="38"/>
      <c r="AC671" s="38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</row>
    <row r="672" spans="1:61" ht="1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38"/>
      <c r="Y672" s="11"/>
      <c r="Z672" s="11"/>
      <c r="AA672" s="11"/>
      <c r="AB672" s="38"/>
      <c r="AC672" s="38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</row>
    <row r="673" spans="1:61" ht="1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38"/>
      <c r="Y673" s="11"/>
      <c r="Z673" s="11"/>
      <c r="AA673" s="11"/>
      <c r="AB673" s="38"/>
      <c r="AC673" s="38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</row>
    <row r="674" spans="1:61" ht="1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38"/>
      <c r="Y674" s="11"/>
      <c r="Z674" s="11"/>
      <c r="AA674" s="11"/>
      <c r="AB674" s="38"/>
      <c r="AC674" s="38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</row>
    <row r="675" spans="1:61" ht="1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38"/>
      <c r="Y675" s="11"/>
      <c r="Z675" s="11"/>
      <c r="AA675" s="11"/>
      <c r="AB675" s="38"/>
      <c r="AC675" s="38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</row>
    <row r="676" spans="1:61" ht="1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38"/>
      <c r="Y676" s="11"/>
      <c r="Z676" s="11"/>
      <c r="AA676" s="11"/>
      <c r="AB676" s="38"/>
      <c r="AC676" s="38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</row>
    <row r="677" spans="1:61" ht="1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38"/>
      <c r="Y677" s="11"/>
      <c r="Z677" s="11"/>
      <c r="AA677" s="11"/>
      <c r="AB677" s="38"/>
      <c r="AC677" s="38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</row>
    <row r="678" spans="1:61" ht="1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38"/>
      <c r="Y678" s="11"/>
      <c r="Z678" s="11"/>
      <c r="AA678" s="11"/>
      <c r="AB678" s="38"/>
      <c r="AC678" s="38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</row>
    <row r="679" spans="1:61" ht="1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38"/>
      <c r="Y679" s="11"/>
      <c r="Z679" s="11"/>
      <c r="AA679" s="11"/>
      <c r="AB679" s="38"/>
      <c r="AC679" s="38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</row>
    <row r="680" spans="1:61" ht="1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38"/>
      <c r="Y680" s="11"/>
      <c r="Z680" s="11"/>
      <c r="AA680" s="11"/>
      <c r="AB680" s="38"/>
      <c r="AC680" s="38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</row>
    <row r="681" spans="1:61" ht="1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38"/>
      <c r="Y681" s="11"/>
      <c r="Z681" s="11"/>
      <c r="AA681" s="11"/>
      <c r="AB681" s="38"/>
      <c r="AC681" s="38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</row>
    <row r="682" spans="1:61" ht="1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38"/>
      <c r="Y682" s="11"/>
      <c r="Z682" s="11"/>
      <c r="AA682" s="11"/>
      <c r="AB682" s="38"/>
      <c r="AC682" s="38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</row>
    <row r="683" spans="1:61" ht="1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38"/>
      <c r="Y683" s="11"/>
      <c r="Z683" s="11"/>
      <c r="AA683" s="11"/>
      <c r="AB683" s="38"/>
      <c r="AC683" s="38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</row>
    <row r="684" spans="1:61" ht="1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38"/>
      <c r="Y684" s="11"/>
      <c r="Z684" s="11"/>
      <c r="AA684" s="11"/>
      <c r="AB684" s="38"/>
      <c r="AC684" s="38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</row>
    <row r="685" spans="1:61" ht="1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38"/>
      <c r="Y685" s="11"/>
      <c r="Z685" s="11"/>
      <c r="AA685" s="11"/>
      <c r="AB685" s="38"/>
      <c r="AC685" s="38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</row>
    <row r="686" spans="1:61" ht="1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38"/>
      <c r="Y686" s="11"/>
      <c r="Z686" s="11"/>
      <c r="AA686" s="11"/>
      <c r="AB686" s="38"/>
      <c r="AC686" s="38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</row>
    <row r="687" spans="1:61" ht="1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38"/>
      <c r="Y687" s="11"/>
      <c r="Z687" s="11"/>
      <c r="AA687" s="11"/>
      <c r="AB687" s="38"/>
      <c r="AC687" s="38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</row>
    <row r="688" spans="1:61" ht="1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38"/>
      <c r="Y688" s="11"/>
      <c r="Z688" s="11"/>
      <c r="AA688" s="11"/>
      <c r="AB688" s="38"/>
      <c r="AC688" s="38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</row>
    <row r="689" spans="1:61" ht="1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38"/>
      <c r="Y689" s="11"/>
      <c r="Z689" s="11"/>
      <c r="AA689" s="11"/>
      <c r="AB689" s="38"/>
      <c r="AC689" s="38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</row>
    <row r="690" spans="1:61" ht="1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38"/>
      <c r="Y690" s="11"/>
      <c r="Z690" s="11"/>
      <c r="AA690" s="11"/>
      <c r="AB690" s="38"/>
      <c r="AC690" s="38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</row>
    <row r="691" spans="1:61" ht="1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38"/>
      <c r="Y691" s="11"/>
      <c r="Z691" s="11"/>
      <c r="AA691" s="11"/>
      <c r="AB691" s="38"/>
      <c r="AC691" s="38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</row>
    <row r="692" spans="1:61" ht="1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38"/>
      <c r="Y692" s="11"/>
      <c r="Z692" s="11"/>
      <c r="AA692" s="11"/>
      <c r="AB692" s="38"/>
      <c r="AC692" s="38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</row>
    <row r="693" spans="1:61" ht="1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38"/>
      <c r="Y693" s="11"/>
      <c r="Z693" s="11"/>
      <c r="AA693" s="11"/>
      <c r="AB693" s="38"/>
      <c r="AC693" s="38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</row>
    <row r="694" spans="1:61" ht="1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38"/>
      <c r="Y694" s="11"/>
      <c r="Z694" s="11"/>
      <c r="AA694" s="11"/>
      <c r="AB694" s="38"/>
      <c r="AC694" s="38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</row>
    <row r="695" spans="1:61" ht="1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38"/>
      <c r="Y695" s="11"/>
      <c r="Z695" s="11"/>
      <c r="AA695" s="11"/>
      <c r="AB695" s="38"/>
      <c r="AC695" s="38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</row>
    <row r="696" spans="1:61" ht="1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38"/>
      <c r="Y696" s="11"/>
      <c r="Z696" s="11"/>
      <c r="AA696" s="11"/>
      <c r="AB696" s="38"/>
      <c r="AC696" s="38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</row>
    <row r="697" spans="1:61" ht="1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38"/>
      <c r="Y697" s="11"/>
      <c r="Z697" s="11"/>
      <c r="AA697" s="11"/>
      <c r="AB697" s="38"/>
      <c r="AC697" s="38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</row>
    <row r="698" spans="1:61" ht="1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38"/>
      <c r="Y698" s="11"/>
      <c r="Z698" s="11"/>
      <c r="AA698" s="11"/>
      <c r="AB698" s="38"/>
      <c r="AC698" s="38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</row>
    <row r="699" spans="1:61" ht="1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38"/>
      <c r="Y699" s="11"/>
      <c r="Z699" s="11"/>
      <c r="AA699" s="11"/>
      <c r="AB699" s="38"/>
      <c r="AC699" s="38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</row>
    <row r="700" spans="1:61" ht="1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38"/>
      <c r="Y700" s="11"/>
      <c r="Z700" s="11"/>
      <c r="AA700" s="11"/>
      <c r="AB700" s="38"/>
      <c r="AC700" s="38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</row>
    <row r="701" spans="1:61" ht="1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38"/>
      <c r="Y701" s="11"/>
      <c r="Z701" s="11"/>
      <c r="AA701" s="11"/>
      <c r="AB701" s="38"/>
      <c r="AC701" s="38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</row>
    <row r="702" spans="1:61" ht="1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38"/>
      <c r="Y702" s="11"/>
      <c r="Z702" s="11"/>
      <c r="AA702" s="11"/>
      <c r="AB702" s="38"/>
      <c r="AC702" s="38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</row>
    <row r="703" spans="1:61" ht="1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38"/>
      <c r="Y703" s="11"/>
      <c r="Z703" s="11"/>
      <c r="AA703" s="11"/>
      <c r="AB703" s="38"/>
      <c r="AC703" s="38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</row>
    <row r="704" spans="1:61" ht="1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38"/>
      <c r="Y704" s="11"/>
      <c r="Z704" s="11"/>
      <c r="AA704" s="11"/>
      <c r="AB704" s="38"/>
      <c r="AC704" s="38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</row>
    <row r="705" spans="1:61" ht="1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38"/>
      <c r="Y705" s="11"/>
      <c r="Z705" s="11"/>
      <c r="AA705" s="11"/>
      <c r="AB705" s="38"/>
      <c r="AC705" s="38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</row>
    <row r="706" spans="1:61" ht="1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38"/>
      <c r="Y706" s="11"/>
      <c r="Z706" s="11"/>
      <c r="AA706" s="11"/>
      <c r="AB706" s="38"/>
      <c r="AC706" s="38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</row>
    <row r="707" spans="1:61" ht="1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38"/>
      <c r="Y707" s="11"/>
      <c r="Z707" s="11"/>
      <c r="AA707" s="11"/>
      <c r="AB707" s="38"/>
      <c r="AC707" s="38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</row>
    <row r="708" spans="1:61" ht="1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38"/>
      <c r="Y708" s="11"/>
      <c r="Z708" s="11"/>
      <c r="AA708" s="11"/>
      <c r="AB708" s="38"/>
      <c r="AC708" s="38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</row>
    <row r="709" spans="1:61" ht="1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38"/>
      <c r="Y709" s="11"/>
      <c r="Z709" s="11"/>
      <c r="AA709" s="11"/>
      <c r="AB709" s="38"/>
      <c r="AC709" s="38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</row>
    <row r="710" spans="1:61" ht="1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38"/>
      <c r="Y710" s="11"/>
      <c r="Z710" s="11"/>
      <c r="AA710" s="11"/>
      <c r="AB710" s="38"/>
      <c r="AC710" s="38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</row>
    <row r="711" spans="1:61" ht="1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38"/>
      <c r="Y711" s="11"/>
      <c r="Z711" s="11"/>
      <c r="AA711" s="11"/>
      <c r="AB711" s="38"/>
      <c r="AC711" s="38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</row>
    <row r="712" spans="1:61" ht="1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38"/>
      <c r="Y712" s="11"/>
      <c r="Z712" s="11"/>
      <c r="AA712" s="11"/>
      <c r="AB712" s="38"/>
      <c r="AC712" s="38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</row>
    <row r="713" spans="1:61" ht="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38"/>
      <c r="Y713" s="11"/>
      <c r="Z713" s="11"/>
      <c r="AA713" s="11"/>
      <c r="AB713" s="38"/>
      <c r="AC713" s="38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</row>
    <row r="714" spans="1:61" ht="1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38"/>
      <c r="Y714" s="11"/>
      <c r="Z714" s="11"/>
      <c r="AA714" s="11"/>
      <c r="AB714" s="38"/>
      <c r="AC714" s="38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</row>
    <row r="715" spans="1:61" ht="1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38"/>
      <c r="Y715" s="11"/>
      <c r="Z715" s="11"/>
      <c r="AA715" s="11"/>
      <c r="AB715" s="38"/>
      <c r="AC715" s="38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</row>
    <row r="716" spans="1:61" ht="1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38"/>
      <c r="Y716" s="11"/>
      <c r="Z716" s="11"/>
      <c r="AA716" s="11"/>
      <c r="AB716" s="38"/>
      <c r="AC716" s="38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</row>
    <row r="717" spans="1:61" ht="1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38"/>
      <c r="Y717" s="11"/>
      <c r="Z717" s="11"/>
      <c r="AA717" s="11"/>
      <c r="AB717" s="38"/>
      <c r="AC717" s="38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</row>
    <row r="718" spans="1:61" ht="1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38"/>
      <c r="Y718" s="11"/>
      <c r="Z718" s="11"/>
      <c r="AA718" s="11"/>
      <c r="AB718" s="38"/>
      <c r="AC718" s="38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</row>
    <row r="719" spans="1:61" ht="1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38"/>
      <c r="Y719" s="11"/>
      <c r="Z719" s="11"/>
      <c r="AA719" s="11"/>
      <c r="AB719" s="38"/>
      <c r="AC719" s="38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</row>
    <row r="720" spans="1:61" ht="1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38"/>
      <c r="Y720" s="11"/>
      <c r="Z720" s="11"/>
      <c r="AA720" s="11"/>
      <c r="AB720" s="38"/>
      <c r="AC720" s="38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</row>
    <row r="721" spans="1:61" ht="1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38"/>
      <c r="Y721" s="11"/>
      <c r="Z721" s="11"/>
      <c r="AA721" s="11"/>
      <c r="AB721" s="38"/>
      <c r="AC721" s="38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</row>
    <row r="722" spans="1:61" ht="1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38"/>
      <c r="Y722" s="11"/>
      <c r="Z722" s="11"/>
      <c r="AA722" s="11"/>
      <c r="AB722" s="38"/>
      <c r="AC722" s="38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</row>
    <row r="723" spans="1:61" ht="1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38"/>
      <c r="Y723" s="11"/>
      <c r="Z723" s="11"/>
      <c r="AA723" s="11"/>
      <c r="AB723" s="38"/>
      <c r="AC723" s="38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</row>
    <row r="724" spans="1:61" ht="1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38"/>
      <c r="Y724" s="11"/>
      <c r="Z724" s="11"/>
      <c r="AA724" s="11"/>
      <c r="AB724" s="38"/>
      <c r="AC724" s="38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</row>
    <row r="725" spans="1:61" ht="1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38"/>
      <c r="Y725" s="11"/>
      <c r="Z725" s="11"/>
      <c r="AA725" s="11"/>
      <c r="AB725" s="38"/>
      <c r="AC725" s="38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</row>
    <row r="726" spans="1:61" ht="1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38"/>
      <c r="Y726" s="11"/>
      <c r="Z726" s="11"/>
      <c r="AA726" s="11"/>
      <c r="AB726" s="38"/>
      <c r="AC726" s="38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</row>
    <row r="727" spans="1:61" ht="1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38"/>
      <c r="Y727" s="11"/>
      <c r="Z727" s="11"/>
      <c r="AA727" s="11"/>
      <c r="AB727" s="38"/>
      <c r="AC727" s="38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</row>
    <row r="728" spans="1:61" ht="1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38"/>
      <c r="Y728" s="11"/>
      <c r="Z728" s="11"/>
      <c r="AA728" s="11"/>
      <c r="AB728" s="38"/>
      <c r="AC728" s="38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</row>
    <row r="729" spans="1:61" ht="1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38"/>
      <c r="Y729" s="11"/>
      <c r="Z729" s="11"/>
      <c r="AA729" s="11"/>
      <c r="AB729" s="38"/>
      <c r="AC729" s="38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</row>
    <row r="730" spans="1:61" ht="1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38"/>
      <c r="Y730" s="11"/>
      <c r="Z730" s="11"/>
      <c r="AA730" s="11"/>
      <c r="AB730" s="38"/>
      <c r="AC730" s="38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</row>
    <row r="731" spans="1:61" ht="1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38"/>
      <c r="Y731" s="11"/>
      <c r="Z731" s="11"/>
      <c r="AA731" s="11"/>
      <c r="AB731" s="38"/>
      <c r="AC731" s="38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</row>
    <row r="732" spans="1:61" ht="1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38"/>
      <c r="Y732" s="11"/>
      <c r="Z732" s="11"/>
      <c r="AA732" s="11"/>
      <c r="AB732" s="38"/>
      <c r="AC732" s="38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</row>
    <row r="733" spans="1:61" ht="1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38"/>
      <c r="Y733" s="11"/>
      <c r="Z733" s="11"/>
      <c r="AA733" s="11"/>
      <c r="AB733" s="38"/>
      <c r="AC733" s="38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</row>
    <row r="734" spans="1:61" ht="1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38"/>
      <c r="Y734" s="11"/>
      <c r="Z734" s="11"/>
      <c r="AA734" s="11"/>
      <c r="AB734" s="38"/>
      <c r="AC734" s="38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</row>
    <row r="735" spans="1:61" ht="1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38"/>
      <c r="Y735" s="11"/>
      <c r="Z735" s="11"/>
      <c r="AA735" s="11"/>
      <c r="AB735" s="38"/>
      <c r="AC735" s="38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</row>
    <row r="736" spans="1:61" ht="1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38"/>
      <c r="Y736" s="11"/>
      <c r="Z736" s="11"/>
      <c r="AA736" s="11"/>
      <c r="AB736" s="38"/>
      <c r="AC736" s="38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</row>
    <row r="737" spans="1:61" ht="1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38"/>
      <c r="Y737" s="11"/>
      <c r="Z737" s="11"/>
      <c r="AA737" s="11"/>
      <c r="AB737" s="38"/>
      <c r="AC737" s="38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</row>
    <row r="738" spans="1:61" ht="1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38"/>
      <c r="Y738" s="11"/>
      <c r="Z738" s="11"/>
      <c r="AA738" s="11"/>
      <c r="AB738" s="38"/>
      <c r="AC738" s="38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</row>
    <row r="739" spans="1:61" ht="1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38"/>
      <c r="Y739" s="11"/>
      <c r="Z739" s="11"/>
      <c r="AA739" s="11"/>
      <c r="AB739" s="38"/>
      <c r="AC739" s="38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</row>
    <row r="740" spans="1:61" ht="1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38"/>
      <c r="Y740" s="11"/>
      <c r="Z740" s="11"/>
      <c r="AA740" s="11"/>
      <c r="AB740" s="38"/>
      <c r="AC740" s="38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</row>
    <row r="741" spans="1:61" ht="1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38"/>
      <c r="Y741" s="11"/>
      <c r="Z741" s="11"/>
      <c r="AA741" s="11"/>
      <c r="AB741" s="38"/>
      <c r="AC741" s="38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</row>
    <row r="742" spans="1:61" ht="1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38"/>
      <c r="Y742" s="11"/>
      <c r="Z742" s="11"/>
      <c r="AA742" s="11"/>
      <c r="AB742" s="38"/>
      <c r="AC742" s="38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</row>
    <row r="743" spans="1:61" ht="1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38"/>
      <c r="Y743" s="11"/>
      <c r="Z743" s="11"/>
      <c r="AA743" s="11"/>
      <c r="AB743" s="38"/>
      <c r="AC743" s="38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</row>
    <row r="744" spans="1:61" ht="1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38"/>
      <c r="Y744" s="11"/>
      <c r="Z744" s="11"/>
      <c r="AA744" s="11"/>
      <c r="AB744" s="38"/>
      <c r="AC744" s="38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</row>
    <row r="745" spans="1:61" ht="1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38"/>
      <c r="Y745" s="11"/>
      <c r="Z745" s="11"/>
      <c r="AA745" s="11"/>
      <c r="AB745" s="38"/>
      <c r="AC745" s="38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</row>
    <row r="746" spans="1:61" ht="1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38"/>
      <c r="Y746" s="11"/>
      <c r="Z746" s="11"/>
      <c r="AA746" s="11"/>
      <c r="AB746" s="38"/>
      <c r="AC746" s="38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</row>
    <row r="747" spans="1:61" ht="1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38"/>
      <c r="Y747" s="11"/>
      <c r="Z747" s="11"/>
      <c r="AA747" s="11"/>
      <c r="AB747" s="38"/>
      <c r="AC747" s="38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</row>
    <row r="748" spans="1:61" ht="1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38"/>
      <c r="Y748" s="11"/>
      <c r="Z748" s="11"/>
      <c r="AA748" s="11"/>
      <c r="AB748" s="38"/>
      <c r="AC748" s="38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</row>
    <row r="749" spans="1:61" ht="1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38"/>
      <c r="Y749" s="11"/>
      <c r="Z749" s="11"/>
      <c r="AA749" s="11"/>
      <c r="AB749" s="38"/>
      <c r="AC749" s="38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</row>
    <row r="750" spans="1:61" ht="1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38"/>
      <c r="Y750" s="11"/>
      <c r="Z750" s="11"/>
      <c r="AA750" s="11"/>
      <c r="AB750" s="38"/>
      <c r="AC750" s="38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</row>
    <row r="751" spans="1:61" ht="1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38"/>
      <c r="Y751" s="11"/>
      <c r="Z751" s="11"/>
      <c r="AA751" s="11"/>
      <c r="AB751" s="38"/>
      <c r="AC751" s="38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</row>
    <row r="752" spans="1:61" ht="1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38"/>
      <c r="Y752" s="11"/>
      <c r="Z752" s="11"/>
      <c r="AA752" s="11"/>
      <c r="AB752" s="38"/>
      <c r="AC752" s="38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</row>
    <row r="753" spans="1:61" ht="1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38"/>
      <c r="Y753" s="11"/>
      <c r="Z753" s="11"/>
      <c r="AA753" s="11"/>
      <c r="AB753" s="38"/>
      <c r="AC753" s="38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</row>
    <row r="754" spans="1:61" ht="1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38"/>
      <c r="Y754" s="11"/>
      <c r="Z754" s="11"/>
      <c r="AA754" s="11"/>
      <c r="AB754" s="38"/>
      <c r="AC754" s="38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</row>
    <row r="755" spans="1:61" ht="1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38"/>
      <c r="Y755" s="11"/>
      <c r="Z755" s="11"/>
      <c r="AA755" s="11"/>
      <c r="AB755" s="38"/>
      <c r="AC755" s="38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</row>
    <row r="756" spans="1:61" ht="1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38"/>
      <c r="Y756" s="11"/>
      <c r="Z756" s="11"/>
      <c r="AA756" s="11"/>
      <c r="AB756" s="38"/>
      <c r="AC756" s="38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</row>
    <row r="757" spans="1:61" ht="1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38"/>
      <c r="Y757" s="11"/>
      <c r="Z757" s="11"/>
      <c r="AA757" s="11"/>
      <c r="AB757" s="38"/>
      <c r="AC757" s="38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</row>
    <row r="758" spans="1:61" ht="1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38"/>
      <c r="Y758" s="11"/>
      <c r="Z758" s="11"/>
      <c r="AA758" s="11"/>
      <c r="AB758" s="38"/>
      <c r="AC758" s="38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</row>
    <row r="759" spans="1:61" ht="1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38"/>
      <c r="Y759" s="11"/>
      <c r="Z759" s="11"/>
      <c r="AA759" s="11"/>
      <c r="AB759" s="38"/>
      <c r="AC759" s="38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</row>
    <row r="760" spans="1:61" ht="1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38"/>
      <c r="Y760" s="11"/>
      <c r="Z760" s="11"/>
      <c r="AA760" s="11"/>
      <c r="AB760" s="38"/>
      <c r="AC760" s="38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</row>
    <row r="761" spans="1:61" ht="1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38"/>
      <c r="Y761" s="11"/>
      <c r="Z761" s="11"/>
      <c r="AA761" s="11"/>
      <c r="AB761" s="38"/>
      <c r="AC761" s="38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</row>
    <row r="762" spans="1:61" ht="1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38"/>
      <c r="Y762" s="11"/>
      <c r="Z762" s="11"/>
      <c r="AA762" s="11"/>
      <c r="AB762" s="38"/>
      <c r="AC762" s="38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</row>
    <row r="763" spans="1:61" ht="1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38"/>
      <c r="Y763" s="11"/>
      <c r="Z763" s="11"/>
      <c r="AA763" s="11"/>
      <c r="AB763" s="38"/>
      <c r="AC763" s="38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</row>
    <row r="764" spans="1:61" ht="1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38"/>
      <c r="Y764" s="11"/>
      <c r="Z764" s="11"/>
      <c r="AA764" s="11"/>
      <c r="AB764" s="38"/>
      <c r="AC764" s="38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</row>
    <row r="765" spans="1:61" ht="1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38"/>
      <c r="Y765" s="11"/>
      <c r="Z765" s="11"/>
      <c r="AA765" s="11"/>
      <c r="AB765" s="38"/>
      <c r="AC765" s="38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</row>
    <row r="766" spans="1:61" ht="1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38"/>
      <c r="Y766" s="11"/>
      <c r="Z766" s="11"/>
      <c r="AA766" s="11"/>
      <c r="AB766" s="38"/>
      <c r="AC766" s="38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</row>
    <row r="767" spans="1:61" ht="1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38"/>
      <c r="Y767" s="11"/>
      <c r="Z767" s="11"/>
      <c r="AA767" s="11"/>
      <c r="AB767" s="38"/>
      <c r="AC767" s="38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</row>
    <row r="768" spans="1:61" ht="1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38"/>
      <c r="Y768" s="11"/>
      <c r="Z768" s="11"/>
      <c r="AA768" s="11"/>
      <c r="AB768" s="38"/>
      <c r="AC768" s="38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</row>
    <row r="769" spans="1:61" ht="1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38"/>
      <c r="Y769" s="11"/>
      <c r="Z769" s="11"/>
      <c r="AA769" s="11"/>
      <c r="AB769" s="38"/>
      <c r="AC769" s="38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</row>
    <row r="770" spans="1:61" ht="1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38"/>
      <c r="Y770" s="11"/>
      <c r="Z770" s="11"/>
      <c r="AA770" s="11"/>
      <c r="AB770" s="38"/>
      <c r="AC770" s="38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</row>
    <row r="771" spans="1:61" ht="1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38"/>
      <c r="Y771" s="11"/>
      <c r="Z771" s="11"/>
      <c r="AA771" s="11"/>
      <c r="AB771" s="38"/>
      <c r="AC771" s="38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</row>
    <row r="772" spans="1:61" ht="1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38"/>
      <c r="Y772" s="11"/>
      <c r="Z772" s="11"/>
      <c r="AA772" s="11"/>
      <c r="AB772" s="38"/>
      <c r="AC772" s="38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</row>
    <row r="773" spans="1:61" ht="1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38"/>
      <c r="Y773" s="11"/>
      <c r="Z773" s="11"/>
      <c r="AA773" s="11"/>
      <c r="AB773" s="38"/>
      <c r="AC773" s="38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</row>
    <row r="774" spans="1:61" ht="1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38"/>
      <c r="Y774" s="11"/>
      <c r="Z774" s="11"/>
      <c r="AA774" s="11"/>
      <c r="AB774" s="38"/>
      <c r="AC774" s="38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</row>
    <row r="775" spans="1:61" ht="1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38"/>
      <c r="Y775" s="11"/>
      <c r="Z775" s="11"/>
      <c r="AA775" s="11"/>
      <c r="AB775" s="38"/>
      <c r="AC775" s="38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</row>
    <row r="776" spans="1:61" ht="1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38"/>
      <c r="Y776" s="11"/>
      <c r="Z776" s="11"/>
      <c r="AA776" s="11"/>
      <c r="AB776" s="38"/>
      <c r="AC776" s="38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</row>
    <row r="777" spans="1:61" ht="1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38"/>
      <c r="Y777" s="11"/>
      <c r="Z777" s="11"/>
      <c r="AA777" s="11"/>
      <c r="AB777" s="38"/>
      <c r="AC777" s="38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</row>
    <row r="778" spans="1:61" ht="1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38"/>
      <c r="Y778" s="11"/>
      <c r="Z778" s="11"/>
      <c r="AA778" s="11"/>
      <c r="AB778" s="38"/>
      <c r="AC778" s="38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</row>
    <row r="779" spans="1:61" ht="1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38"/>
      <c r="Y779" s="11"/>
      <c r="Z779" s="11"/>
      <c r="AA779" s="11"/>
      <c r="AB779" s="38"/>
      <c r="AC779" s="38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</row>
    <row r="780" spans="1:61" ht="1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38"/>
      <c r="Y780" s="11"/>
      <c r="Z780" s="11"/>
      <c r="AA780" s="11"/>
      <c r="AB780" s="38"/>
      <c r="AC780" s="38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</row>
    <row r="781" spans="1:61" ht="1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38"/>
      <c r="Y781" s="11"/>
      <c r="Z781" s="11"/>
      <c r="AA781" s="11"/>
      <c r="AB781" s="38"/>
      <c r="AC781" s="38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</row>
    <row r="782" spans="1:61" ht="1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38"/>
      <c r="Y782" s="11"/>
      <c r="Z782" s="11"/>
      <c r="AA782" s="11"/>
      <c r="AB782" s="38"/>
      <c r="AC782" s="38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</row>
    <row r="783" spans="1:61" ht="1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38"/>
      <c r="Y783" s="11"/>
      <c r="Z783" s="11"/>
      <c r="AA783" s="11"/>
      <c r="AB783" s="38"/>
      <c r="AC783" s="38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</row>
    <row r="784" spans="1:61" ht="1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38"/>
      <c r="Y784" s="11"/>
      <c r="Z784" s="11"/>
      <c r="AA784" s="11"/>
      <c r="AB784" s="38"/>
      <c r="AC784" s="38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</row>
    <row r="785" spans="1:61" ht="1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38"/>
      <c r="Y785" s="11"/>
      <c r="Z785" s="11"/>
      <c r="AA785" s="11"/>
      <c r="AB785" s="38"/>
      <c r="AC785" s="38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</row>
    <row r="786" spans="1:61" ht="1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38"/>
      <c r="Y786" s="11"/>
      <c r="Z786" s="11"/>
      <c r="AA786" s="11"/>
      <c r="AB786" s="38"/>
      <c r="AC786" s="38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</row>
    <row r="787" spans="1:61" ht="1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38"/>
      <c r="Y787" s="11"/>
      <c r="Z787" s="11"/>
      <c r="AA787" s="11"/>
      <c r="AB787" s="38"/>
      <c r="AC787" s="38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</row>
    <row r="788" spans="1:61" ht="1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38"/>
      <c r="Y788" s="11"/>
      <c r="Z788" s="11"/>
      <c r="AA788" s="11"/>
      <c r="AB788" s="38"/>
      <c r="AC788" s="38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</row>
    <row r="789" spans="1:61" ht="1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38"/>
      <c r="Y789" s="11"/>
      <c r="Z789" s="11"/>
      <c r="AA789" s="11"/>
      <c r="AB789" s="38"/>
      <c r="AC789" s="38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</row>
    <row r="790" spans="1:61" ht="1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38"/>
      <c r="Y790" s="11"/>
      <c r="Z790" s="11"/>
      <c r="AA790" s="11"/>
      <c r="AB790" s="38"/>
      <c r="AC790" s="38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</row>
    <row r="791" spans="1:61" ht="1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38"/>
      <c r="Y791" s="11"/>
      <c r="Z791" s="11"/>
      <c r="AA791" s="11"/>
      <c r="AB791" s="38"/>
      <c r="AC791" s="38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</row>
    <row r="792" spans="1:61" ht="1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38"/>
      <c r="Y792" s="11"/>
      <c r="Z792" s="11"/>
      <c r="AA792" s="11"/>
      <c r="AB792" s="38"/>
      <c r="AC792" s="38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</row>
    <row r="793" spans="1:61" ht="1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38"/>
      <c r="Y793" s="11"/>
      <c r="Z793" s="11"/>
      <c r="AA793" s="11"/>
      <c r="AB793" s="38"/>
      <c r="AC793" s="38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</row>
    <row r="794" spans="1:61" ht="1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38"/>
      <c r="Y794" s="11"/>
      <c r="Z794" s="11"/>
      <c r="AA794" s="11"/>
      <c r="AB794" s="38"/>
      <c r="AC794" s="38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</row>
    <row r="795" spans="1:61" ht="1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38"/>
      <c r="Y795" s="11"/>
      <c r="Z795" s="11"/>
      <c r="AA795" s="11"/>
      <c r="AB795" s="38"/>
      <c r="AC795" s="38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</row>
    <row r="796" spans="1:61" ht="1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38"/>
      <c r="Y796" s="11"/>
      <c r="Z796" s="11"/>
      <c r="AA796" s="11"/>
      <c r="AB796" s="38"/>
      <c r="AC796" s="38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</row>
    <row r="797" spans="1:61" ht="1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38"/>
      <c r="Y797" s="11"/>
      <c r="Z797" s="11"/>
      <c r="AA797" s="11"/>
      <c r="AB797" s="38"/>
      <c r="AC797" s="38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</row>
    <row r="798" spans="1:61" ht="1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38"/>
      <c r="Y798" s="11"/>
      <c r="Z798" s="11"/>
      <c r="AA798" s="11"/>
      <c r="AB798" s="38"/>
      <c r="AC798" s="38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</row>
    <row r="799" spans="1:61" ht="1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38"/>
      <c r="Y799" s="11"/>
      <c r="Z799" s="11"/>
      <c r="AA799" s="11"/>
      <c r="AB799" s="38"/>
      <c r="AC799" s="38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</row>
    <row r="800" spans="1:61" ht="1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38"/>
      <c r="Y800" s="11"/>
      <c r="Z800" s="11"/>
      <c r="AA800" s="11"/>
      <c r="AB800" s="38"/>
      <c r="AC800" s="38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</row>
    <row r="801" spans="1:61" ht="1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38"/>
      <c r="Y801" s="11"/>
      <c r="Z801" s="11"/>
      <c r="AA801" s="11"/>
      <c r="AB801" s="38"/>
      <c r="AC801" s="38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</row>
    <row r="802" spans="1:61" ht="1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38"/>
      <c r="Y802" s="11"/>
      <c r="Z802" s="11"/>
      <c r="AA802" s="11"/>
      <c r="AB802" s="38"/>
      <c r="AC802" s="38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</row>
    <row r="803" spans="1:61" ht="1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38"/>
      <c r="Y803" s="11"/>
      <c r="Z803" s="11"/>
      <c r="AA803" s="11"/>
      <c r="AB803" s="38"/>
      <c r="AC803" s="38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</row>
    <row r="804" spans="1:61" ht="1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38"/>
      <c r="Y804" s="11"/>
      <c r="Z804" s="11"/>
      <c r="AA804" s="11"/>
      <c r="AB804" s="38"/>
      <c r="AC804" s="38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</row>
    <row r="805" spans="1:61" ht="1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38"/>
      <c r="Y805" s="11"/>
      <c r="Z805" s="11"/>
      <c r="AA805" s="11"/>
      <c r="AB805" s="38"/>
      <c r="AC805" s="38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</row>
    <row r="806" spans="1:61" ht="1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38"/>
      <c r="Y806" s="11"/>
      <c r="Z806" s="11"/>
      <c r="AA806" s="11"/>
      <c r="AB806" s="38"/>
      <c r="AC806" s="38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</row>
    <row r="807" spans="1:61" ht="1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38"/>
      <c r="Y807" s="11"/>
      <c r="Z807" s="11"/>
      <c r="AA807" s="11"/>
      <c r="AB807" s="38"/>
      <c r="AC807" s="38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</row>
    <row r="808" spans="1:61" ht="1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38"/>
      <c r="Y808" s="11"/>
      <c r="Z808" s="11"/>
      <c r="AA808" s="11"/>
      <c r="AB808" s="38"/>
      <c r="AC808" s="38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</row>
    <row r="809" spans="1:61" ht="1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38"/>
      <c r="Y809" s="11"/>
      <c r="Z809" s="11"/>
      <c r="AA809" s="11"/>
      <c r="AB809" s="38"/>
      <c r="AC809" s="38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</row>
    <row r="810" spans="1:61" ht="1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38"/>
      <c r="Y810" s="11"/>
      <c r="Z810" s="11"/>
      <c r="AA810" s="11"/>
      <c r="AB810" s="38"/>
      <c r="AC810" s="38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</row>
    <row r="811" spans="1:61" ht="1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38"/>
      <c r="Y811" s="11"/>
      <c r="Z811" s="11"/>
      <c r="AA811" s="11"/>
      <c r="AB811" s="38"/>
      <c r="AC811" s="38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</row>
    <row r="812" spans="1:61" ht="1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38"/>
      <c r="Y812" s="11"/>
      <c r="Z812" s="11"/>
      <c r="AA812" s="11"/>
      <c r="AB812" s="38"/>
      <c r="AC812" s="38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</row>
    <row r="813" spans="1:61" ht="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38"/>
      <c r="Y813" s="11"/>
      <c r="Z813" s="11"/>
      <c r="AA813" s="11"/>
      <c r="AB813" s="38"/>
      <c r="AC813" s="38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</row>
    <row r="814" spans="1:61" ht="1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38"/>
      <c r="Y814" s="11"/>
      <c r="Z814" s="11"/>
      <c r="AA814" s="11"/>
      <c r="AB814" s="38"/>
      <c r="AC814" s="38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</row>
    <row r="815" spans="1:61" ht="1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38"/>
      <c r="Y815" s="11"/>
      <c r="Z815" s="11"/>
      <c r="AA815" s="11"/>
      <c r="AB815" s="38"/>
      <c r="AC815" s="38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</row>
    <row r="816" spans="1:61" ht="1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38"/>
      <c r="Y816" s="11"/>
      <c r="Z816" s="11"/>
      <c r="AA816" s="11"/>
      <c r="AB816" s="38"/>
      <c r="AC816" s="38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</row>
    <row r="817" spans="1:61" ht="1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38"/>
      <c r="Y817" s="11"/>
      <c r="Z817" s="11"/>
      <c r="AA817" s="11"/>
      <c r="AB817" s="38"/>
      <c r="AC817" s="38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</row>
    <row r="818" spans="1:61" ht="1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38"/>
      <c r="Y818" s="11"/>
      <c r="Z818" s="11"/>
      <c r="AA818" s="11"/>
      <c r="AB818" s="38"/>
      <c r="AC818" s="38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</row>
    <row r="819" spans="1:61" ht="1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38"/>
      <c r="Y819" s="11"/>
      <c r="Z819" s="11"/>
      <c r="AA819" s="11"/>
      <c r="AB819" s="38"/>
      <c r="AC819" s="38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</row>
    <row r="820" spans="1:61" ht="1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38"/>
      <c r="Y820" s="11"/>
      <c r="Z820" s="11"/>
      <c r="AA820" s="11"/>
      <c r="AB820" s="38"/>
      <c r="AC820" s="38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</row>
    <row r="821" spans="1:61" ht="1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38"/>
      <c r="Y821" s="11"/>
      <c r="Z821" s="11"/>
      <c r="AA821" s="11"/>
      <c r="AB821" s="38"/>
      <c r="AC821" s="38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</row>
    <row r="822" spans="1:61" ht="1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38"/>
      <c r="Y822" s="11"/>
      <c r="Z822" s="11"/>
      <c r="AA822" s="11"/>
      <c r="AB822" s="38"/>
      <c r="AC822" s="38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</row>
    <row r="823" spans="1:61" ht="1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38"/>
      <c r="Y823" s="11"/>
      <c r="Z823" s="11"/>
      <c r="AA823" s="11"/>
      <c r="AB823" s="38"/>
      <c r="AC823" s="38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</row>
    <row r="824" spans="1:61" ht="1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38"/>
      <c r="Y824" s="11"/>
      <c r="Z824" s="11"/>
      <c r="AA824" s="11"/>
      <c r="AB824" s="38"/>
      <c r="AC824" s="38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</row>
    <row r="825" spans="1:61" ht="1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38"/>
      <c r="Y825" s="11"/>
      <c r="Z825" s="11"/>
      <c r="AA825" s="11"/>
      <c r="AB825" s="38"/>
      <c r="AC825" s="38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</row>
    <row r="826" spans="1:61" ht="1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38"/>
      <c r="Y826" s="11"/>
      <c r="Z826" s="11"/>
      <c r="AA826" s="11"/>
      <c r="AB826" s="38"/>
      <c r="AC826" s="38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</row>
    <row r="827" spans="1:61" ht="1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38"/>
      <c r="Y827" s="11"/>
      <c r="Z827" s="11"/>
      <c r="AA827" s="11"/>
      <c r="AB827" s="38"/>
      <c r="AC827" s="38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</row>
    <row r="828" spans="1:61" ht="1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38"/>
      <c r="Y828" s="11"/>
      <c r="Z828" s="11"/>
      <c r="AA828" s="11"/>
      <c r="AB828" s="38"/>
      <c r="AC828" s="38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</row>
    <row r="829" spans="1:61" ht="1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38"/>
      <c r="Y829" s="11"/>
      <c r="Z829" s="11"/>
      <c r="AA829" s="11"/>
      <c r="AB829" s="38"/>
      <c r="AC829" s="38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</row>
    <row r="830" spans="1:61" ht="1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38"/>
      <c r="Y830" s="11"/>
      <c r="Z830" s="11"/>
      <c r="AA830" s="11"/>
      <c r="AB830" s="38"/>
      <c r="AC830" s="38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</row>
    <row r="831" spans="1:61" ht="1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38"/>
      <c r="Y831" s="11"/>
      <c r="Z831" s="11"/>
      <c r="AA831" s="11"/>
      <c r="AB831" s="38"/>
      <c r="AC831" s="38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</row>
    <row r="832" spans="1:61" ht="1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38"/>
      <c r="Y832" s="11"/>
      <c r="Z832" s="11"/>
      <c r="AA832" s="11"/>
      <c r="AB832" s="38"/>
      <c r="AC832" s="38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</row>
    <row r="833" spans="1:61" ht="1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38"/>
      <c r="Y833" s="11"/>
      <c r="Z833" s="11"/>
      <c r="AA833" s="11"/>
      <c r="AB833" s="38"/>
      <c r="AC833" s="38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</row>
    <row r="834" spans="1:61" ht="1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38"/>
      <c r="Y834" s="11"/>
      <c r="Z834" s="11"/>
      <c r="AA834" s="11"/>
      <c r="AB834" s="38"/>
      <c r="AC834" s="38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</row>
    <row r="835" spans="1:61" ht="1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38"/>
      <c r="Y835" s="11"/>
      <c r="Z835" s="11"/>
      <c r="AA835" s="11"/>
      <c r="AB835" s="38"/>
      <c r="AC835" s="38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</row>
    <row r="836" spans="1:61" ht="1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38"/>
      <c r="Y836" s="11"/>
      <c r="Z836" s="11"/>
      <c r="AA836" s="11"/>
      <c r="AB836" s="38"/>
      <c r="AC836" s="38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</row>
    <row r="837" spans="1:61" ht="1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38"/>
      <c r="Y837" s="11"/>
      <c r="Z837" s="11"/>
      <c r="AA837" s="11"/>
      <c r="AB837" s="38"/>
      <c r="AC837" s="38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</row>
    <row r="838" spans="1:61" ht="1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38"/>
      <c r="Y838" s="11"/>
      <c r="Z838" s="11"/>
      <c r="AA838" s="11"/>
      <c r="AB838" s="38"/>
      <c r="AC838" s="38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</row>
    <row r="839" spans="1:61" ht="1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38"/>
      <c r="Y839" s="11"/>
      <c r="Z839" s="11"/>
      <c r="AA839" s="11"/>
      <c r="AB839" s="38"/>
      <c r="AC839" s="38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</row>
    <row r="840" spans="1:61" ht="1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38"/>
      <c r="Y840" s="11"/>
      <c r="Z840" s="11"/>
      <c r="AA840" s="11"/>
      <c r="AB840" s="38"/>
      <c r="AC840" s="38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</row>
    <row r="841" spans="1:61" ht="1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38"/>
      <c r="Y841" s="11"/>
      <c r="Z841" s="11"/>
      <c r="AA841" s="11"/>
      <c r="AB841" s="38"/>
      <c r="AC841" s="38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</row>
    <row r="842" spans="1:61" ht="1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38"/>
      <c r="Y842" s="11"/>
      <c r="Z842" s="11"/>
      <c r="AA842" s="11"/>
      <c r="AB842" s="38"/>
      <c r="AC842" s="38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</row>
    <row r="843" spans="1:61" ht="1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38"/>
      <c r="Y843" s="11"/>
      <c r="Z843" s="11"/>
      <c r="AA843" s="11"/>
      <c r="AB843" s="38"/>
      <c r="AC843" s="38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</row>
    <row r="844" spans="1:61" ht="1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38"/>
      <c r="Y844" s="11"/>
      <c r="Z844" s="11"/>
      <c r="AA844" s="11"/>
      <c r="AB844" s="38"/>
      <c r="AC844" s="38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</row>
    <row r="845" spans="1:61" ht="1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38"/>
      <c r="Y845" s="11"/>
      <c r="Z845" s="11"/>
      <c r="AA845" s="11"/>
      <c r="AB845" s="38"/>
      <c r="AC845" s="38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</row>
    <row r="846" spans="1:61" ht="1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38"/>
      <c r="Y846" s="11"/>
      <c r="Z846" s="11"/>
      <c r="AA846" s="11"/>
      <c r="AB846" s="38"/>
      <c r="AC846" s="38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</row>
    <row r="847" spans="1:61" ht="1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38"/>
      <c r="Y847" s="11"/>
      <c r="Z847" s="11"/>
      <c r="AA847" s="11"/>
      <c r="AB847" s="38"/>
      <c r="AC847" s="38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</row>
    <row r="848" spans="1:61" ht="1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38"/>
      <c r="Y848" s="11"/>
      <c r="Z848" s="11"/>
      <c r="AA848" s="11"/>
      <c r="AB848" s="38"/>
      <c r="AC848" s="38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</row>
    <row r="849" spans="1:61" ht="1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38"/>
      <c r="Y849" s="11"/>
      <c r="Z849" s="11"/>
      <c r="AA849" s="11"/>
      <c r="AB849" s="38"/>
      <c r="AC849" s="38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</row>
    <row r="850" spans="1:61" ht="1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38"/>
      <c r="Y850" s="11"/>
      <c r="Z850" s="11"/>
      <c r="AA850" s="11"/>
      <c r="AB850" s="38"/>
      <c r="AC850" s="38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</row>
    <row r="851" spans="1:61" ht="1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38"/>
      <c r="Y851" s="11"/>
      <c r="Z851" s="11"/>
      <c r="AA851" s="11"/>
      <c r="AB851" s="38"/>
      <c r="AC851" s="38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</row>
    <row r="852" spans="1:61" ht="1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38"/>
      <c r="Y852" s="11"/>
      <c r="Z852" s="11"/>
      <c r="AA852" s="11"/>
      <c r="AB852" s="38"/>
      <c r="AC852" s="38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</row>
    <row r="853" spans="1:61" ht="1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38"/>
      <c r="Y853" s="11"/>
      <c r="Z853" s="11"/>
      <c r="AA853" s="11"/>
      <c r="AB853" s="38"/>
      <c r="AC853" s="38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</row>
    <row r="854" spans="1:61" ht="1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38"/>
      <c r="Y854" s="11"/>
      <c r="Z854" s="11"/>
      <c r="AA854" s="11"/>
      <c r="AB854" s="38"/>
      <c r="AC854" s="38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</row>
    <row r="855" spans="1:61" ht="1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38"/>
      <c r="Y855" s="11"/>
      <c r="Z855" s="11"/>
      <c r="AA855" s="11"/>
      <c r="AB855" s="38"/>
      <c r="AC855" s="38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</row>
    <row r="856" spans="1:61" ht="1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38"/>
      <c r="Y856" s="11"/>
      <c r="Z856" s="11"/>
      <c r="AA856" s="11"/>
      <c r="AB856" s="38"/>
      <c r="AC856" s="38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</row>
    <row r="857" spans="1:61" ht="1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38"/>
      <c r="Y857" s="11"/>
      <c r="Z857" s="11"/>
      <c r="AA857" s="11"/>
      <c r="AB857" s="38"/>
      <c r="AC857" s="38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</row>
    <row r="858" spans="1:61" ht="1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38"/>
      <c r="Y858" s="11"/>
      <c r="Z858" s="11"/>
      <c r="AA858" s="11"/>
      <c r="AB858" s="38"/>
      <c r="AC858" s="38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</row>
    <row r="859" spans="1:61" ht="1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38"/>
      <c r="Y859" s="11"/>
      <c r="Z859" s="11"/>
      <c r="AA859" s="11"/>
      <c r="AB859" s="38"/>
      <c r="AC859" s="38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</row>
    <row r="860" spans="1:61" ht="1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38"/>
      <c r="Y860" s="11"/>
      <c r="Z860" s="11"/>
      <c r="AA860" s="11"/>
      <c r="AB860" s="38"/>
      <c r="AC860" s="38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</row>
    <row r="861" spans="1:61" ht="1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38"/>
      <c r="Y861" s="11"/>
      <c r="Z861" s="11"/>
      <c r="AA861" s="11"/>
      <c r="AB861" s="38"/>
      <c r="AC861" s="38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</row>
    <row r="862" spans="1:61" ht="1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38"/>
      <c r="Y862" s="11"/>
      <c r="Z862" s="11"/>
      <c r="AA862" s="11"/>
      <c r="AB862" s="38"/>
      <c r="AC862" s="38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</row>
    <row r="863" spans="1:61" ht="1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38"/>
      <c r="Y863" s="11"/>
      <c r="Z863" s="11"/>
      <c r="AA863" s="11"/>
      <c r="AB863" s="38"/>
      <c r="AC863" s="38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</row>
    <row r="864" spans="1:61" ht="1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38"/>
      <c r="Y864" s="11"/>
      <c r="Z864" s="11"/>
      <c r="AA864" s="11"/>
      <c r="AB864" s="38"/>
      <c r="AC864" s="38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</row>
    <row r="865" spans="1:61" ht="1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38"/>
      <c r="Y865" s="11"/>
      <c r="Z865" s="11"/>
      <c r="AA865" s="11"/>
      <c r="AB865" s="38"/>
      <c r="AC865" s="38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</row>
    <row r="866" spans="1:61" ht="1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38"/>
      <c r="Y866" s="11"/>
      <c r="Z866" s="11"/>
      <c r="AA866" s="11"/>
      <c r="AB866" s="38"/>
      <c r="AC866" s="38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</row>
    <row r="867" spans="1:61" ht="1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38"/>
      <c r="Y867" s="11"/>
      <c r="Z867" s="11"/>
      <c r="AA867" s="11"/>
      <c r="AB867" s="38"/>
      <c r="AC867" s="38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</row>
    <row r="868" spans="1:61" ht="1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38"/>
      <c r="Y868" s="11"/>
      <c r="Z868" s="11"/>
      <c r="AA868" s="11"/>
      <c r="AB868" s="38"/>
      <c r="AC868" s="38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</row>
    <row r="869" spans="1:61" ht="1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38"/>
      <c r="Y869" s="11"/>
      <c r="Z869" s="11"/>
      <c r="AA869" s="11"/>
      <c r="AB869" s="38"/>
      <c r="AC869" s="38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</row>
    <row r="870" spans="1:61" ht="1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38"/>
      <c r="Y870" s="11"/>
      <c r="Z870" s="11"/>
      <c r="AA870" s="11"/>
      <c r="AB870" s="38"/>
      <c r="AC870" s="38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</row>
    <row r="871" spans="1:61" ht="1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38"/>
      <c r="Y871" s="11"/>
      <c r="Z871" s="11"/>
      <c r="AA871" s="11"/>
      <c r="AB871" s="38"/>
      <c r="AC871" s="38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</row>
    <row r="872" spans="1:61" ht="1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38"/>
      <c r="Y872" s="11"/>
      <c r="Z872" s="11"/>
      <c r="AA872" s="11"/>
      <c r="AB872" s="38"/>
      <c r="AC872" s="38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</row>
    <row r="873" spans="1:61" ht="1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38"/>
      <c r="Y873" s="11"/>
      <c r="Z873" s="11"/>
      <c r="AA873" s="11"/>
      <c r="AB873" s="38"/>
      <c r="AC873" s="38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</row>
    <row r="874" spans="1:61" ht="1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38"/>
      <c r="Y874" s="11"/>
      <c r="Z874" s="11"/>
      <c r="AA874" s="11"/>
      <c r="AB874" s="38"/>
      <c r="AC874" s="38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</row>
    <row r="875" spans="1:61" ht="1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38"/>
      <c r="Y875" s="11"/>
      <c r="Z875" s="11"/>
      <c r="AA875" s="11"/>
      <c r="AB875" s="38"/>
      <c r="AC875" s="38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</row>
    <row r="876" spans="1:61" ht="1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38"/>
      <c r="Y876" s="11"/>
      <c r="Z876" s="11"/>
      <c r="AA876" s="11"/>
      <c r="AB876" s="38"/>
      <c r="AC876" s="38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</row>
    <row r="877" spans="1:61" ht="1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38"/>
      <c r="Y877" s="11"/>
      <c r="Z877" s="11"/>
      <c r="AA877" s="11"/>
      <c r="AB877" s="38"/>
      <c r="AC877" s="38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</row>
    <row r="878" spans="1:61" ht="1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38"/>
      <c r="Y878" s="11"/>
      <c r="Z878" s="11"/>
      <c r="AA878" s="11"/>
      <c r="AB878" s="38"/>
      <c r="AC878" s="38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</row>
    <row r="879" spans="1:61" ht="1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38"/>
      <c r="Y879" s="11"/>
      <c r="Z879" s="11"/>
      <c r="AA879" s="11"/>
      <c r="AB879" s="38"/>
      <c r="AC879" s="38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</row>
    <row r="880" spans="1:61" ht="1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38"/>
      <c r="Y880" s="11"/>
      <c r="Z880" s="11"/>
      <c r="AA880" s="11"/>
      <c r="AB880" s="38"/>
      <c r="AC880" s="38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</row>
    <row r="881" spans="1:61" ht="1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38"/>
      <c r="Y881" s="11"/>
      <c r="Z881" s="11"/>
      <c r="AA881" s="11"/>
      <c r="AB881" s="38"/>
      <c r="AC881" s="38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</row>
    <row r="882" spans="1:61" ht="1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38"/>
      <c r="Y882" s="11"/>
      <c r="Z882" s="11"/>
      <c r="AA882" s="11"/>
      <c r="AB882" s="38"/>
      <c r="AC882" s="38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</row>
    <row r="883" spans="1:61" ht="1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38"/>
      <c r="Y883" s="11"/>
      <c r="Z883" s="11"/>
      <c r="AA883" s="11"/>
      <c r="AB883" s="38"/>
      <c r="AC883" s="38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</row>
    <row r="884" spans="1:61" ht="1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38"/>
      <c r="Y884" s="11"/>
      <c r="Z884" s="11"/>
      <c r="AA884" s="11"/>
      <c r="AB884" s="38"/>
      <c r="AC884" s="38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</row>
    <row r="885" spans="1:61" ht="1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38"/>
      <c r="Y885" s="11"/>
      <c r="Z885" s="11"/>
      <c r="AA885" s="11"/>
      <c r="AB885" s="38"/>
      <c r="AC885" s="38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</row>
    <row r="886" spans="1:61" ht="1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38"/>
      <c r="Y886" s="11"/>
      <c r="Z886" s="11"/>
      <c r="AA886" s="11"/>
      <c r="AB886" s="38"/>
      <c r="AC886" s="38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</row>
    <row r="887" spans="1:61" ht="1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38"/>
      <c r="Y887" s="11"/>
      <c r="Z887" s="11"/>
      <c r="AA887" s="11"/>
      <c r="AB887" s="38"/>
      <c r="AC887" s="38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</row>
    <row r="888" spans="1:61" ht="1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38"/>
      <c r="Y888" s="11"/>
      <c r="Z888" s="11"/>
      <c r="AA888" s="11"/>
      <c r="AB888" s="38"/>
      <c r="AC888" s="38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</row>
    <row r="889" spans="1:61" ht="1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38"/>
      <c r="Y889" s="11"/>
      <c r="Z889" s="11"/>
      <c r="AA889" s="11"/>
      <c r="AB889" s="38"/>
      <c r="AC889" s="38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</row>
    <row r="890" spans="1:61" ht="1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38"/>
      <c r="Y890" s="11"/>
      <c r="Z890" s="11"/>
      <c r="AA890" s="11"/>
      <c r="AB890" s="38"/>
      <c r="AC890" s="38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</row>
    <row r="891" spans="1:61" ht="1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38"/>
      <c r="Y891" s="11"/>
      <c r="Z891" s="11"/>
      <c r="AA891" s="11"/>
      <c r="AB891" s="38"/>
      <c r="AC891" s="38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</row>
    <row r="892" spans="1:61" ht="1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38"/>
      <c r="Y892" s="11"/>
      <c r="Z892" s="11"/>
      <c r="AA892" s="11"/>
      <c r="AB892" s="38"/>
      <c r="AC892" s="38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</row>
    <row r="893" spans="1:61" ht="1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38"/>
      <c r="Y893" s="11"/>
      <c r="Z893" s="11"/>
      <c r="AA893" s="11"/>
      <c r="AB893" s="38"/>
      <c r="AC893" s="38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</row>
    <row r="894" spans="1:61" ht="1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38"/>
      <c r="Y894" s="11"/>
      <c r="Z894" s="11"/>
      <c r="AA894" s="11"/>
      <c r="AB894" s="38"/>
      <c r="AC894" s="38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</row>
    <row r="895" spans="1:61" ht="1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38"/>
      <c r="Y895" s="11"/>
      <c r="Z895" s="11"/>
      <c r="AA895" s="11"/>
      <c r="AB895" s="38"/>
      <c r="AC895" s="38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</row>
    <row r="896" spans="1:61" ht="1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38"/>
      <c r="Y896" s="11"/>
      <c r="Z896" s="11"/>
      <c r="AA896" s="11"/>
      <c r="AB896" s="38"/>
      <c r="AC896" s="38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</row>
    <row r="897" spans="1:61" ht="1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38"/>
      <c r="Y897" s="11"/>
      <c r="Z897" s="11"/>
      <c r="AA897" s="11"/>
      <c r="AB897" s="38"/>
      <c r="AC897" s="38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</row>
    <row r="898" spans="1:61" ht="1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38"/>
      <c r="Y898" s="11"/>
      <c r="Z898" s="11"/>
      <c r="AA898" s="11"/>
      <c r="AB898" s="38"/>
      <c r="AC898" s="38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</row>
    <row r="899" spans="1:61" ht="1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38"/>
      <c r="Y899" s="11"/>
      <c r="Z899" s="11"/>
      <c r="AA899" s="11"/>
      <c r="AB899" s="38"/>
      <c r="AC899" s="38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</row>
    <row r="900" spans="1:61" ht="1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38"/>
      <c r="Y900" s="11"/>
      <c r="Z900" s="11"/>
      <c r="AA900" s="11"/>
      <c r="AB900" s="38"/>
      <c r="AC900" s="38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</row>
    <row r="901" spans="1:61" ht="1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38"/>
      <c r="Y901" s="11"/>
      <c r="Z901" s="11"/>
      <c r="AA901" s="11"/>
      <c r="AB901" s="38"/>
      <c r="AC901" s="38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</row>
    <row r="902" spans="1:61" ht="1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38"/>
      <c r="Y902" s="11"/>
      <c r="Z902" s="11"/>
      <c r="AA902" s="11"/>
      <c r="AB902" s="38"/>
      <c r="AC902" s="38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</row>
    <row r="903" spans="1:61" ht="1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38"/>
      <c r="Y903" s="11"/>
      <c r="Z903" s="11"/>
      <c r="AA903" s="11"/>
      <c r="AB903" s="38"/>
      <c r="AC903" s="38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</row>
    <row r="904" spans="1:61" ht="1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38"/>
      <c r="Y904" s="11"/>
      <c r="Z904" s="11"/>
      <c r="AA904" s="11"/>
      <c r="AB904" s="38"/>
      <c r="AC904" s="38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</row>
    <row r="905" spans="1:61" ht="1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38"/>
      <c r="Y905" s="11"/>
      <c r="Z905" s="11"/>
      <c r="AA905" s="11"/>
      <c r="AB905" s="38"/>
      <c r="AC905" s="38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</row>
    <row r="906" spans="1:61" ht="1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38"/>
      <c r="Y906" s="11"/>
      <c r="Z906" s="11"/>
      <c r="AA906" s="11"/>
      <c r="AB906" s="38"/>
      <c r="AC906" s="38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</row>
    <row r="907" spans="1:61" ht="1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38"/>
      <c r="Y907" s="11"/>
      <c r="Z907" s="11"/>
      <c r="AA907" s="11"/>
      <c r="AB907" s="38"/>
      <c r="AC907" s="38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</row>
    <row r="908" spans="1:61" ht="1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38"/>
      <c r="Y908" s="11"/>
      <c r="Z908" s="11"/>
      <c r="AA908" s="11"/>
      <c r="AB908" s="38"/>
      <c r="AC908" s="38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</row>
    <row r="909" spans="1:61" ht="1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38"/>
      <c r="Y909" s="11"/>
      <c r="Z909" s="11"/>
      <c r="AA909" s="11"/>
      <c r="AB909" s="38"/>
      <c r="AC909" s="38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</row>
    <row r="910" spans="1:61" ht="1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38"/>
      <c r="Y910" s="11"/>
      <c r="Z910" s="11"/>
      <c r="AA910" s="11"/>
      <c r="AB910" s="38"/>
      <c r="AC910" s="38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</row>
    <row r="911" spans="1:61" ht="1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38"/>
      <c r="Y911" s="11"/>
      <c r="Z911" s="11"/>
      <c r="AA911" s="11"/>
      <c r="AB911" s="38"/>
      <c r="AC911" s="38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</row>
    <row r="912" spans="1:61" ht="1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38"/>
      <c r="Y912" s="11"/>
      <c r="Z912" s="11"/>
      <c r="AA912" s="11"/>
      <c r="AB912" s="38"/>
      <c r="AC912" s="38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</row>
    <row r="913" spans="1:61" ht="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38"/>
      <c r="Y913" s="11"/>
      <c r="Z913" s="11"/>
      <c r="AA913" s="11"/>
      <c r="AB913" s="38"/>
      <c r="AC913" s="38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</row>
    <row r="914" spans="1:61" ht="1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38"/>
      <c r="Y914" s="11"/>
      <c r="Z914" s="11"/>
      <c r="AA914" s="11"/>
      <c r="AB914" s="38"/>
      <c r="AC914" s="38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</row>
    <row r="915" spans="1:61" ht="1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38"/>
      <c r="Y915" s="11"/>
      <c r="Z915" s="11"/>
      <c r="AA915" s="11"/>
      <c r="AB915" s="38"/>
      <c r="AC915" s="38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</row>
    <row r="916" spans="1:61" ht="1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38"/>
      <c r="Y916" s="11"/>
      <c r="Z916" s="11"/>
      <c r="AA916" s="11"/>
      <c r="AB916" s="38"/>
      <c r="AC916" s="38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</row>
    <row r="917" spans="1:61" ht="1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38"/>
      <c r="Y917" s="11"/>
      <c r="Z917" s="11"/>
      <c r="AA917" s="11"/>
      <c r="AB917" s="38"/>
      <c r="AC917" s="38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</row>
    <row r="918" spans="1:61" ht="1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38"/>
      <c r="Y918" s="11"/>
      <c r="Z918" s="11"/>
      <c r="AA918" s="11"/>
      <c r="AB918" s="38"/>
      <c r="AC918" s="38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</row>
    <row r="919" spans="1:61" ht="1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38"/>
      <c r="Y919" s="11"/>
      <c r="Z919" s="11"/>
      <c r="AA919" s="11"/>
      <c r="AB919" s="38"/>
      <c r="AC919" s="38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</row>
    <row r="920" spans="1:61" ht="1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38"/>
      <c r="Y920" s="11"/>
      <c r="Z920" s="11"/>
      <c r="AA920" s="11"/>
      <c r="AB920" s="38"/>
      <c r="AC920" s="38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</row>
    <row r="921" spans="1:61" ht="1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38"/>
      <c r="Y921" s="11"/>
      <c r="Z921" s="11"/>
      <c r="AA921" s="11"/>
      <c r="AB921" s="38"/>
      <c r="AC921" s="38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</row>
    <row r="922" spans="1:61" ht="1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38"/>
      <c r="Y922" s="11"/>
      <c r="Z922" s="11"/>
      <c r="AA922" s="11"/>
      <c r="AB922" s="38"/>
      <c r="AC922" s="38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</row>
    <row r="923" spans="1:61" ht="1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38"/>
      <c r="Y923" s="11"/>
      <c r="Z923" s="11"/>
      <c r="AA923" s="11"/>
      <c r="AB923" s="38"/>
      <c r="AC923" s="38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</row>
    <row r="924" spans="1:61" ht="1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38"/>
      <c r="Y924" s="11"/>
      <c r="Z924" s="11"/>
      <c r="AA924" s="11"/>
      <c r="AB924" s="38"/>
      <c r="AC924" s="38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</row>
    <row r="925" spans="1:61" ht="1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38"/>
      <c r="Y925" s="11"/>
      <c r="Z925" s="11"/>
      <c r="AA925" s="11"/>
      <c r="AB925" s="38"/>
      <c r="AC925" s="38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</row>
    <row r="926" spans="1:61" ht="1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38"/>
      <c r="Y926" s="11"/>
      <c r="Z926" s="11"/>
      <c r="AA926" s="11"/>
      <c r="AB926" s="38"/>
      <c r="AC926" s="38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</row>
    <row r="927" spans="1:61" ht="1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38"/>
      <c r="Y927" s="11"/>
      <c r="Z927" s="11"/>
      <c r="AA927" s="11"/>
      <c r="AB927" s="38"/>
      <c r="AC927" s="38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</row>
    <row r="928" spans="1:61" ht="1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38"/>
      <c r="Y928" s="11"/>
      <c r="Z928" s="11"/>
      <c r="AA928" s="11"/>
      <c r="AB928" s="38"/>
      <c r="AC928" s="38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</row>
    <row r="929" spans="1:61" ht="1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38"/>
      <c r="Y929" s="11"/>
      <c r="Z929" s="11"/>
      <c r="AA929" s="11"/>
      <c r="AB929" s="38"/>
      <c r="AC929" s="38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</row>
    <row r="930" spans="1:61" ht="1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38"/>
      <c r="Y930" s="11"/>
      <c r="Z930" s="11"/>
      <c r="AA930" s="11"/>
      <c r="AB930" s="38"/>
      <c r="AC930" s="38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</row>
    <row r="931" spans="1:61" ht="1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38"/>
      <c r="Y931" s="11"/>
      <c r="Z931" s="11"/>
      <c r="AA931" s="11"/>
      <c r="AB931" s="38"/>
      <c r="AC931" s="38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</row>
    <row r="932" spans="1:61" ht="1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38"/>
      <c r="Y932" s="11"/>
      <c r="Z932" s="11"/>
      <c r="AA932" s="11"/>
      <c r="AB932" s="38"/>
      <c r="AC932" s="38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</row>
    <row r="933" spans="1:61" ht="1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38"/>
      <c r="Y933" s="11"/>
      <c r="Z933" s="11"/>
      <c r="AA933" s="11"/>
      <c r="AB933" s="38"/>
      <c r="AC933" s="38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</row>
    <row r="934" spans="1:61" ht="1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38"/>
      <c r="Y934" s="11"/>
      <c r="Z934" s="11"/>
      <c r="AA934" s="11"/>
      <c r="AB934" s="38"/>
      <c r="AC934" s="38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</row>
    <row r="935" spans="1:61" ht="1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38"/>
      <c r="Y935" s="11"/>
      <c r="Z935" s="11"/>
      <c r="AA935" s="11"/>
      <c r="AB935" s="38"/>
      <c r="AC935" s="38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</row>
    <row r="936" spans="1:61" ht="1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38"/>
      <c r="Y936" s="11"/>
      <c r="Z936" s="11"/>
      <c r="AA936" s="11"/>
      <c r="AB936" s="38"/>
      <c r="AC936" s="38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</row>
    <row r="937" spans="1:61" ht="1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38"/>
      <c r="Y937" s="11"/>
      <c r="Z937" s="11"/>
      <c r="AA937" s="11"/>
      <c r="AB937" s="38"/>
      <c r="AC937" s="38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</row>
    <row r="938" spans="1:61" ht="1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38"/>
      <c r="Y938" s="11"/>
      <c r="Z938" s="11"/>
      <c r="AA938" s="11"/>
      <c r="AB938" s="38"/>
      <c r="AC938" s="38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</row>
    <row r="939" spans="1:61" ht="1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38"/>
      <c r="Y939" s="11"/>
      <c r="Z939" s="11"/>
      <c r="AA939" s="11"/>
      <c r="AB939" s="38"/>
      <c r="AC939" s="38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</row>
    <row r="940" spans="1:61" ht="1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38"/>
      <c r="Y940" s="11"/>
      <c r="Z940" s="11"/>
      <c r="AA940" s="11"/>
      <c r="AB940" s="38"/>
      <c r="AC940" s="38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</row>
    <row r="941" spans="1:61" ht="1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38"/>
      <c r="Y941" s="11"/>
      <c r="Z941" s="11"/>
      <c r="AA941" s="11"/>
      <c r="AB941" s="38"/>
      <c r="AC941" s="38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</row>
    <row r="942" spans="1:61" ht="1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38"/>
      <c r="Y942" s="11"/>
      <c r="Z942" s="11"/>
      <c r="AA942" s="11"/>
      <c r="AB942" s="38"/>
      <c r="AC942" s="38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</row>
    <row r="943" spans="1:61" ht="1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38"/>
      <c r="Y943" s="11"/>
      <c r="Z943" s="11"/>
      <c r="AA943" s="11"/>
      <c r="AB943" s="38"/>
      <c r="AC943" s="38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</row>
    <row r="944" spans="1:61" ht="1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38"/>
      <c r="Y944" s="11"/>
      <c r="Z944" s="11"/>
      <c r="AA944" s="11"/>
      <c r="AB944" s="38"/>
      <c r="AC944" s="38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</row>
    <row r="945" spans="1:61" ht="1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38"/>
      <c r="Y945" s="11"/>
      <c r="Z945" s="11"/>
      <c r="AA945" s="11"/>
      <c r="AB945" s="38"/>
      <c r="AC945" s="38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</row>
    <row r="946" spans="1:61" ht="1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38"/>
      <c r="Y946" s="11"/>
      <c r="Z946" s="11"/>
      <c r="AA946" s="11"/>
      <c r="AB946" s="38"/>
      <c r="AC946" s="38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</row>
    <row r="947" spans="1:61" ht="1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38"/>
      <c r="Y947" s="11"/>
      <c r="Z947" s="11"/>
      <c r="AA947" s="11"/>
      <c r="AB947" s="38"/>
      <c r="AC947" s="38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</row>
    <row r="948" spans="1:61" ht="1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38"/>
      <c r="Y948" s="11"/>
      <c r="Z948" s="11"/>
      <c r="AA948" s="11"/>
      <c r="AB948" s="38"/>
      <c r="AC948" s="38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</row>
    <row r="949" spans="1:61" ht="1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38"/>
      <c r="Y949" s="11"/>
      <c r="Z949" s="11"/>
      <c r="AA949" s="11"/>
      <c r="AB949" s="38"/>
      <c r="AC949" s="38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</row>
    <row r="950" spans="1:61" ht="1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38"/>
      <c r="Y950" s="11"/>
      <c r="Z950" s="11"/>
      <c r="AA950" s="11"/>
      <c r="AB950" s="38"/>
      <c r="AC950" s="38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</row>
    <row r="951" spans="1:61" ht="1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38"/>
      <c r="Y951" s="11"/>
      <c r="Z951" s="11"/>
      <c r="AA951" s="11"/>
      <c r="AB951" s="38"/>
      <c r="AC951" s="38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</row>
    <row r="952" spans="1:61" ht="1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38"/>
      <c r="Y952" s="11"/>
      <c r="Z952" s="11"/>
      <c r="AA952" s="11"/>
      <c r="AB952" s="38"/>
      <c r="AC952" s="38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</row>
    <row r="953" spans="1:61" ht="1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38"/>
      <c r="Y953" s="11"/>
      <c r="Z953" s="11"/>
      <c r="AA953" s="11"/>
      <c r="AB953" s="38"/>
      <c r="AC953" s="38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</row>
    <row r="954" spans="1:61" ht="1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38"/>
      <c r="Y954" s="11"/>
      <c r="Z954" s="11"/>
      <c r="AA954" s="11"/>
      <c r="AB954" s="38"/>
      <c r="AC954" s="38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</row>
    <row r="955" spans="1:61" ht="1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38"/>
      <c r="Y955" s="11"/>
      <c r="Z955" s="11"/>
      <c r="AA955" s="11"/>
      <c r="AB955" s="38"/>
      <c r="AC955" s="38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</row>
    <row r="956" spans="1:61" ht="1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38"/>
      <c r="Y956" s="11"/>
      <c r="Z956" s="11"/>
      <c r="AA956" s="11"/>
      <c r="AB956" s="38"/>
      <c r="AC956" s="38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</row>
    <row r="957" spans="1:61" ht="1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38"/>
      <c r="Y957" s="11"/>
      <c r="Z957" s="11"/>
      <c r="AA957" s="11"/>
      <c r="AB957" s="38"/>
      <c r="AC957" s="38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</row>
    <row r="958" spans="1:61" ht="1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38"/>
      <c r="Y958" s="11"/>
      <c r="Z958" s="11"/>
      <c r="AA958" s="11"/>
      <c r="AB958" s="38"/>
      <c r="AC958" s="38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</row>
    <row r="959" spans="1:61" ht="1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38"/>
      <c r="Y959" s="11"/>
      <c r="Z959" s="11"/>
      <c r="AA959" s="11"/>
      <c r="AB959" s="38"/>
      <c r="AC959" s="38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</row>
    <row r="960" spans="1:61" ht="1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38"/>
      <c r="Y960" s="11"/>
      <c r="Z960" s="11"/>
      <c r="AA960" s="11"/>
      <c r="AB960" s="38"/>
      <c r="AC960" s="38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</row>
    <row r="961" spans="1:61" ht="1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38"/>
      <c r="Y961" s="11"/>
      <c r="Z961" s="11"/>
      <c r="AA961" s="11"/>
      <c r="AB961" s="38"/>
      <c r="AC961" s="38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</row>
    <row r="962" spans="1:61" ht="1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38"/>
      <c r="Y962" s="11"/>
      <c r="Z962" s="11"/>
      <c r="AA962" s="11"/>
      <c r="AB962" s="38"/>
      <c r="AC962" s="38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</row>
    <row r="963" spans="1:61" ht="1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38"/>
      <c r="Y963" s="11"/>
      <c r="Z963" s="11"/>
      <c r="AA963" s="11"/>
      <c r="AB963" s="38"/>
      <c r="AC963" s="38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</row>
    <row r="964" spans="1:61" ht="1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38"/>
      <c r="Y964" s="11"/>
      <c r="Z964" s="11"/>
      <c r="AA964" s="11"/>
      <c r="AB964" s="38"/>
      <c r="AC964" s="38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</row>
    <row r="965" spans="1:61" ht="1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38"/>
      <c r="Y965" s="11"/>
      <c r="Z965" s="11"/>
      <c r="AA965" s="11"/>
      <c r="AB965" s="38"/>
      <c r="AC965" s="38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</row>
    <row r="966" spans="1:61" ht="1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38"/>
      <c r="Y966" s="11"/>
      <c r="Z966" s="11"/>
      <c r="AA966" s="11"/>
      <c r="AB966" s="38"/>
      <c r="AC966" s="38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</row>
    <row r="967" spans="1:61" ht="1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38"/>
      <c r="Y967" s="11"/>
      <c r="Z967" s="11"/>
      <c r="AA967" s="11"/>
      <c r="AB967" s="38"/>
      <c r="AC967" s="38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</row>
    <row r="968" spans="1:61" ht="1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38"/>
      <c r="Y968" s="11"/>
      <c r="Z968" s="11"/>
      <c r="AA968" s="11"/>
      <c r="AB968" s="38"/>
      <c r="AC968" s="38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</row>
    <row r="969" spans="1:61" ht="1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38"/>
      <c r="Y969" s="11"/>
      <c r="Z969" s="11"/>
      <c r="AA969" s="11"/>
      <c r="AB969" s="38"/>
      <c r="AC969" s="38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</row>
    <row r="970" spans="1:61" ht="1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38"/>
      <c r="Y970" s="11"/>
      <c r="Z970" s="11"/>
      <c r="AA970" s="11"/>
      <c r="AB970" s="38"/>
      <c r="AC970" s="38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</row>
    <row r="971" spans="1:61" ht="1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38"/>
      <c r="Y971" s="11"/>
      <c r="Z971" s="11"/>
      <c r="AA971" s="11"/>
      <c r="AB971" s="38"/>
      <c r="AC971" s="38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</row>
    <row r="972" spans="1:61" ht="1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38"/>
      <c r="Y972" s="11"/>
      <c r="Z972" s="11"/>
      <c r="AA972" s="11"/>
      <c r="AB972" s="38"/>
      <c r="AC972" s="38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</row>
    <row r="973" spans="1:61" ht="1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38"/>
      <c r="Y973" s="11"/>
      <c r="Z973" s="11"/>
      <c r="AA973" s="11"/>
      <c r="AB973" s="38"/>
      <c r="AC973" s="38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</row>
    <row r="974" spans="1:61" ht="1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38"/>
      <c r="Y974" s="11"/>
      <c r="Z974" s="11"/>
      <c r="AA974" s="11"/>
      <c r="AB974" s="38"/>
      <c r="AC974" s="38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</row>
    <row r="975" spans="1:61" ht="1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38"/>
      <c r="Y975" s="11"/>
      <c r="Z975" s="11"/>
      <c r="AA975" s="11"/>
      <c r="AB975" s="38"/>
      <c r="AC975" s="38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</row>
    <row r="976" spans="1:61" ht="1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38"/>
      <c r="Y976" s="11"/>
      <c r="Z976" s="11"/>
      <c r="AA976" s="11"/>
      <c r="AB976" s="38"/>
      <c r="AC976" s="38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</row>
    <row r="977" spans="1:61" ht="1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38"/>
      <c r="Y977" s="11"/>
      <c r="Z977" s="11"/>
      <c r="AA977" s="11"/>
      <c r="AB977" s="38"/>
      <c r="AC977" s="38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</row>
    <row r="978" spans="1:61" ht="1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38"/>
      <c r="Y978" s="11"/>
      <c r="Z978" s="11"/>
      <c r="AA978" s="11"/>
      <c r="AB978" s="38"/>
      <c r="AC978" s="38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</row>
    <row r="979" spans="1:61" ht="1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38"/>
      <c r="Y979" s="11"/>
      <c r="Z979" s="11"/>
      <c r="AA979" s="11"/>
      <c r="AB979" s="38"/>
      <c r="AC979" s="38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</row>
    <row r="980" spans="1:61" ht="1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38"/>
      <c r="Y980" s="11"/>
      <c r="Z980" s="11"/>
      <c r="AA980" s="11"/>
      <c r="AB980" s="38"/>
      <c r="AC980" s="38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</row>
    <row r="981" spans="1:61" ht="1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38"/>
      <c r="Y981" s="11"/>
      <c r="Z981" s="11"/>
      <c r="AA981" s="11"/>
      <c r="AB981" s="38"/>
      <c r="AC981" s="38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</row>
    <row r="982" spans="1:61" ht="1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38"/>
      <c r="Y982" s="11"/>
      <c r="Z982" s="11"/>
      <c r="AA982" s="11"/>
      <c r="AB982" s="38"/>
      <c r="AC982" s="38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</row>
    <row r="983" spans="1:61" ht="1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38"/>
      <c r="Y983" s="11"/>
      <c r="Z983" s="11"/>
      <c r="AA983" s="11"/>
      <c r="AB983" s="38"/>
      <c r="AC983" s="38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</row>
    <row r="984" spans="1:61" ht="1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38"/>
      <c r="Y984" s="11"/>
      <c r="Z984" s="11"/>
      <c r="AA984" s="11"/>
      <c r="AB984" s="38"/>
      <c r="AC984" s="38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</row>
    <row r="985" spans="1:61" ht="1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38"/>
      <c r="Y985" s="11"/>
      <c r="Z985" s="11"/>
      <c r="AA985" s="11"/>
      <c r="AB985" s="38"/>
      <c r="AC985" s="38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</row>
    <row r="986" spans="1:61" ht="1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38"/>
      <c r="Y986" s="11"/>
      <c r="Z986" s="11"/>
      <c r="AA986" s="11"/>
      <c r="AB986" s="38"/>
      <c r="AC986" s="38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</row>
    <row r="987" spans="1:61" ht="1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38"/>
      <c r="Y987" s="11"/>
      <c r="Z987" s="11"/>
      <c r="AA987" s="11"/>
      <c r="AB987" s="38"/>
      <c r="AC987" s="38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</row>
    <row r="988" spans="1:61" ht="1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38"/>
      <c r="Y988" s="11"/>
      <c r="Z988" s="11"/>
      <c r="AA988" s="11"/>
      <c r="AB988" s="38"/>
      <c r="AC988" s="38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</row>
    <row r="989" spans="1:61" ht="1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38"/>
      <c r="Y989" s="11"/>
      <c r="Z989" s="11"/>
      <c r="AA989" s="11"/>
      <c r="AB989" s="38"/>
      <c r="AC989" s="38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</row>
    <row r="990" spans="1:61" ht="1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38"/>
      <c r="Y990" s="11"/>
      <c r="Z990" s="11"/>
      <c r="AA990" s="11"/>
      <c r="AB990" s="38"/>
      <c r="AC990" s="38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</row>
    <row r="991" spans="1:61" ht="1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38"/>
      <c r="Y991" s="11"/>
      <c r="Z991" s="11"/>
      <c r="AA991" s="11"/>
      <c r="AB991" s="38"/>
      <c r="AC991" s="38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</row>
    <row r="992" spans="1:61" ht="1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38"/>
      <c r="Y992" s="11"/>
      <c r="Z992" s="11"/>
      <c r="AA992" s="11"/>
      <c r="AB992" s="38"/>
      <c r="AC992" s="38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</row>
    <row r="993" spans="1:61" ht="1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38"/>
      <c r="Y993" s="11"/>
      <c r="Z993" s="11"/>
      <c r="AA993" s="11"/>
      <c r="AB993" s="38"/>
      <c r="AC993" s="38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</row>
    <row r="994" spans="1:61" ht="1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38"/>
      <c r="Y994" s="11"/>
      <c r="Z994" s="11"/>
      <c r="AA994" s="11"/>
      <c r="AB994" s="38"/>
      <c r="AC994" s="38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</row>
    <row r="995" spans="1:61" ht="1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38"/>
      <c r="Y995" s="11"/>
      <c r="Z995" s="11"/>
      <c r="AA995" s="11"/>
      <c r="AB995" s="38"/>
      <c r="AC995" s="38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</row>
    <row r="996" spans="1:61" ht="1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38"/>
      <c r="Y996" s="11"/>
      <c r="Z996" s="11"/>
      <c r="AA996" s="11"/>
      <c r="AB996" s="38"/>
      <c r="AC996" s="38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</row>
    <row r="997" spans="1:61" ht="1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38"/>
      <c r="Y997" s="11"/>
      <c r="Z997" s="11"/>
      <c r="AA997" s="11"/>
      <c r="AB997" s="38"/>
      <c r="AC997" s="38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</row>
    <row r="998" spans="1:61" ht="1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38"/>
      <c r="Y998" s="11"/>
      <c r="Z998" s="11"/>
      <c r="AA998" s="11"/>
      <c r="AB998" s="38"/>
      <c r="AC998" s="38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</row>
    <row r="999" spans="1:61" ht="1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38"/>
      <c r="Y999" s="11"/>
      <c r="Z999" s="11"/>
      <c r="AA999" s="11"/>
      <c r="AB999" s="38"/>
      <c r="AC999" s="38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</row>
    <row r="1000" spans="1:61" ht="1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38"/>
      <c r="Y1000" s="11"/>
      <c r="Z1000" s="11"/>
      <c r="AA1000" s="11"/>
      <c r="AB1000" s="38"/>
      <c r="AC1000" s="38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</row>
    <row r="1001" spans="1:61" ht="13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38"/>
      <c r="Y1001" s="11"/>
      <c r="Z1001" s="11"/>
      <c r="AA1001" s="11"/>
      <c r="AB1001" s="38"/>
      <c r="AC1001" s="38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</row>
    <row r="1002" spans="1:61" ht="13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38"/>
      <c r="Y1002" s="11"/>
      <c r="Z1002" s="11"/>
      <c r="AA1002" s="11"/>
      <c r="AB1002" s="38"/>
      <c r="AC1002" s="38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</row>
    <row r="1003" spans="1:61" ht="1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38"/>
      <c r="Y1003" s="11"/>
      <c r="Z1003" s="11"/>
      <c r="AA1003" s="11"/>
      <c r="AB1003" s="38"/>
      <c r="AC1003" s="38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</row>
    <row r="1004" spans="1:61" ht="13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38"/>
      <c r="Y1004" s="11"/>
      <c r="Z1004" s="11"/>
      <c r="AA1004" s="11"/>
      <c r="AB1004" s="38"/>
      <c r="AC1004" s="38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</row>
    <row r="1005" spans="1:61" ht="13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38"/>
      <c r="Y1005" s="11"/>
      <c r="Z1005" s="11"/>
      <c r="AA1005" s="11"/>
      <c r="AB1005" s="38"/>
      <c r="AC1005" s="38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</row>
    <row r="1006" spans="1:61" ht="13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38"/>
      <c r="Y1006" s="11"/>
      <c r="Z1006" s="11"/>
      <c r="AA1006" s="11"/>
      <c r="AB1006" s="38"/>
      <c r="AC1006" s="38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</row>
  </sheetData>
  <conditionalFormatting sqref="AB2:AB31">
    <cfRule type="colorScale" priority="1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47"/>
  <sheetViews>
    <sheetView workbookViewId="0"/>
  </sheetViews>
  <sheetFormatPr baseColWidth="10" defaultColWidth="12.6640625" defaultRowHeight="15.75" customHeight="1"/>
  <cols>
    <col min="1" max="1" width="20.5" customWidth="1"/>
  </cols>
  <sheetData>
    <row r="1" spans="1:4" ht="15.75" customHeight="1">
      <c r="A1" s="52" t="s">
        <v>262</v>
      </c>
      <c r="B1" s="7" t="s">
        <v>263</v>
      </c>
      <c r="D1" s="7"/>
    </row>
    <row r="2" spans="1:4" ht="15.75" customHeight="1">
      <c r="A2" s="52" t="s">
        <v>0</v>
      </c>
      <c r="B2" s="7" t="s">
        <v>264</v>
      </c>
      <c r="D2" s="7"/>
    </row>
    <row r="3" spans="1:4" ht="15.75" customHeight="1">
      <c r="A3" s="52" t="s">
        <v>265</v>
      </c>
      <c r="B3" s="7" t="s">
        <v>266</v>
      </c>
      <c r="D3" s="7"/>
    </row>
    <row r="4" spans="1:4" ht="15.75" customHeight="1">
      <c r="A4" s="52" t="s">
        <v>267</v>
      </c>
      <c r="B4" s="7" t="s">
        <v>268</v>
      </c>
      <c r="D4" s="7"/>
    </row>
    <row r="5" spans="1:4" ht="15.75" customHeight="1">
      <c r="A5" s="52" t="s">
        <v>3</v>
      </c>
      <c r="B5" s="21" t="s">
        <v>269</v>
      </c>
      <c r="D5" s="7"/>
    </row>
    <row r="6" spans="1:4" ht="15.75" customHeight="1">
      <c r="A6" s="52" t="s">
        <v>4</v>
      </c>
      <c r="B6" s="7" t="s">
        <v>270</v>
      </c>
      <c r="D6" s="7"/>
    </row>
    <row r="7" spans="1:4" ht="15.75" customHeight="1">
      <c r="A7" s="156" t="s">
        <v>5</v>
      </c>
      <c r="B7" s="7" t="s">
        <v>271</v>
      </c>
      <c r="D7" s="7"/>
    </row>
    <row r="8" spans="1:4" ht="15.75" customHeight="1">
      <c r="A8" s="156" t="s">
        <v>6</v>
      </c>
      <c r="B8" s="7" t="s">
        <v>272</v>
      </c>
      <c r="D8" s="7"/>
    </row>
    <row r="9" spans="1:4" ht="15.75" customHeight="1">
      <c r="A9" s="156" t="s">
        <v>7</v>
      </c>
      <c r="B9" s="7" t="s">
        <v>273</v>
      </c>
      <c r="D9" s="7"/>
    </row>
    <row r="10" spans="1:4" ht="15.75" customHeight="1">
      <c r="A10" s="156" t="s">
        <v>204</v>
      </c>
      <c r="B10" s="7" t="s">
        <v>274</v>
      </c>
      <c r="D10" s="7"/>
    </row>
    <row r="11" spans="1:4" ht="15.75" customHeight="1">
      <c r="A11" s="156" t="s">
        <v>205</v>
      </c>
      <c r="B11" s="7" t="s">
        <v>275</v>
      </c>
      <c r="D11" s="7"/>
    </row>
    <row r="12" spans="1:4" ht="15.75" customHeight="1">
      <c r="A12" s="156" t="s">
        <v>12</v>
      </c>
      <c r="B12" s="7" t="s">
        <v>276</v>
      </c>
      <c r="D12" s="7"/>
    </row>
    <row r="13" spans="1:4" ht="15.75" customHeight="1">
      <c r="A13" s="156" t="s">
        <v>8</v>
      </c>
      <c r="B13" s="7" t="s">
        <v>277</v>
      </c>
      <c r="D13" s="7"/>
    </row>
    <row r="14" spans="1:4" ht="15.75" customHeight="1">
      <c r="A14" s="156" t="s">
        <v>9</v>
      </c>
      <c r="B14" s="7" t="s">
        <v>278</v>
      </c>
      <c r="D14" s="7"/>
    </row>
    <row r="15" spans="1:4" ht="15.75" customHeight="1">
      <c r="A15" s="156" t="s">
        <v>279</v>
      </c>
      <c r="B15" s="7" t="s">
        <v>280</v>
      </c>
      <c r="D15" s="7"/>
    </row>
    <row r="16" spans="1:4" ht="15.75" customHeight="1">
      <c r="A16" s="156" t="s">
        <v>281</v>
      </c>
      <c r="B16" s="7" t="s">
        <v>282</v>
      </c>
      <c r="D16" s="7"/>
    </row>
    <row r="17" spans="1:4" ht="15.75" customHeight="1">
      <c r="A17" s="156" t="s">
        <v>27</v>
      </c>
      <c r="B17" s="7" t="s">
        <v>283</v>
      </c>
      <c r="D17" s="7"/>
    </row>
    <row r="18" spans="1:4" ht="15.75" customHeight="1">
      <c r="A18" s="52" t="s">
        <v>284</v>
      </c>
      <c r="B18" s="7" t="s">
        <v>285</v>
      </c>
      <c r="D18" s="7"/>
    </row>
    <row r="19" spans="1:4" ht="15.75" customHeight="1">
      <c r="A19" s="7"/>
      <c r="D19" s="7"/>
    </row>
    <row r="20" spans="1:4" ht="15.75" customHeight="1">
      <c r="A20" s="7"/>
      <c r="D20" s="7"/>
    </row>
    <row r="21" spans="1:4" ht="15.75" customHeight="1">
      <c r="A21" s="7"/>
      <c r="D21" s="7"/>
    </row>
    <row r="22" spans="1:4" ht="15.75" customHeight="1">
      <c r="A22" s="7"/>
      <c r="D22" s="7"/>
    </row>
    <row r="23" spans="1:4" ht="15.75" customHeight="1">
      <c r="A23" s="7"/>
      <c r="D23" s="7"/>
    </row>
    <row r="24" spans="1:4" ht="15.75" customHeight="1">
      <c r="A24" s="7"/>
      <c r="D24" s="7"/>
    </row>
    <row r="25" spans="1:4" ht="15.75" customHeight="1">
      <c r="A25" s="7"/>
      <c r="D25" s="7"/>
    </row>
    <row r="26" spans="1:4" ht="15.75" customHeight="1">
      <c r="A26" s="7"/>
      <c r="D26" s="7"/>
    </row>
    <row r="27" spans="1:4" ht="15.75" customHeight="1">
      <c r="A27" s="7"/>
      <c r="D27" s="7"/>
    </row>
    <row r="28" spans="1:4" ht="15.75" customHeight="1">
      <c r="A28" s="7"/>
      <c r="D28" s="7"/>
    </row>
    <row r="29" spans="1:4" ht="15.75" customHeight="1">
      <c r="A29" s="7"/>
      <c r="D29" s="7"/>
    </row>
    <row r="30" spans="1:4" ht="15.75" customHeight="1">
      <c r="A30" s="7"/>
      <c r="D30" s="7"/>
    </row>
    <row r="31" spans="1:4" ht="15.75" customHeight="1">
      <c r="A31" s="7"/>
      <c r="D31" s="7"/>
    </row>
    <row r="32" spans="1:4" ht="15.75" customHeight="1">
      <c r="A32" s="7"/>
      <c r="D32" s="7"/>
    </row>
    <row r="33" spans="1:4" ht="15.75" customHeight="1">
      <c r="A33" s="7"/>
      <c r="D33" s="7"/>
    </row>
    <row r="34" spans="1:4" ht="15.75" customHeight="1">
      <c r="A34" s="7"/>
      <c r="D34" s="7"/>
    </row>
    <row r="35" spans="1:4" ht="15.75" customHeight="1">
      <c r="A35" s="7"/>
      <c r="D35" s="7"/>
    </row>
    <row r="36" spans="1:4" ht="15.75" customHeight="1">
      <c r="A36" s="7"/>
      <c r="D36" s="7"/>
    </row>
    <row r="37" spans="1:4" ht="15.75" customHeight="1">
      <c r="A37" s="7"/>
      <c r="D37" s="7"/>
    </row>
    <row r="38" spans="1:4" ht="15.75" customHeight="1">
      <c r="A38" s="7"/>
      <c r="D38" s="7"/>
    </row>
    <row r="39" spans="1:4" ht="15.75" customHeight="1">
      <c r="A39" s="7"/>
      <c r="D39" s="7"/>
    </row>
    <row r="40" spans="1:4" ht="15.75" customHeight="1">
      <c r="A40" s="7"/>
      <c r="D40" s="7"/>
    </row>
    <row r="41" spans="1:4" ht="15.75" customHeight="1">
      <c r="A41" s="7"/>
      <c r="D41" s="7"/>
    </row>
    <row r="42" spans="1:4" ht="15.75" customHeight="1">
      <c r="A42" s="7"/>
      <c r="D42" s="7"/>
    </row>
    <row r="43" spans="1:4" ht="15.75" customHeight="1">
      <c r="A43" s="7"/>
      <c r="D43" s="7"/>
    </row>
    <row r="44" spans="1:4" ht="15.75" customHeight="1">
      <c r="A44" s="7"/>
      <c r="D44" s="7"/>
    </row>
    <row r="45" spans="1:4" ht="15.75" customHeight="1">
      <c r="A45" s="7"/>
      <c r="D45" s="7"/>
    </row>
    <row r="47" spans="1:4" ht="13">
      <c r="A47" s="7"/>
      <c r="D4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8"/>
  <sheetViews>
    <sheetView workbookViewId="0"/>
  </sheetViews>
  <sheetFormatPr baseColWidth="10" defaultColWidth="12.6640625" defaultRowHeight="15.75" customHeight="1"/>
  <cols>
    <col min="10" max="10" width="3.1640625" customWidth="1"/>
  </cols>
  <sheetData>
    <row r="1" spans="1:14" ht="15.75" customHeight="1">
      <c r="B1" s="63" t="s">
        <v>13</v>
      </c>
      <c r="C1" s="63" t="s">
        <v>14</v>
      </c>
      <c r="D1" s="63" t="s">
        <v>104</v>
      </c>
      <c r="E1" s="63" t="s">
        <v>105</v>
      </c>
      <c r="F1" s="63" t="s">
        <v>206</v>
      </c>
      <c r="G1" s="63" t="s">
        <v>107</v>
      </c>
      <c r="H1" s="63" t="s">
        <v>108</v>
      </c>
      <c r="I1" s="63" t="s">
        <v>109</v>
      </c>
      <c r="K1" s="157" t="s">
        <v>114</v>
      </c>
      <c r="L1" s="157" t="s">
        <v>115</v>
      </c>
      <c r="M1" s="157" t="s">
        <v>286</v>
      </c>
      <c r="N1" s="157" t="s">
        <v>287</v>
      </c>
    </row>
    <row r="2" spans="1:14" ht="15.75" customHeight="1">
      <c r="A2" s="7" t="s">
        <v>288</v>
      </c>
      <c r="B2">
        <v>8</v>
      </c>
      <c r="C2">
        <v>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f t="shared" ref="K2:K8" si="0">SUM(B2:E2)</f>
        <v>17</v>
      </c>
      <c r="L2">
        <f t="shared" ref="L2:L8" si="1">SUM(F2:I2)</f>
        <v>0</v>
      </c>
      <c r="M2">
        <f t="shared" ref="M2:M8" si="2">SUM(B2:C2)</f>
        <v>17</v>
      </c>
      <c r="N2">
        <f t="shared" ref="N2:N8" si="3">SUM(F2:G2)</f>
        <v>0</v>
      </c>
    </row>
    <row r="3" spans="1:14" ht="15.75" customHeight="1">
      <c r="A3" s="7" t="s">
        <v>289</v>
      </c>
      <c r="B3">
        <v>1</v>
      </c>
      <c r="C3">
        <v>7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K3">
        <f t="shared" si="0"/>
        <v>9</v>
      </c>
      <c r="L3">
        <f t="shared" si="1"/>
        <v>0</v>
      </c>
      <c r="M3">
        <f t="shared" si="2"/>
        <v>8</v>
      </c>
      <c r="N3">
        <f t="shared" si="3"/>
        <v>0</v>
      </c>
    </row>
    <row r="4" spans="1:14" ht="15.75" customHeight="1">
      <c r="A4" s="7" t="s">
        <v>290</v>
      </c>
      <c r="B4">
        <v>20</v>
      </c>
      <c r="C4">
        <v>92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K4">
        <f t="shared" si="0"/>
        <v>113</v>
      </c>
      <c r="L4">
        <f t="shared" si="1"/>
        <v>0</v>
      </c>
      <c r="M4">
        <f t="shared" si="2"/>
        <v>112</v>
      </c>
      <c r="N4">
        <f t="shared" si="3"/>
        <v>0</v>
      </c>
    </row>
    <row r="5" spans="1:14" ht="15.75" customHeight="1">
      <c r="A5" s="7" t="s">
        <v>291</v>
      </c>
      <c r="B5">
        <v>433</v>
      </c>
      <c r="C5">
        <v>232</v>
      </c>
      <c r="D5">
        <v>23</v>
      </c>
      <c r="E5">
        <v>4</v>
      </c>
      <c r="F5">
        <v>175</v>
      </c>
      <c r="G5">
        <v>4</v>
      </c>
      <c r="H5">
        <v>8</v>
      </c>
      <c r="I5">
        <v>1</v>
      </c>
      <c r="K5">
        <f t="shared" si="0"/>
        <v>692</v>
      </c>
      <c r="L5">
        <f t="shared" si="1"/>
        <v>188</v>
      </c>
      <c r="M5">
        <f t="shared" si="2"/>
        <v>665</v>
      </c>
      <c r="N5">
        <f t="shared" si="3"/>
        <v>179</v>
      </c>
    </row>
    <row r="6" spans="1:14" ht="15.75" customHeight="1">
      <c r="A6" s="7" t="s">
        <v>292</v>
      </c>
      <c r="B6">
        <v>3</v>
      </c>
      <c r="C6">
        <v>0</v>
      </c>
      <c r="D6">
        <v>0</v>
      </c>
      <c r="E6" s="6">
        <v>0</v>
      </c>
      <c r="F6" s="6">
        <v>212</v>
      </c>
      <c r="G6" s="6">
        <v>339</v>
      </c>
      <c r="H6" s="6">
        <v>8</v>
      </c>
      <c r="I6" s="6">
        <v>4</v>
      </c>
      <c r="K6">
        <f t="shared" si="0"/>
        <v>3</v>
      </c>
      <c r="L6">
        <f t="shared" si="1"/>
        <v>563</v>
      </c>
      <c r="M6">
        <f t="shared" si="2"/>
        <v>3</v>
      </c>
      <c r="N6">
        <f t="shared" si="3"/>
        <v>551</v>
      </c>
    </row>
    <row r="7" spans="1:14" ht="15.75" customHeight="1">
      <c r="A7" s="7" t="s">
        <v>293</v>
      </c>
      <c r="B7">
        <v>0</v>
      </c>
      <c r="C7">
        <v>0</v>
      </c>
      <c r="D7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K7">
        <f t="shared" si="0"/>
        <v>0</v>
      </c>
      <c r="L7">
        <f t="shared" si="1"/>
        <v>0</v>
      </c>
      <c r="M7">
        <f t="shared" si="2"/>
        <v>0</v>
      </c>
      <c r="N7">
        <f t="shared" si="3"/>
        <v>0</v>
      </c>
    </row>
    <row r="8" spans="1:14" ht="15.75" customHeight="1">
      <c r="A8" s="7" t="s">
        <v>294</v>
      </c>
      <c r="B8">
        <f t="shared" ref="B8:I8" si="4">SUM(B2:B7)</f>
        <v>465</v>
      </c>
      <c r="C8">
        <f t="shared" si="4"/>
        <v>340</v>
      </c>
      <c r="D8">
        <f t="shared" si="4"/>
        <v>24</v>
      </c>
      <c r="E8">
        <f t="shared" si="4"/>
        <v>5</v>
      </c>
      <c r="F8">
        <f t="shared" si="4"/>
        <v>387</v>
      </c>
      <c r="G8">
        <f t="shared" si="4"/>
        <v>343</v>
      </c>
      <c r="H8">
        <f t="shared" si="4"/>
        <v>16</v>
      </c>
      <c r="I8">
        <f t="shared" si="4"/>
        <v>5</v>
      </c>
      <c r="K8">
        <f t="shared" si="0"/>
        <v>834</v>
      </c>
      <c r="L8">
        <f t="shared" si="1"/>
        <v>751</v>
      </c>
      <c r="M8">
        <f t="shared" si="2"/>
        <v>805</v>
      </c>
      <c r="N8">
        <f t="shared" si="3"/>
        <v>730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12" ht="15.75" customHeight="1">
      <c r="A1" s="1" t="s">
        <v>295</v>
      </c>
      <c r="B1" s="1" t="s">
        <v>296</v>
      </c>
      <c r="C1" s="2" t="s">
        <v>297</v>
      </c>
      <c r="D1" s="88" t="s">
        <v>298</v>
      </c>
      <c r="E1" s="1" t="s">
        <v>299</v>
      </c>
    </row>
    <row r="2" spans="1:12" ht="15.75" customHeight="1">
      <c r="A2" s="1" t="s">
        <v>300</v>
      </c>
      <c r="B2" s="1" t="s">
        <v>0</v>
      </c>
      <c r="C2" s="2" t="s">
        <v>0</v>
      </c>
      <c r="D2" s="88" t="s">
        <v>0</v>
      </c>
      <c r="E2" s="1" t="s">
        <v>0</v>
      </c>
    </row>
    <row r="3" spans="1:12" ht="15.75" customHeight="1">
      <c r="A3" s="1" t="s">
        <v>1</v>
      </c>
      <c r="B3" s="1" t="s">
        <v>1</v>
      </c>
      <c r="C3" s="2" t="s">
        <v>1</v>
      </c>
      <c r="D3" s="88" t="s">
        <v>1</v>
      </c>
      <c r="E3" s="1" t="s">
        <v>1</v>
      </c>
    </row>
    <row r="4" spans="1:12" ht="15.75" customHeight="1">
      <c r="A4" s="1" t="s">
        <v>2</v>
      </c>
      <c r="B4" s="1" t="s">
        <v>2</v>
      </c>
      <c r="C4" s="62" t="s">
        <v>2</v>
      </c>
      <c r="D4" s="1" t="s">
        <v>2</v>
      </c>
      <c r="E4" s="1" t="s">
        <v>2</v>
      </c>
    </row>
    <row r="5" spans="1:12" ht="15.75" customHeight="1">
      <c r="A5" s="158" t="s">
        <v>3</v>
      </c>
      <c r="B5" s="1"/>
      <c r="C5" s="2"/>
      <c r="D5" s="88"/>
      <c r="E5" s="1"/>
    </row>
    <row r="6" spans="1:12" ht="15.75" customHeight="1">
      <c r="A6" s="1" t="s">
        <v>4</v>
      </c>
      <c r="B6" s="1" t="s">
        <v>4</v>
      </c>
      <c r="C6" s="2" t="s">
        <v>4</v>
      </c>
      <c r="D6" s="88" t="s">
        <v>4</v>
      </c>
      <c r="E6" s="1" t="s">
        <v>4</v>
      </c>
    </row>
    <row r="7" spans="1:12" ht="15.75" customHeight="1">
      <c r="A7" s="2" t="s">
        <v>5</v>
      </c>
      <c r="B7" s="2" t="s">
        <v>5</v>
      </c>
      <c r="C7" s="2" t="s">
        <v>5</v>
      </c>
      <c r="D7" s="63" t="s">
        <v>5</v>
      </c>
      <c r="E7" s="2" t="s">
        <v>5</v>
      </c>
    </row>
    <row r="8" spans="1:12" ht="15.75" customHeight="1">
      <c r="A8" s="3" t="s">
        <v>6</v>
      </c>
      <c r="B8" s="3" t="s">
        <v>6</v>
      </c>
      <c r="C8" s="2" t="s">
        <v>6</v>
      </c>
      <c r="D8" s="63" t="s">
        <v>6</v>
      </c>
      <c r="E8" s="2" t="s">
        <v>6</v>
      </c>
    </row>
    <row r="9" spans="1:12" ht="15.75" customHeight="1">
      <c r="A9" s="3" t="s">
        <v>7</v>
      </c>
      <c r="B9" s="3" t="s">
        <v>7</v>
      </c>
      <c r="C9" s="2" t="s">
        <v>7</v>
      </c>
      <c r="D9" s="63" t="s">
        <v>7</v>
      </c>
      <c r="E9" s="2" t="s">
        <v>7</v>
      </c>
    </row>
    <row r="10" spans="1:12" ht="15.75" customHeight="1">
      <c r="A10" s="1" t="s">
        <v>8</v>
      </c>
      <c r="B10" s="1" t="s">
        <v>8</v>
      </c>
      <c r="C10" s="2" t="s">
        <v>8</v>
      </c>
      <c r="D10" s="63" t="s">
        <v>154</v>
      </c>
      <c r="E10" s="2" t="s">
        <v>154</v>
      </c>
    </row>
    <row r="11" spans="1:12" ht="15.75" customHeight="1">
      <c r="A11" s="2" t="s">
        <v>9</v>
      </c>
      <c r="B11" s="2" t="s">
        <v>9</v>
      </c>
      <c r="C11" s="2" t="s">
        <v>9</v>
      </c>
      <c r="D11" s="63" t="s">
        <v>9</v>
      </c>
      <c r="E11" s="2" t="s">
        <v>9</v>
      </c>
    </row>
    <row r="12" spans="1:12" ht="15.75" customHeight="1">
      <c r="A12" s="2" t="s">
        <v>10</v>
      </c>
      <c r="B12" s="2" t="s">
        <v>10</v>
      </c>
      <c r="C12" s="2" t="s">
        <v>103</v>
      </c>
      <c r="D12" s="63" t="s">
        <v>10</v>
      </c>
      <c r="E12" s="2" t="s">
        <v>204</v>
      </c>
    </row>
    <row r="13" spans="1:12" ht="15.75" customHeight="1">
      <c r="A13" s="2" t="s">
        <v>11</v>
      </c>
      <c r="B13" s="2" t="s">
        <v>11</v>
      </c>
      <c r="C13" s="2" t="s">
        <v>11</v>
      </c>
      <c r="D13" s="63" t="s">
        <v>11</v>
      </c>
      <c r="E13" s="2" t="s">
        <v>205</v>
      </c>
    </row>
    <row r="14" spans="1:12" ht="15.75" customHeight="1">
      <c r="A14" s="1" t="s">
        <v>12</v>
      </c>
      <c r="B14" s="1" t="s">
        <v>12</v>
      </c>
      <c r="C14" s="2" t="s">
        <v>12</v>
      </c>
      <c r="D14" s="88" t="s">
        <v>12</v>
      </c>
      <c r="E14" s="1" t="s">
        <v>12</v>
      </c>
    </row>
    <row r="15" spans="1:12" ht="15.75" customHeight="1">
      <c r="A15" s="2" t="s">
        <v>13</v>
      </c>
      <c r="B15" s="2" t="s">
        <v>13</v>
      </c>
      <c r="C15" s="63" t="s">
        <v>13</v>
      </c>
      <c r="D15" s="63" t="s">
        <v>13</v>
      </c>
      <c r="E15" s="63" t="s">
        <v>13</v>
      </c>
      <c r="G15" s="7" t="s">
        <v>301</v>
      </c>
      <c r="H15" s="7" t="s">
        <v>302</v>
      </c>
      <c r="I15" s="7" t="s">
        <v>303</v>
      </c>
      <c r="J15" s="7" t="s">
        <v>304</v>
      </c>
      <c r="K15" s="7" t="s">
        <v>305</v>
      </c>
      <c r="L15" t="str">
        <f ca="1">IFERROR(__xludf.DUMMYFUNCTION("JOIN("" + "",G15:K15)"),"NOV_F_A_DN + DEC_F_A_DN + JAN_F_A_DN + FEB_F_A_DN + MAR_F_A_DN")</f>
        <v>NOV_F_A_DN + DEC_F_A_DN + JAN_F_A_DN + FEB_F_A_DN + MAR_F_A_DN</v>
      </c>
    </row>
    <row r="16" spans="1:12" ht="15.75" customHeight="1">
      <c r="A16" s="2" t="s">
        <v>14</v>
      </c>
      <c r="B16" s="2" t="s">
        <v>14</v>
      </c>
      <c r="C16" s="63" t="s">
        <v>14</v>
      </c>
      <c r="D16" s="63" t="s">
        <v>14</v>
      </c>
      <c r="E16" s="63" t="s">
        <v>14</v>
      </c>
      <c r="G16" s="7" t="s">
        <v>306</v>
      </c>
      <c r="H16" s="7" t="s">
        <v>307</v>
      </c>
      <c r="I16" s="7" t="s">
        <v>308</v>
      </c>
      <c r="J16" s="7" t="s">
        <v>309</v>
      </c>
      <c r="K16" s="7" t="s">
        <v>310</v>
      </c>
      <c r="L16" t="str">
        <f ca="1">IFERROR(__xludf.DUMMYFUNCTION("JOIN("" + "",G16:K16)"),"NOV_M_A_DN + DEC_M_A_DN + JAN_M_A_DN + FEB_M_A_DN + MAR_M_A_DN")</f>
        <v>NOV_M_A_DN + DEC_M_A_DN + JAN_M_A_DN + FEB_M_A_DN + MAR_M_A_DN</v>
      </c>
    </row>
    <row r="17" spans="1:12" ht="15.75" customHeight="1">
      <c r="A17" s="2" t="s">
        <v>15</v>
      </c>
      <c r="B17" s="2" t="s">
        <v>15</v>
      </c>
      <c r="C17" s="63" t="s">
        <v>104</v>
      </c>
      <c r="D17" s="63" t="s">
        <v>104</v>
      </c>
      <c r="E17" s="63" t="s">
        <v>104</v>
      </c>
      <c r="G17" s="7" t="s">
        <v>311</v>
      </c>
      <c r="H17" s="7" t="s">
        <v>312</v>
      </c>
      <c r="I17" s="7" t="s">
        <v>313</v>
      </c>
      <c r="J17" s="7" t="s">
        <v>314</v>
      </c>
      <c r="K17" s="7" t="s">
        <v>315</v>
      </c>
      <c r="L17" t="str">
        <f ca="1">IFERROR(__xludf.DUMMYFUNCTION("JOIN("" + "",G17:K17)"),"NOV_F_U_DN + DEC_F_U_DN + JAN_F_U_DN + FEB_F_U_DN + MAR_F_U_DN")</f>
        <v>NOV_F_U_DN + DEC_F_U_DN + JAN_F_U_DN + FEB_F_U_DN + MAR_F_U_DN</v>
      </c>
    </row>
    <row r="18" spans="1:12" ht="15.75" customHeight="1">
      <c r="A18" s="2" t="s">
        <v>16</v>
      </c>
      <c r="B18" s="2" t="s">
        <v>16</v>
      </c>
      <c r="C18" s="63" t="s">
        <v>105</v>
      </c>
      <c r="D18" s="63" t="s">
        <v>155</v>
      </c>
      <c r="E18" s="63" t="s">
        <v>105</v>
      </c>
      <c r="G18" s="7" t="s">
        <v>316</v>
      </c>
      <c r="H18" s="7" t="s">
        <v>317</v>
      </c>
      <c r="I18" s="7" t="s">
        <v>318</v>
      </c>
      <c r="J18" s="7" t="s">
        <v>319</v>
      </c>
      <c r="K18" s="7" t="s">
        <v>320</v>
      </c>
      <c r="L18" t="str">
        <f ca="1">IFERROR(__xludf.DUMMYFUNCTION("JOIN("" + "",G18:K18)"),"NOV_M_U_DN + DEC_M_U_DN + JAN_M_U_DN + FEB_M_U_DN + MAR_M_U_DN")</f>
        <v>NOV_M_U_DN + DEC_M_U_DN + JAN_M_U_DN + FEB_M_U_DN + MAR_M_U_DN</v>
      </c>
    </row>
    <row r="19" spans="1:12" ht="15.75" customHeight="1">
      <c r="A19" s="2" t="s">
        <v>17</v>
      </c>
      <c r="B19" s="2" t="s">
        <v>17</v>
      </c>
      <c r="C19" s="63" t="s">
        <v>106</v>
      </c>
      <c r="D19" s="63" t="s">
        <v>106</v>
      </c>
      <c r="E19" s="63" t="s">
        <v>206</v>
      </c>
      <c r="G19" s="7" t="s">
        <v>321</v>
      </c>
      <c r="H19" s="7" t="s">
        <v>322</v>
      </c>
      <c r="I19" s="7" t="s">
        <v>323</v>
      </c>
      <c r="J19" s="7" t="s">
        <v>324</v>
      </c>
      <c r="K19" s="7" t="s">
        <v>325</v>
      </c>
      <c r="L19" t="str">
        <f ca="1">IFERROR(__xludf.DUMMYFUNCTION("JOIN("" + "",G19:K19)"),"NOV_F_A_UP + DEC_F_A_UP + JAN_F_A_UP + FEB_F_A_UP + MAR_F_A_UP")</f>
        <v>NOV_F_A_UP + DEC_F_A_UP + JAN_F_A_UP + FEB_F_A_UP + MAR_F_A_UP</v>
      </c>
    </row>
    <row r="20" spans="1:12" ht="15.75" customHeight="1">
      <c r="A20" s="2" t="s">
        <v>18</v>
      </c>
      <c r="B20" s="2" t="s">
        <v>18</v>
      </c>
      <c r="C20" s="63" t="s">
        <v>107</v>
      </c>
      <c r="D20" s="63" t="s">
        <v>107</v>
      </c>
      <c r="E20" s="63" t="s">
        <v>107</v>
      </c>
      <c r="G20" s="7" t="s">
        <v>326</v>
      </c>
      <c r="H20" s="7" t="s">
        <v>327</v>
      </c>
      <c r="I20" s="7" t="s">
        <v>328</v>
      </c>
      <c r="J20" s="7" t="s">
        <v>329</v>
      </c>
      <c r="K20" s="7" t="s">
        <v>330</v>
      </c>
      <c r="L20" t="str">
        <f ca="1">IFERROR(__xludf.DUMMYFUNCTION("JOIN("" + "",G20:K20)"),"NOV_M_A_UP + DEC_M_A_UP + JAN_M_A_UP + FEB_M_A_UP + MAR_M_A_UP")</f>
        <v>NOV_M_A_UP + DEC_M_A_UP + JAN_M_A_UP + FEB_M_A_UP + MAR_M_A_UP</v>
      </c>
    </row>
    <row r="21" spans="1:12" ht="15.75" customHeight="1">
      <c r="A21" s="2" t="s">
        <v>19</v>
      </c>
      <c r="B21" s="2" t="s">
        <v>19</v>
      </c>
      <c r="C21" s="63" t="s">
        <v>108</v>
      </c>
      <c r="D21" s="63" t="s">
        <v>108</v>
      </c>
      <c r="E21" s="63" t="s">
        <v>108</v>
      </c>
      <c r="G21" s="7" t="s">
        <v>331</v>
      </c>
      <c r="H21" s="7" t="s">
        <v>332</v>
      </c>
      <c r="I21" s="7" t="s">
        <v>333</v>
      </c>
      <c r="J21" s="7" t="s">
        <v>334</v>
      </c>
      <c r="K21" s="7" t="s">
        <v>335</v>
      </c>
      <c r="L21" t="str">
        <f ca="1">IFERROR(__xludf.DUMMYFUNCTION("JOIN("" + "",G21:K21)"),"NOV_F_U_UP + DEC_F_U_UP + JAN_F_U_UP + FEB_F_U_UP + MAR_F_U_UP")</f>
        <v>NOV_F_U_UP + DEC_F_U_UP + JAN_F_U_UP + FEB_F_U_UP + MAR_F_U_UP</v>
      </c>
    </row>
    <row r="22" spans="1:12" ht="15.75" customHeight="1">
      <c r="A22" s="2" t="s">
        <v>20</v>
      </c>
      <c r="B22" s="2" t="s">
        <v>20</v>
      </c>
      <c r="C22" s="63" t="s">
        <v>109</v>
      </c>
      <c r="D22" s="63" t="s">
        <v>109</v>
      </c>
      <c r="E22" s="63" t="s">
        <v>109</v>
      </c>
      <c r="G22" s="7" t="s">
        <v>336</v>
      </c>
      <c r="H22" s="7" t="s">
        <v>337</v>
      </c>
      <c r="I22" s="7" t="s">
        <v>338</v>
      </c>
      <c r="J22" s="7" t="s">
        <v>339</v>
      </c>
      <c r="K22" s="7" t="s">
        <v>340</v>
      </c>
      <c r="L22" t="str">
        <f ca="1">IFERROR(__xludf.DUMMYFUNCTION("JOIN("" + "",G22:K22)"),"NOV_M_U_UP + DEC_M_U_UP + JAN_M_U_UP + FEB_M_U_UP + MAR_M_U_UP")</f>
        <v>NOV_M_U_UP + DEC_M_U_UP + JAN_M_U_UP + FEB_M_U_UP + MAR_M_U_UP</v>
      </c>
    </row>
    <row r="23" spans="1:12" ht="15.75" customHeight="1">
      <c r="A23" s="2" t="s">
        <v>21</v>
      </c>
      <c r="B23" s="2" t="s">
        <v>21</v>
      </c>
      <c r="C23" s="63" t="s">
        <v>110</v>
      </c>
      <c r="D23" s="63" t="s">
        <v>110</v>
      </c>
      <c r="E23" s="63" t="s">
        <v>110</v>
      </c>
      <c r="G23" s="7" t="s">
        <v>341</v>
      </c>
      <c r="H23" s="7" t="s">
        <v>342</v>
      </c>
      <c r="I23" s="7" t="s">
        <v>343</v>
      </c>
      <c r="J23" s="7" t="s">
        <v>344</v>
      </c>
      <c r="K23" s="7" t="s">
        <v>345</v>
      </c>
      <c r="L23" t="str">
        <f ca="1">IFERROR(__xludf.DUMMYFUNCTION("JOIN("" + "",G23:K23)"),"NOV_JUV + DEC_JUV + JAN_JUV + FEB_JUV + MAR_JUV")</f>
        <v>NOV_JUV + DEC_JUV + JAN_JUV + FEB_JUV + MAR_JUV</v>
      </c>
    </row>
    <row r="24" spans="1:12" ht="15.75" customHeight="1">
      <c r="A24" s="2" t="s">
        <v>22</v>
      </c>
      <c r="B24" s="2" t="s">
        <v>22</v>
      </c>
      <c r="C24" s="63" t="s">
        <v>111</v>
      </c>
      <c r="D24" s="63" t="s">
        <v>111</v>
      </c>
      <c r="E24" s="63" t="s">
        <v>111</v>
      </c>
      <c r="G24" s="7" t="s">
        <v>346</v>
      </c>
      <c r="H24" s="7" t="s">
        <v>347</v>
      </c>
      <c r="I24" s="7" t="s">
        <v>348</v>
      </c>
      <c r="J24" s="7" t="s">
        <v>349</v>
      </c>
      <c r="K24" s="7" t="s">
        <v>350</v>
      </c>
      <c r="L24" t="str">
        <f ca="1">IFERROR(__xludf.DUMMYFUNCTION("JOIN("" + "",G24:K24)"),"NOV_M_ROADKILL + DEC_M_ROADKILL + JAN_M_ROADKILL + FEB_M_ROADKILL + MAR_M_ROADKILL")</f>
        <v>NOV_M_ROADKILL + DEC_M_ROADKILL + JAN_M_ROADKILL + FEB_M_ROADKILL + MAR_M_ROADKILL</v>
      </c>
    </row>
    <row r="25" spans="1:12" ht="15.75" customHeight="1">
      <c r="A25" s="2" t="s">
        <v>23</v>
      </c>
      <c r="B25" s="2" t="s">
        <v>23</v>
      </c>
      <c r="C25" s="63" t="s">
        <v>112</v>
      </c>
      <c r="D25" s="63" t="s">
        <v>112</v>
      </c>
      <c r="E25" s="63" t="s">
        <v>207</v>
      </c>
      <c r="G25" s="7" t="s">
        <v>351</v>
      </c>
      <c r="H25" s="7" t="s">
        <v>352</v>
      </c>
      <c r="I25" s="7" t="s">
        <v>353</v>
      </c>
      <c r="J25" s="7" t="s">
        <v>354</v>
      </c>
      <c r="K25" s="7" t="s">
        <v>355</v>
      </c>
      <c r="L25" t="str">
        <f ca="1">IFERROR(__xludf.DUMMYFUNCTION("JOIN("" + "",G25:K25)"),"NOV_F_ROADKILL + DEC_F_ROADKILL + JAN_F_ROADKILL + FEB_F_ROADKILL + MAR_F_ROADKILL")</f>
        <v>NOV_F_ROADKILL + DEC_F_ROADKILL + JAN_F_ROADKILL + FEB_F_ROADKILL + MAR_F_ROADKILL</v>
      </c>
    </row>
    <row r="26" spans="1:12" ht="15.75" customHeight="1">
      <c r="A26" s="159"/>
      <c r="B26" s="159"/>
      <c r="C26" s="2" t="s">
        <v>113</v>
      </c>
      <c r="D26" s="63" t="s">
        <v>113</v>
      </c>
      <c r="E26" s="63" t="s">
        <v>113</v>
      </c>
      <c r="G26" s="7" t="s">
        <v>356</v>
      </c>
      <c r="H26" s="7" t="s">
        <v>357</v>
      </c>
      <c r="I26" s="7" t="s">
        <v>358</v>
      </c>
      <c r="J26" s="7" t="s">
        <v>359</v>
      </c>
      <c r="K26" s="7" t="s">
        <v>360</v>
      </c>
      <c r="L26" t="str">
        <f ca="1">IFERROR(__xludf.DUMMYFUNCTION("JOIN("" + "",G26:K26)"),"NOV_UNK_ROADKILL + DEC_UNK_ROADKILL + JAN_UNK_ROADKILL + FEB_UNK_ROADKILL + MAR_UNK_ROADKILL")</f>
        <v>NOV_UNK_ROADKILL + DEC_UNK_ROADKILL + JAN_UNK_ROADKILL + FEB_UNK_ROADKILL + MAR_UNK_ROADKILL</v>
      </c>
    </row>
    <row r="27" spans="1:12" ht="15.75" customHeight="1">
      <c r="A27" s="2" t="s">
        <v>24</v>
      </c>
      <c r="B27" s="2" t="s">
        <v>24</v>
      </c>
      <c r="C27" s="2" t="s">
        <v>114</v>
      </c>
      <c r="D27" s="63" t="s">
        <v>361</v>
      </c>
      <c r="E27" s="2" t="s">
        <v>208</v>
      </c>
    </row>
    <row r="28" spans="1:12" ht="15.75" customHeight="1">
      <c r="A28" s="2" t="s">
        <v>25</v>
      </c>
      <c r="B28" s="2" t="s">
        <v>25</v>
      </c>
      <c r="C28" s="2" t="s">
        <v>115</v>
      </c>
      <c r="D28" s="63" t="s">
        <v>362</v>
      </c>
      <c r="E28" s="2" t="s">
        <v>115</v>
      </c>
    </row>
    <row r="29" spans="1:12" ht="15.75" customHeight="1">
      <c r="A29" s="1"/>
      <c r="B29" s="1"/>
      <c r="C29" s="2" t="s">
        <v>363</v>
      </c>
      <c r="D29" s="63" t="s">
        <v>364</v>
      </c>
      <c r="E29" s="2" t="s">
        <v>365</v>
      </c>
    </row>
    <row r="30" spans="1:12" ht="15.75" customHeight="1">
      <c r="A30" s="1" t="s">
        <v>27</v>
      </c>
      <c r="B30" s="1" t="s">
        <v>27</v>
      </c>
      <c r="C30" s="2" t="s">
        <v>27</v>
      </c>
      <c r="D30" s="88" t="s">
        <v>27</v>
      </c>
      <c r="E30" s="2" t="s">
        <v>27</v>
      </c>
    </row>
    <row r="31" spans="1:12" ht="15.75" customHeight="1">
      <c r="A31" s="1" t="s">
        <v>28</v>
      </c>
      <c r="B31" s="1"/>
      <c r="C31" s="64"/>
      <c r="D31" s="89"/>
      <c r="E31" s="4"/>
    </row>
    <row r="32" spans="1:12" ht="15.75" customHeight="1">
      <c r="A32" s="4"/>
      <c r="B32" s="43"/>
      <c r="C32" s="64"/>
      <c r="D32" s="89"/>
      <c r="E32" s="4"/>
    </row>
    <row r="33" spans="1:5" ht="15.75" customHeight="1">
      <c r="A33" s="4"/>
      <c r="B33" s="43"/>
      <c r="C33" s="64"/>
      <c r="D33" s="89"/>
      <c r="E33" s="4"/>
    </row>
    <row r="34" spans="1:5" ht="15.75" customHeight="1">
      <c r="A34" s="4"/>
      <c r="B34" s="43"/>
      <c r="C34" s="64"/>
      <c r="D34" s="89"/>
      <c r="E34" s="4"/>
    </row>
    <row r="35" spans="1:5" ht="15.75" customHeight="1">
      <c r="A35" s="4"/>
      <c r="B35" s="43"/>
      <c r="C35" s="64"/>
      <c r="D35" s="89"/>
      <c r="E35" s="4"/>
    </row>
    <row r="36" spans="1:5" ht="15.75" customHeight="1">
      <c r="A36" s="4"/>
      <c r="B36" s="43"/>
      <c r="C36" s="64"/>
      <c r="D36" s="89"/>
      <c r="E36" s="4"/>
    </row>
    <row r="37" spans="1:5" ht="15.75" customHeight="1">
      <c r="A37" s="4"/>
      <c r="B37" s="43"/>
      <c r="C37" s="64"/>
      <c r="D37" s="89"/>
      <c r="E37" s="4"/>
    </row>
    <row r="38" spans="1:5" ht="15.75" customHeight="1">
      <c r="A38" s="4"/>
      <c r="B38" s="43"/>
      <c r="C38" s="64"/>
      <c r="D38" s="89"/>
      <c r="E38" s="4"/>
    </row>
    <row r="39" spans="1:5" ht="15.75" customHeight="1">
      <c r="A39" s="4"/>
      <c r="B39" s="43"/>
      <c r="C39" s="64"/>
      <c r="D39" s="89"/>
      <c r="E39" s="4"/>
    </row>
    <row r="40" spans="1:5" ht="15.75" customHeight="1">
      <c r="A40" s="4"/>
      <c r="B40" s="43"/>
      <c r="C40" s="64"/>
      <c r="D40" s="89"/>
      <c r="E40" s="4"/>
    </row>
    <row r="41" spans="1:5" ht="15.75" customHeight="1">
      <c r="A41" s="4"/>
      <c r="B41" s="43"/>
      <c r="C41" s="64"/>
      <c r="D41" s="89"/>
      <c r="E41" s="4"/>
    </row>
    <row r="42" spans="1:5" ht="15.75" customHeight="1">
      <c r="A42" s="4"/>
      <c r="B42" s="43"/>
      <c r="C42" s="64"/>
      <c r="D42" s="89"/>
      <c r="E42" s="4"/>
    </row>
    <row r="43" spans="1:5" ht="15.75" customHeight="1">
      <c r="A43" s="4"/>
      <c r="B43" s="43"/>
      <c r="C43" s="64"/>
      <c r="D43" s="89"/>
      <c r="E43" s="4"/>
    </row>
    <row r="44" spans="1:5" ht="15.75" customHeight="1">
      <c r="A44" s="4"/>
      <c r="B44" s="43"/>
      <c r="C44" s="64"/>
      <c r="D44" s="89"/>
      <c r="E44" s="4"/>
    </row>
    <row r="45" spans="1:5" ht="15.75" customHeight="1">
      <c r="A45" s="4"/>
      <c r="B45" s="43"/>
      <c r="C45" s="64"/>
      <c r="D45" s="89"/>
      <c r="E45" s="4"/>
    </row>
    <row r="46" spans="1:5" ht="15.75" customHeight="1">
      <c r="A46" s="4"/>
      <c r="B46" s="43"/>
      <c r="C46" s="64"/>
      <c r="D46" s="89"/>
      <c r="E46" s="4"/>
    </row>
    <row r="47" spans="1:5" ht="15.75" customHeight="1">
      <c r="A47" s="4"/>
      <c r="B47" s="43"/>
      <c r="C47" s="64"/>
      <c r="D47" s="89"/>
      <c r="E47" s="4"/>
    </row>
    <row r="48" spans="1:5" ht="13">
      <c r="A48" s="4"/>
      <c r="B48" s="43"/>
      <c r="C48" s="64"/>
      <c r="D48" s="89"/>
      <c r="E48" s="4"/>
    </row>
    <row r="49" spans="1:5" ht="13">
      <c r="A49" s="4"/>
      <c r="B49" s="43"/>
      <c r="C49" s="64"/>
      <c r="D49" s="89"/>
      <c r="E49" s="4"/>
    </row>
    <row r="50" spans="1:5" ht="13">
      <c r="A50" s="4"/>
      <c r="B50" s="43"/>
      <c r="C50" s="64"/>
      <c r="D50" s="89"/>
      <c r="E50" s="4"/>
    </row>
    <row r="51" spans="1:5" ht="13">
      <c r="A51" s="4"/>
      <c r="B51" s="43"/>
      <c r="C51" s="64"/>
      <c r="D51" s="89"/>
      <c r="E51" s="4"/>
    </row>
    <row r="52" spans="1:5" ht="14">
      <c r="A52" s="4"/>
      <c r="B52" s="43"/>
      <c r="C52" s="2" t="s">
        <v>0</v>
      </c>
      <c r="D52" s="89"/>
      <c r="E52" s="4"/>
    </row>
    <row r="53" spans="1:5" ht="14">
      <c r="A53" s="4"/>
      <c r="B53" s="43"/>
      <c r="C53" s="2" t="s">
        <v>1</v>
      </c>
      <c r="D53" s="89"/>
      <c r="E53" s="4"/>
    </row>
    <row r="54" spans="1:5" ht="13">
      <c r="A54" s="4"/>
      <c r="B54" s="43"/>
      <c r="C54" s="62" t="s">
        <v>2</v>
      </c>
      <c r="D54" s="89"/>
      <c r="E54" s="4"/>
    </row>
    <row r="55" spans="1:5" ht="14">
      <c r="A55" s="4"/>
      <c r="B55" s="43"/>
      <c r="C55" s="2" t="s">
        <v>4</v>
      </c>
      <c r="D55" s="89"/>
      <c r="E55" s="4"/>
    </row>
    <row r="56" spans="1:5" ht="28">
      <c r="A56" s="4"/>
      <c r="B56" s="43"/>
      <c r="C56" s="2" t="s">
        <v>5</v>
      </c>
      <c r="D56" s="89"/>
      <c r="E56" s="4"/>
    </row>
    <row r="57" spans="1:5" ht="14">
      <c r="A57" s="4"/>
      <c r="B57" s="43"/>
      <c r="C57" s="2" t="s">
        <v>6</v>
      </c>
      <c r="D57" s="89"/>
      <c r="E57" s="4"/>
    </row>
    <row r="58" spans="1:5" ht="14">
      <c r="A58" s="4"/>
      <c r="B58" s="43"/>
      <c r="C58" s="2" t="s">
        <v>7</v>
      </c>
      <c r="D58" s="89"/>
      <c r="E58" s="4"/>
    </row>
    <row r="59" spans="1:5" ht="14">
      <c r="A59" s="4"/>
      <c r="B59" s="43"/>
      <c r="C59" s="2" t="s">
        <v>8</v>
      </c>
      <c r="D59" s="89"/>
      <c r="E59" s="4"/>
    </row>
    <row r="60" spans="1:5" ht="14">
      <c r="A60" s="4"/>
      <c r="B60" s="43"/>
      <c r="C60" s="2" t="s">
        <v>9</v>
      </c>
      <c r="D60" s="89"/>
      <c r="E60" s="4"/>
    </row>
    <row r="61" spans="1:5" ht="14">
      <c r="A61" s="4"/>
      <c r="B61" s="43"/>
      <c r="C61" s="2" t="s">
        <v>103</v>
      </c>
      <c r="D61" s="89"/>
      <c r="E61" s="4"/>
    </row>
    <row r="62" spans="1:5" ht="14">
      <c r="A62" s="4"/>
      <c r="B62" s="43"/>
      <c r="C62" s="2" t="s">
        <v>11</v>
      </c>
      <c r="D62" s="89"/>
      <c r="E62" s="4"/>
    </row>
    <row r="63" spans="1:5" ht="14">
      <c r="A63" s="4"/>
      <c r="B63" s="43"/>
      <c r="C63" s="2" t="s">
        <v>12</v>
      </c>
      <c r="D63" s="89"/>
      <c r="E63" s="4"/>
    </row>
    <row r="64" spans="1:5" ht="26">
      <c r="A64" s="4"/>
      <c r="B64" s="43"/>
      <c r="C64" s="63" t="s">
        <v>13</v>
      </c>
      <c r="D64" s="88" t="s">
        <v>366</v>
      </c>
      <c r="E64" s="1" t="s">
        <v>0</v>
      </c>
    </row>
    <row r="65" spans="1:5" ht="26">
      <c r="A65" s="4"/>
      <c r="B65" s="43"/>
      <c r="C65" s="63" t="s">
        <v>14</v>
      </c>
      <c r="D65" s="88" t="s">
        <v>1</v>
      </c>
      <c r="E65" s="1" t="s">
        <v>1</v>
      </c>
    </row>
    <row r="66" spans="1:5" ht="26">
      <c r="A66" s="4"/>
      <c r="B66" s="43"/>
      <c r="C66" s="63" t="s">
        <v>104</v>
      </c>
      <c r="D66" s="1" t="s">
        <v>2</v>
      </c>
      <c r="E66" s="1" t="s">
        <v>2</v>
      </c>
    </row>
    <row r="67" spans="1:5" ht="26">
      <c r="A67" s="1" t="s">
        <v>300</v>
      </c>
      <c r="B67" s="1" t="s">
        <v>0</v>
      </c>
      <c r="C67" s="63" t="s">
        <v>105</v>
      </c>
      <c r="D67" s="88" t="s">
        <v>4</v>
      </c>
      <c r="E67" s="1" t="s">
        <v>4</v>
      </c>
    </row>
    <row r="68" spans="1:5" ht="28">
      <c r="A68" s="1" t="s">
        <v>1</v>
      </c>
      <c r="B68" s="1" t="s">
        <v>1</v>
      </c>
      <c r="C68" s="63" t="s">
        <v>367</v>
      </c>
      <c r="D68" s="63" t="s">
        <v>5</v>
      </c>
      <c r="E68" s="2" t="s">
        <v>5</v>
      </c>
    </row>
    <row r="69" spans="1:5" ht="26">
      <c r="A69" s="1" t="s">
        <v>2</v>
      </c>
      <c r="B69" s="1" t="s">
        <v>2</v>
      </c>
      <c r="C69" s="63" t="s">
        <v>368</v>
      </c>
      <c r="D69" s="63" t="s">
        <v>6</v>
      </c>
      <c r="E69" s="2" t="s">
        <v>6</v>
      </c>
    </row>
    <row r="70" spans="1:5" ht="26">
      <c r="A70" s="1" t="s">
        <v>3</v>
      </c>
      <c r="B70" s="1" t="s">
        <v>4</v>
      </c>
      <c r="C70" s="63" t="s">
        <v>369</v>
      </c>
      <c r="D70" s="63" t="s">
        <v>7</v>
      </c>
      <c r="E70" s="2" t="s">
        <v>7</v>
      </c>
    </row>
    <row r="71" spans="1:5" ht="28">
      <c r="A71" s="1" t="s">
        <v>4</v>
      </c>
      <c r="B71" s="2" t="s">
        <v>5</v>
      </c>
      <c r="C71" s="63" t="s">
        <v>370</v>
      </c>
      <c r="D71" s="63" t="s">
        <v>154</v>
      </c>
      <c r="E71" s="2" t="s">
        <v>154</v>
      </c>
    </row>
    <row r="72" spans="1:5" ht="28">
      <c r="A72" s="2" t="s">
        <v>5</v>
      </c>
      <c r="B72" s="3" t="s">
        <v>6</v>
      </c>
      <c r="C72" s="63" t="s">
        <v>110</v>
      </c>
      <c r="D72" s="63" t="s">
        <v>9</v>
      </c>
      <c r="E72" s="2" t="s">
        <v>9</v>
      </c>
    </row>
    <row r="73" spans="1:5" ht="14">
      <c r="A73" s="3" t="s">
        <v>6</v>
      </c>
      <c r="B73" s="3" t="s">
        <v>7</v>
      </c>
      <c r="C73" s="63" t="s">
        <v>111</v>
      </c>
      <c r="D73" s="63" t="s">
        <v>10</v>
      </c>
      <c r="E73" s="2" t="s">
        <v>204</v>
      </c>
    </row>
    <row r="74" spans="1:5" ht="14">
      <c r="A74" s="3" t="s">
        <v>7</v>
      </c>
      <c r="B74" s="1" t="s">
        <v>8</v>
      </c>
      <c r="C74" s="63" t="s">
        <v>112</v>
      </c>
      <c r="D74" s="63" t="s">
        <v>11</v>
      </c>
      <c r="E74" s="2" t="s">
        <v>205</v>
      </c>
    </row>
    <row r="75" spans="1:5" ht="28">
      <c r="A75" s="1" t="s">
        <v>8</v>
      </c>
      <c r="B75" s="2" t="s">
        <v>9</v>
      </c>
      <c r="C75" s="2" t="s">
        <v>113</v>
      </c>
      <c r="D75" s="88" t="s">
        <v>12</v>
      </c>
      <c r="E75" s="1" t="s">
        <v>12</v>
      </c>
    </row>
    <row r="76" spans="1:5" ht="26">
      <c r="A76" s="2" t="s">
        <v>9</v>
      </c>
      <c r="B76" s="2" t="s">
        <v>10</v>
      </c>
      <c r="C76" s="2" t="s">
        <v>279</v>
      </c>
      <c r="D76" s="63" t="s">
        <v>13</v>
      </c>
      <c r="E76" s="63" t="s">
        <v>13</v>
      </c>
    </row>
    <row r="77" spans="1:5" ht="26">
      <c r="A77" s="2" t="s">
        <v>10</v>
      </c>
      <c r="B77" s="2" t="s">
        <v>11</v>
      </c>
      <c r="C77" s="2" t="s">
        <v>281</v>
      </c>
      <c r="D77" s="63" t="s">
        <v>14</v>
      </c>
      <c r="E77" s="63" t="s">
        <v>14</v>
      </c>
    </row>
    <row r="78" spans="1:5" ht="26">
      <c r="A78" s="2" t="s">
        <v>11</v>
      </c>
      <c r="B78" s="1" t="s">
        <v>12</v>
      </c>
      <c r="C78" s="2" t="s">
        <v>371</v>
      </c>
      <c r="D78" s="63" t="s">
        <v>104</v>
      </c>
      <c r="E78" s="63" t="s">
        <v>104</v>
      </c>
    </row>
    <row r="79" spans="1:5" ht="28">
      <c r="A79" s="1" t="s">
        <v>12</v>
      </c>
      <c r="B79" s="2" t="s">
        <v>13</v>
      </c>
      <c r="C79" s="2" t="s">
        <v>27</v>
      </c>
      <c r="D79" s="63" t="s">
        <v>105</v>
      </c>
      <c r="E79" s="63" t="s">
        <v>105</v>
      </c>
    </row>
    <row r="80" spans="1:5" ht="28">
      <c r="A80" s="2" t="s">
        <v>13</v>
      </c>
      <c r="B80" s="2" t="s">
        <v>14</v>
      </c>
      <c r="C80" s="64"/>
      <c r="D80" s="63" t="s">
        <v>367</v>
      </c>
      <c r="E80" s="63" t="s">
        <v>367</v>
      </c>
    </row>
    <row r="81" spans="1:5" ht="42">
      <c r="A81" s="2" t="s">
        <v>14</v>
      </c>
      <c r="B81" s="2" t="s">
        <v>15</v>
      </c>
      <c r="C81" s="64"/>
      <c r="D81" s="63" t="s">
        <v>368</v>
      </c>
      <c r="E81" s="63" t="s">
        <v>368</v>
      </c>
    </row>
    <row r="82" spans="1:5" ht="42">
      <c r="A82" s="2" t="s">
        <v>15</v>
      </c>
      <c r="B82" s="2" t="s">
        <v>16</v>
      </c>
      <c r="C82" s="64"/>
      <c r="D82" s="63" t="s">
        <v>369</v>
      </c>
      <c r="E82" s="63" t="s">
        <v>369</v>
      </c>
    </row>
    <row r="83" spans="1:5" ht="42">
      <c r="A83" s="2" t="s">
        <v>16</v>
      </c>
      <c r="B83" s="2" t="s">
        <v>17</v>
      </c>
      <c r="C83" s="64"/>
      <c r="D83" s="63" t="s">
        <v>370</v>
      </c>
      <c r="E83" s="63" t="s">
        <v>370</v>
      </c>
    </row>
    <row r="84" spans="1:5" ht="42">
      <c r="A84" s="2" t="s">
        <v>17</v>
      </c>
      <c r="B84" s="2" t="s">
        <v>18</v>
      </c>
      <c r="C84" s="64"/>
      <c r="D84" s="63" t="s">
        <v>110</v>
      </c>
      <c r="E84" s="63" t="s">
        <v>110</v>
      </c>
    </row>
    <row r="85" spans="1:5" ht="42">
      <c r="A85" s="2" t="s">
        <v>18</v>
      </c>
      <c r="B85" s="2" t="s">
        <v>19</v>
      </c>
      <c r="C85" s="64"/>
      <c r="D85" s="63" t="s">
        <v>111</v>
      </c>
      <c r="E85" s="63" t="s">
        <v>111</v>
      </c>
    </row>
    <row r="86" spans="1:5" ht="28">
      <c r="A86" s="2" t="s">
        <v>19</v>
      </c>
      <c r="B86" s="2" t="s">
        <v>20</v>
      </c>
      <c r="C86" s="64"/>
      <c r="D86" s="63" t="s">
        <v>112</v>
      </c>
      <c r="E86" s="63" t="s">
        <v>207</v>
      </c>
    </row>
    <row r="87" spans="1:5" ht="28">
      <c r="A87" s="2" t="s">
        <v>20</v>
      </c>
      <c r="B87" s="2" t="s">
        <v>21</v>
      </c>
      <c r="C87" s="64"/>
      <c r="D87" s="63" t="s">
        <v>113</v>
      </c>
      <c r="E87" s="63" t="s">
        <v>113</v>
      </c>
    </row>
    <row r="88" spans="1:5" ht="28">
      <c r="A88" s="2" t="s">
        <v>21</v>
      </c>
      <c r="B88" s="2" t="s">
        <v>22</v>
      </c>
      <c r="C88" s="64"/>
      <c r="D88" s="63" t="s">
        <v>24</v>
      </c>
      <c r="E88" s="2" t="s">
        <v>279</v>
      </c>
    </row>
    <row r="89" spans="1:5" ht="28">
      <c r="A89" s="2" t="s">
        <v>22</v>
      </c>
      <c r="B89" s="2" t="s">
        <v>23</v>
      </c>
      <c r="C89" s="64"/>
      <c r="D89" s="63" t="s">
        <v>25</v>
      </c>
      <c r="E89" s="2" t="s">
        <v>281</v>
      </c>
    </row>
    <row r="90" spans="1:5" ht="28">
      <c r="A90" s="2" t="s">
        <v>23</v>
      </c>
      <c r="B90" s="2" t="s">
        <v>24</v>
      </c>
      <c r="C90" s="64"/>
      <c r="D90" s="63" t="s">
        <v>372</v>
      </c>
      <c r="E90" s="63" t="s">
        <v>372</v>
      </c>
    </row>
    <row r="91" spans="1:5" ht="28">
      <c r="A91" s="2" t="s">
        <v>24</v>
      </c>
      <c r="B91" s="2" t="s">
        <v>25</v>
      </c>
      <c r="C91" s="64"/>
      <c r="D91" s="88" t="s">
        <v>27</v>
      </c>
      <c r="E91" s="2" t="s">
        <v>27</v>
      </c>
    </row>
    <row r="92" spans="1:5" ht="14">
      <c r="A92" s="2" t="s">
        <v>25</v>
      </c>
      <c r="B92" s="1" t="s">
        <v>27</v>
      </c>
      <c r="C92" s="64"/>
      <c r="D92" s="89"/>
      <c r="E92" s="4"/>
    </row>
    <row r="93" spans="1:5" ht="13">
      <c r="A93" s="1" t="s">
        <v>27</v>
      </c>
      <c r="B93" s="1"/>
      <c r="C93" s="64"/>
      <c r="D93" s="89"/>
      <c r="E93" s="4"/>
    </row>
    <row r="94" spans="1:5" ht="13">
      <c r="A94" s="1" t="s">
        <v>28</v>
      </c>
      <c r="B94" s="43"/>
      <c r="C94" s="64"/>
      <c r="D94" s="89"/>
      <c r="E94" s="4"/>
    </row>
    <row r="95" spans="1:5" ht="13">
      <c r="A95" s="4"/>
      <c r="B95" s="43"/>
      <c r="C95" s="64"/>
      <c r="D95" s="89"/>
      <c r="E95" s="4"/>
    </row>
    <row r="96" spans="1:5" ht="13">
      <c r="A96" s="4"/>
      <c r="B96" s="43"/>
      <c r="C96" s="64"/>
      <c r="D96" s="89"/>
      <c r="E96" s="4"/>
    </row>
    <row r="97" spans="1:5" ht="13">
      <c r="A97" s="4"/>
      <c r="B97" s="43"/>
      <c r="C97" s="64"/>
      <c r="D97" s="89"/>
      <c r="E97" s="4"/>
    </row>
    <row r="98" spans="1:5" ht="13">
      <c r="A98" s="4"/>
      <c r="B98" s="43"/>
      <c r="C98" s="64"/>
      <c r="D98" s="89"/>
      <c r="E98" s="4"/>
    </row>
    <row r="99" spans="1:5" ht="13">
      <c r="A99" s="4"/>
      <c r="B99" s="43"/>
      <c r="C99" s="64"/>
      <c r="D99" s="89"/>
      <c r="E99" s="4"/>
    </row>
    <row r="100" spans="1:5" ht="14">
      <c r="A100" s="4"/>
      <c r="B100" s="43"/>
      <c r="C100" s="2" t="s">
        <v>0</v>
      </c>
      <c r="D100" s="89"/>
      <c r="E100" s="4"/>
    </row>
    <row r="101" spans="1:5" ht="14">
      <c r="A101" s="4"/>
      <c r="B101" s="43"/>
      <c r="C101" s="2" t="s">
        <v>1</v>
      </c>
      <c r="D101" s="89"/>
      <c r="E101" s="4"/>
    </row>
    <row r="102" spans="1:5" ht="13">
      <c r="A102" s="4"/>
      <c r="B102" s="43"/>
      <c r="C102" s="62" t="s">
        <v>2</v>
      </c>
      <c r="D102" s="89"/>
      <c r="E102" s="4"/>
    </row>
    <row r="103" spans="1:5" ht="14">
      <c r="A103" s="4"/>
      <c r="B103" s="43"/>
      <c r="C103" s="2" t="s">
        <v>4</v>
      </c>
      <c r="D103" s="89"/>
      <c r="E103" s="4"/>
    </row>
    <row r="104" spans="1:5" ht="28">
      <c r="A104" s="4"/>
      <c r="B104" s="43"/>
      <c r="C104" s="2" t="s">
        <v>5</v>
      </c>
      <c r="D104" s="89"/>
      <c r="E104" s="4"/>
    </row>
    <row r="105" spans="1:5" ht="14">
      <c r="A105" s="4"/>
      <c r="B105" s="43"/>
      <c r="C105" s="2" t="s">
        <v>6</v>
      </c>
      <c r="D105" s="89"/>
      <c r="E105" s="4"/>
    </row>
    <row r="106" spans="1:5" ht="14">
      <c r="A106" s="4"/>
      <c r="B106" s="43"/>
      <c r="C106" s="2" t="s">
        <v>7</v>
      </c>
      <c r="D106" s="89"/>
      <c r="E106" s="4"/>
    </row>
    <row r="107" spans="1:5" ht="14">
      <c r="A107" s="4"/>
      <c r="B107" s="43"/>
      <c r="C107" s="2" t="s">
        <v>8</v>
      </c>
      <c r="D107" s="89"/>
      <c r="E107" s="4"/>
    </row>
    <row r="108" spans="1:5" ht="14">
      <c r="A108" s="4"/>
      <c r="B108" s="43"/>
      <c r="C108" s="2" t="s">
        <v>9</v>
      </c>
      <c r="D108" s="89"/>
      <c r="E108" s="4"/>
    </row>
    <row r="109" spans="1:5" ht="14">
      <c r="A109" s="4"/>
      <c r="B109" s="43"/>
      <c r="C109" s="2" t="s">
        <v>103</v>
      </c>
      <c r="D109" s="89"/>
      <c r="E109" s="4"/>
    </row>
    <row r="110" spans="1:5" ht="14">
      <c r="A110" s="4"/>
      <c r="B110" s="43"/>
      <c r="C110" s="2" t="s">
        <v>11</v>
      </c>
      <c r="D110" s="89"/>
      <c r="E110" s="4"/>
    </row>
    <row r="111" spans="1:5" ht="14">
      <c r="A111" s="4"/>
      <c r="B111" s="43"/>
      <c r="C111" s="2" t="s">
        <v>12</v>
      </c>
      <c r="D111" s="89"/>
      <c r="E111" s="4"/>
    </row>
    <row r="112" spans="1:5" ht="26">
      <c r="A112" s="4"/>
      <c r="B112" s="43"/>
      <c r="C112" s="63" t="s">
        <v>13</v>
      </c>
      <c r="D112" s="89"/>
      <c r="E112" s="4"/>
    </row>
    <row r="113" spans="1:5" ht="26">
      <c r="A113" s="4"/>
      <c r="B113" s="43"/>
      <c r="C113" s="63" t="s">
        <v>14</v>
      </c>
      <c r="D113" s="89"/>
      <c r="E113" s="4"/>
    </row>
    <row r="114" spans="1:5" ht="26">
      <c r="A114" s="4"/>
      <c r="B114" s="43"/>
      <c r="C114" s="63" t="s">
        <v>104</v>
      </c>
      <c r="D114" s="89"/>
      <c r="E114" s="4"/>
    </row>
    <row r="115" spans="1:5" ht="26">
      <c r="A115" s="4"/>
      <c r="B115" s="43"/>
      <c r="C115" s="63" t="s">
        <v>105</v>
      </c>
      <c r="D115" s="89"/>
      <c r="E115" s="4"/>
    </row>
    <row r="116" spans="1:5" ht="26">
      <c r="A116" s="4"/>
      <c r="B116" s="43"/>
      <c r="C116" s="63" t="s">
        <v>367</v>
      </c>
      <c r="D116" s="89"/>
      <c r="E116" s="4"/>
    </row>
    <row r="117" spans="1:5" ht="26">
      <c r="A117" s="4"/>
      <c r="B117" s="43"/>
      <c r="C117" s="63" t="s">
        <v>368</v>
      </c>
      <c r="D117" s="89"/>
      <c r="E117" s="4"/>
    </row>
    <row r="118" spans="1:5" ht="26">
      <c r="A118" s="4"/>
      <c r="B118" s="43"/>
      <c r="C118" s="63" t="s">
        <v>369</v>
      </c>
      <c r="D118" s="89"/>
      <c r="E118" s="4"/>
    </row>
    <row r="119" spans="1:5" ht="26">
      <c r="A119" s="4"/>
      <c r="B119" s="43"/>
      <c r="C119" s="63" t="s">
        <v>370</v>
      </c>
      <c r="D119" s="89"/>
      <c r="E119" s="4"/>
    </row>
    <row r="120" spans="1:5" ht="13">
      <c r="A120" s="4"/>
      <c r="B120" s="43"/>
      <c r="C120" s="63" t="s">
        <v>110</v>
      </c>
      <c r="D120" s="89"/>
      <c r="E120" s="4"/>
    </row>
    <row r="121" spans="1:5" ht="13">
      <c r="A121" s="4"/>
      <c r="B121" s="43"/>
      <c r="C121" s="63" t="s">
        <v>111</v>
      </c>
      <c r="D121" s="89"/>
      <c r="E121" s="4"/>
    </row>
    <row r="122" spans="1:5" ht="13">
      <c r="A122" s="4"/>
      <c r="B122" s="43"/>
      <c r="C122" s="63" t="s">
        <v>112</v>
      </c>
      <c r="D122" s="89"/>
      <c r="E122" s="4"/>
    </row>
    <row r="123" spans="1:5" ht="28">
      <c r="A123" s="4"/>
      <c r="B123" s="43"/>
      <c r="C123" s="2" t="s">
        <v>113</v>
      </c>
      <c r="D123" s="89"/>
      <c r="E123" s="4"/>
    </row>
    <row r="124" spans="1:5" ht="14">
      <c r="A124" s="4"/>
      <c r="B124" s="43"/>
      <c r="C124" s="2" t="s">
        <v>279</v>
      </c>
      <c r="D124" s="88" t="s">
        <v>366</v>
      </c>
      <c r="E124" s="1" t="s">
        <v>0</v>
      </c>
    </row>
    <row r="125" spans="1:5" ht="14">
      <c r="A125" s="4"/>
      <c r="B125" s="43"/>
      <c r="C125" s="2" t="s">
        <v>281</v>
      </c>
      <c r="D125" s="88" t="s">
        <v>1</v>
      </c>
      <c r="E125" s="1" t="s">
        <v>1</v>
      </c>
    </row>
    <row r="126" spans="1:5" ht="14">
      <c r="A126" s="4"/>
      <c r="B126" s="43"/>
      <c r="C126" s="2" t="s">
        <v>371</v>
      </c>
      <c r="D126" s="1" t="s">
        <v>2</v>
      </c>
      <c r="E126" s="1" t="s">
        <v>2</v>
      </c>
    </row>
    <row r="127" spans="1:5" ht="14">
      <c r="A127" s="4"/>
      <c r="B127" s="43"/>
      <c r="C127" s="2" t="s">
        <v>27</v>
      </c>
      <c r="D127" s="88" t="s">
        <v>4</v>
      </c>
      <c r="E127" s="1" t="s">
        <v>4</v>
      </c>
    </row>
    <row r="128" spans="1:5" ht="28">
      <c r="A128" s="4"/>
      <c r="B128" s="43"/>
      <c r="C128" s="64"/>
      <c r="D128" s="63" t="s">
        <v>5</v>
      </c>
      <c r="E128" s="2" t="s">
        <v>5</v>
      </c>
    </row>
    <row r="129" spans="1:5" ht="14">
      <c r="A129" s="4"/>
      <c r="B129" s="1" t="s">
        <v>0</v>
      </c>
      <c r="C129" s="64"/>
      <c r="D129" s="63" t="s">
        <v>6</v>
      </c>
      <c r="E129" s="2" t="s">
        <v>6</v>
      </c>
    </row>
    <row r="130" spans="1:5" ht="14">
      <c r="A130" s="1" t="s">
        <v>300</v>
      </c>
      <c r="B130" s="1" t="s">
        <v>1</v>
      </c>
      <c r="C130" s="64"/>
      <c r="D130" s="63" t="s">
        <v>7</v>
      </c>
      <c r="E130" s="2" t="s">
        <v>7</v>
      </c>
    </row>
    <row r="131" spans="1:5" ht="28">
      <c r="A131" s="1" t="s">
        <v>1</v>
      </c>
      <c r="B131" s="1" t="s">
        <v>2</v>
      </c>
      <c r="C131" s="64"/>
      <c r="D131" s="63" t="s">
        <v>154</v>
      </c>
      <c r="E131" s="2" t="s">
        <v>154</v>
      </c>
    </row>
    <row r="132" spans="1:5" ht="14">
      <c r="A132" s="1" t="s">
        <v>2</v>
      </c>
      <c r="B132" s="1" t="s">
        <v>4</v>
      </c>
      <c r="C132" s="64"/>
      <c r="D132" s="63" t="s">
        <v>9</v>
      </c>
      <c r="E132" s="2" t="s">
        <v>9</v>
      </c>
    </row>
    <row r="133" spans="1:5" ht="28">
      <c r="A133" s="1" t="s">
        <v>3</v>
      </c>
      <c r="B133" s="2" t="s">
        <v>5</v>
      </c>
      <c r="C133" s="64"/>
      <c r="D133" s="63" t="s">
        <v>10</v>
      </c>
      <c r="E133" s="2" t="s">
        <v>204</v>
      </c>
    </row>
    <row r="134" spans="1:5" ht="14">
      <c r="A134" s="1" t="s">
        <v>4</v>
      </c>
      <c r="B134" s="3" t="s">
        <v>6</v>
      </c>
      <c r="C134" s="64"/>
      <c r="D134" s="63" t="s">
        <v>11</v>
      </c>
      <c r="E134" s="2" t="s">
        <v>205</v>
      </c>
    </row>
    <row r="135" spans="1:5" ht="28">
      <c r="A135" s="2" t="s">
        <v>5</v>
      </c>
      <c r="B135" s="3" t="s">
        <v>7</v>
      </c>
      <c r="C135" s="64"/>
      <c r="D135" s="88" t="s">
        <v>12</v>
      </c>
      <c r="E135" s="1" t="s">
        <v>12</v>
      </c>
    </row>
    <row r="136" spans="1:5" ht="26">
      <c r="A136" s="3" t="s">
        <v>6</v>
      </c>
      <c r="B136" s="1" t="s">
        <v>8</v>
      </c>
      <c r="C136" s="64"/>
      <c r="D136" s="63" t="s">
        <v>13</v>
      </c>
      <c r="E136" s="63" t="s">
        <v>13</v>
      </c>
    </row>
    <row r="137" spans="1:5" ht="26">
      <c r="A137" s="3" t="s">
        <v>7</v>
      </c>
      <c r="B137" s="2" t="s">
        <v>9</v>
      </c>
      <c r="C137" s="64"/>
      <c r="D137" s="63" t="s">
        <v>14</v>
      </c>
      <c r="E137" s="63" t="s">
        <v>14</v>
      </c>
    </row>
    <row r="138" spans="1:5" ht="26">
      <c r="A138" s="1" t="s">
        <v>8</v>
      </c>
      <c r="B138" s="2" t="s">
        <v>10</v>
      </c>
      <c r="C138" s="64"/>
      <c r="D138" s="63" t="s">
        <v>104</v>
      </c>
      <c r="E138" s="63" t="s">
        <v>104</v>
      </c>
    </row>
    <row r="139" spans="1:5" ht="26">
      <c r="A139" s="2" t="s">
        <v>9</v>
      </c>
      <c r="B139" s="2" t="s">
        <v>11</v>
      </c>
      <c r="C139" s="64"/>
      <c r="D139" s="63" t="s">
        <v>105</v>
      </c>
      <c r="E139" s="63" t="s">
        <v>105</v>
      </c>
    </row>
    <row r="140" spans="1:5" ht="26">
      <c r="A140" s="2" t="s">
        <v>10</v>
      </c>
      <c r="B140" s="1" t="s">
        <v>12</v>
      </c>
      <c r="C140" s="64"/>
      <c r="D140" s="63" t="s">
        <v>367</v>
      </c>
      <c r="E140" s="63" t="s">
        <v>367</v>
      </c>
    </row>
    <row r="141" spans="1:5" ht="28">
      <c r="A141" s="2" t="s">
        <v>11</v>
      </c>
      <c r="B141" s="2" t="s">
        <v>13</v>
      </c>
      <c r="C141" s="64"/>
      <c r="D141" s="63" t="s">
        <v>368</v>
      </c>
      <c r="E141" s="63" t="s">
        <v>368</v>
      </c>
    </row>
    <row r="142" spans="1:5" ht="28">
      <c r="A142" s="1" t="s">
        <v>12</v>
      </c>
      <c r="B142" s="2" t="s">
        <v>14</v>
      </c>
      <c r="C142" s="64"/>
      <c r="D142" s="63" t="s">
        <v>369</v>
      </c>
      <c r="E142" s="63" t="s">
        <v>369</v>
      </c>
    </row>
    <row r="143" spans="1:5" ht="42">
      <c r="A143" s="2" t="s">
        <v>13</v>
      </c>
      <c r="B143" s="2" t="s">
        <v>15</v>
      </c>
      <c r="C143" s="64"/>
      <c r="D143" s="63" t="s">
        <v>370</v>
      </c>
      <c r="E143" s="63" t="s">
        <v>370</v>
      </c>
    </row>
    <row r="144" spans="1:5" ht="42">
      <c r="A144" s="2" t="s">
        <v>14</v>
      </c>
      <c r="B144" s="2" t="s">
        <v>16</v>
      </c>
      <c r="C144" s="64"/>
      <c r="D144" s="63" t="s">
        <v>110</v>
      </c>
      <c r="E144" s="63" t="s">
        <v>110</v>
      </c>
    </row>
    <row r="145" spans="1:5" ht="42">
      <c r="A145" s="2" t="s">
        <v>15</v>
      </c>
      <c r="B145" s="2" t="s">
        <v>17</v>
      </c>
      <c r="C145" s="64"/>
      <c r="D145" s="63" t="s">
        <v>111</v>
      </c>
      <c r="E145" s="63" t="s">
        <v>111</v>
      </c>
    </row>
    <row r="146" spans="1:5" ht="42">
      <c r="A146" s="2" t="s">
        <v>16</v>
      </c>
      <c r="B146" s="2" t="s">
        <v>18</v>
      </c>
      <c r="C146" s="64"/>
      <c r="D146" s="63" t="s">
        <v>112</v>
      </c>
      <c r="E146" s="63" t="s">
        <v>207</v>
      </c>
    </row>
    <row r="147" spans="1:5" ht="42">
      <c r="A147" s="2" t="s">
        <v>17</v>
      </c>
      <c r="B147" s="2" t="s">
        <v>19</v>
      </c>
      <c r="C147" s="64"/>
      <c r="D147" s="63" t="s">
        <v>113</v>
      </c>
      <c r="E147" s="63" t="s">
        <v>113</v>
      </c>
    </row>
    <row r="148" spans="1:5" ht="42">
      <c r="A148" s="2" t="s">
        <v>18</v>
      </c>
      <c r="B148" s="2" t="s">
        <v>20</v>
      </c>
      <c r="C148" s="2" t="s">
        <v>0</v>
      </c>
      <c r="D148" s="63" t="s">
        <v>24</v>
      </c>
      <c r="E148" s="2" t="s">
        <v>279</v>
      </c>
    </row>
    <row r="149" spans="1:5" ht="28">
      <c r="A149" s="2" t="s">
        <v>19</v>
      </c>
      <c r="B149" s="2" t="s">
        <v>21</v>
      </c>
      <c r="C149" s="2" t="s">
        <v>1</v>
      </c>
      <c r="D149" s="63" t="s">
        <v>25</v>
      </c>
      <c r="E149" s="2" t="s">
        <v>281</v>
      </c>
    </row>
    <row r="150" spans="1:5" ht="28">
      <c r="A150" s="2" t="s">
        <v>20</v>
      </c>
      <c r="B150" s="2" t="s">
        <v>22</v>
      </c>
      <c r="C150" s="62" t="s">
        <v>2</v>
      </c>
      <c r="D150" s="63" t="s">
        <v>372</v>
      </c>
      <c r="E150" s="63" t="s">
        <v>372</v>
      </c>
    </row>
    <row r="151" spans="1:5" ht="28">
      <c r="A151" s="2" t="s">
        <v>21</v>
      </c>
      <c r="B151" s="2" t="s">
        <v>23</v>
      </c>
      <c r="C151" s="2" t="s">
        <v>4</v>
      </c>
      <c r="D151" s="88" t="s">
        <v>27</v>
      </c>
      <c r="E151" s="2" t="s">
        <v>27</v>
      </c>
    </row>
    <row r="152" spans="1:5" ht="28">
      <c r="A152" s="2" t="s">
        <v>22</v>
      </c>
      <c r="B152" s="2" t="s">
        <v>24</v>
      </c>
      <c r="C152" s="2" t="s">
        <v>5</v>
      </c>
      <c r="D152" s="89"/>
      <c r="E152" s="4"/>
    </row>
    <row r="153" spans="1:5" ht="28">
      <c r="A153" s="2" t="s">
        <v>23</v>
      </c>
      <c r="B153" s="2" t="s">
        <v>25</v>
      </c>
      <c r="C153" s="2" t="s">
        <v>6</v>
      </c>
      <c r="D153" s="89"/>
      <c r="E153" s="4"/>
    </row>
    <row r="154" spans="1:5" ht="28">
      <c r="A154" s="2" t="s">
        <v>24</v>
      </c>
      <c r="B154" s="1" t="s">
        <v>27</v>
      </c>
      <c r="C154" s="2" t="s">
        <v>7</v>
      </c>
      <c r="D154" s="89"/>
      <c r="E154" s="4"/>
    </row>
    <row r="155" spans="1:5" ht="14">
      <c r="A155" s="2" t="s">
        <v>25</v>
      </c>
      <c r="B155" s="1"/>
      <c r="C155" s="2" t="s">
        <v>8</v>
      </c>
      <c r="D155" s="89"/>
      <c r="E155" s="4"/>
    </row>
    <row r="156" spans="1:5" ht="14">
      <c r="A156" s="1" t="s">
        <v>27</v>
      </c>
      <c r="B156" s="43"/>
      <c r="C156" s="2" t="s">
        <v>9</v>
      </c>
      <c r="D156" s="89"/>
      <c r="E156" s="4"/>
    </row>
    <row r="157" spans="1:5" ht="14">
      <c r="A157" s="1" t="s">
        <v>28</v>
      </c>
      <c r="B157" s="43"/>
      <c r="C157" s="2" t="s">
        <v>103</v>
      </c>
      <c r="D157" s="89"/>
      <c r="E157" s="4"/>
    </row>
    <row r="158" spans="1:5" ht="14">
      <c r="A158" s="4"/>
      <c r="B158" s="43"/>
      <c r="C158" s="2" t="s">
        <v>11</v>
      </c>
      <c r="D158" s="89"/>
      <c r="E158" s="4"/>
    </row>
    <row r="159" spans="1:5" ht="14">
      <c r="A159" s="4"/>
      <c r="B159" s="43"/>
      <c r="C159" s="2" t="s">
        <v>12</v>
      </c>
      <c r="D159" s="89"/>
      <c r="E159" s="4"/>
    </row>
    <row r="160" spans="1:5" ht="26">
      <c r="A160" s="4"/>
      <c r="B160" s="43"/>
      <c r="C160" s="63" t="s">
        <v>13</v>
      </c>
      <c r="D160" s="89"/>
      <c r="E160" s="4"/>
    </row>
    <row r="161" spans="1:5" ht="26">
      <c r="A161" s="4"/>
      <c r="B161" s="43"/>
      <c r="C161" s="63" t="s">
        <v>14</v>
      </c>
      <c r="D161" s="89"/>
      <c r="E161" s="4"/>
    </row>
    <row r="162" spans="1:5" ht="26">
      <c r="A162" s="4"/>
      <c r="B162" s="43"/>
      <c r="C162" s="63" t="s">
        <v>104</v>
      </c>
      <c r="D162" s="89"/>
      <c r="E162" s="4"/>
    </row>
    <row r="163" spans="1:5" ht="26">
      <c r="A163" s="4"/>
      <c r="B163" s="43"/>
      <c r="C163" s="63" t="s">
        <v>105</v>
      </c>
      <c r="D163" s="89"/>
      <c r="E163" s="4"/>
    </row>
    <row r="164" spans="1:5" ht="26">
      <c r="A164" s="4"/>
      <c r="B164" s="43"/>
      <c r="C164" s="63" t="s">
        <v>367</v>
      </c>
      <c r="D164" s="89"/>
      <c r="E164" s="4"/>
    </row>
    <row r="165" spans="1:5" ht="26">
      <c r="A165" s="4"/>
      <c r="B165" s="43"/>
      <c r="C165" s="63" t="s">
        <v>368</v>
      </c>
      <c r="D165" s="89"/>
      <c r="E165" s="4"/>
    </row>
    <row r="166" spans="1:5" ht="26">
      <c r="A166" s="4"/>
      <c r="B166" s="43"/>
      <c r="C166" s="63" t="s">
        <v>369</v>
      </c>
      <c r="D166" s="89"/>
      <c r="E166" s="4"/>
    </row>
    <row r="167" spans="1:5" ht="26">
      <c r="A167" s="4"/>
      <c r="B167" s="43"/>
      <c r="C167" s="63" t="s">
        <v>370</v>
      </c>
      <c r="D167" s="89"/>
      <c r="E167" s="4"/>
    </row>
    <row r="168" spans="1:5" ht="13">
      <c r="A168" s="4"/>
      <c r="B168" s="43"/>
      <c r="C168" s="63" t="s">
        <v>110</v>
      </c>
      <c r="D168" s="89"/>
      <c r="E168" s="4"/>
    </row>
    <row r="169" spans="1:5" ht="13">
      <c r="A169" s="4"/>
      <c r="B169" s="43"/>
      <c r="C169" s="63" t="s">
        <v>111</v>
      </c>
      <c r="D169" s="89"/>
      <c r="E169" s="4"/>
    </row>
    <row r="170" spans="1:5" ht="13">
      <c r="A170" s="4"/>
      <c r="B170" s="43"/>
      <c r="C170" s="63" t="s">
        <v>112</v>
      </c>
      <c r="D170" s="89"/>
      <c r="E170" s="4"/>
    </row>
    <row r="171" spans="1:5" ht="28">
      <c r="A171" s="4"/>
      <c r="B171" s="43"/>
      <c r="C171" s="2" t="s">
        <v>113</v>
      </c>
      <c r="D171" s="89"/>
      <c r="E171" s="4"/>
    </row>
    <row r="172" spans="1:5" ht="14">
      <c r="A172" s="4"/>
      <c r="B172" s="43"/>
      <c r="C172" s="2" t="s">
        <v>279</v>
      </c>
      <c r="D172" s="89"/>
      <c r="E172" s="4"/>
    </row>
    <row r="173" spans="1:5" ht="14">
      <c r="A173" s="4"/>
      <c r="B173" s="43"/>
      <c r="C173" s="2" t="s">
        <v>281</v>
      </c>
      <c r="D173" s="89"/>
      <c r="E173" s="4"/>
    </row>
    <row r="174" spans="1:5" ht="14">
      <c r="A174" s="4"/>
      <c r="B174" s="43"/>
      <c r="C174" s="2" t="s">
        <v>371</v>
      </c>
      <c r="D174" s="89"/>
      <c r="E174" s="4"/>
    </row>
    <row r="175" spans="1:5" ht="14">
      <c r="A175" s="4"/>
      <c r="B175" s="43"/>
      <c r="C175" s="2" t="s">
        <v>27</v>
      </c>
      <c r="D175" s="89"/>
      <c r="E175" s="4"/>
    </row>
    <row r="176" spans="1:5" ht="13">
      <c r="A176" s="4"/>
      <c r="B176" s="43"/>
      <c r="C176" s="64"/>
      <c r="D176" s="89"/>
      <c r="E176" s="4"/>
    </row>
    <row r="177" spans="1:5" ht="13">
      <c r="A177" s="4"/>
      <c r="B177" s="43"/>
      <c r="C177" s="64"/>
      <c r="D177" s="89"/>
      <c r="E177" s="4"/>
    </row>
    <row r="178" spans="1:5" ht="13">
      <c r="A178" s="4"/>
      <c r="B178" s="43"/>
      <c r="C178" s="64"/>
      <c r="D178" s="89"/>
      <c r="E178" s="4"/>
    </row>
    <row r="179" spans="1:5" ht="13">
      <c r="A179" s="4"/>
      <c r="B179" s="43"/>
      <c r="C179" s="64"/>
      <c r="D179" s="89"/>
      <c r="E179" s="4"/>
    </row>
    <row r="180" spans="1:5" ht="13">
      <c r="A180" s="4"/>
      <c r="B180" s="43"/>
      <c r="C180" s="64"/>
      <c r="D180" s="89"/>
      <c r="E180" s="4"/>
    </row>
    <row r="181" spans="1:5" ht="13">
      <c r="A181" s="4"/>
      <c r="B181" s="43"/>
      <c r="C181" s="64"/>
      <c r="D181" s="89"/>
      <c r="E181" s="4"/>
    </row>
    <row r="182" spans="1:5" ht="13">
      <c r="A182" s="4"/>
      <c r="B182" s="43"/>
      <c r="C182" s="64"/>
      <c r="D182" s="89"/>
      <c r="E182" s="4"/>
    </row>
    <row r="183" spans="1:5" ht="13">
      <c r="A183" s="4"/>
      <c r="B183" s="43"/>
      <c r="C183" s="64"/>
      <c r="D183" s="89"/>
      <c r="E183" s="4"/>
    </row>
    <row r="184" spans="1:5" ht="13">
      <c r="A184" s="4"/>
      <c r="B184" s="43"/>
      <c r="C184" s="64"/>
      <c r="D184" s="88" t="s">
        <v>366</v>
      </c>
      <c r="E184" s="1" t="s">
        <v>0</v>
      </c>
    </row>
    <row r="185" spans="1:5" ht="13">
      <c r="A185" s="4"/>
      <c r="B185" s="43"/>
      <c r="C185" s="64"/>
      <c r="D185" s="88" t="s">
        <v>1</v>
      </c>
      <c r="E185" s="1" t="s">
        <v>1</v>
      </c>
    </row>
    <row r="186" spans="1:5" ht="13">
      <c r="A186" s="4"/>
      <c r="B186" s="43"/>
      <c r="C186" s="64"/>
      <c r="D186" s="1" t="s">
        <v>2</v>
      </c>
      <c r="E186" s="1" t="s">
        <v>2</v>
      </c>
    </row>
    <row r="187" spans="1:5" ht="13">
      <c r="A187" s="4"/>
      <c r="B187" s="43"/>
      <c r="C187" s="64"/>
      <c r="D187" s="88" t="s">
        <v>4</v>
      </c>
      <c r="E187" s="1" t="s">
        <v>4</v>
      </c>
    </row>
    <row r="188" spans="1:5" ht="28">
      <c r="A188" s="4"/>
      <c r="B188" s="43"/>
      <c r="C188" s="64"/>
      <c r="D188" s="63" t="s">
        <v>5</v>
      </c>
      <c r="E188" s="2" t="s">
        <v>5</v>
      </c>
    </row>
    <row r="189" spans="1:5" ht="14">
      <c r="A189" s="4"/>
      <c r="B189" s="43"/>
      <c r="C189" s="64"/>
      <c r="D189" s="63" t="s">
        <v>6</v>
      </c>
      <c r="E189" s="2" t="s">
        <v>6</v>
      </c>
    </row>
    <row r="190" spans="1:5" ht="14">
      <c r="A190" s="4"/>
      <c r="B190" s="43"/>
      <c r="C190" s="64"/>
      <c r="D190" s="63" t="s">
        <v>7</v>
      </c>
      <c r="E190" s="2" t="s">
        <v>7</v>
      </c>
    </row>
    <row r="191" spans="1:5" ht="28">
      <c r="A191" s="4"/>
      <c r="B191" s="1" t="s">
        <v>0</v>
      </c>
      <c r="C191" s="64"/>
      <c r="D191" s="63" t="s">
        <v>154</v>
      </c>
      <c r="E191" s="2" t="s">
        <v>154</v>
      </c>
    </row>
    <row r="192" spans="1:5" ht="14">
      <c r="A192" s="4"/>
      <c r="B192" s="1" t="s">
        <v>1</v>
      </c>
      <c r="C192" s="64"/>
      <c r="D192" s="63" t="s">
        <v>9</v>
      </c>
      <c r="E192" s="2" t="s">
        <v>9</v>
      </c>
    </row>
    <row r="193" spans="1:5" ht="14">
      <c r="A193" s="1" t="s">
        <v>300</v>
      </c>
      <c r="B193" s="1" t="s">
        <v>2</v>
      </c>
      <c r="C193" s="64"/>
      <c r="D193" s="63" t="s">
        <v>10</v>
      </c>
      <c r="E193" s="2" t="s">
        <v>204</v>
      </c>
    </row>
    <row r="194" spans="1:5" ht="14">
      <c r="A194" s="1" t="s">
        <v>1</v>
      </c>
      <c r="B194" s="1" t="s">
        <v>4</v>
      </c>
      <c r="C194" s="64"/>
      <c r="D194" s="63" t="s">
        <v>11</v>
      </c>
      <c r="E194" s="2" t="s">
        <v>205</v>
      </c>
    </row>
    <row r="195" spans="1:5" ht="28">
      <c r="A195" s="1" t="s">
        <v>2</v>
      </c>
      <c r="B195" s="2" t="s">
        <v>5</v>
      </c>
      <c r="C195" s="64"/>
      <c r="D195" s="88" t="s">
        <v>12</v>
      </c>
      <c r="E195" s="1" t="s">
        <v>12</v>
      </c>
    </row>
    <row r="196" spans="1:5" ht="26">
      <c r="A196" s="1" t="s">
        <v>3</v>
      </c>
      <c r="B196" s="3" t="s">
        <v>6</v>
      </c>
      <c r="C196" s="2" t="s">
        <v>0</v>
      </c>
      <c r="D196" s="63" t="s">
        <v>13</v>
      </c>
      <c r="E196" s="63" t="s">
        <v>13</v>
      </c>
    </row>
    <row r="197" spans="1:5" ht="26">
      <c r="A197" s="1" t="s">
        <v>4</v>
      </c>
      <c r="B197" s="3" t="s">
        <v>7</v>
      </c>
      <c r="C197" s="2" t="s">
        <v>1</v>
      </c>
      <c r="D197" s="63" t="s">
        <v>14</v>
      </c>
      <c r="E197" s="63" t="s">
        <v>14</v>
      </c>
    </row>
    <row r="198" spans="1:5" ht="28">
      <c r="A198" s="2" t="s">
        <v>5</v>
      </c>
      <c r="B198" s="1" t="s">
        <v>8</v>
      </c>
      <c r="C198" s="62" t="s">
        <v>2</v>
      </c>
      <c r="D198" s="63" t="s">
        <v>104</v>
      </c>
      <c r="E198" s="63" t="s">
        <v>104</v>
      </c>
    </row>
    <row r="199" spans="1:5" ht="26">
      <c r="A199" s="3" t="s">
        <v>6</v>
      </c>
      <c r="B199" s="2" t="s">
        <v>9</v>
      </c>
      <c r="C199" s="2" t="s">
        <v>4</v>
      </c>
      <c r="D199" s="63" t="s">
        <v>105</v>
      </c>
      <c r="E199" s="63" t="s">
        <v>105</v>
      </c>
    </row>
    <row r="200" spans="1:5" ht="28">
      <c r="A200" s="3" t="s">
        <v>7</v>
      </c>
      <c r="B200" s="2" t="s">
        <v>10</v>
      </c>
      <c r="C200" s="2" t="s">
        <v>5</v>
      </c>
      <c r="D200" s="63" t="s">
        <v>367</v>
      </c>
      <c r="E200" s="63" t="s">
        <v>367</v>
      </c>
    </row>
    <row r="201" spans="1:5" ht="26">
      <c r="A201" s="1" t="s">
        <v>8</v>
      </c>
      <c r="B201" s="2" t="s">
        <v>11</v>
      </c>
      <c r="C201" s="2" t="s">
        <v>6</v>
      </c>
      <c r="D201" s="63" t="s">
        <v>368</v>
      </c>
      <c r="E201" s="63" t="s">
        <v>368</v>
      </c>
    </row>
    <row r="202" spans="1:5" ht="26">
      <c r="A202" s="2" t="s">
        <v>9</v>
      </c>
      <c r="B202" s="1" t="s">
        <v>12</v>
      </c>
      <c r="C202" s="2" t="s">
        <v>7</v>
      </c>
      <c r="D202" s="63" t="s">
        <v>369</v>
      </c>
      <c r="E202" s="63" t="s">
        <v>369</v>
      </c>
    </row>
    <row r="203" spans="1:5" ht="28">
      <c r="A203" s="2" t="s">
        <v>10</v>
      </c>
      <c r="B203" s="2" t="s">
        <v>13</v>
      </c>
      <c r="C203" s="2" t="s">
        <v>8</v>
      </c>
      <c r="D203" s="63" t="s">
        <v>370</v>
      </c>
      <c r="E203" s="63" t="s">
        <v>370</v>
      </c>
    </row>
    <row r="204" spans="1:5" ht="28">
      <c r="A204" s="2" t="s">
        <v>11</v>
      </c>
      <c r="B204" s="2" t="s">
        <v>14</v>
      </c>
      <c r="C204" s="2" t="s">
        <v>9</v>
      </c>
      <c r="D204" s="63" t="s">
        <v>110</v>
      </c>
      <c r="E204" s="63" t="s">
        <v>110</v>
      </c>
    </row>
    <row r="205" spans="1:5" ht="42">
      <c r="A205" s="1" t="s">
        <v>12</v>
      </c>
      <c r="B205" s="2" t="s">
        <v>15</v>
      </c>
      <c r="C205" s="2" t="s">
        <v>103</v>
      </c>
      <c r="D205" s="63" t="s">
        <v>111</v>
      </c>
      <c r="E205" s="63" t="s">
        <v>111</v>
      </c>
    </row>
    <row r="206" spans="1:5" ht="42">
      <c r="A206" s="2" t="s">
        <v>13</v>
      </c>
      <c r="B206" s="2" t="s">
        <v>16</v>
      </c>
      <c r="C206" s="2" t="s">
        <v>11</v>
      </c>
      <c r="D206" s="63" t="s">
        <v>112</v>
      </c>
      <c r="E206" s="63" t="s">
        <v>207</v>
      </c>
    </row>
    <row r="207" spans="1:5" ht="42">
      <c r="A207" s="2" t="s">
        <v>14</v>
      </c>
      <c r="B207" s="2" t="s">
        <v>17</v>
      </c>
      <c r="C207" s="2" t="s">
        <v>12</v>
      </c>
      <c r="D207" s="63" t="s">
        <v>113</v>
      </c>
      <c r="E207" s="63" t="s">
        <v>113</v>
      </c>
    </row>
    <row r="208" spans="1:5" ht="42">
      <c r="A208" s="2" t="s">
        <v>15</v>
      </c>
      <c r="B208" s="2" t="s">
        <v>18</v>
      </c>
      <c r="C208" s="63" t="s">
        <v>13</v>
      </c>
      <c r="D208" s="63" t="s">
        <v>24</v>
      </c>
      <c r="E208" s="2" t="s">
        <v>279</v>
      </c>
    </row>
    <row r="209" spans="1:5" ht="42">
      <c r="A209" s="2" t="s">
        <v>16</v>
      </c>
      <c r="B209" s="2" t="s">
        <v>19</v>
      </c>
      <c r="C209" s="63" t="s">
        <v>14</v>
      </c>
      <c r="D209" s="63" t="s">
        <v>25</v>
      </c>
      <c r="E209" s="2" t="s">
        <v>281</v>
      </c>
    </row>
    <row r="210" spans="1:5" ht="42">
      <c r="A210" s="2" t="s">
        <v>17</v>
      </c>
      <c r="B210" s="2" t="s">
        <v>20</v>
      </c>
      <c r="C210" s="63" t="s">
        <v>104</v>
      </c>
      <c r="D210" s="63" t="s">
        <v>372</v>
      </c>
      <c r="E210" s="63" t="s">
        <v>372</v>
      </c>
    </row>
    <row r="211" spans="1:5" ht="42">
      <c r="A211" s="2" t="s">
        <v>18</v>
      </c>
      <c r="B211" s="2" t="s">
        <v>21</v>
      </c>
      <c r="C211" s="63" t="s">
        <v>105</v>
      </c>
      <c r="D211" s="88" t="s">
        <v>27</v>
      </c>
      <c r="E211" s="2" t="s">
        <v>27</v>
      </c>
    </row>
    <row r="212" spans="1:5" ht="28">
      <c r="A212" s="2" t="s">
        <v>19</v>
      </c>
      <c r="B212" s="2" t="s">
        <v>22</v>
      </c>
      <c r="C212" s="63" t="s">
        <v>367</v>
      </c>
      <c r="D212" s="89"/>
      <c r="E212" s="4"/>
    </row>
    <row r="213" spans="1:5" ht="28">
      <c r="A213" s="2" t="s">
        <v>20</v>
      </c>
      <c r="B213" s="2" t="s">
        <v>23</v>
      </c>
      <c r="C213" s="63" t="s">
        <v>368</v>
      </c>
      <c r="D213" s="89"/>
      <c r="E213" s="4"/>
    </row>
    <row r="214" spans="1:5" ht="28">
      <c r="A214" s="2" t="s">
        <v>21</v>
      </c>
      <c r="B214" s="2" t="s">
        <v>24</v>
      </c>
      <c r="C214" s="63" t="s">
        <v>369</v>
      </c>
      <c r="D214" s="89"/>
      <c r="E214" s="4"/>
    </row>
    <row r="215" spans="1:5" ht="28">
      <c r="A215" s="2" t="s">
        <v>22</v>
      </c>
      <c r="B215" s="2" t="s">
        <v>25</v>
      </c>
      <c r="C215" s="63" t="s">
        <v>370</v>
      </c>
      <c r="D215" s="89"/>
      <c r="E215" s="4"/>
    </row>
    <row r="216" spans="1:5" ht="28">
      <c r="A216" s="2" t="s">
        <v>23</v>
      </c>
      <c r="B216" s="1" t="s">
        <v>27</v>
      </c>
      <c r="C216" s="63" t="s">
        <v>110</v>
      </c>
      <c r="D216" s="89"/>
      <c r="E216" s="4"/>
    </row>
    <row r="217" spans="1:5" ht="28">
      <c r="A217" s="2" t="s">
        <v>24</v>
      </c>
      <c r="B217" s="1"/>
      <c r="C217" s="63" t="s">
        <v>111</v>
      </c>
      <c r="D217" s="89"/>
      <c r="E217" s="4"/>
    </row>
    <row r="218" spans="1:5" ht="14">
      <c r="A218" s="2" t="s">
        <v>25</v>
      </c>
      <c r="B218" s="43"/>
      <c r="C218" s="63" t="s">
        <v>112</v>
      </c>
      <c r="D218" s="89"/>
      <c r="E218" s="4"/>
    </row>
    <row r="219" spans="1:5" ht="28">
      <c r="A219" s="1" t="s">
        <v>27</v>
      </c>
      <c r="B219" s="43"/>
      <c r="C219" s="2" t="s">
        <v>113</v>
      </c>
      <c r="D219" s="89"/>
      <c r="E219" s="4"/>
    </row>
    <row r="220" spans="1:5" ht="14">
      <c r="A220" s="1" t="s">
        <v>28</v>
      </c>
      <c r="B220" s="43"/>
      <c r="C220" s="2" t="s">
        <v>279</v>
      </c>
      <c r="D220" s="89"/>
      <c r="E220" s="4"/>
    </row>
    <row r="221" spans="1:5" ht="14">
      <c r="A221" s="4"/>
      <c r="B221" s="43"/>
      <c r="C221" s="2" t="s">
        <v>281</v>
      </c>
      <c r="D221" s="89"/>
      <c r="E221" s="4"/>
    </row>
    <row r="222" spans="1:5" ht="14">
      <c r="A222" s="4"/>
      <c r="B222" s="43"/>
      <c r="C222" s="2" t="s">
        <v>371</v>
      </c>
      <c r="D222" s="89"/>
      <c r="E222" s="4"/>
    </row>
    <row r="223" spans="1:5" ht="14">
      <c r="A223" s="4"/>
      <c r="B223" s="43"/>
      <c r="C223" s="2" t="s">
        <v>27</v>
      </c>
      <c r="D223" s="89"/>
      <c r="E223" s="4"/>
    </row>
    <row r="224" spans="1:5" ht="13">
      <c r="A224" s="4"/>
      <c r="B224" s="43"/>
      <c r="C224" s="64"/>
      <c r="D224" s="89"/>
      <c r="E224" s="4"/>
    </row>
    <row r="225" spans="1:5" ht="13">
      <c r="A225" s="4"/>
      <c r="B225" s="43"/>
      <c r="C225" s="64"/>
      <c r="D225" s="89"/>
      <c r="E225" s="4"/>
    </row>
    <row r="226" spans="1:5" ht="13">
      <c r="A226" s="4"/>
      <c r="B226" s="43"/>
      <c r="C226" s="64"/>
      <c r="D226" s="89"/>
      <c r="E226" s="4"/>
    </row>
    <row r="227" spans="1:5" ht="13">
      <c r="A227" s="4"/>
      <c r="B227" s="43"/>
      <c r="C227" s="64"/>
      <c r="D227" s="89"/>
      <c r="E227" s="4"/>
    </row>
    <row r="228" spans="1:5" ht="13">
      <c r="A228" s="4"/>
      <c r="B228" s="43"/>
      <c r="C228" s="64"/>
      <c r="D228" s="89"/>
      <c r="E228" s="4"/>
    </row>
    <row r="229" spans="1:5" ht="13">
      <c r="A229" s="4"/>
      <c r="B229" s="43"/>
      <c r="C229" s="64"/>
      <c r="D229" s="89"/>
      <c r="E229" s="4"/>
    </row>
    <row r="230" spans="1:5" ht="13">
      <c r="A230" s="4"/>
      <c r="B230" s="43"/>
      <c r="C230" s="64"/>
      <c r="D230" s="89"/>
      <c r="E230" s="4"/>
    </row>
    <row r="231" spans="1:5" ht="13">
      <c r="A231" s="4"/>
      <c r="B231" s="43"/>
      <c r="C231" s="64"/>
      <c r="D231" s="89"/>
      <c r="E231" s="4"/>
    </row>
    <row r="232" spans="1:5" ht="13">
      <c r="A232" s="4"/>
      <c r="B232" s="43"/>
      <c r="C232" s="64"/>
      <c r="D232" s="89"/>
      <c r="E232" s="4"/>
    </row>
    <row r="233" spans="1:5" ht="13">
      <c r="A233" s="4"/>
      <c r="B233" s="43"/>
      <c r="C233" s="64"/>
      <c r="D233" s="89"/>
      <c r="E233" s="4"/>
    </row>
    <row r="234" spans="1:5" ht="13">
      <c r="A234" s="4"/>
      <c r="B234" s="43"/>
      <c r="C234" s="64"/>
      <c r="D234" s="89"/>
      <c r="E234" s="4"/>
    </row>
    <row r="235" spans="1:5" ht="13">
      <c r="A235" s="4"/>
      <c r="B235" s="43"/>
      <c r="C235" s="64"/>
      <c r="D235" s="89"/>
      <c r="E235" s="4"/>
    </row>
    <row r="236" spans="1:5" ht="13">
      <c r="A236" s="4"/>
      <c r="B236" s="43"/>
      <c r="C236" s="64"/>
      <c r="D236" s="89"/>
      <c r="E236" s="4"/>
    </row>
    <row r="237" spans="1:5" ht="13">
      <c r="A237" s="4"/>
      <c r="B237" s="43"/>
      <c r="C237" s="64"/>
      <c r="D237" s="89"/>
      <c r="E237" s="4"/>
    </row>
    <row r="238" spans="1:5" ht="13">
      <c r="A238" s="4"/>
      <c r="B238" s="43"/>
      <c r="C238" s="64"/>
      <c r="D238" s="89"/>
      <c r="E238" s="4"/>
    </row>
    <row r="239" spans="1:5" ht="13">
      <c r="A239" s="4"/>
      <c r="B239" s="43"/>
      <c r="C239" s="64"/>
      <c r="D239" s="89"/>
      <c r="E239" s="4"/>
    </row>
    <row r="240" spans="1:5" ht="13">
      <c r="A240" s="4"/>
      <c r="B240" s="43"/>
      <c r="C240" s="64"/>
      <c r="D240" s="89"/>
      <c r="E240" s="4"/>
    </row>
    <row r="241" spans="1:5" ht="13">
      <c r="A241" s="4"/>
      <c r="B241" s="43"/>
      <c r="C241" s="64"/>
      <c r="D241" s="89"/>
      <c r="E241" s="4"/>
    </row>
    <row r="242" spans="1:5" ht="13">
      <c r="A242" s="4"/>
      <c r="B242" s="43"/>
      <c r="C242" s="64"/>
      <c r="D242" s="89"/>
      <c r="E242" s="4"/>
    </row>
    <row r="243" spans="1:5" ht="13">
      <c r="A243" s="4"/>
      <c r="B243" s="43"/>
      <c r="C243" s="64"/>
      <c r="D243" s="89"/>
      <c r="E243" s="4"/>
    </row>
    <row r="244" spans="1:5" ht="14">
      <c r="A244" s="4"/>
      <c r="B244" s="43"/>
      <c r="C244" s="2" t="s">
        <v>0</v>
      </c>
      <c r="D244" s="88" t="s">
        <v>366</v>
      </c>
      <c r="E244" s="1" t="s">
        <v>0</v>
      </c>
    </row>
    <row r="245" spans="1:5" ht="14">
      <c r="A245" s="4"/>
      <c r="B245" s="43"/>
      <c r="C245" s="2" t="s">
        <v>1</v>
      </c>
      <c r="D245" s="88" t="s">
        <v>1</v>
      </c>
      <c r="E245" s="1" t="s">
        <v>1</v>
      </c>
    </row>
    <row r="246" spans="1:5" ht="13">
      <c r="A246" s="4"/>
      <c r="B246" s="43"/>
      <c r="C246" s="62" t="s">
        <v>2</v>
      </c>
      <c r="D246" s="1" t="s">
        <v>2</v>
      </c>
      <c r="E246" s="1" t="s">
        <v>2</v>
      </c>
    </row>
    <row r="247" spans="1:5" ht="14">
      <c r="A247" s="4"/>
      <c r="B247" s="43"/>
      <c r="C247" s="2" t="s">
        <v>4</v>
      </c>
      <c r="D247" s="88" t="s">
        <v>4</v>
      </c>
      <c r="E247" s="1" t="s">
        <v>4</v>
      </c>
    </row>
    <row r="248" spans="1:5" ht="28">
      <c r="A248" s="4"/>
      <c r="B248" s="43"/>
      <c r="C248" s="2" t="s">
        <v>5</v>
      </c>
      <c r="D248" s="63" t="s">
        <v>5</v>
      </c>
      <c r="E248" s="2" t="s">
        <v>5</v>
      </c>
    </row>
    <row r="249" spans="1:5" ht="14">
      <c r="A249" s="4"/>
      <c r="B249" s="43"/>
      <c r="C249" s="2" t="s">
        <v>6</v>
      </c>
      <c r="D249" s="63" t="s">
        <v>6</v>
      </c>
      <c r="E249" s="2" t="s">
        <v>6</v>
      </c>
    </row>
    <row r="250" spans="1:5" ht="14">
      <c r="A250" s="4"/>
      <c r="B250" s="43"/>
      <c r="C250" s="2" t="s">
        <v>7</v>
      </c>
      <c r="D250" s="63" t="s">
        <v>7</v>
      </c>
      <c r="E250" s="2" t="s">
        <v>7</v>
      </c>
    </row>
    <row r="251" spans="1:5" ht="28">
      <c r="A251" s="4"/>
      <c r="B251" s="43"/>
      <c r="C251" s="2" t="s">
        <v>8</v>
      </c>
      <c r="D251" s="63" t="s">
        <v>154</v>
      </c>
      <c r="E251" s="2" t="s">
        <v>154</v>
      </c>
    </row>
    <row r="252" spans="1:5" ht="14">
      <c r="A252" s="4"/>
      <c r="B252" s="43"/>
      <c r="C252" s="2" t="s">
        <v>9</v>
      </c>
      <c r="D252" s="63" t="s">
        <v>9</v>
      </c>
      <c r="E252" s="2" t="s">
        <v>9</v>
      </c>
    </row>
    <row r="253" spans="1:5" ht="14">
      <c r="A253" s="4"/>
      <c r="B253" s="1" t="s">
        <v>0</v>
      </c>
      <c r="C253" s="2" t="s">
        <v>103</v>
      </c>
      <c r="D253" s="63" t="s">
        <v>10</v>
      </c>
      <c r="E253" s="2" t="s">
        <v>204</v>
      </c>
    </row>
    <row r="254" spans="1:5" ht="14">
      <c r="A254" s="4"/>
      <c r="B254" s="1" t="s">
        <v>1</v>
      </c>
      <c r="C254" s="2" t="s">
        <v>11</v>
      </c>
      <c r="D254" s="63" t="s">
        <v>11</v>
      </c>
      <c r="E254" s="2" t="s">
        <v>205</v>
      </c>
    </row>
    <row r="255" spans="1:5" ht="14">
      <c r="A255" s="4"/>
      <c r="B255" s="1" t="s">
        <v>2</v>
      </c>
      <c r="C255" s="2" t="s">
        <v>12</v>
      </c>
      <c r="D255" s="88" t="s">
        <v>12</v>
      </c>
      <c r="E255" s="1" t="s">
        <v>12</v>
      </c>
    </row>
    <row r="256" spans="1:5" ht="26">
      <c r="A256" s="1" t="s">
        <v>300</v>
      </c>
      <c r="B256" s="1" t="s">
        <v>4</v>
      </c>
      <c r="C256" s="63" t="s">
        <v>13</v>
      </c>
      <c r="D256" s="63" t="s">
        <v>13</v>
      </c>
      <c r="E256" s="63" t="s">
        <v>13</v>
      </c>
    </row>
    <row r="257" spans="1:5" ht="28">
      <c r="A257" s="1" t="s">
        <v>1</v>
      </c>
      <c r="B257" s="2" t="s">
        <v>5</v>
      </c>
      <c r="C257" s="63" t="s">
        <v>14</v>
      </c>
      <c r="D257" s="63" t="s">
        <v>14</v>
      </c>
      <c r="E257" s="63" t="s">
        <v>14</v>
      </c>
    </row>
    <row r="258" spans="1:5" ht="26">
      <c r="A258" s="1" t="s">
        <v>2</v>
      </c>
      <c r="B258" s="3" t="s">
        <v>6</v>
      </c>
      <c r="C258" s="63" t="s">
        <v>104</v>
      </c>
      <c r="D258" s="63" t="s">
        <v>104</v>
      </c>
      <c r="E258" s="63" t="s">
        <v>104</v>
      </c>
    </row>
    <row r="259" spans="1:5" ht="26">
      <c r="A259" s="1" t="s">
        <v>3</v>
      </c>
      <c r="B259" s="3" t="s">
        <v>7</v>
      </c>
      <c r="C259" s="63" t="s">
        <v>105</v>
      </c>
      <c r="D259" s="63" t="s">
        <v>105</v>
      </c>
      <c r="E259" s="63" t="s">
        <v>105</v>
      </c>
    </row>
    <row r="260" spans="1:5" ht="26">
      <c r="A260" s="1" t="s">
        <v>4</v>
      </c>
      <c r="B260" s="1" t="s">
        <v>8</v>
      </c>
      <c r="C260" s="63" t="s">
        <v>367</v>
      </c>
      <c r="D260" s="63" t="s">
        <v>367</v>
      </c>
      <c r="E260" s="63" t="s">
        <v>367</v>
      </c>
    </row>
    <row r="261" spans="1:5" ht="28">
      <c r="A261" s="2" t="s">
        <v>5</v>
      </c>
      <c r="B261" s="2" t="s">
        <v>9</v>
      </c>
      <c r="C261" s="63" t="s">
        <v>368</v>
      </c>
      <c r="D261" s="63" t="s">
        <v>368</v>
      </c>
      <c r="E261" s="63" t="s">
        <v>368</v>
      </c>
    </row>
    <row r="262" spans="1:5" ht="26">
      <c r="A262" s="3" t="s">
        <v>6</v>
      </c>
      <c r="B262" s="2" t="s">
        <v>10</v>
      </c>
      <c r="C262" s="63" t="s">
        <v>369</v>
      </c>
      <c r="D262" s="63" t="s">
        <v>369</v>
      </c>
      <c r="E262" s="63" t="s">
        <v>369</v>
      </c>
    </row>
    <row r="263" spans="1:5" ht="26">
      <c r="A263" s="3" t="s">
        <v>7</v>
      </c>
      <c r="B263" s="2" t="s">
        <v>11</v>
      </c>
      <c r="C263" s="63" t="s">
        <v>370</v>
      </c>
      <c r="D263" s="63" t="s">
        <v>370</v>
      </c>
      <c r="E263" s="63" t="s">
        <v>370</v>
      </c>
    </row>
    <row r="264" spans="1:5" ht="13">
      <c r="A264" s="1" t="s">
        <v>8</v>
      </c>
      <c r="B264" s="1" t="s">
        <v>12</v>
      </c>
      <c r="C264" s="63" t="s">
        <v>110</v>
      </c>
      <c r="D264" s="63" t="s">
        <v>110</v>
      </c>
      <c r="E264" s="63" t="s">
        <v>110</v>
      </c>
    </row>
    <row r="265" spans="1:5" ht="28">
      <c r="A265" s="2" t="s">
        <v>9</v>
      </c>
      <c r="B265" s="2" t="s">
        <v>13</v>
      </c>
      <c r="C265" s="63" t="s">
        <v>111</v>
      </c>
      <c r="D265" s="63" t="s">
        <v>111</v>
      </c>
      <c r="E265" s="63" t="s">
        <v>111</v>
      </c>
    </row>
    <row r="266" spans="1:5" ht="28">
      <c r="A266" s="2" t="s">
        <v>10</v>
      </c>
      <c r="B266" s="2" t="s">
        <v>14</v>
      </c>
      <c r="C266" s="63" t="s">
        <v>112</v>
      </c>
      <c r="D266" s="63" t="s">
        <v>112</v>
      </c>
      <c r="E266" s="63" t="s">
        <v>207</v>
      </c>
    </row>
    <row r="267" spans="1:5" ht="42">
      <c r="A267" s="2" t="s">
        <v>11</v>
      </c>
      <c r="B267" s="2" t="s">
        <v>15</v>
      </c>
      <c r="C267" s="2" t="s">
        <v>113</v>
      </c>
      <c r="D267" s="63" t="s">
        <v>113</v>
      </c>
      <c r="E267" s="63" t="s">
        <v>113</v>
      </c>
    </row>
    <row r="268" spans="1:5" ht="42">
      <c r="A268" s="1" t="s">
        <v>12</v>
      </c>
      <c r="B268" s="2" t="s">
        <v>16</v>
      </c>
      <c r="C268" s="2" t="s">
        <v>279</v>
      </c>
      <c r="D268" s="63" t="s">
        <v>24</v>
      </c>
      <c r="E268" s="2" t="s">
        <v>279</v>
      </c>
    </row>
    <row r="269" spans="1:5" ht="42">
      <c r="A269" s="2" t="s">
        <v>13</v>
      </c>
      <c r="B269" s="2" t="s">
        <v>17</v>
      </c>
      <c r="C269" s="2" t="s">
        <v>281</v>
      </c>
      <c r="D269" s="63" t="s">
        <v>25</v>
      </c>
      <c r="E269" s="2" t="s">
        <v>281</v>
      </c>
    </row>
    <row r="270" spans="1:5" ht="42">
      <c r="A270" s="2" t="s">
        <v>14</v>
      </c>
      <c r="B270" s="2" t="s">
        <v>18</v>
      </c>
      <c r="C270" s="2" t="s">
        <v>371</v>
      </c>
      <c r="D270" s="63" t="s">
        <v>372</v>
      </c>
      <c r="E270" s="63" t="s">
        <v>372</v>
      </c>
    </row>
    <row r="271" spans="1:5" ht="42">
      <c r="A271" s="2" t="s">
        <v>15</v>
      </c>
      <c r="B271" s="2" t="s">
        <v>19</v>
      </c>
      <c r="C271" s="2" t="s">
        <v>27</v>
      </c>
      <c r="D271" s="88" t="s">
        <v>27</v>
      </c>
      <c r="E271" s="2" t="s">
        <v>27</v>
      </c>
    </row>
    <row r="272" spans="1:5" ht="42">
      <c r="A272" s="2" t="s">
        <v>16</v>
      </c>
      <c r="B272" s="2" t="s">
        <v>20</v>
      </c>
      <c r="C272" s="64"/>
      <c r="D272" s="89"/>
      <c r="E272" s="4"/>
    </row>
    <row r="273" spans="1:5" ht="42">
      <c r="A273" s="2" t="s">
        <v>17</v>
      </c>
      <c r="B273" s="2" t="s">
        <v>21</v>
      </c>
      <c r="C273" s="64"/>
      <c r="D273" s="89"/>
      <c r="E273" s="4"/>
    </row>
    <row r="274" spans="1:5" ht="42">
      <c r="A274" s="2" t="s">
        <v>18</v>
      </c>
      <c r="B274" s="2" t="s">
        <v>22</v>
      </c>
      <c r="C274" s="64"/>
      <c r="D274" s="89"/>
      <c r="E274" s="4"/>
    </row>
    <row r="275" spans="1:5" ht="28">
      <c r="A275" s="2" t="s">
        <v>19</v>
      </c>
      <c r="B275" s="2" t="s">
        <v>23</v>
      </c>
      <c r="C275" s="64"/>
      <c r="D275" s="89"/>
      <c r="E275" s="4"/>
    </row>
    <row r="276" spans="1:5" ht="28">
      <c r="A276" s="2" t="s">
        <v>20</v>
      </c>
      <c r="B276" s="2" t="s">
        <v>24</v>
      </c>
      <c r="C276" s="64"/>
      <c r="D276" s="89"/>
      <c r="E276" s="4"/>
    </row>
    <row r="277" spans="1:5" ht="14">
      <c r="A277" s="2" t="s">
        <v>21</v>
      </c>
      <c r="B277" s="2" t="s">
        <v>25</v>
      </c>
      <c r="C277" s="64"/>
      <c r="D277" s="89"/>
      <c r="E277" s="4"/>
    </row>
    <row r="278" spans="1:5" ht="28">
      <c r="A278" s="2" t="s">
        <v>22</v>
      </c>
      <c r="B278" s="1" t="s">
        <v>27</v>
      </c>
      <c r="C278" s="64"/>
      <c r="D278" s="89"/>
      <c r="E278" s="4"/>
    </row>
    <row r="279" spans="1:5" ht="28">
      <c r="A279" s="2" t="s">
        <v>23</v>
      </c>
      <c r="B279" s="1"/>
      <c r="C279" s="64"/>
      <c r="D279" s="89"/>
      <c r="E279" s="4"/>
    </row>
    <row r="280" spans="1:5" ht="28">
      <c r="A280" s="2" t="s">
        <v>24</v>
      </c>
      <c r="B280" s="43"/>
      <c r="C280" s="64"/>
      <c r="D280" s="89"/>
      <c r="E280" s="4"/>
    </row>
    <row r="281" spans="1:5" ht="14">
      <c r="A281" s="2" t="s">
        <v>25</v>
      </c>
      <c r="B281" s="43"/>
      <c r="C281" s="64"/>
      <c r="D281" s="89"/>
      <c r="E281" s="4"/>
    </row>
    <row r="282" spans="1:5" ht="13">
      <c r="A282" s="1" t="s">
        <v>27</v>
      </c>
      <c r="B282" s="43"/>
      <c r="C282" s="64"/>
      <c r="D282" s="89"/>
      <c r="E282" s="4"/>
    </row>
    <row r="283" spans="1:5" ht="13">
      <c r="A283" s="1" t="s">
        <v>28</v>
      </c>
      <c r="B283" s="43"/>
      <c r="C283" s="64"/>
      <c r="D283" s="89"/>
      <c r="E283" s="4"/>
    </row>
    <row r="284" spans="1:5" ht="13">
      <c r="A284" s="4"/>
      <c r="B284" s="43"/>
      <c r="C284" s="64"/>
      <c r="D284" s="89"/>
      <c r="E284" s="4"/>
    </row>
    <row r="285" spans="1:5" ht="13">
      <c r="A285" s="4"/>
      <c r="B285" s="43"/>
      <c r="C285" s="64"/>
      <c r="D285" s="89"/>
      <c r="E285" s="4"/>
    </row>
    <row r="286" spans="1:5" ht="13">
      <c r="A286" s="4"/>
      <c r="B286" s="43"/>
      <c r="C286" s="64"/>
      <c r="D286" s="89"/>
      <c r="E286" s="4"/>
    </row>
    <row r="287" spans="1:5" ht="13">
      <c r="A287" s="4"/>
      <c r="B287" s="43"/>
      <c r="C287" s="64"/>
      <c r="D287" s="89"/>
      <c r="E287" s="4"/>
    </row>
    <row r="288" spans="1:5" ht="13">
      <c r="A288" s="4"/>
      <c r="B288" s="43"/>
      <c r="C288" s="64"/>
      <c r="D288" s="89"/>
      <c r="E288" s="4"/>
    </row>
    <row r="289" spans="1:5" ht="13">
      <c r="A289" s="4"/>
      <c r="B289" s="43"/>
      <c r="C289" s="64"/>
      <c r="D289" s="89"/>
      <c r="E289" s="4"/>
    </row>
    <row r="290" spans="1:5" ht="13">
      <c r="A290" s="4"/>
      <c r="B290" s="43"/>
      <c r="C290" s="64"/>
      <c r="D290" s="89"/>
      <c r="E290" s="4"/>
    </row>
    <row r="291" spans="1:5" ht="13">
      <c r="A291" s="4"/>
      <c r="B291" s="43"/>
      <c r="C291" s="64"/>
      <c r="D291" s="89"/>
      <c r="E291" s="4"/>
    </row>
    <row r="292" spans="1:5" ht="14">
      <c r="A292" s="4"/>
      <c r="B292" s="43"/>
      <c r="C292" s="2" t="s">
        <v>0</v>
      </c>
      <c r="D292" s="89"/>
      <c r="E292" s="4"/>
    </row>
    <row r="293" spans="1:5" ht="14">
      <c r="A293" s="4"/>
      <c r="B293" s="43"/>
      <c r="C293" s="2" t="s">
        <v>1</v>
      </c>
      <c r="D293" s="89"/>
      <c r="E293" s="4"/>
    </row>
    <row r="294" spans="1:5" ht="13">
      <c r="A294" s="4"/>
      <c r="B294" s="43"/>
      <c r="C294" s="62" t="s">
        <v>2</v>
      </c>
      <c r="D294" s="89"/>
      <c r="E294" s="4"/>
    </row>
    <row r="295" spans="1:5" ht="14">
      <c r="A295" s="4"/>
      <c r="B295" s="43"/>
      <c r="C295" s="2" t="s">
        <v>4</v>
      </c>
      <c r="D295" s="89"/>
      <c r="E295" s="4"/>
    </row>
    <row r="296" spans="1:5" ht="28">
      <c r="A296" s="4"/>
      <c r="B296" s="43"/>
      <c r="C296" s="2" t="s">
        <v>5</v>
      </c>
      <c r="D296" s="89"/>
      <c r="E296" s="4"/>
    </row>
    <row r="297" spans="1:5" ht="14">
      <c r="A297" s="4"/>
      <c r="B297" s="43"/>
      <c r="C297" s="2" t="s">
        <v>6</v>
      </c>
      <c r="D297" s="89"/>
      <c r="E297" s="4"/>
    </row>
    <row r="298" spans="1:5" ht="14">
      <c r="A298" s="4"/>
      <c r="B298" s="43"/>
      <c r="C298" s="2" t="s">
        <v>7</v>
      </c>
      <c r="D298" s="89"/>
      <c r="E298" s="4"/>
    </row>
    <row r="299" spans="1:5" ht="14">
      <c r="A299" s="4"/>
      <c r="B299" s="43"/>
      <c r="C299" s="2" t="s">
        <v>8</v>
      </c>
      <c r="D299" s="89"/>
      <c r="E299" s="4"/>
    </row>
    <row r="300" spans="1:5" ht="14">
      <c r="A300" s="4"/>
      <c r="B300" s="43"/>
      <c r="C300" s="2" t="s">
        <v>9</v>
      </c>
      <c r="D300" s="89"/>
      <c r="E300" s="4"/>
    </row>
    <row r="301" spans="1:5" ht="14">
      <c r="A301" s="4"/>
      <c r="B301" s="43"/>
      <c r="C301" s="2" t="s">
        <v>103</v>
      </c>
      <c r="D301" s="89"/>
      <c r="E301" s="4"/>
    </row>
    <row r="302" spans="1:5" ht="14">
      <c r="A302" s="4"/>
      <c r="B302" s="43"/>
      <c r="C302" s="2" t="s">
        <v>11</v>
      </c>
      <c r="D302" s="89"/>
      <c r="E302" s="4"/>
    </row>
    <row r="303" spans="1:5" ht="14">
      <c r="A303" s="4"/>
      <c r="B303" s="43"/>
      <c r="C303" s="2" t="s">
        <v>12</v>
      </c>
      <c r="D303" s="89"/>
      <c r="E303" s="4"/>
    </row>
    <row r="304" spans="1:5" ht="26">
      <c r="A304" s="4"/>
      <c r="B304" s="43"/>
      <c r="C304" s="63" t="s">
        <v>13</v>
      </c>
      <c r="D304" s="88" t="s">
        <v>366</v>
      </c>
      <c r="E304" s="1" t="s">
        <v>0</v>
      </c>
    </row>
    <row r="305" spans="1:5" ht="26">
      <c r="A305" s="4"/>
      <c r="B305" s="43"/>
      <c r="C305" s="63" t="s">
        <v>14</v>
      </c>
      <c r="D305" s="88" t="s">
        <v>1</v>
      </c>
      <c r="E305" s="1" t="s">
        <v>1</v>
      </c>
    </row>
    <row r="306" spans="1:5" ht="26">
      <c r="A306" s="4"/>
      <c r="B306" s="43"/>
      <c r="C306" s="63" t="s">
        <v>104</v>
      </c>
      <c r="D306" s="1" t="s">
        <v>2</v>
      </c>
      <c r="E306" s="1" t="s">
        <v>2</v>
      </c>
    </row>
    <row r="307" spans="1:5" ht="26">
      <c r="A307" s="4"/>
      <c r="B307" s="43"/>
      <c r="C307" s="63" t="s">
        <v>105</v>
      </c>
      <c r="D307" s="88" t="s">
        <v>4</v>
      </c>
      <c r="E307" s="1" t="s">
        <v>4</v>
      </c>
    </row>
    <row r="308" spans="1:5" ht="28">
      <c r="A308" s="4"/>
      <c r="B308" s="43"/>
      <c r="C308" s="63" t="s">
        <v>367</v>
      </c>
      <c r="D308" s="63" t="s">
        <v>5</v>
      </c>
      <c r="E308" s="2" t="s">
        <v>5</v>
      </c>
    </row>
    <row r="309" spans="1:5" ht="26">
      <c r="A309" s="4"/>
      <c r="B309" s="43"/>
      <c r="C309" s="63" t="s">
        <v>368</v>
      </c>
      <c r="D309" s="63" t="s">
        <v>6</v>
      </c>
      <c r="E309" s="2" t="s">
        <v>6</v>
      </c>
    </row>
    <row r="310" spans="1:5" ht="26">
      <c r="A310" s="4"/>
      <c r="B310" s="43"/>
      <c r="C310" s="63" t="s">
        <v>369</v>
      </c>
      <c r="D310" s="63" t="s">
        <v>7</v>
      </c>
      <c r="E310" s="2" t="s">
        <v>7</v>
      </c>
    </row>
    <row r="311" spans="1:5" ht="28">
      <c r="A311" s="4"/>
      <c r="B311" s="43"/>
      <c r="C311" s="63" t="s">
        <v>370</v>
      </c>
      <c r="D311" s="63" t="s">
        <v>154</v>
      </c>
      <c r="E311" s="2" t="s">
        <v>154</v>
      </c>
    </row>
    <row r="312" spans="1:5" ht="14">
      <c r="A312" s="4"/>
      <c r="B312" s="43"/>
      <c r="C312" s="63" t="s">
        <v>110</v>
      </c>
      <c r="D312" s="63" t="s">
        <v>9</v>
      </c>
      <c r="E312" s="2" t="s">
        <v>9</v>
      </c>
    </row>
    <row r="313" spans="1:5" ht="14">
      <c r="A313" s="4"/>
      <c r="B313" s="43"/>
      <c r="C313" s="63" t="s">
        <v>111</v>
      </c>
      <c r="D313" s="63" t="s">
        <v>10</v>
      </c>
      <c r="E313" s="2" t="s">
        <v>204</v>
      </c>
    </row>
    <row r="314" spans="1:5" ht="14">
      <c r="A314" s="4"/>
      <c r="B314" s="43"/>
      <c r="C314" s="63" t="s">
        <v>112</v>
      </c>
      <c r="D314" s="63" t="s">
        <v>11</v>
      </c>
      <c r="E314" s="2" t="s">
        <v>205</v>
      </c>
    </row>
    <row r="315" spans="1:5" ht="28">
      <c r="A315" s="4"/>
      <c r="B315" s="1" t="s">
        <v>0</v>
      </c>
      <c r="C315" s="2" t="s">
        <v>113</v>
      </c>
      <c r="D315" s="88" t="s">
        <v>12</v>
      </c>
      <c r="E315" s="1" t="s">
        <v>12</v>
      </c>
    </row>
    <row r="316" spans="1:5" ht="26">
      <c r="A316" s="4"/>
      <c r="B316" s="1" t="s">
        <v>1</v>
      </c>
      <c r="C316" s="2" t="s">
        <v>279</v>
      </c>
      <c r="D316" s="63" t="s">
        <v>13</v>
      </c>
      <c r="E316" s="63" t="s">
        <v>13</v>
      </c>
    </row>
    <row r="317" spans="1:5" ht="26">
      <c r="A317" s="4"/>
      <c r="B317" s="1" t="s">
        <v>2</v>
      </c>
      <c r="C317" s="2" t="s">
        <v>281</v>
      </c>
      <c r="D317" s="63" t="s">
        <v>14</v>
      </c>
      <c r="E317" s="63" t="s">
        <v>14</v>
      </c>
    </row>
    <row r="318" spans="1:5" ht="26">
      <c r="A318" s="4"/>
      <c r="B318" s="1" t="s">
        <v>4</v>
      </c>
      <c r="C318" s="2" t="s">
        <v>371</v>
      </c>
      <c r="D318" s="63" t="s">
        <v>104</v>
      </c>
      <c r="E318" s="63" t="s">
        <v>104</v>
      </c>
    </row>
    <row r="319" spans="1:5" ht="28">
      <c r="A319" s="1" t="s">
        <v>300</v>
      </c>
      <c r="B319" s="2" t="s">
        <v>5</v>
      </c>
      <c r="C319" s="2" t="s">
        <v>27</v>
      </c>
      <c r="D319" s="63" t="s">
        <v>105</v>
      </c>
      <c r="E319" s="63" t="s">
        <v>105</v>
      </c>
    </row>
    <row r="320" spans="1:5" ht="26">
      <c r="A320" s="1" t="s">
        <v>1</v>
      </c>
      <c r="B320" s="3" t="s">
        <v>6</v>
      </c>
      <c r="C320" s="64"/>
      <c r="D320" s="63" t="s">
        <v>367</v>
      </c>
      <c r="E320" s="63" t="s">
        <v>367</v>
      </c>
    </row>
    <row r="321" spans="1:5" ht="26">
      <c r="A321" s="1" t="s">
        <v>2</v>
      </c>
      <c r="B321" s="3" t="s">
        <v>7</v>
      </c>
      <c r="C321" s="64"/>
      <c r="D321" s="63" t="s">
        <v>368</v>
      </c>
      <c r="E321" s="63" t="s">
        <v>368</v>
      </c>
    </row>
    <row r="322" spans="1:5" ht="26">
      <c r="A322" s="1" t="s">
        <v>3</v>
      </c>
      <c r="B322" s="1" t="s">
        <v>8</v>
      </c>
      <c r="C322" s="64"/>
      <c r="D322" s="63" t="s">
        <v>369</v>
      </c>
      <c r="E322" s="63" t="s">
        <v>369</v>
      </c>
    </row>
    <row r="323" spans="1:5" ht="26">
      <c r="A323" s="1" t="s">
        <v>4</v>
      </c>
      <c r="B323" s="2" t="s">
        <v>9</v>
      </c>
      <c r="C323" s="64"/>
      <c r="D323" s="63" t="s">
        <v>370</v>
      </c>
      <c r="E323" s="63" t="s">
        <v>370</v>
      </c>
    </row>
    <row r="324" spans="1:5" ht="28">
      <c r="A324" s="2" t="s">
        <v>5</v>
      </c>
      <c r="B324" s="2" t="s">
        <v>10</v>
      </c>
      <c r="C324" s="64"/>
      <c r="D324" s="63" t="s">
        <v>110</v>
      </c>
      <c r="E324" s="63" t="s">
        <v>110</v>
      </c>
    </row>
    <row r="325" spans="1:5" ht="14">
      <c r="A325" s="3" t="s">
        <v>6</v>
      </c>
      <c r="B325" s="2" t="s">
        <v>11</v>
      </c>
      <c r="C325" s="64"/>
      <c r="D325" s="63" t="s">
        <v>111</v>
      </c>
      <c r="E325" s="63" t="s">
        <v>111</v>
      </c>
    </row>
    <row r="326" spans="1:5" ht="26">
      <c r="A326" s="3" t="s">
        <v>7</v>
      </c>
      <c r="B326" s="1" t="s">
        <v>12</v>
      </c>
      <c r="C326" s="64"/>
      <c r="D326" s="63" t="s">
        <v>112</v>
      </c>
      <c r="E326" s="63" t="s">
        <v>207</v>
      </c>
    </row>
    <row r="327" spans="1:5" ht="28">
      <c r="A327" s="1" t="s">
        <v>8</v>
      </c>
      <c r="B327" s="2" t="s">
        <v>13</v>
      </c>
      <c r="C327" s="64"/>
      <c r="D327" s="63" t="s">
        <v>113</v>
      </c>
      <c r="E327" s="63" t="s">
        <v>113</v>
      </c>
    </row>
    <row r="328" spans="1:5" ht="28">
      <c r="A328" s="2" t="s">
        <v>9</v>
      </c>
      <c r="B328" s="2" t="s">
        <v>14</v>
      </c>
      <c r="C328" s="64"/>
      <c r="D328" s="63" t="s">
        <v>24</v>
      </c>
      <c r="E328" s="2" t="s">
        <v>279</v>
      </c>
    </row>
    <row r="329" spans="1:5" ht="42">
      <c r="A329" s="2" t="s">
        <v>10</v>
      </c>
      <c r="B329" s="2" t="s">
        <v>15</v>
      </c>
      <c r="C329" s="64"/>
      <c r="D329" s="63" t="s">
        <v>25</v>
      </c>
      <c r="E329" s="2" t="s">
        <v>281</v>
      </c>
    </row>
    <row r="330" spans="1:5" ht="42">
      <c r="A330" s="2" t="s">
        <v>11</v>
      </c>
      <c r="B330" s="2" t="s">
        <v>16</v>
      </c>
      <c r="C330" s="64"/>
      <c r="D330" s="63" t="s">
        <v>372</v>
      </c>
      <c r="E330" s="63" t="s">
        <v>372</v>
      </c>
    </row>
    <row r="331" spans="1:5" ht="42">
      <c r="A331" s="1" t="s">
        <v>12</v>
      </c>
      <c r="B331" s="2" t="s">
        <v>17</v>
      </c>
      <c r="C331" s="64"/>
      <c r="D331" s="88" t="s">
        <v>27</v>
      </c>
      <c r="E331" s="2" t="s">
        <v>27</v>
      </c>
    </row>
    <row r="332" spans="1:5" ht="42">
      <c r="A332" s="2" t="s">
        <v>13</v>
      </c>
      <c r="B332" s="2" t="s">
        <v>18</v>
      </c>
      <c r="C332" s="64"/>
      <c r="D332" s="89"/>
      <c r="E332" s="4"/>
    </row>
    <row r="333" spans="1:5" ht="28">
      <c r="A333" s="2" t="s">
        <v>14</v>
      </c>
      <c r="B333" s="2" t="s">
        <v>19</v>
      </c>
      <c r="C333" s="64"/>
      <c r="D333" s="89"/>
      <c r="E333" s="4"/>
    </row>
    <row r="334" spans="1:5" ht="42">
      <c r="A334" s="2" t="s">
        <v>15</v>
      </c>
      <c r="B334" s="2" t="s">
        <v>20</v>
      </c>
      <c r="C334" s="64"/>
      <c r="D334" s="89"/>
      <c r="E334" s="4"/>
    </row>
    <row r="335" spans="1:5" ht="42">
      <c r="A335" s="2" t="s">
        <v>16</v>
      </c>
      <c r="B335" s="2" t="s">
        <v>21</v>
      </c>
      <c r="C335" s="64"/>
      <c r="D335" s="89"/>
      <c r="E335" s="4"/>
    </row>
    <row r="336" spans="1:5" ht="42">
      <c r="A336" s="2" t="s">
        <v>17</v>
      </c>
      <c r="B336" s="2" t="s">
        <v>22</v>
      </c>
      <c r="C336" s="64"/>
      <c r="D336" s="89"/>
      <c r="E336" s="4"/>
    </row>
    <row r="337" spans="1:5" ht="42">
      <c r="A337" s="2" t="s">
        <v>18</v>
      </c>
      <c r="B337" s="2" t="s">
        <v>23</v>
      </c>
      <c r="C337" s="64"/>
      <c r="D337" s="89"/>
      <c r="E337" s="4"/>
    </row>
    <row r="338" spans="1:5" ht="28">
      <c r="A338" s="2" t="s">
        <v>19</v>
      </c>
      <c r="B338" s="2" t="s">
        <v>24</v>
      </c>
      <c r="C338" s="64"/>
      <c r="D338" s="89"/>
      <c r="E338" s="4"/>
    </row>
    <row r="339" spans="1:5" ht="28">
      <c r="A339" s="2" t="s">
        <v>20</v>
      </c>
      <c r="B339" s="2" t="s">
        <v>25</v>
      </c>
      <c r="C339" s="64"/>
      <c r="D339" s="89"/>
      <c r="E339" s="4"/>
    </row>
    <row r="340" spans="1:5" ht="14">
      <c r="A340" s="2" t="s">
        <v>21</v>
      </c>
      <c r="B340" s="1" t="s">
        <v>27</v>
      </c>
      <c r="C340" s="2" t="s">
        <v>0</v>
      </c>
      <c r="D340" s="89"/>
      <c r="E340" s="4"/>
    </row>
    <row r="341" spans="1:5" ht="28">
      <c r="A341" s="2" t="s">
        <v>22</v>
      </c>
      <c r="B341" s="1"/>
      <c r="C341" s="2" t="s">
        <v>1</v>
      </c>
      <c r="D341" s="89"/>
      <c r="E341" s="4"/>
    </row>
    <row r="342" spans="1:5" ht="28">
      <c r="A342" s="2" t="s">
        <v>23</v>
      </c>
      <c r="B342" s="43"/>
      <c r="C342" s="62" t="s">
        <v>2</v>
      </c>
      <c r="D342" s="89"/>
      <c r="E342" s="4"/>
    </row>
    <row r="343" spans="1:5" ht="28">
      <c r="A343" s="2" t="s">
        <v>24</v>
      </c>
      <c r="B343" s="43"/>
      <c r="C343" s="2" t="s">
        <v>4</v>
      </c>
      <c r="D343" s="89"/>
      <c r="E343" s="4"/>
    </row>
    <row r="344" spans="1:5" ht="28">
      <c r="A344" s="2" t="s">
        <v>25</v>
      </c>
      <c r="B344" s="43"/>
      <c r="C344" s="2" t="s">
        <v>5</v>
      </c>
      <c r="D344" s="89"/>
      <c r="E344" s="4"/>
    </row>
    <row r="345" spans="1:5" ht="14">
      <c r="A345" s="1" t="s">
        <v>27</v>
      </c>
      <c r="B345" s="43"/>
      <c r="C345" s="2" t="s">
        <v>6</v>
      </c>
      <c r="D345" s="89"/>
      <c r="E345" s="4"/>
    </row>
    <row r="346" spans="1:5" ht="14">
      <c r="A346" s="1" t="s">
        <v>28</v>
      </c>
      <c r="B346" s="43"/>
      <c r="C346" s="2" t="s">
        <v>7</v>
      </c>
      <c r="D346" s="89"/>
      <c r="E346" s="4"/>
    </row>
    <row r="347" spans="1:5" ht="14">
      <c r="A347" s="4"/>
      <c r="B347" s="43"/>
      <c r="C347" s="2" t="s">
        <v>8</v>
      </c>
      <c r="D347" s="89"/>
      <c r="E347" s="4"/>
    </row>
    <row r="348" spans="1:5" ht="14">
      <c r="A348" s="4"/>
      <c r="B348" s="43"/>
      <c r="C348" s="2" t="s">
        <v>9</v>
      </c>
      <c r="D348" s="89"/>
      <c r="E348" s="4"/>
    </row>
    <row r="349" spans="1:5" ht="14">
      <c r="A349" s="4"/>
      <c r="B349" s="43"/>
      <c r="C349" s="2" t="s">
        <v>103</v>
      </c>
      <c r="D349" s="89"/>
      <c r="E349" s="4"/>
    </row>
    <row r="350" spans="1:5" ht="14">
      <c r="A350" s="4"/>
      <c r="B350" s="43"/>
      <c r="C350" s="2" t="s">
        <v>11</v>
      </c>
      <c r="D350" s="89"/>
      <c r="E350" s="4"/>
    </row>
    <row r="351" spans="1:5" ht="14">
      <c r="A351" s="4"/>
      <c r="B351" s="43"/>
      <c r="C351" s="2" t="s">
        <v>12</v>
      </c>
      <c r="D351" s="89"/>
      <c r="E351" s="4"/>
    </row>
    <row r="352" spans="1:5" ht="26">
      <c r="A352" s="4"/>
      <c r="B352" s="43"/>
      <c r="C352" s="63" t="s">
        <v>13</v>
      </c>
      <c r="D352" s="89"/>
      <c r="E352" s="4"/>
    </row>
    <row r="353" spans="1:5" ht="26">
      <c r="A353" s="4"/>
      <c r="B353" s="43"/>
      <c r="C353" s="63" t="s">
        <v>14</v>
      </c>
      <c r="D353" s="89"/>
      <c r="E353" s="4"/>
    </row>
    <row r="354" spans="1:5" ht="26">
      <c r="A354" s="4"/>
      <c r="B354" s="43"/>
      <c r="C354" s="63" t="s">
        <v>104</v>
      </c>
      <c r="D354" s="89"/>
      <c r="E354" s="4"/>
    </row>
    <row r="355" spans="1:5" ht="26">
      <c r="A355" s="4"/>
      <c r="B355" s="43"/>
      <c r="C355" s="63" t="s">
        <v>105</v>
      </c>
      <c r="D355" s="89"/>
      <c r="E355" s="4"/>
    </row>
    <row r="356" spans="1:5" ht="26">
      <c r="A356" s="4"/>
      <c r="B356" s="43"/>
      <c r="C356" s="63" t="s">
        <v>367</v>
      </c>
      <c r="D356" s="89"/>
      <c r="E356" s="4"/>
    </row>
    <row r="357" spans="1:5" ht="26">
      <c r="A357" s="4"/>
      <c r="B357" s="43"/>
      <c r="C357" s="63" t="s">
        <v>368</v>
      </c>
      <c r="D357" s="89"/>
      <c r="E357" s="4"/>
    </row>
    <row r="358" spans="1:5" ht="26">
      <c r="A358" s="4"/>
      <c r="B358" s="43"/>
      <c r="C358" s="63" t="s">
        <v>369</v>
      </c>
      <c r="D358" s="89"/>
      <c r="E358" s="4"/>
    </row>
    <row r="359" spans="1:5" ht="26">
      <c r="A359" s="4"/>
      <c r="B359" s="43"/>
      <c r="C359" s="63" t="s">
        <v>370</v>
      </c>
      <c r="D359" s="89"/>
      <c r="E359" s="4"/>
    </row>
    <row r="360" spans="1:5" ht="13">
      <c r="A360" s="4"/>
      <c r="B360" s="43"/>
      <c r="C360" s="63" t="s">
        <v>110</v>
      </c>
      <c r="D360" s="89"/>
      <c r="E360" s="4"/>
    </row>
    <row r="361" spans="1:5" ht="13">
      <c r="A361" s="4"/>
      <c r="B361" s="43"/>
      <c r="C361" s="63" t="s">
        <v>111</v>
      </c>
      <c r="D361" s="89"/>
      <c r="E361" s="4"/>
    </row>
    <row r="362" spans="1:5" ht="13">
      <c r="A362" s="4"/>
      <c r="B362" s="43"/>
      <c r="C362" s="63" t="s">
        <v>112</v>
      </c>
      <c r="D362" s="89"/>
      <c r="E362" s="4"/>
    </row>
    <row r="363" spans="1:5" ht="28">
      <c r="A363" s="4"/>
      <c r="B363" s="43"/>
      <c r="C363" s="2" t="s">
        <v>113</v>
      </c>
      <c r="D363" s="89"/>
      <c r="E363" s="4"/>
    </row>
    <row r="364" spans="1:5" ht="14">
      <c r="A364" s="4"/>
      <c r="B364" s="43"/>
      <c r="C364" s="2" t="s">
        <v>279</v>
      </c>
      <c r="D364" s="88" t="s">
        <v>366</v>
      </c>
      <c r="E364" s="1" t="s">
        <v>0</v>
      </c>
    </row>
    <row r="365" spans="1:5" ht="14">
      <c r="A365" s="4"/>
      <c r="B365" s="43"/>
      <c r="C365" s="2" t="s">
        <v>281</v>
      </c>
      <c r="D365" s="88" t="s">
        <v>1</v>
      </c>
      <c r="E365" s="1" t="s">
        <v>1</v>
      </c>
    </row>
    <row r="366" spans="1:5" ht="14">
      <c r="A366" s="4"/>
      <c r="B366" s="43"/>
      <c r="C366" s="2" t="s">
        <v>371</v>
      </c>
      <c r="D366" s="1" t="s">
        <v>2</v>
      </c>
      <c r="E366" s="1" t="s">
        <v>2</v>
      </c>
    </row>
    <row r="367" spans="1:5" ht="14">
      <c r="A367" s="4"/>
      <c r="B367" s="43"/>
      <c r="C367" s="2" t="s">
        <v>27</v>
      </c>
      <c r="D367" s="88" t="s">
        <v>4</v>
      </c>
      <c r="E367" s="1" t="s">
        <v>4</v>
      </c>
    </row>
    <row r="368" spans="1:5" ht="28">
      <c r="A368" s="4"/>
      <c r="B368" s="43"/>
      <c r="C368" s="64"/>
      <c r="D368" s="63" t="s">
        <v>5</v>
      </c>
      <c r="E368" s="2" t="s">
        <v>5</v>
      </c>
    </row>
    <row r="369" spans="1:5" ht="14">
      <c r="A369" s="4"/>
      <c r="B369" s="43"/>
      <c r="C369" s="64"/>
      <c r="D369" s="63" t="s">
        <v>6</v>
      </c>
      <c r="E369" s="2" t="s">
        <v>6</v>
      </c>
    </row>
    <row r="370" spans="1:5" ht="14">
      <c r="A370" s="4"/>
      <c r="B370" s="43"/>
      <c r="C370" s="64"/>
      <c r="D370" s="63" t="s">
        <v>7</v>
      </c>
      <c r="E370" s="2" t="s">
        <v>7</v>
      </c>
    </row>
    <row r="371" spans="1:5" ht="28">
      <c r="A371" s="4"/>
      <c r="B371" s="43"/>
      <c r="C371" s="64"/>
      <c r="D371" s="63" t="s">
        <v>154</v>
      </c>
      <c r="E371" s="2" t="s">
        <v>154</v>
      </c>
    </row>
    <row r="372" spans="1:5" ht="14">
      <c r="A372" s="4"/>
      <c r="B372" s="43"/>
      <c r="C372" s="64"/>
      <c r="D372" s="63" t="s">
        <v>9</v>
      </c>
      <c r="E372" s="2" t="s">
        <v>9</v>
      </c>
    </row>
    <row r="373" spans="1:5" ht="14">
      <c r="A373" s="4"/>
      <c r="B373" s="43"/>
      <c r="C373" s="64"/>
      <c r="D373" s="63" t="s">
        <v>10</v>
      </c>
      <c r="E373" s="2" t="s">
        <v>204</v>
      </c>
    </row>
    <row r="374" spans="1:5" ht="14">
      <c r="A374" s="4"/>
      <c r="B374" s="43"/>
      <c r="C374" s="64"/>
      <c r="D374" s="63" t="s">
        <v>11</v>
      </c>
      <c r="E374" s="2" t="s">
        <v>205</v>
      </c>
    </row>
    <row r="375" spans="1:5" ht="13">
      <c r="A375" s="4"/>
      <c r="B375" s="43"/>
      <c r="C375" s="64"/>
      <c r="D375" s="88" t="s">
        <v>12</v>
      </c>
      <c r="E375" s="1" t="s">
        <v>12</v>
      </c>
    </row>
    <row r="376" spans="1:5" ht="26">
      <c r="A376" s="4"/>
      <c r="B376" s="43"/>
      <c r="C376" s="64"/>
      <c r="D376" s="63" t="s">
        <v>13</v>
      </c>
      <c r="E376" s="63" t="s">
        <v>13</v>
      </c>
    </row>
    <row r="377" spans="1:5" ht="26">
      <c r="A377" s="4"/>
      <c r="B377" s="1" t="s">
        <v>0</v>
      </c>
      <c r="C377" s="64"/>
      <c r="D377" s="63" t="s">
        <v>14</v>
      </c>
      <c r="E377" s="63" t="s">
        <v>14</v>
      </c>
    </row>
    <row r="378" spans="1:5" ht="26">
      <c r="A378" s="4"/>
      <c r="B378" s="1" t="s">
        <v>1</v>
      </c>
      <c r="C378" s="64"/>
      <c r="D378" s="63" t="s">
        <v>104</v>
      </c>
      <c r="E378" s="63" t="s">
        <v>104</v>
      </c>
    </row>
    <row r="379" spans="1:5" ht="26">
      <c r="A379" s="4"/>
      <c r="B379" s="1" t="s">
        <v>2</v>
      </c>
      <c r="C379" s="64"/>
      <c r="D379" s="63" t="s">
        <v>105</v>
      </c>
      <c r="E379" s="63" t="s">
        <v>105</v>
      </c>
    </row>
    <row r="380" spans="1:5" ht="26">
      <c r="A380" s="4"/>
      <c r="B380" s="1" t="s">
        <v>4</v>
      </c>
      <c r="C380" s="64"/>
      <c r="D380" s="63" t="s">
        <v>367</v>
      </c>
      <c r="E380" s="63" t="s">
        <v>367</v>
      </c>
    </row>
    <row r="381" spans="1:5" ht="28">
      <c r="A381" s="4"/>
      <c r="B381" s="2" t="s">
        <v>5</v>
      </c>
      <c r="C381" s="64"/>
      <c r="D381" s="63" t="s">
        <v>368</v>
      </c>
      <c r="E381" s="63" t="s">
        <v>368</v>
      </c>
    </row>
    <row r="382" spans="1:5" ht="26">
      <c r="A382" s="1" t="s">
        <v>300</v>
      </c>
      <c r="B382" s="3" t="s">
        <v>6</v>
      </c>
      <c r="C382" s="64"/>
      <c r="D382" s="63" t="s">
        <v>369</v>
      </c>
      <c r="E382" s="63" t="s">
        <v>369</v>
      </c>
    </row>
    <row r="383" spans="1:5" ht="26">
      <c r="A383" s="1" t="s">
        <v>1</v>
      </c>
      <c r="B383" s="3" t="s">
        <v>7</v>
      </c>
      <c r="C383" s="64"/>
      <c r="D383" s="63" t="s">
        <v>370</v>
      </c>
      <c r="E383" s="63" t="s">
        <v>370</v>
      </c>
    </row>
    <row r="384" spans="1:5" ht="13">
      <c r="A384" s="1" t="s">
        <v>2</v>
      </c>
      <c r="B384" s="1" t="s">
        <v>8</v>
      </c>
      <c r="C384" s="64"/>
      <c r="D384" s="63" t="s">
        <v>110</v>
      </c>
      <c r="E384" s="63" t="s">
        <v>110</v>
      </c>
    </row>
    <row r="385" spans="1:5" ht="14">
      <c r="A385" s="1" t="s">
        <v>3</v>
      </c>
      <c r="B385" s="2" t="s">
        <v>9</v>
      </c>
      <c r="C385" s="64"/>
      <c r="D385" s="63" t="s">
        <v>111</v>
      </c>
      <c r="E385" s="63" t="s">
        <v>111</v>
      </c>
    </row>
    <row r="386" spans="1:5" ht="26">
      <c r="A386" s="1" t="s">
        <v>4</v>
      </c>
      <c r="B386" s="2" t="s">
        <v>10</v>
      </c>
      <c r="C386" s="64"/>
      <c r="D386" s="63" t="s">
        <v>112</v>
      </c>
      <c r="E386" s="63" t="s">
        <v>207</v>
      </c>
    </row>
    <row r="387" spans="1:5" ht="28">
      <c r="A387" s="2" t="s">
        <v>5</v>
      </c>
      <c r="B387" s="2" t="s">
        <v>11</v>
      </c>
      <c r="C387" s="64"/>
      <c r="D387" s="63" t="s">
        <v>113</v>
      </c>
      <c r="E387" s="63" t="s">
        <v>113</v>
      </c>
    </row>
    <row r="388" spans="1:5" ht="26">
      <c r="A388" s="3" t="s">
        <v>6</v>
      </c>
      <c r="B388" s="1" t="s">
        <v>12</v>
      </c>
      <c r="C388" s="2" t="s">
        <v>0</v>
      </c>
      <c r="D388" s="63" t="s">
        <v>24</v>
      </c>
      <c r="E388" s="2" t="s">
        <v>279</v>
      </c>
    </row>
    <row r="389" spans="1:5" ht="28">
      <c r="A389" s="3" t="s">
        <v>7</v>
      </c>
      <c r="B389" s="2" t="s">
        <v>13</v>
      </c>
      <c r="C389" s="2" t="s">
        <v>1</v>
      </c>
      <c r="D389" s="63" t="s">
        <v>25</v>
      </c>
      <c r="E389" s="2" t="s">
        <v>281</v>
      </c>
    </row>
    <row r="390" spans="1:5" ht="28">
      <c r="A390" s="1" t="s">
        <v>8</v>
      </c>
      <c r="B390" s="2" t="s">
        <v>14</v>
      </c>
      <c r="C390" s="62" t="s">
        <v>2</v>
      </c>
      <c r="D390" s="63" t="s">
        <v>372</v>
      </c>
      <c r="E390" s="63" t="s">
        <v>372</v>
      </c>
    </row>
    <row r="391" spans="1:5" ht="42">
      <c r="A391" s="2" t="s">
        <v>9</v>
      </c>
      <c r="B391" s="2" t="s">
        <v>15</v>
      </c>
      <c r="C391" s="2" t="s">
        <v>4</v>
      </c>
      <c r="D391" s="88" t="s">
        <v>27</v>
      </c>
      <c r="E391" s="2" t="s">
        <v>27</v>
      </c>
    </row>
    <row r="392" spans="1:5" ht="42">
      <c r="A392" s="2" t="s">
        <v>10</v>
      </c>
      <c r="B392" s="2" t="s">
        <v>16</v>
      </c>
      <c r="C392" s="2" t="s">
        <v>5</v>
      </c>
      <c r="D392" s="89"/>
      <c r="E392" s="4"/>
    </row>
    <row r="393" spans="1:5" ht="42">
      <c r="A393" s="2" t="s">
        <v>11</v>
      </c>
      <c r="B393" s="2" t="s">
        <v>17</v>
      </c>
      <c r="C393" s="2" t="s">
        <v>6</v>
      </c>
      <c r="D393" s="89"/>
      <c r="E393" s="4"/>
    </row>
    <row r="394" spans="1:5" ht="42">
      <c r="A394" s="1" t="s">
        <v>12</v>
      </c>
      <c r="B394" s="2" t="s">
        <v>18</v>
      </c>
      <c r="C394" s="2" t="s">
        <v>7</v>
      </c>
      <c r="D394" s="89"/>
      <c r="E394" s="4"/>
    </row>
    <row r="395" spans="1:5" ht="28">
      <c r="A395" s="2" t="s">
        <v>13</v>
      </c>
      <c r="B395" s="2" t="s">
        <v>19</v>
      </c>
      <c r="C395" s="2" t="s">
        <v>8</v>
      </c>
      <c r="D395" s="89"/>
      <c r="E395" s="4"/>
    </row>
    <row r="396" spans="1:5" ht="28">
      <c r="A396" s="2" t="s">
        <v>14</v>
      </c>
      <c r="B396" s="2" t="s">
        <v>20</v>
      </c>
      <c r="C396" s="2" t="s">
        <v>9</v>
      </c>
      <c r="D396" s="89"/>
      <c r="E396" s="4"/>
    </row>
    <row r="397" spans="1:5" ht="42">
      <c r="A397" s="2" t="s">
        <v>15</v>
      </c>
      <c r="B397" s="2" t="s">
        <v>21</v>
      </c>
      <c r="C397" s="2" t="s">
        <v>103</v>
      </c>
      <c r="D397" s="89"/>
      <c r="E397" s="4"/>
    </row>
    <row r="398" spans="1:5" ht="42">
      <c r="A398" s="2" t="s">
        <v>16</v>
      </c>
      <c r="B398" s="2" t="s">
        <v>22</v>
      </c>
      <c r="C398" s="2" t="s">
        <v>11</v>
      </c>
      <c r="D398" s="89"/>
      <c r="E398" s="4"/>
    </row>
    <row r="399" spans="1:5" ht="42">
      <c r="A399" s="2" t="s">
        <v>17</v>
      </c>
      <c r="B399" s="2" t="s">
        <v>23</v>
      </c>
      <c r="C399" s="2" t="s">
        <v>12</v>
      </c>
      <c r="D399" s="89"/>
      <c r="E399" s="4"/>
    </row>
    <row r="400" spans="1:5" ht="42">
      <c r="A400" s="2" t="s">
        <v>18</v>
      </c>
      <c r="B400" s="2" t="s">
        <v>24</v>
      </c>
      <c r="C400" s="63" t="s">
        <v>13</v>
      </c>
      <c r="D400" s="89"/>
      <c r="E400" s="4"/>
    </row>
    <row r="401" spans="1:5" ht="28">
      <c r="A401" s="2" t="s">
        <v>19</v>
      </c>
      <c r="B401" s="2" t="s">
        <v>25</v>
      </c>
      <c r="C401" s="63" t="s">
        <v>14</v>
      </c>
      <c r="D401" s="89"/>
      <c r="E401" s="4"/>
    </row>
    <row r="402" spans="1:5" ht="28">
      <c r="A402" s="2" t="s">
        <v>20</v>
      </c>
      <c r="B402" s="1" t="s">
        <v>27</v>
      </c>
      <c r="C402" s="63" t="s">
        <v>104</v>
      </c>
      <c r="D402" s="89"/>
      <c r="E402" s="4"/>
    </row>
    <row r="403" spans="1:5" ht="26">
      <c r="A403" s="2" t="s">
        <v>21</v>
      </c>
      <c r="B403" s="1"/>
      <c r="C403" s="63" t="s">
        <v>105</v>
      </c>
      <c r="D403" s="89"/>
      <c r="E403" s="4"/>
    </row>
    <row r="404" spans="1:5" ht="28">
      <c r="A404" s="2" t="s">
        <v>22</v>
      </c>
      <c r="B404" s="43"/>
      <c r="C404" s="63" t="s">
        <v>367</v>
      </c>
      <c r="D404" s="89"/>
      <c r="E404" s="4"/>
    </row>
    <row r="405" spans="1:5" ht="28">
      <c r="A405" s="2" t="s">
        <v>23</v>
      </c>
      <c r="B405" s="43"/>
      <c r="C405" s="63" t="s">
        <v>368</v>
      </c>
      <c r="D405" s="89"/>
      <c r="E405" s="4"/>
    </row>
    <row r="406" spans="1:5" ht="28">
      <c r="A406" s="2" t="s">
        <v>24</v>
      </c>
      <c r="B406" s="43"/>
      <c r="C406" s="63" t="s">
        <v>369</v>
      </c>
      <c r="D406" s="89"/>
      <c r="E406" s="4"/>
    </row>
    <row r="407" spans="1:5" ht="26">
      <c r="A407" s="2" t="s">
        <v>25</v>
      </c>
      <c r="B407" s="43"/>
      <c r="C407" s="63" t="s">
        <v>370</v>
      </c>
      <c r="D407" s="89"/>
      <c r="E407" s="4"/>
    </row>
    <row r="408" spans="1:5" ht="13">
      <c r="A408" s="1" t="s">
        <v>27</v>
      </c>
      <c r="B408" s="43"/>
      <c r="C408" s="63" t="s">
        <v>110</v>
      </c>
      <c r="D408" s="89"/>
      <c r="E408" s="4"/>
    </row>
    <row r="409" spans="1:5" ht="13">
      <c r="A409" s="1" t="s">
        <v>28</v>
      </c>
      <c r="B409" s="43"/>
      <c r="C409" s="63" t="s">
        <v>111</v>
      </c>
      <c r="D409" s="89"/>
      <c r="E409" s="4"/>
    </row>
    <row r="410" spans="1:5" ht="13">
      <c r="A410" s="4"/>
      <c r="B410" s="43"/>
      <c r="C410" s="63" t="s">
        <v>112</v>
      </c>
      <c r="D410" s="89"/>
      <c r="E410" s="4"/>
    </row>
    <row r="411" spans="1:5" ht="28">
      <c r="A411" s="4"/>
      <c r="B411" s="43"/>
      <c r="C411" s="2" t="s">
        <v>113</v>
      </c>
      <c r="D411" s="89"/>
      <c r="E411" s="4"/>
    </row>
    <row r="412" spans="1:5" ht="14">
      <c r="A412" s="4"/>
      <c r="B412" s="43"/>
      <c r="C412" s="2" t="s">
        <v>279</v>
      </c>
      <c r="D412" s="89"/>
      <c r="E412" s="4"/>
    </row>
    <row r="413" spans="1:5" ht="14">
      <c r="A413" s="4"/>
      <c r="B413" s="43"/>
      <c r="C413" s="2" t="s">
        <v>281</v>
      </c>
      <c r="D413" s="89"/>
      <c r="E413" s="4"/>
    </row>
    <row r="414" spans="1:5" ht="14">
      <c r="A414" s="4"/>
      <c r="B414" s="43"/>
      <c r="C414" s="2" t="s">
        <v>371</v>
      </c>
      <c r="D414" s="89"/>
      <c r="E414" s="4"/>
    </row>
    <row r="415" spans="1:5" ht="14">
      <c r="A415" s="4"/>
      <c r="B415" s="43"/>
      <c r="C415" s="2" t="s">
        <v>27</v>
      </c>
      <c r="D415" s="89"/>
      <c r="E415" s="4"/>
    </row>
    <row r="416" spans="1:5" ht="13">
      <c r="A416" s="4"/>
      <c r="B416" s="43"/>
      <c r="C416" s="64"/>
      <c r="D416" s="89"/>
      <c r="E416" s="4"/>
    </row>
    <row r="417" spans="1:5" ht="13">
      <c r="A417" s="4"/>
      <c r="B417" s="43"/>
      <c r="C417" s="64"/>
      <c r="D417" s="89"/>
      <c r="E417" s="4"/>
    </row>
    <row r="418" spans="1:5" ht="13">
      <c r="A418" s="4"/>
      <c r="B418" s="43"/>
      <c r="C418" s="64"/>
      <c r="D418" s="89"/>
      <c r="E418" s="4"/>
    </row>
    <row r="419" spans="1:5" ht="13">
      <c r="A419" s="4"/>
      <c r="B419" s="43"/>
      <c r="C419" s="64"/>
      <c r="D419" s="89"/>
      <c r="E419" s="4"/>
    </row>
    <row r="420" spans="1:5" ht="13">
      <c r="A420" s="4"/>
      <c r="B420" s="43"/>
      <c r="C420" s="64"/>
      <c r="D420" s="89"/>
      <c r="E420" s="4"/>
    </row>
    <row r="421" spans="1:5" ht="13">
      <c r="A421" s="4"/>
      <c r="B421" s="43"/>
      <c r="C421" s="64"/>
      <c r="D421" s="89"/>
      <c r="E421" s="4"/>
    </row>
    <row r="422" spans="1:5" ht="13">
      <c r="A422" s="4"/>
      <c r="B422" s="43"/>
      <c r="C422" s="64"/>
      <c r="D422" s="89"/>
      <c r="E422" s="4"/>
    </row>
    <row r="423" spans="1:5" ht="13">
      <c r="A423" s="4"/>
      <c r="B423" s="43"/>
      <c r="C423" s="64"/>
      <c r="D423" s="89"/>
      <c r="E423" s="4"/>
    </row>
    <row r="424" spans="1:5" ht="13">
      <c r="A424" s="4"/>
      <c r="B424" s="43"/>
      <c r="C424" s="64"/>
      <c r="D424" s="88" t="s">
        <v>366</v>
      </c>
      <c r="E424" s="1" t="s">
        <v>0</v>
      </c>
    </row>
    <row r="425" spans="1:5" ht="13">
      <c r="A425" s="4"/>
      <c r="B425" s="43"/>
      <c r="C425" s="64"/>
      <c r="D425" s="88" t="s">
        <v>1</v>
      </c>
      <c r="E425" s="1" t="s">
        <v>1</v>
      </c>
    </row>
    <row r="426" spans="1:5" ht="13">
      <c r="A426" s="4"/>
      <c r="B426" s="43"/>
      <c r="C426" s="64"/>
      <c r="D426" s="1" t="s">
        <v>2</v>
      </c>
      <c r="E426" s="1" t="s">
        <v>2</v>
      </c>
    </row>
    <row r="427" spans="1:5" ht="13">
      <c r="A427" s="4"/>
      <c r="B427" s="43"/>
      <c r="C427" s="64"/>
      <c r="D427" s="88" t="s">
        <v>4</v>
      </c>
      <c r="E427" s="1" t="s">
        <v>4</v>
      </c>
    </row>
    <row r="428" spans="1:5" ht="28">
      <c r="A428" s="4"/>
      <c r="B428" s="43"/>
      <c r="C428" s="64"/>
      <c r="D428" s="63" t="s">
        <v>5</v>
      </c>
      <c r="E428" s="2" t="s">
        <v>5</v>
      </c>
    </row>
    <row r="429" spans="1:5" ht="14">
      <c r="A429" s="4"/>
      <c r="B429" s="43"/>
      <c r="C429" s="64"/>
      <c r="D429" s="63" t="s">
        <v>6</v>
      </c>
      <c r="E429" s="2" t="s">
        <v>6</v>
      </c>
    </row>
    <row r="430" spans="1:5" ht="14">
      <c r="A430" s="4"/>
      <c r="B430" s="43"/>
      <c r="C430" s="64"/>
      <c r="D430" s="63" t="s">
        <v>7</v>
      </c>
      <c r="E430" s="2" t="s">
        <v>7</v>
      </c>
    </row>
    <row r="431" spans="1:5" ht="28">
      <c r="A431" s="4"/>
      <c r="B431" s="43"/>
      <c r="C431" s="64"/>
      <c r="D431" s="63" t="s">
        <v>154</v>
      </c>
      <c r="E431" s="2" t="s">
        <v>154</v>
      </c>
    </row>
    <row r="432" spans="1:5" ht="14">
      <c r="A432" s="4"/>
      <c r="B432" s="43"/>
      <c r="C432" s="64"/>
      <c r="D432" s="63" t="s">
        <v>9</v>
      </c>
      <c r="E432" s="2" t="s">
        <v>9</v>
      </c>
    </row>
    <row r="433" spans="1:5" ht="14">
      <c r="A433" s="4"/>
      <c r="B433" s="43"/>
      <c r="C433" s="64"/>
      <c r="D433" s="63" t="s">
        <v>10</v>
      </c>
      <c r="E433" s="2" t="s">
        <v>204</v>
      </c>
    </row>
    <row r="434" spans="1:5" ht="14">
      <c r="A434" s="4"/>
      <c r="B434" s="43"/>
      <c r="C434" s="64"/>
      <c r="D434" s="63" t="s">
        <v>11</v>
      </c>
      <c r="E434" s="2" t="s">
        <v>205</v>
      </c>
    </row>
    <row r="435" spans="1:5" ht="13">
      <c r="A435" s="4"/>
      <c r="B435" s="43"/>
      <c r="C435" s="64"/>
      <c r="D435" s="88" t="s">
        <v>12</v>
      </c>
      <c r="E435" s="1" t="s">
        <v>12</v>
      </c>
    </row>
    <row r="436" spans="1:5" ht="26">
      <c r="A436" s="4"/>
      <c r="B436" s="43"/>
      <c r="C436" s="2" t="s">
        <v>0</v>
      </c>
      <c r="D436" s="63" t="s">
        <v>13</v>
      </c>
      <c r="E436" s="63" t="s">
        <v>13</v>
      </c>
    </row>
    <row r="437" spans="1:5" ht="26">
      <c r="A437" s="4"/>
      <c r="B437" s="43"/>
      <c r="C437" s="2" t="s">
        <v>1</v>
      </c>
      <c r="D437" s="63" t="s">
        <v>14</v>
      </c>
      <c r="E437" s="63" t="s">
        <v>14</v>
      </c>
    </row>
    <row r="438" spans="1:5" ht="26">
      <c r="A438" s="4"/>
      <c r="B438" s="43"/>
      <c r="C438" s="62" t="s">
        <v>2</v>
      </c>
      <c r="D438" s="63" t="s">
        <v>104</v>
      </c>
      <c r="E438" s="63" t="s">
        <v>104</v>
      </c>
    </row>
    <row r="439" spans="1:5" ht="26">
      <c r="A439" s="4"/>
      <c r="B439" s="1" t="s">
        <v>0</v>
      </c>
      <c r="C439" s="2" t="s">
        <v>4</v>
      </c>
      <c r="D439" s="63" t="s">
        <v>105</v>
      </c>
      <c r="E439" s="63" t="s">
        <v>105</v>
      </c>
    </row>
    <row r="440" spans="1:5" ht="28">
      <c r="A440" s="4"/>
      <c r="B440" s="1" t="s">
        <v>1</v>
      </c>
      <c r="C440" s="2" t="s">
        <v>5</v>
      </c>
      <c r="D440" s="63" t="s">
        <v>367</v>
      </c>
      <c r="E440" s="63" t="s">
        <v>367</v>
      </c>
    </row>
    <row r="441" spans="1:5" ht="26">
      <c r="A441" s="4"/>
      <c r="B441" s="1" t="s">
        <v>2</v>
      </c>
      <c r="C441" s="2" t="s">
        <v>6</v>
      </c>
      <c r="D441" s="63" t="s">
        <v>368</v>
      </c>
      <c r="E441" s="63" t="s">
        <v>368</v>
      </c>
    </row>
    <row r="442" spans="1:5" ht="26">
      <c r="A442" s="4"/>
      <c r="B442" s="1" t="s">
        <v>4</v>
      </c>
      <c r="C442" s="2" t="s">
        <v>7</v>
      </c>
      <c r="D442" s="63" t="s">
        <v>369</v>
      </c>
      <c r="E442" s="63" t="s">
        <v>369</v>
      </c>
    </row>
    <row r="443" spans="1:5" ht="28">
      <c r="A443" s="4"/>
      <c r="B443" s="2" t="s">
        <v>5</v>
      </c>
      <c r="C443" s="2" t="s">
        <v>8</v>
      </c>
      <c r="D443" s="63" t="s">
        <v>370</v>
      </c>
      <c r="E443" s="63" t="s">
        <v>370</v>
      </c>
    </row>
    <row r="444" spans="1:5" ht="14">
      <c r="A444" s="4"/>
      <c r="B444" s="3" t="s">
        <v>6</v>
      </c>
      <c r="C444" s="2" t="s">
        <v>9</v>
      </c>
      <c r="D444" s="63" t="s">
        <v>110</v>
      </c>
      <c r="E444" s="63" t="s">
        <v>110</v>
      </c>
    </row>
    <row r="445" spans="1:5" ht="14">
      <c r="A445" s="1" t="s">
        <v>300</v>
      </c>
      <c r="B445" s="3" t="s">
        <v>7</v>
      </c>
      <c r="C445" s="2" t="s">
        <v>103</v>
      </c>
      <c r="D445" s="63" t="s">
        <v>111</v>
      </c>
      <c r="E445" s="63" t="s">
        <v>111</v>
      </c>
    </row>
    <row r="446" spans="1:5" ht="26">
      <c r="A446" s="1" t="s">
        <v>1</v>
      </c>
      <c r="B446" s="1" t="s">
        <v>8</v>
      </c>
      <c r="C446" s="2" t="s">
        <v>11</v>
      </c>
      <c r="D446" s="63" t="s">
        <v>112</v>
      </c>
      <c r="E446" s="63" t="s">
        <v>207</v>
      </c>
    </row>
    <row r="447" spans="1:5" ht="26">
      <c r="A447" s="1" t="s">
        <v>2</v>
      </c>
      <c r="B447" s="2" t="s">
        <v>9</v>
      </c>
      <c r="C447" s="2" t="s">
        <v>12</v>
      </c>
      <c r="D447" s="63" t="s">
        <v>113</v>
      </c>
      <c r="E447" s="63" t="s">
        <v>113</v>
      </c>
    </row>
    <row r="448" spans="1:5" ht="26">
      <c r="A448" s="1" t="s">
        <v>3</v>
      </c>
      <c r="B448" s="2" t="s">
        <v>10</v>
      </c>
      <c r="C448" s="63" t="s">
        <v>13</v>
      </c>
      <c r="D448" s="63" t="s">
        <v>24</v>
      </c>
      <c r="E448" s="2" t="s">
        <v>279</v>
      </c>
    </row>
    <row r="449" spans="1:5" ht="26">
      <c r="A449" s="1" t="s">
        <v>4</v>
      </c>
      <c r="B449" s="2" t="s">
        <v>11</v>
      </c>
      <c r="C449" s="63" t="s">
        <v>14</v>
      </c>
      <c r="D449" s="63" t="s">
        <v>25</v>
      </c>
      <c r="E449" s="2" t="s">
        <v>281</v>
      </c>
    </row>
    <row r="450" spans="1:5" ht="28">
      <c r="A450" s="2" t="s">
        <v>5</v>
      </c>
      <c r="B450" s="1" t="s">
        <v>12</v>
      </c>
      <c r="C450" s="63" t="s">
        <v>104</v>
      </c>
      <c r="D450" s="63" t="s">
        <v>372</v>
      </c>
      <c r="E450" s="63" t="s">
        <v>372</v>
      </c>
    </row>
    <row r="451" spans="1:5" ht="28">
      <c r="A451" s="3" t="s">
        <v>6</v>
      </c>
      <c r="B451" s="2" t="s">
        <v>13</v>
      </c>
      <c r="C451" s="63" t="s">
        <v>105</v>
      </c>
      <c r="D451" s="88" t="s">
        <v>27</v>
      </c>
      <c r="E451" s="2" t="s">
        <v>27</v>
      </c>
    </row>
    <row r="452" spans="1:5" ht="28">
      <c r="A452" s="3" t="s">
        <v>7</v>
      </c>
      <c r="B452" s="2" t="s">
        <v>14</v>
      </c>
      <c r="C452" s="63" t="s">
        <v>367</v>
      </c>
      <c r="D452" s="89"/>
      <c r="E452" s="4"/>
    </row>
    <row r="453" spans="1:5" ht="42">
      <c r="A453" s="1" t="s">
        <v>8</v>
      </c>
      <c r="B453" s="2" t="s">
        <v>15</v>
      </c>
      <c r="C453" s="63" t="s">
        <v>368</v>
      </c>
      <c r="D453" s="89"/>
      <c r="E453" s="4"/>
    </row>
    <row r="454" spans="1:5" ht="42">
      <c r="A454" s="2" t="s">
        <v>9</v>
      </c>
      <c r="B454" s="2" t="s">
        <v>16</v>
      </c>
      <c r="C454" s="63" t="s">
        <v>369</v>
      </c>
      <c r="D454" s="89"/>
      <c r="E454" s="4"/>
    </row>
    <row r="455" spans="1:5" ht="42">
      <c r="A455" s="2" t="s">
        <v>10</v>
      </c>
      <c r="B455" s="2" t="s">
        <v>17</v>
      </c>
      <c r="C455" s="63" t="s">
        <v>370</v>
      </c>
      <c r="D455" s="89"/>
      <c r="E455" s="4"/>
    </row>
    <row r="456" spans="1:5" ht="42">
      <c r="A456" s="2" t="s">
        <v>11</v>
      </c>
      <c r="B456" s="2" t="s">
        <v>18</v>
      </c>
      <c r="C456" s="63" t="s">
        <v>110</v>
      </c>
      <c r="D456" s="89"/>
      <c r="E456" s="4"/>
    </row>
    <row r="457" spans="1:5" ht="28">
      <c r="A457" s="1" t="s">
        <v>12</v>
      </c>
      <c r="B457" s="2" t="s">
        <v>19</v>
      </c>
      <c r="C457" s="63" t="s">
        <v>111</v>
      </c>
      <c r="D457" s="89"/>
      <c r="E457" s="4"/>
    </row>
    <row r="458" spans="1:5" ht="28">
      <c r="A458" s="2" t="s">
        <v>13</v>
      </c>
      <c r="B458" s="2" t="s">
        <v>20</v>
      </c>
      <c r="C458" s="63" t="s">
        <v>112</v>
      </c>
      <c r="D458" s="89"/>
      <c r="E458" s="4"/>
    </row>
    <row r="459" spans="1:5" ht="28">
      <c r="A459" s="2" t="s">
        <v>14</v>
      </c>
      <c r="B459" s="2" t="s">
        <v>21</v>
      </c>
      <c r="C459" s="2" t="s">
        <v>113</v>
      </c>
      <c r="D459" s="89"/>
      <c r="E459" s="4"/>
    </row>
    <row r="460" spans="1:5" ht="42">
      <c r="A460" s="2" t="s">
        <v>15</v>
      </c>
      <c r="B460" s="2" t="s">
        <v>22</v>
      </c>
      <c r="C460" s="2" t="s">
        <v>279</v>
      </c>
      <c r="D460" s="89"/>
      <c r="E460" s="4"/>
    </row>
    <row r="461" spans="1:5" ht="42">
      <c r="A461" s="2" t="s">
        <v>16</v>
      </c>
      <c r="B461" s="2" t="s">
        <v>23</v>
      </c>
      <c r="C461" s="2" t="s">
        <v>281</v>
      </c>
      <c r="D461" s="89"/>
      <c r="E461" s="4"/>
    </row>
    <row r="462" spans="1:5" ht="42">
      <c r="A462" s="2" t="s">
        <v>17</v>
      </c>
      <c r="B462" s="2" t="s">
        <v>24</v>
      </c>
      <c r="C462" s="2" t="s">
        <v>371</v>
      </c>
      <c r="D462" s="89"/>
      <c r="E462" s="4"/>
    </row>
    <row r="463" spans="1:5" ht="42">
      <c r="A463" s="2" t="s">
        <v>18</v>
      </c>
      <c r="B463" s="2" t="s">
        <v>25</v>
      </c>
      <c r="C463" s="2" t="s">
        <v>27</v>
      </c>
      <c r="D463" s="89"/>
      <c r="E463" s="4"/>
    </row>
    <row r="464" spans="1:5" ht="28">
      <c r="A464" s="2" t="s">
        <v>19</v>
      </c>
      <c r="B464" s="1" t="s">
        <v>27</v>
      </c>
      <c r="C464" s="64"/>
      <c r="D464" s="89"/>
      <c r="E464" s="4"/>
    </row>
    <row r="465" spans="1:5" ht="28">
      <c r="A465" s="2" t="s">
        <v>20</v>
      </c>
      <c r="B465" s="1"/>
      <c r="C465" s="64"/>
      <c r="D465" s="89"/>
      <c r="E465" s="4"/>
    </row>
    <row r="466" spans="1:5" ht="14">
      <c r="A466" s="2" t="s">
        <v>21</v>
      </c>
      <c r="B466" s="43"/>
      <c r="C466" s="64"/>
      <c r="D466" s="89"/>
      <c r="E466" s="4"/>
    </row>
    <row r="467" spans="1:5" ht="28">
      <c r="A467" s="2" t="s">
        <v>22</v>
      </c>
      <c r="B467" s="43"/>
      <c r="C467" s="64"/>
      <c r="D467" s="89"/>
      <c r="E467" s="4"/>
    </row>
    <row r="468" spans="1:5" ht="28">
      <c r="A468" s="2" t="s">
        <v>23</v>
      </c>
      <c r="B468" s="43"/>
      <c r="C468" s="64"/>
      <c r="D468" s="89"/>
      <c r="E468" s="4"/>
    </row>
    <row r="469" spans="1:5" ht="28">
      <c r="A469" s="2" t="s">
        <v>24</v>
      </c>
      <c r="B469" s="43"/>
      <c r="C469" s="64"/>
      <c r="D469" s="89"/>
      <c r="E469" s="4"/>
    </row>
    <row r="470" spans="1:5" ht="14">
      <c r="A470" s="2" t="s">
        <v>25</v>
      </c>
      <c r="B470" s="43"/>
      <c r="C470" s="64"/>
      <c r="D470" s="89"/>
      <c r="E470" s="4"/>
    </row>
    <row r="471" spans="1:5" ht="13">
      <c r="A471" s="1" t="s">
        <v>27</v>
      </c>
      <c r="B471" s="43"/>
      <c r="C471" s="64"/>
      <c r="D471" s="89"/>
      <c r="E471" s="4"/>
    </row>
    <row r="472" spans="1:5" ht="13">
      <c r="A472" s="1" t="s">
        <v>28</v>
      </c>
      <c r="B472" s="43"/>
      <c r="C472" s="64"/>
      <c r="D472" s="89"/>
      <c r="E472" s="4"/>
    </row>
    <row r="473" spans="1:5" ht="13">
      <c r="A473" s="4"/>
      <c r="B473" s="43"/>
      <c r="C473" s="64"/>
      <c r="D473" s="89"/>
      <c r="E473" s="4"/>
    </row>
    <row r="474" spans="1:5" ht="13">
      <c r="A474" s="4"/>
      <c r="B474" s="43"/>
      <c r="C474" s="64"/>
      <c r="D474" s="89"/>
      <c r="E474" s="4"/>
    </row>
    <row r="475" spans="1:5" ht="13">
      <c r="A475" s="4"/>
      <c r="B475" s="43"/>
      <c r="C475" s="64"/>
      <c r="D475" s="89"/>
      <c r="E475" s="4"/>
    </row>
    <row r="476" spans="1:5" ht="13">
      <c r="A476" s="4"/>
      <c r="B476" s="43"/>
      <c r="C476" s="64"/>
      <c r="D476" s="89"/>
      <c r="E476" s="4"/>
    </row>
    <row r="477" spans="1:5" ht="13">
      <c r="A477" s="4"/>
      <c r="B477" s="43"/>
      <c r="C477" s="64"/>
      <c r="D477" s="89"/>
      <c r="E477" s="4"/>
    </row>
    <row r="478" spans="1:5" ht="13">
      <c r="A478" s="4"/>
      <c r="B478" s="43"/>
      <c r="C478" s="64"/>
      <c r="D478" s="89"/>
      <c r="E478" s="4"/>
    </row>
    <row r="479" spans="1:5" ht="13">
      <c r="A479" s="4"/>
      <c r="B479" s="43"/>
      <c r="C479" s="64"/>
      <c r="D479" s="89"/>
      <c r="E479" s="4"/>
    </row>
    <row r="480" spans="1:5" ht="13">
      <c r="A480" s="4"/>
      <c r="B480" s="43"/>
      <c r="C480" s="64"/>
      <c r="D480" s="89"/>
      <c r="E480" s="4"/>
    </row>
    <row r="481" spans="1:5" ht="13">
      <c r="A481" s="4"/>
      <c r="B481" s="43"/>
      <c r="C481" s="64"/>
      <c r="D481" s="89"/>
      <c r="E481" s="4"/>
    </row>
    <row r="482" spans="1:5" ht="13">
      <c r="A482" s="4"/>
      <c r="B482" s="43"/>
      <c r="C482" s="64"/>
      <c r="D482" s="89"/>
      <c r="E482" s="4"/>
    </row>
    <row r="483" spans="1:5" ht="13">
      <c r="A483" s="4"/>
      <c r="B483" s="43"/>
      <c r="C483" s="64"/>
      <c r="D483" s="89"/>
      <c r="E483" s="4"/>
    </row>
    <row r="484" spans="1:5" ht="14">
      <c r="A484" s="4"/>
      <c r="B484" s="43"/>
      <c r="C484" s="2" t="s">
        <v>0</v>
      </c>
      <c r="D484" s="88" t="s">
        <v>366</v>
      </c>
      <c r="E484" s="1" t="s">
        <v>0</v>
      </c>
    </row>
    <row r="485" spans="1:5" ht="14">
      <c r="A485" s="4"/>
      <c r="B485" s="43"/>
      <c r="C485" s="2" t="s">
        <v>1</v>
      </c>
      <c r="D485" s="88" t="s">
        <v>1</v>
      </c>
      <c r="E485" s="1" t="s">
        <v>1</v>
      </c>
    </row>
    <row r="486" spans="1:5" ht="13">
      <c r="A486" s="4"/>
      <c r="B486" s="43"/>
      <c r="C486" s="62" t="s">
        <v>2</v>
      </c>
      <c r="D486" s="1" t="s">
        <v>2</v>
      </c>
      <c r="E486" s="1" t="s">
        <v>2</v>
      </c>
    </row>
    <row r="487" spans="1:5" ht="14">
      <c r="A487" s="4"/>
      <c r="B487" s="43"/>
      <c r="C487" s="2" t="s">
        <v>4</v>
      </c>
      <c r="D487" s="88" t="s">
        <v>4</v>
      </c>
      <c r="E487" s="1" t="s">
        <v>4</v>
      </c>
    </row>
    <row r="488" spans="1:5" ht="28">
      <c r="A488" s="4"/>
      <c r="B488" s="43"/>
      <c r="C488" s="2" t="s">
        <v>5</v>
      </c>
      <c r="D488" s="63" t="s">
        <v>5</v>
      </c>
      <c r="E488" s="2" t="s">
        <v>5</v>
      </c>
    </row>
    <row r="489" spans="1:5" ht="14">
      <c r="A489" s="4"/>
      <c r="B489" s="43"/>
      <c r="C489" s="2" t="s">
        <v>6</v>
      </c>
      <c r="D489" s="63" t="s">
        <v>6</v>
      </c>
      <c r="E489" s="2" t="s">
        <v>6</v>
      </c>
    </row>
    <row r="490" spans="1:5" ht="14">
      <c r="A490" s="4"/>
      <c r="B490" s="43"/>
      <c r="C490" s="2" t="s">
        <v>7</v>
      </c>
      <c r="D490" s="63" t="s">
        <v>7</v>
      </c>
      <c r="E490" s="2" t="s">
        <v>7</v>
      </c>
    </row>
    <row r="491" spans="1:5" ht="28">
      <c r="A491" s="4"/>
      <c r="B491" s="43"/>
      <c r="C491" s="2" t="s">
        <v>8</v>
      </c>
      <c r="D491" s="63" t="s">
        <v>154</v>
      </c>
      <c r="E491" s="2" t="s">
        <v>154</v>
      </c>
    </row>
    <row r="492" spans="1:5" ht="14">
      <c r="A492" s="4"/>
      <c r="B492" s="43"/>
      <c r="C492" s="2" t="s">
        <v>9</v>
      </c>
      <c r="D492" s="63" t="s">
        <v>9</v>
      </c>
      <c r="E492" s="2" t="s">
        <v>9</v>
      </c>
    </row>
    <row r="493" spans="1:5" ht="14">
      <c r="A493" s="4"/>
      <c r="B493" s="43"/>
      <c r="C493" s="2" t="s">
        <v>103</v>
      </c>
      <c r="D493" s="63" t="s">
        <v>10</v>
      </c>
      <c r="E493" s="2" t="s">
        <v>204</v>
      </c>
    </row>
    <row r="494" spans="1:5" ht="14">
      <c r="A494" s="4"/>
      <c r="B494" s="43"/>
      <c r="C494" s="2" t="s">
        <v>11</v>
      </c>
      <c r="D494" s="63" t="s">
        <v>11</v>
      </c>
      <c r="E494" s="2" t="s">
        <v>205</v>
      </c>
    </row>
    <row r="495" spans="1:5" ht="14">
      <c r="A495" s="4"/>
      <c r="B495" s="43"/>
      <c r="C495" s="2" t="s">
        <v>12</v>
      </c>
      <c r="D495" s="88" t="s">
        <v>12</v>
      </c>
      <c r="E495" s="1" t="s">
        <v>12</v>
      </c>
    </row>
    <row r="496" spans="1:5" ht="26">
      <c r="A496" s="4"/>
      <c r="B496" s="43"/>
      <c r="C496" s="63" t="s">
        <v>13</v>
      </c>
      <c r="D496" s="63" t="s">
        <v>13</v>
      </c>
      <c r="E496" s="63" t="s">
        <v>13</v>
      </c>
    </row>
    <row r="497" spans="1:5" ht="26">
      <c r="A497" s="4"/>
      <c r="B497" s="43"/>
      <c r="C497" s="63" t="s">
        <v>14</v>
      </c>
      <c r="D497" s="63" t="s">
        <v>14</v>
      </c>
      <c r="E497" s="63" t="s">
        <v>14</v>
      </c>
    </row>
    <row r="498" spans="1:5" ht="26">
      <c r="A498" s="4"/>
      <c r="B498" s="43"/>
      <c r="C498" s="63" t="s">
        <v>104</v>
      </c>
      <c r="D498" s="63" t="s">
        <v>104</v>
      </c>
      <c r="E498" s="63" t="s">
        <v>104</v>
      </c>
    </row>
    <row r="499" spans="1:5" ht="26">
      <c r="A499" s="4"/>
      <c r="B499" s="43"/>
      <c r="C499" s="63" t="s">
        <v>105</v>
      </c>
      <c r="D499" s="63" t="s">
        <v>105</v>
      </c>
      <c r="E499" s="63" t="s">
        <v>105</v>
      </c>
    </row>
    <row r="500" spans="1:5" ht="26">
      <c r="A500" s="4"/>
      <c r="B500" s="43"/>
      <c r="C500" s="63" t="s">
        <v>367</v>
      </c>
      <c r="D500" s="63" t="s">
        <v>367</v>
      </c>
      <c r="E500" s="63" t="s">
        <v>367</v>
      </c>
    </row>
    <row r="501" spans="1:5" ht="26">
      <c r="A501" s="4"/>
      <c r="B501" s="1" t="s">
        <v>0</v>
      </c>
      <c r="C501" s="63" t="s">
        <v>368</v>
      </c>
      <c r="D501" s="63" t="s">
        <v>368</v>
      </c>
      <c r="E501" s="63" t="s">
        <v>368</v>
      </c>
    </row>
    <row r="502" spans="1:5" ht="26">
      <c r="A502" s="4"/>
      <c r="B502" s="1" t="s">
        <v>1</v>
      </c>
      <c r="C502" s="63" t="s">
        <v>369</v>
      </c>
      <c r="D502" s="63" t="s">
        <v>369</v>
      </c>
      <c r="E502" s="63" t="s">
        <v>369</v>
      </c>
    </row>
    <row r="503" spans="1:5" ht="26">
      <c r="A503" s="4"/>
      <c r="B503" s="1" t="s">
        <v>2</v>
      </c>
      <c r="C503" s="63" t="s">
        <v>370</v>
      </c>
      <c r="D503" s="63" t="s">
        <v>370</v>
      </c>
      <c r="E503" s="63" t="s">
        <v>370</v>
      </c>
    </row>
    <row r="504" spans="1:5" ht="13">
      <c r="A504" s="4"/>
      <c r="B504" s="1" t="s">
        <v>4</v>
      </c>
      <c r="C504" s="63" t="s">
        <v>110</v>
      </c>
      <c r="D504" s="63" t="s">
        <v>110</v>
      </c>
      <c r="E504" s="63" t="s">
        <v>110</v>
      </c>
    </row>
    <row r="505" spans="1:5" ht="28">
      <c r="A505" s="4"/>
      <c r="B505" s="2" t="s">
        <v>5</v>
      </c>
      <c r="C505" s="63" t="s">
        <v>111</v>
      </c>
      <c r="D505" s="63" t="s">
        <v>111</v>
      </c>
      <c r="E505" s="63" t="s">
        <v>111</v>
      </c>
    </row>
    <row r="506" spans="1:5" ht="26">
      <c r="A506" s="4"/>
      <c r="B506" s="3" t="s">
        <v>6</v>
      </c>
      <c r="C506" s="63" t="s">
        <v>112</v>
      </c>
      <c r="D506" s="63" t="s">
        <v>112</v>
      </c>
      <c r="E506" s="63" t="s">
        <v>207</v>
      </c>
    </row>
    <row r="507" spans="1:5" ht="28">
      <c r="A507" s="4"/>
      <c r="B507" s="3" t="s">
        <v>7</v>
      </c>
      <c r="C507" s="2" t="s">
        <v>113</v>
      </c>
      <c r="D507" s="63" t="s">
        <v>113</v>
      </c>
      <c r="E507" s="63" t="s">
        <v>113</v>
      </c>
    </row>
    <row r="508" spans="1:5" ht="26">
      <c r="A508" s="1" t="s">
        <v>300</v>
      </c>
      <c r="B508" s="1" t="s">
        <v>8</v>
      </c>
      <c r="C508" s="2" t="s">
        <v>279</v>
      </c>
      <c r="D508" s="63" t="s">
        <v>24</v>
      </c>
      <c r="E508" s="2" t="s">
        <v>279</v>
      </c>
    </row>
    <row r="509" spans="1:5" ht="14">
      <c r="A509" s="1" t="s">
        <v>1</v>
      </c>
      <c r="B509" s="2" t="s">
        <v>9</v>
      </c>
      <c r="C509" s="2" t="s">
        <v>281</v>
      </c>
      <c r="D509" s="63" t="s">
        <v>25</v>
      </c>
      <c r="E509" s="2" t="s">
        <v>281</v>
      </c>
    </row>
    <row r="510" spans="1:5" ht="26">
      <c r="A510" s="1" t="s">
        <v>2</v>
      </c>
      <c r="B510" s="2" t="s">
        <v>10</v>
      </c>
      <c r="C510" s="2" t="s">
        <v>371</v>
      </c>
      <c r="D510" s="63" t="s">
        <v>372</v>
      </c>
      <c r="E510" s="63" t="s">
        <v>372</v>
      </c>
    </row>
    <row r="511" spans="1:5" ht="14">
      <c r="A511" s="1" t="s">
        <v>3</v>
      </c>
      <c r="B511" s="2" t="s">
        <v>11</v>
      </c>
      <c r="C511" s="2" t="s">
        <v>27</v>
      </c>
      <c r="D511" s="88" t="s">
        <v>27</v>
      </c>
      <c r="E511" s="2" t="s">
        <v>27</v>
      </c>
    </row>
    <row r="512" spans="1:5" ht="13">
      <c r="A512" s="1" t="s">
        <v>4</v>
      </c>
      <c r="B512" s="1" t="s">
        <v>12</v>
      </c>
      <c r="C512" s="64"/>
      <c r="D512" s="89"/>
      <c r="E512" s="4"/>
    </row>
    <row r="513" spans="1:5" ht="28">
      <c r="A513" s="2" t="s">
        <v>5</v>
      </c>
      <c r="B513" s="2" t="s">
        <v>13</v>
      </c>
      <c r="C513" s="64"/>
      <c r="D513" s="89"/>
      <c r="E513" s="4"/>
    </row>
    <row r="514" spans="1:5" ht="28">
      <c r="A514" s="3" t="s">
        <v>6</v>
      </c>
      <c r="B514" s="2" t="s">
        <v>14</v>
      </c>
      <c r="C514" s="64"/>
      <c r="D514" s="89"/>
      <c r="E514" s="4"/>
    </row>
    <row r="515" spans="1:5" ht="42">
      <c r="A515" s="3" t="s">
        <v>7</v>
      </c>
      <c r="B515" s="2" t="s">
        <v>15</v>
      </c>
      <c r="C515" s="64"/>
      <c r="D515" s="89"/>
      <c r="E515" s="4"/>
    </row>
    <row r="516" spans="1:5" ht="42">
      <c r="A516" s="1" t="s">
        <v>8</v>
      </c>
      <c r="B516" s="2" t="s">
        <v>16</v>
      </c>
      <c r="C516" s="64"/>
      <c r="D516" s="89"/>
      <c r="E516" s="4"/>
    </row>
    <row r="517" spans="1:5" ht="42">
      <c r="A517" s="2" t="s">
        <v>9</v>
      </c>
      <c r="B517" s="2" t="s">
        <v>17</v>
      </c>
      <c r="C517" s="64"/>
      <c r="D517" s="89"/>
      <c r="E517" s="4"/>
    </row>
    <row r="518" spans="1:5" ht="42">
      <c r="A518" s="2" t="s">
        <v>10</v>
      </c>
      <c r="B518" s="2" t="s">
        <v>18</v>
      </c>
      <c r="C518" s="64"/>
      <c r="D518" s="89"/>
      <c r="E518" s="4"/>
    </row>
    <row r="519" spans="1:5" ht="28">
      <c r="A519" s="2" t="s">
        <v>11</v>
      </c>
      <c r="B519" s="2" t="s">
        <v>19</v>
      </c>
      <c r="C519" s="64"/>
      <c r="D519" s="89"/>
      <c r="E519" s="4"/>
    </row>
    <row r="520" spans="1:5" ht="28">
      <c r="A520" s="1" t="s">
        <v>12</v>
      </c>
      <c r="B520" s="2" t="s">
        <v>20</v>
      </c>
      <c r="C520" s="64"/>
      <c r="D520" s="89"/>
      <c r="E520" s="4"/>
    </row>
    <row r="521" spans="1:5" ht="28">
      <c r="A521" s="2" t="s">
        <v>13</v>
      </c>
      <c r="B521" s="2" t="s">
        <v>21</v>
      </c>
      <c r="C521" s="64"/>
      <c r="D521" s="89"/>
      <c r="E521" s="4"/>
    </row>
    <row r="522" spans="1:5" ht="28">
      <c r="A522" s="2" t="s">
        <v>14</v>
      </c>
      <c r="B522" s="2" t="s">
        <v>22</v>
      </c>
      <c r="C522" s="64"/>
      <c r="D522" s="89"/>
      <c r="E522" s="4"/>
    </row>
    <row r="523" spans="1:5" ht="42">
      <c r="A523" s="2" t="s">
        <v>15</v>
      </c>
      <c r="B523" s="2" t="s">
        <v>23</v>
      </c>
      <c r="C523" s="64"/>
      <c r="D523" s="89"/>
      <c r="E523" s="4"/>
    </row>
    <row r="524" spans="1:5" ht="42">
      <c r="A524" s="2" t="s">
        <v>16</v>
      </c>
      <c r="B524" s="2" t="s">
        <v>24</v>
      </c>
      <c r="C524" s="64"/>
      <c r="D524" s="89"/>
      <c r="E524" s="4"/>
    </row>
    <row r="525" spans="1:5" ht="42">
      <c r="A525" s="2" t="s">
        <v>17</v>
      </c>
      <c r="B525" s="2" t="s">
        <v>25</v>
      </c>
      <c r="C525" s="64"/>
      <c r="D525" s="89"/>
      <c r="E525" s="4"/>
    </row>
    <row r="526" spans="1:5" ht="42">
      <c r="A526" s="2" t="s">
        <v>18</v>
      </c>
      <c r="B526" s="1" t="s">
        <v>27</v>
      </c>
      <c r="C526" s="64"/>
      <c r="D526" s="89"/>
      <c r="E526" s="4"/>
    </row>
    <row r="527" spans="1:5" ht="28">
      <c r="A527" s="2" t="s">
        <v>19</v>
      </c>
      <c r="B527" s="1"/>
      <c r="C527" s="64"/>
      <c r="D527" s="89"/>
      <c r="E527" s="4"/>
    </row>
    <row r="528" spans="1:5" ht="28">
      <c r="A528" s="2" t="s">
        <v>20</v>
      </c>
      <c r="B528" s="43"/>
      <c r="C528" s="64"/>
      <c r="D528" s="89"/>
      <c r="E528" s="4"/>
    </row>
    <row r="529" spans="1:5" ht="14">
      <c r="A529" s="2" t="s">
        <v>21</v>
      </c>
      <c r="B529" s="43"/>
      <c r="C529" s="64"/>
      <c r="D529" s="89"/>
      <c r="E529" s="4"/>
    </row>
    <row r="530" spans="1:5" ht="28">
      <c r="A530" s="2" t="s">
        <v>22</v>
      </c>
      <c r="B530" s="43"/>
      <c r="C530" s="64"/>
      <c r="D530" s="89"/>
      <c r="E530" s="4"/>
    </row>
    <row r="531" spans="1:5" ht="28">
      <c r="A531" s="2" t="s">
        <v>23</v>
      </c>
      <c r="B531" s="43"/>
      <c r="C531" s="64"/>
      <c r="D531" s="89"/>
      <c r="E531" s="4"/>
    </row>
    <row r="532" spans="1:5" ht="28">
      <c r="A532" s="2" t="s">
        <v>24</v>
      </c>
      <c r="B532" s="43"/>
      <c r="C532" s="2" t="s">
        <v>0</v>
      </c>
      <c r="D532" s="89"/>
      <c r="E532" s="4"/>
    </row>
    <row r="533" spans="1:5" ht="14">
      <c r="A533" s="2" t="s">
        <v>25</v>
      </c>
      <c r="B533" s="43"/>
      <c r="C533" s="2" t="s">
        <v>1</v>
      </c>
      <c r="D533" s="89"/>
      <c r="E533" s="4"/>
    </row>
    <row r="534" spans="1:5" ht="13">
      <c r="A534" s="1" t="s">
        <v>27</v>
      </c>
      <c r="B534" s="43"/>
      <c r="C534" s="62" t="s">
        <v>2</v>
      </c>
      <c r="D534" s="89"/>
      <c r="E534" s="4"/>
    </row>
    <row r="535" spans="1:5" ht="14">
      <c r="A535" s="1" t="s">
        <v>28</v>
      </c>
      <c r="B535" s="43"/>
      <c r="C535" s="2" t="s">
        <v>4</v>
      </c>
      <c r="D535" s="89"/>
      <c r="E535" s="4"/>
    </row>
    <row r="536" spans="1:5" ht="28">
      <c r="A536" s="4"/>
      <c r="B536" s="43"/>
      <c r="C536" s="2" t="s">
        <v>5</v>
      </c>
      <c r="D536" s="89"/>
      <c r="E536" s="4"/>
    </row>
    <row r="537" spans="1:5" ht="14">
      <c r="A537" s="4"/>
      <c r="B537" s="43"/>
      <c r="C537" s="2" t="s">
        <v>6</v>
      </c>
      <c r="D537" s="89"/>
      <c r="E537" s="4"/>
    </row>
    <row r="538" spans="1:5" ht="14">
      <c r="A538" s="4"/>
      <c r="B538" s="43"/>
      <c r="C538" s="2" t="s">
        <v>7</v>
      </c>
      <c r="D538" s="89"/>
      <c r="E538" s="4"/>
    </row>
    <row r="539" spans="1:5" ht="14">
      <c r="A539" s="4"/>
      <c r="B539" s="43"/>
      <c r="C539" s="2" t="s">
        <v>8</v>
      </c>
      <c r="D539" s="89"/>
      <c r="E539" s="4"/>
    </row>
    <row r="540" spans="1:5" ht="14">
      <c r="A540" s="4"/>
      <c r="B540" s="43"/>
      <c r="C540" s="2" t="s">
        <v>9</v>
      </c>
      <c r="D540" s="89"/>
      <c r="E540" s="4"/>
    </row>
    <row r="541" spans="1:5" ht="14">
      <c r="A541" s="4"/>
      <c r="B541" s="43"/>
      <c r="C541" s="2" t="s">
        <v>103</v>
      </c>
      <c r="D541" s="89"/>
      <c r="E541" s="4"/>
    </row>
    <row r="542" spans="1:5" ht="14">
      <c r="A542" s="4"/>
      <c r="B542" s="43"/>
      <c r="C542" s="2" t="s">
        <v>11</v>
      </c>
      <c r="D542" s="89"/>
      <c r="E542" s="4"/>
    </row>
    <row r="543" spans="1:5" ht="14">
      <c r="A543" s="4"/>
      <c r="B543" s="43"/>
      <c r="C543" s="2" t="s">
        <v>12</v>
      </c>
      <c r="D543" s="89"/>
      <c r="E543" s="4"/>
    </row>
    <row r="544" spans="1:5" ht="26">
      <c r="A544" s="4"/>
      <c r="B544" s="43"/>
      <c r="C544" s="63" t="s">
        <v>13</v>
      </c>
      <c r="D544" s="88" t="s">
        <v>366</v>
      </c>
      <c r="E544" s="1" t="s">
        <v>0</v>
      </c>
    </row>
    <row r="545" spans="1:5" ht="26">
      <c r="A545" s="4"/>
      <c r="B545" s="43"/>
      <c r="C545" s="63" t="s">
        <v>14</v>
      </c>
      <c r="D545" s="88" t="s">
        <v>1</v>
      </c>
      <c r="E545" s="1" t="s">
        <v>1</v>
      </c>
    </row>
    <row r="546" spans="1:5" ht="26">
      <c r="A546" s="4"/>
      <c r="B546" s="43"/>
      <c r="C546" s="63" t="s">
        <v>104</v>
      </c>
      <c r="D546" s="1" t="s">
        <v>2</v>
      </c>
      <c r="E546" s="1" t="s">
        <v>2</v>
      </c>
    </row>
    <row r="547" spans="1:5" ht="26">
      <c r="A547" s="4"/>
      <c r="B547" s="43"/>
      <c r="C547" s="63" t="s">
        <v>105</v>
      </c>
      <c r="D547" s="88" t="s">
        <v>4</v>
      </c>
      <c r="E547" s="1" t="s">
        <v>4</v>
      </c>
    </row>
    <row r="548" spans="1:5" ht="28">
      <c r="A548" s="4"/>
      <c r="B548" s="43"/>
      <c r="C548" s="63" t="s">
        <v>367</v>
      </c>
      <c r="D548" s="63" t="s">
        <v>5</v>
      </c>
      <c r="E548" s="2" t="s">
        <v>5</v>
      </c>
    </row>
    <row r="549" spans="1:5" ht="26">
      <c r="A549" s="4"/>
      <c r="B549" s="43"/>
      <c r="C549" s="63" t="s">
        <v>368</v>
      </c>
      <c r="D549" s="63" t="s">
        <v>6</v>
      </c>
      <c r="E549" s="2" t="s">
        <v>6</v>
      </c>
    </row>
    <row r="550" spans="1:5" ht="26">
      <c r="A550" s="4"/>
      <c r="B550" s="43"/>
      <c r="C550" s="63" t="s">
        <v>369</v>
      </c>
      <c r="D550" s="63" t="s">
        <v>7</v>
      </c>
      <c r="E550" s="2" t="s">
        <v>7</v>
      </c>
    </row>
    <row r="551" spans="1:5" ht="28">
      <c r="A551" s="4"/>
      <c r="B551" s="43"/>
      <c r="C551" s="63" t="s">
        <v>370</v>
      </c>
      <c r="D551" s="63" t="s">
        <v>154</v>
      </c>
      <c r="E551" s="2" t="s">
        <v>154</v>
      </c>
    </row>
    <row r="552" spans="1:5" ht="14">
      <c r="A552" s="4"/>
      <c r="B552" s="43"/>
      <c r="C552" s="63" t="s">
        <v>110</v>
      </c>
      <c r="D552" s="63" t="s">
        <v>9</v>
      </c>
      <c r="E552" s="2" t="s">
        <v>9</v>
      </c>
    </row>
    <row r="553" spans="1:5" ht="14">
      <c r="A553" s="4"/>
      <c r="B553" s="43"/>
      <c r="C553" s="63" t="s">
        <v>111</v>
      </c>
      <c r="D553" s="63" t="s">
        <v>10</v>
      </c>
      <c r="E553" s="2" t="s">
        <v>204</v>
      </c>
    </row>
    <row r="554" spans="1:5" ht="14">
      <c r="A554" s="4"/>
      <c r="B554" s="43"/>
      <c r="C554" s="63" t="s">
        <v>112</v>
      </c>
      <c r="D554" s="63" t="s">
        <v>11</v>
      </c>
      <c r="E554" s="2" t="s">
        <v>205</v>
      </c>
    </row>
    <row r="555" spans="1:5" ht="28">
      <c r="A555" s="4"/>
      <c r="B555" s="43"/>
      <c r="C555" s="2" t="s">
        <v>113</v>
      </c>
      <c r="D555" s="88" t="s">
        <v>12</v>
      </c>
      <c r="E555" s="1" t="s">
        <v>12</v>
      </c>
    </row>
    <row r="556" spans="1:5" ht="26">
      <c r="A556" s="4"/>
      <c r="B556" s="43"/>
      <c r="C556" s="2" t="s">
        <v>279</v>
      </c>
      <c r="D556" s="63" t="s">
        <v>13</v>
      </c>
      <c r="E556" s="63" t="s">
        <v>13</v>
      </c>
    </row>
    <row r="557" spans="1:5" ht="26">
      <c r="A557" s="4"/>
      <c r="B557" s="43"/>
      <c r="C557" s="2" t="s">
        <v>281</v>
      </c>
      <c r="D557" s="63" t="s">
        <v>14</v>
      </c>
      <c r="E557" s="63" t="s">
        <v>14</v>
      </c>
    </row>
    <row r="558" spans="1:5" ht="26">
      <c r="A558" s="4"/>
      <c r="B558" s="43"/>
      <c r="C558" s="2" t="s">
        <v>371</v>
      </c>
      <c r="D558" s="63" t="s">
        <v>104</v>
      </c>
      <c r="E558" s="63" t="s">
        <v>104</v>
      </c>
    </row>
    <row r="559" spans="1:5" ht="26">
      <c r="A559" s="4"/>
      <c r="B559" s="43"/>
      <c r="C559" s="2" t="s">
        <v>27</v>
      </c>
      <c r="D559" s="63" t="s">
        <v>105</v>
      </c>
      <c r="E559" s="63" t="s">
        <v>105</v>
      </c>
    </row>
    <row r="560" spans="1:5" ht="26">
      <c r="A560" s="4"/>
      <c r="B560" s="43"/>
      <c r="C560" s="64"/>
      <c r="D560" s="63" t="s">
        <v>367</v>
      </c>
      <c r="E560" s="63" t="s">
        <v>367</v>
      </c>
    </row>
    <row r="561" spans="1:5" ht="26">
      <c r="A561" s="4"/>
      <c r="B561" s="43"/>
      <c r="C561" s="64"/>
      <c r="D561" s="63" t="s">
        <v>368</v>
      </c>
      <c r="E561" s="63" t="s">
        <v>368</v>
      </c>
    </row>
    <row r="562" spans="1:5" ht="26">
      <c r="A562" s="4"/>
      <c r="B562" s="43"/>
      <c r="C562" s="64"/>
      <c r="D562" s="63" t="s">
        <v>369</v>
      </c>
      <c r="E562" s="63" t="s">
        <v>369</v>
      </c>
    </row>
    <row r="563" spans="1:5" ht="26">
      <c r="A563" s="4"/>
      <c r="B563" s="1" t="s">
        <v>0</v>
      </c>
      <c r="C563" s="64"/>
      <c r="D563" s="63" t="s">
        <v>370</v>
      </c>
      <c r="E563" s="63" t="s">
        <v>370</v>
      </c>
    </row>
    <row r="564" spans="1:5" ht="13">
      <c r="A564" s="4"/>
      <c r="B564" s="1" t="s">
        <v>1</v>
      </c>
      <c r="C564" s="64"/>
      <c r="D564" s="63" t="s">
        <v>110</v>
      </c>
      <c r="E564" s="63" t="s">
        <v>110</v>
      </c>
    </row>
    <row r="565" spans="1:5" ht="13">
      <c r="A565" s="4"/>
      <c r="B565" s="1" t="s">
        <v>2</v>
      </c>
      <c r="C565" s="64"/>
      <c r="D565" s="63" t="s">
        <v>111</v>
      </c>
      <c r="E565" s="63" t="s">
        <v>111</v>
      </c>
    </row>
    <row r="566" spans="1:5" ht="26">
      <c r="A566" s="4"/>
      <c r="B566" s="1" t="s">
        <v>4</v>
      </c>
      <c r="C566" s="64"/>
      <c r="D566" s="63" t="s">
        <v>112</v>
      </c>
      <c r="E566" s="63" t="s">
        <v>207</v>
      </c>
    </row>
    <row r="567" spans="1:5" ht="28">
      <c r="A567" s="4"/>
      <c r="B567" s="2" t="s">
        <v>5</v>
      </c>
      <c r="C567" s="64"/>
      <c r="D567" s="63" t="s">
        <v>113</v>
      </c>
      <c r="E567" s="63" t="s">
        <v>113</v>
      </c>
    </row>
    <row r="568" spans="1:5" ht="26">
      <c r="A568" s="4"/>
      <c r="B568" s="3" t="s">
        <v>6</v>
      </c>
      <c r="C568" s="64"/>
      <c r="D568" s="63" t="s">
        <v>24</v>
      </c>
      <c r="E568" s="2" t="s">
        <v>279</v>
      </c>
    </row>
    <row r="569" spans="1:5" ht="14">
      <c r="A569" s="4"/>
      <c r="B569" s="3" t="s">
        <v>7</v>
      </c>
      <c r="C569" s="64"/>
      <c r="D569" s="63" t="s">
        <v>25</v>
      </c>
      <c r="E569" s="2" t="s">
        <v>281</v>
      </c>
    </row>
    <row r="570" spans="1:5" ht="26">
      <c r="A570" s="4"/>
      <c r="B570" s="1" t="s">
        <v>8</v>
      </c>
      <c r="C570" s="64"/>
      <c r="D570" s="63" t="s">
        <v>372</v>
      </c>
      <c r="E570" s="63" t="s">
        <v>372</v>
      </c>
    </row>
    <row r="571" spans="1:5" ht="14">
      <c r="A571" s="1" t="s">
        <v>300</v>
      </c>
      <c r="B571" s="2" t="s">
        <v>9</v>
      </c>
      <c r="C571" s="64"/>
      <c r="D571" s="88" t="s">
        <v>27</v>
      </c>
      <c r="E571" s="2" t="s">
        <v>27</v>
      </c>
    </row>
    <row r="572" spans="1:5" ht="14">
      <c r="A572" s="1" t="s">
        <v>1</v>
      </c>
      <c r="B572" s="2" t="s">
        <v>10</v>
      </c>
      <c r="C572" s="64"/>
      <c r="D572" s="89"/>
      <c r="E572" s="4"/>
    </row>
    <row r="573" spans="1:5" ht="14">
      <c r="A573" s="1" t="s">
        <v>2</v>
      </c>
      <c r="B573" s="2" t="s">
        <v>11</v>
      </c>
      <c r="C573" s="64"/>
      <c r="D573" s="89"/>
      <c r="E573" s="4"/>
    </row>
    <row r="574" spans="1:5" ht="13">
      <c r="A574" s="1" t="s">
        <v>3</v>
      </c>
      <c r="B574" s="1" t="s">
        <v>12</v>
      </c>
      <c r="C574" s="64"/>
      <c r="D574" s="89"/>
      <c r="E574" s="4"/>
    </row>
    <row r="575" spans="1:5" ht="28">
      <c r="A575" s="1" t="s">
        <v>4</v>
      </c>
      <c r="B575" s="2" t="s">
        <v>13</v>
      </c>
      <c r="C575" s="64"/>
      <c r="D575" s="89"/>
      <c r="E575" s="4"/>
    </row>
    <row r="576" spans="1:5" ht="28">
      <c r="A576" s="2" t="s">
        <v>5</v>
      </c>
      <c r="B576" s="2" t="s">
        <v>14</v>
      </c>
      <c r="C576" s="64"/>
      <c r="D576" s="89"/>
      <c r="E576" s="4"/>
    </row>
    <row r="577" spans="1:5" ht="42">
      <c r="A577" s="3" t="s">
        <v>6</v>
      </c>
      <c r="B577" s="2" t="s">
        <v>15</v>
      </c>
      <c r="C577" s="64"/>
      <c r="D577" s="89"/>
      <c r="E577" s="4"/>
    </row>
    <row r="578" spans="1:5" ht="42">
      <c r="A578" s="3" t="s">
        <v>7</v>
      </c>
      <c r="B578" s="2" t="s">
        <v>16</v>
      </c>
      <c r="C578" s="64"/>
      <c r="D578" s="89"/>
      <c r="E578" s="4"/>
    </row>
    <row r="579" spans="1:5" ht="42">
      <c r="A579" s="1" t="s">
        <v>8</v>
      </c>
      <c r="B579" s="2" t="s">
        <v>17</v>
      </c>
      <c r="C579" s="64"/>
      <c r="D579" s="89"/>
      <c r="E579" s="4"/>
    </row>
    <row r="580" spans="1:5" ht="42">
      <c r="A580" s="2" t="s">
        <v>9</v>
      </c>
      <c r="B580" s="2" t="s">
        <v>18</v>
      </c>
      <c r="C580" s="2" t="s">
        <v>0</v>
      </c>
      <c r="D580" s="89"/>
      <c r="E580" s="4"/>
    </row>
    <row r="581" spans="1:5" ht="28">
      <c r="A581" s="2" t="s">
        <v>10</v>
      </c>
      <c r="B581" s="2" t="s">
        <v>19</v>
      </c>
      <c r="C581" s="2" t="s">
        <v>1</v>
      </c>
      <c r="D581" s="89"/>
      <c r="E581" s="4"/>
    </row>
    <row r="582" spans="1:5" ht="28">
      <c r="A582" s="2" t="s">
        <v>11</v>
      </c>
      <c r="B582" s="2" t="s">
        <v>20</v>
      </c>
      <c r="C582" s="62" t="s">
        <v>2</v>
      </c>
      <c r="D582" s="89"/>
      <c r="E582" s="4"/>
    </row>
    <row r="583" spans="1:5" ht="14">
      <c r="A583" s="1" t="s">
        <v>12</v>
      </c>
      <c r="B583" s="2" t="s">
        <v>21</v>
      </c>
      <c r="C583" s="2" t="s">
        <v>4</v>
      </c>
      <c r="D583" s="89"/>
      <c r="E583" s="4"/>
    </row>
    <row r="584" spans="1:5" ht="28">
      <c r="A584" s="2" t="s">
        <v>13</v>
      </c>
      <c r="B584" s="2" t="s">
        <v>22</v>
      </c>
      <c r="C584" s="2" t="s">
        <v>5</v>
      </c>
      <c r="D584" s="89"/>
      <c r="E584" s="4"/>
    </row>
    <row r="585" spans="1:5" ht="28">
      <c r="A585" s="2" t="s">
        <v>14</v>
      </c>
      <c r="B585" s="2" t="s">
        <v>23</v>
      </c>
      <c r="C585" s="2" t="s">
        <v>6</v>
      </c>
      <c r="D585" s="89"/>
      <c r="E585" s="4"/>
    </row>
    <row r="586" spans="1:5" ht="42">
      <c r="A586" s="2" t="s">
        <v>15</v>
      </c>
      <c r="B586" s="2" t="s">
        <v>24</v>
      </c>
      <c r="C586" s="2" t="s">
        <v>7</v>
      </c>
      <c r="D586" s="89"/>
      <c r="E586" s="4"/>
    </row>
    <row r="587" spans="1:5" ht="42">
      <c r="A587" s="2" t="s">
        <v>16</v>
      </c>
      <c r="B587" s="2" t="s">
        <v>25</v>
      </c>
      <c r="C587" s="2" t="s">
        <v>8</v>
      </c>
      <c r="D587" s="89"/>
      <c r="E587" s="4"/>
    </row>
    <row r="588" spans="1:5" ht="42">
      <c r="A588" s="2" t="s">
        <v>17</v>
      </c>
      <c r="B588" s="1" t="s">
        <v>27</v>
      </c>
      <c r="C588" s="2" t="s">
        <v>9</v>
      </c>
      <c r="D588" s="89"/>
      <c r="E588" s="4"/>
    </row>
    <row r="589" spans="1:5" ht="42">
      <c r="A589" s="2" t="s">
        <v>18</v>
      </c>
      <c r="B589" s="1"/>
      <c r="C589" s="2" t="s">
        <v>103</v>
      </c>
      <c r="D589" s="89"/>
      <c r="E589" s="4"/>
    </row>
    <row r="590" spans="1:5" ht="28">
      <c r="A590" s="2" t="s">
        <v>19</v>
      </c>
      <c r="B590" s="43"/>
      <c r="C590" s="2" t="s">
        <v>11</v>
      </c>
      <c r="D590" s="89"/>
      <c r="E590" s="4"/>
    </row>
    <row r="591" spans="1:5" ht="28">
      <c r="A591" s="2" t="s">
        <v>20</v>
      </c>
      <c r="B591" s="43"/>
      <c r="C591" s="2" t="s">
        <v>12</v>
      </c>
      <c r="D591" s="89"/>
      <c r="E591" s="4"/>
    </row>
    <row r="592" spans="1:5" ht="26">
      <c r="A592" s="2" t="s">
        <v>21</v>
      </c>
      <c r="B592" s="43"/>
      <c r="C592" s="63" t="s">
        <v>13</v>
      </c>
      <c r="D592" s="89"/>
      <c r="E592" s="4"/>
    </row>
    <row r="593" spans="1:5" ht="28">
      <c r="A593" s="2" t="s">
        <v>22</v>
      </c>
      <c r="B593" s="43"/>
      <c r="C593" s="63" t="s">
        <v>14</v>
      </c>
      <c r="D593" s="89"/>
      <c r="E593" s="4"/>
    </row>
    <row r="594" spans="1:5" ht="28">
      <c r="A594" s="2" t="s">
        <v>23</v>
      </c>
      <c r="B594" s="43"/>
      <c r="C594" s="63" t="s">
        <v>104</v>
      </c>
      <c r="D594" s="89"/>
      <c r="E594" s="4"/>
    </row>
    <row r="595" spans="1:5" ht="28">
      <c r="A595" s="2" t="s">
        <v>24</v>
      </c>
      <c r="B595" s="43"/>
      <c r="C595" s="63" t="s">
        <v>105</v>
      </c>
      <c r="D595" s="89"/>
      <c r="E595" s="4"/>
    </row>
    <row r="596" spans="1:5" ht="26">
      <c r="A596" s="2" t="s">
        <v>25</v>
      </c>
      <c r="B596" s="43"/>
      <c r="C596" s="63" t="s">
        <v>367</v>
      </c>
      <c r="D596" s="89"/>
      <c r="E596" s="4"/>
    </row>
    <row r="597" spans="1:5" ht="26">
      <c r="A597" s="1" t="s">
        <v>27</v>
      </c>
      <c r="B597" s="43"/>
      <c r="C597" s="63" t="s">
        <v>368</v>
      </c>
      <c r="D597" s="89"/>
      <c r="E597" s="4"/>
    </row>
    <row r="598" spans="1:5" ht="26">
      <c r="A598" s="1" t="s">
        <v>28</v>
      </c>
      <c r="B598" s="43"/>
      <c r="C598" s="63" t="s">
        <v>369</v>
      </c>
      <c r="D598" s="89"/>
      <c r="E598" s="4"/>
    </row>
    <row r="599" spans="1:5" ht="26">
      <c r="A599" s="4"/>
      <c r="B599" s="43"/>
      <c r="C599" s="63" t="s">
        <v>370</v>
      </c>
      <c r="D599" s="89"/>
      <c r="E599" s="4"/>
    </row>
    <row r="600" spans="1:5" ht="13">
      <c r="A600" s="4"/>
      <c r="B600" s="43"/>
      <c r="C600" s="63" t="s">
        <v>110</v>
      </c>
      <c r="D600" s="89"/>
      <c r="E600" s="4"/>
    </row>
    <row r="601" spans="1:5" ht="13">
      <c r="A601" s="4"/>
      <c r="B601" s="43"/>
      <c r="C601" s="63" t="s">
        <v>111</v>
      </c>
      <c r="D601" s="89"/>
      <c r="E601" s="4"/>
    </row>
    <row r="602" spans="1:5" ht="13">
      <c r="A602" s="4"/>
      <c r="B602" s="43"/>
      <c r="C602" s="63" t="s">
        <v>112</v>
      </c>
      <c r="D602" s="89"/>
      <c r="E602" s="4"/>
    </row>
    <row r="603" spans="1:5" ht="28">
      <c r="A603" s="4"/>
      <c r="B603" s="43"/>
      <c r="C603" s="2" t="s">
        <v>113</v>
      </c>
      <c r="D603" s="89"/>
      <c r="E603" s="4"/>
    </row>
    <row r="604" spans="1:5" ht="14">
      <c r="A604" s="4"/>
      <c r="B604" s="43"/>
      <c r="C604" s="2" t="s">
        <v>279</v>
      </c>
      <c r="D604" s="88" t="s">
        <v>366</v>
      </c>
      <c r="E604" s="1" t="s">
        <v>0</v>
      </c>
    </row>
    <row r="605" spans="1:5" ht="14">
      <c r="A605" s="4"/>
      <c r="B605" s="43"/>
      <c r="C605" s="2" t="s">
        <v>281</v>
      </c>
      <c r="D605" s="88" t="s">
        <v>1</v>
      </c>
      <c r="E605" s="1" t="s">
        <v>1</v>
      </c>
    </row>
    <row r="606" spans="1:5" ht="14">
      <c r="A606" s="4"/>
      <c r="B606" s="43"/>
      <c r="C606" s="2" t="s">
        <v>371</v>
      </c>
      <c r="D606" s="1" t="s">
        <v>2</v>
      </c>
      <c r="E606" s="1" t="s">
        <v>2</v>
      </c>
    </row>
    <row r="607" spans="1:5" ht="14">
      <c r="A607" s="4"/>
      <c r="B607" s="43"/>
      <c r="C607" s="2" t="s">
        <v>27</v>
      </c>
      <c r="D607" s="88" t="s">
        <v>4</v>
      </c>
      <c r="E607" s="1" t="s">
        <v>4</v>
      </c>
    </row>
    <row r="608" spans="1:5" ht="28">
      <c r="A608" s="4"/>
      <c r="B608" s="43"/>
      <c r="C608" s="64"/>
      <c r="D608" s="63" t="s">
        <v>5</v>
      </c>
      <c r="E608" s="2" t="s">
        <v>5</v>
      </c>
    </row>
    <row r="609" spans="1:5" ht="14">
      <c r="A609" s="4"/>
      <c r="B609" s="43"/>
      <c r="C609" s="64"/>
      <c r="D609" s="63" t="s">
        <v>6</v>
      </c>
      <c r="E609" s="2" t="s">
        <v>6</v>
      </c>
    </row>
    <row r="610" spans="1:5" ht="14">
      <c r="A610" s="4"/>
      <c r="B610" s="43"/>
      <c r="C610" s="64"/>
      <c r="D610" s="63" t="s">
        <v>7</v>
      </c>
      <c r="E610" s="2" t="s">
        <v>7</v>
      </c>
    </row>
    <row r="611" spans="1:5" ht="28">
      <c r="A611" s="4"/>
      <c r="B611" s="43"/>
      <c r="C611" s="64"/>
      <c r="D611" s="63" t="s">
        <v>154</v>
      </c>
      <c r="E611" s="2" t="s">
        <v>154</v>
      </c>
    </row>
    <row r="612" spans="1:5" ht="14">
      <c r="A612" s="4"/>
      <c r="B612" s="43"/>
      <c r="C612" s="64"/>
      <c r="D612" s="63" t="s">
        <v>9</v>
      </c>
      <c r="E612" s="2" t="s">
        <v>9</v>
      </c>
    </row>
    <row r="613" spans="1:5" ht="14">
      <c r="A613" s="4"/>
      <c r="B613" s="43"/>
      <c r="C613" s="64"/>
      <c r="D613" s="63" t="s">
        <v>10</v>
      </c>
      <c r="E613" s="2" t="s">
        <v>204</v>
      </c>
    </row>
    <row r="614" spans="1:5" ht="14">
      <c r="A614" s="4"/>
      <c r="B614" s="43"/>
      <c r="C614" s="64"/>
      <c r="D614" s="63" t="s">
        <v>11</v>
      </c>
      <c r="E614" s="2" t="s">
        <v>205</v>
      </c>
    </row>
    <row r="615" spans="1:5" ht="13">
      <c r="A615" s="4"/>
      <c r="B615" s="43"/>
      <c r="C615" s="64"/>
      <c r="D615" s="88" t="s">
        <v>12</v>
      </c>
      <c r="E615" s="1" t="s">
        <v>12</v>
      </c>
    </row>
    <row r="616" spans="1:5" ht="26">
      <c r="A616" s="4"/>
      <c r="B616" s="43"/>
      <c r="C616" s="64"/>
      <c r="D616" s="63" t="s">
        <v>13</v>
      </c>
      <c r="E616" s="63" t="s">
        <v>13</v>
      </c>
    </row>
    <row r="617" spans="1:5" ht="26">
      <c r="A617" s="4"/>
      <c r="B617" s="43"/>
      <c r="C617" s="64"/>
      <c r="D617" s="63" t="s">
        <v>14</v>
      </c>
      <c r="E617" s="63" t="s">
        <v>14</v>
      </c>
    </row>
    <row r="618" spans="1:5" ht="26">
      <c r="A618" s="4"/>
      <c r="B618" s="43"/>
      <c r="C618" s="64"/>
      <c r="D618" s="63" t="s">
        <v>104</v>
      </c>
      <c r="E618" s="63" t="s">
        <v>104</v>
      </c>
    </row>
    <row r="619" spans="1:5" ht="26">
      <c r="A619" s="4"/>
      <c r="B619" s="43"/>
      <c r="C619" s="64"/>
      <c r="D619" s="63" t="s">
        <v>105</v>
      </c>
      <c r="E619" s="63" t="s">
        <v>105</v>
      </c>
    </row>
    <row r="620" spans="1:5" ht="26">
      <c r="A620" s="4"/>
      <c r="B620" s="43"/>
      <c r="C620" s="64"/>
      <c r="D620" s="63" t="s">
        <v>367</v>
      </c>
      <c r="E620" s="63" t="s">
        <v>367</v>
      </c>
    </row>
    <row r="621" spans="1:5" ht="26">
      <c r="A621" s="4"/>
      <c r="B621" s="43"/>
      <c r="C621" s="64"/>
      <c r="D621" s="63" t="s">
        <v>368</v>
      </c>
      <c r="E621" s="63" t="s">
        <v>368</v>
      </c>
    </row>
    <row r="622" spans="1:5" ht="26">
      <c r="A622" s="4"/>
      <c r="B622" s="43"/>
      <c r="C622" s="64"/>
      <c r="D622" s="63" t="s">
        <v>369</v>
      </c>
      <c r="E622" s="63" t="s">
        <v>369</v>
      </c>
    </row>
    <row r="623" spans="1:5" ht="26">
      <c r="A623" s="4"/>
      <c r="B623" s="43"/>
      <c r="C623" s="64"/>
      <c r="D623" s="63" t="s">
        <v>370</v>
      </c>
      <c r="E623" s="63" t="s">
        <v>370</v>
      </c>
    </row>
    <row r="624" spans="1:5" ht="13">
      <c r="A624" s="4"/>
      <c r="B624" s="43"/>
      <c r="C624" s="64"/>
      <c r="D624" s="63" t="s">
        <v>110</v>
      </c>
      <c r="E624" s="63" t="s">
        <v>110</v>
      </c>
    </row>
    <row r="625" spans="1:5" ht="13">
      <c r="A625" s="4"/>
      <c r="B625" s="1" t="s">
        <v>0</v>
      </c>
      <c r="C625" s="64"/>
      <c r="D625" s="63" t="s">
        <v>111</v>
      </c>
      <c r="E625" s="63" t="s">
        <v>111</v>
      </c>
    </row>
    <row r="626" spans="1:5" ht="26">
      <c r="A626" s="4"/>
      <c r="B626" s="1" t="s">
        <v>1</v>
      </c>
      <c r="C626" s="64"/>
      <c r="D626" s="63" t="s">
        <v>112</v>
      </c>
      <c r="E626" s="63" t="s">
        <v>207</v>
      </c>
    </row>
    <row r="627" spans="1:5" ht="26">
      <c r="A627" s="4"/>
      <c r="B627" s="1" t="s">
        <v>2</v>
      </c>
      <c r="C627" s="64"/>
      <c r="D627" s="63" t="s">
        <v>113</v>
      </c>
      <c r="E627" s="63" t="s">
        <v>113</v>
      </c>
    </row>
    <row r="628" spans="1:5" ht="26">
      <c r="A628" s="4"/>
      <c r="B628" s="1" t="s">
        <v>4</v>
      </c>
      <c r="C628" s="2" t="s">
        <v>0</v>
      </c>
      <c r="D628" s="63" t="s">
        <v>24</v>
      </c>
      <c r="E628" s="2" t="s">
        <v>279</v>
      </c>
    </row>
    <row r="629" spans="1:5" ht="28">
      <c r="A629" s="4"/>
      <c r="B629" s="2" t="s">
        <v>5</v>
      </c>
      <c r="C629" s="2" t="s">
        <v>1</v>
      </c>
      <c r="D629" s="63" t="s">
        <v>25</v>
      </c>
      <c r="E629" s="2" t="s">
        <v>281</v>
      </c>
    </row>
    <row r="630" spans="1:5" ht="26">
      <c r="A630" s="4"/>
      <c r="B630" s="3" t="s">
        <v>6</v>
      </c>
      <c r="C630" s="62" t="s">
        <v>2</v>
      </c>
      <c r="D630" s="63" t="s">
        <v>372</v>
      </c>
      <c r="E630" s="63" t="s">
        <v>372</v>
      </c>
    </row>
    <row r="631" spans="1:5" ht="14">
      <c r="A631" s="4"/>
      <c r="B631" s="3" t="s">
        <v>7</v>
      </c>
      <c r="C631" s="2" t="s">
        <v>4</v>
      </c>
      <c r="D631" s="88" t="s">
        <v>27</v>
      </c>
      <c r="E631" s="2" t="s">
        <v>27</v>
      </c>
    </row>
    <row r="632" spans="1:5" ht="28">
      <c r="A632" s="4"/>
      <c r="B632" s="1" t="s">
        <v>8</v>
      </c>
      <c r="C632" s="2" t="s">
        <v>5</v>
      </c>
      <c r="D632" s="89"/>
      <c r="E632" s="4"/>
    </row>
    <row r="633" spans="1:5" ht="14">
      <c r="A633" s="4"/>
      <c r="B633" s="2" t="s">
        <v>9</v>
      </c>
      <c r="C633" s="2" t="s">
        <v>6</v>
      </c>
      <c r="D633" s="89"/>
      <c r="E633" s="4"/>
    </row>
    <row r="634" spans="1:5" ht="14">
      <c r="A634" s="1" t="s">
        <v>300</v>
      </c>
      <c r="B634" s="2" t="s">
        <v>10</v>
      </c>
      <c r="C634" s="2" t="s">
        <v>7</v>
      </c>
      <c r="D634" s="89"/>
      <c r="E634" s="4"/>
    </row>
    <row r="635" spans="1:5" ht="14">
      <c r="A635" s="1" t="s">
        <v>1</v>
      </c>
      <c r="B635" s="2" t="s">
        <v>11</v>
      </c>
      <c r="C635" s="2" t="s">
        <v>8</v>
      </c>
      <c r="D635" s="89"/>
      <c r="E635" s="4"/>
    </row>
    <row r="636" spans="1:5" ht="14">
      <c r="A636" s="1" t="s">
        <v>2</v>
      </c>
      <c r="B636" s="1" t="s">
        <v>12</v>
      </c>
      <c r="C636" s="2" t="s">
        <v>9</v>
      </c>
      <c r="D636" s="89"/>
      <c r="E636" s="4"/>
    </row>
    <row r="637" spans="1:5" ht="28">
      <c r="A637" s="1" t="s">
        <v>3</v>
      </c>
      <c r="B637" s="2" t="s">
        <v>13</v>
      </c>
      <c r="C637" s="2" t="s">
        <v>103</v>
      </c>
      <c r="D637" s="89"/>
      <c r="E637" s="4"/>
    </row>
    <row r="638" spans="1:5" ht="28">
      <c r="A638" s="1" t="s">
        <v>4</v>
      </c>
      <c r="B638" s="2" t="s">
        <v>14</v>
      </c>
      <c r="C638" s="2" t="s">
        <v>11</v>
      </c>
      <c r="D638" s="89"/>
      <c r="E638" s="4"/>
    </row>
    <row r="639" spans="1:5" ht="42">
      <c r="A639" s="2" t="s">
        <v>5</v>
      </c>
      <c r="B639" s="2" t="s">
        <v>15</v>
      </c>
      <c r="C639" s="2" t="s">
        <v>12</v>
      </c>
      <c r="D639" s="89"/>
      <c r="E639" s="4"/>
    </row>
    <row r="640" spans="1:5" ht="42">
      <c r="A640" s="3" t="s">
        <v>6</v>
      </c>
      <c r="B640" s="2" t="s">
        <v>16</v>
      </c>
      <c r="C640" s="63" t="s">
        <v>13</v>
      </c>
      <c r="D640" s="89"/>
      <c r="E640" s="4"/>
    </row>
    <row r="641" spans="1:5" ht="42">
      <c r="A641" s="3" t="s">
        <v>7</v>
      </c>
      <c r="B641" s="2" t="s">
        <v>17</v>
      </c>
      <c r="C641" s="63" t="s">
        <v>14</v>
      </c>
      <c r="D641" s="89"/>
      <c r="E641" s="4"/>
    </row>
    <row r="642" spans="1:5" ht="42">
      <c r="A642" s="1" t="s">
        <v>8</v>
      </c>
      <c r="B642" s="2" t="s">
        <v>18</v>
      </c>
      <c r="C642" s="63" t="s">
        <v>104</v>
      </c>
      <c r="D642" s="89"/>
      <c r="E642" s="4"/>
    </row>
    <row r="643" spans="1:5" ht="28">
      <c r="A643" s="2" t="s">
        <v>9</v>
      </c>
      <c r="B643" s="2" t="s">
        <v>19</v>
      </c>
      <c r="C643" s="63" t="s">
        <v>105</v>
      </c>
      <c r="D643" s="89"/>
      <c r="E643" s="4"/>
    </row>
    <row r="644" spans="1:5" ht="28">
      <c r="A644" s="2" t="s">
        <v>10</v>
      </c>
      <c r="B644" s="2" t="s">
        <v>20</v>
      </c>
      <c r="C644" s="63" t="s">
        <v>367</v>
      </c>
      <c r="D644" s="89"/>
      <c r="E644" s="4"/>
    </row>
    <row r="645" spans="1:5" ht="26">
      <c r="A645" s="2" t="s">
        <v>11</v>
      </c>
      <c r="B645" s="2" t="s">
        <v>21</v>
      </c>
      <c r="C645" s="63" t="s">
        <v>368</v>
      </c>
      <c r="D645" s="89"/>
      <c r="E645" s="4"/>
    </row>
    <row r="646" spans="1:5" ht="28">
      <c r="A646" s="1" t="s">
        <v>12</v>
      </c>
      <c r="B646" s="2" t="s">
        <v>22</v>
      </c>
      <c r="C646" s="63" t="s">
        <v>369</v>
      </c>
      <c r="D646" s="89"/>
      <c r="E646" s="4"/>
    </row>
    <row r="647" spans="1:5" ht="28">
      <c r="A647" s="2" t="s">
        <v>13</v>
      </c>
      <c r="B647" s="2" t="s">
        <v>23</v>
      </c>
      <c r="C647" s="63" t="s">
        <v>370</v>
      </c>
      <c r="D647" s="89"/>
      <c r="E647" s="4"/>
    </row>
    <row r="648" spans="1:5" ht="28">
      <c r="A648" s="2" t="s">
        <v>14</v>
      </c>
      <c r="B648" s="2" t="s">
        <v>24</v>
      </c>
      <c r="C648" s="63" t="s">
        <v>110</v>
      </c>
      <c r="D648" s="89"/>
      <c r="E648" s="4"/>
    </row>
    <row r="649" spans="1:5" ht="42">
      <c r="A649" s="2" t="s">
        <v>15</v>
      </c>
      <c r="B649" s="2" t="s">
        <v>25</v>
      </c>
      <c r="C649" s="63" t="s">
        <v>111</v>
      </c>
      <c r="D649" s="89"/>
      <c r="E649" s="4"/>
    </row>
    <row r="650" spans="1:5" ht="42">
      <c r="A650" s="2" t="s">
        <v>16</v>
      </c>
      <c r="B650" s="1" t="s">
        <v>27</v>
      </c>
      <c r="C650" s="63" t="s">
        <v>112</v>
      </c>
      <c r="D650" s="89"/>
      <c r="E650" s="4"/>
    </row>
    <row r="651" spans="1:5" ht="42">
      <c r="A651" s="2" t="s">
        <v>17</v>
      </c>
      <c r="B651" s="1"/>
      <c r="C651" s="2" t="s">
        <v>113</v>
      </c>
      <c r="D651" s="89"/>
      <c r="E651" s="4"/>
    </row>
    <row r="652" spans="1:5" ht="42">
      <c r="A652" s="2" t="s">
        <v>18</v>
      </c>
      <c r="B652" s="43"/>
      <c r="C652" s="2" t="s">
        <v>279</v>
      </c>
      <c r="D652" s="89"/>
      <c r="E652" s="4"/>
    </row>
    <row r="653" spans="1:5" ht="28">
      <c r="A653" s="2" t="s">
        <v>19</v>
      </c>
      <c r="B653" s="43"/>
      <c r="C653" s="2" t="s">
        <v>281</v>
      </c>
      <c r="D653" s="89"/>
      <c r="E653" s="4"/>
    </row>
    <row r="654" spans="1:5" ht="28">
      <c r="A654" s="2" t="s">
        <v>20</v>
      </c>
      <c r="B654" s="43"/>
      <c r="C654" s="2" t="s">
        <v>371</v>
      </c>
      <c r="D654" s="89"/>
      <c r="E654" s="4"/>
    </row>
    <row r="655" spans="1:5" ht="14">
      <c r="A655" s="2" t="s">
        <v>21</v>
      </c>
      <c r="B655" s="43"/>
      <c r="C655" s="2" t="s">
        <v>27</v>
      </c>
      <c r="D655" s="89"/>
      <c r="E655" s="4"/>
    </row>
    <row r="656" spans="1:5" ht="28">
      <c r="A656" s="2" t="s">
        <v>22</v>
      </c>
      <c r="B656" s="43"/>
      <c r="C656" s="64"/>
      <c r="D656" s="89"/>
      <c r="E656" s="4"/>
    </row>
    <row r="657" spans="1:5" ht="28">
      <c r="A657" s="2" t="s">
        <v>23</v>
      </c>
      <c r="B657" s="43"/>
      <c r="C657" s="64"/>
      <c r="D657" s="89"/>
      <c r="E657" s="4"/>
    </row>
    <row r="658" spans="1:5" ht="28">
      <c r="A658" s="2" t="s">
        <v>24</v>
      </c>
      <c r="B658" s="43"/>
      <c r="C658" s="64"/>
      <c r="D658" s="89"/>
      <c r="E658" s="4"/>
    </row>
    <row r="659" spans="1:5" ht="14">
      <c r="A659" s="2" t="s">
        <v>25</v>
      </c>
      <c r="B659" s="43"/>
      <c r="C659" s="64"/>
      <c r="D659" s="89"/>
      <c r="E659" s="4"/>
    </row>
    <row r="660" spans="1:5" ht="13">
      <c r="A660" s="1" t="s">
        <v>27</v>
      </c>
      <c r="B660" s="43"/>
      <c r="C660" s="64"/>
      <c r="D660" s="89"/>
      <c r="E660" s="4"/>
    </row>
    <row r="661" spans="1:5" ht="13">
      <c r="A661" s="1" t="s">
        <v>28</v>
      </c>
      <c r="B661" s="43"/>
      <c r="C661" s="64"/>
      <c r="D661" s="89"/>
      <c r="E661" s="4"/>
    </row>
    <row r="662" spans="1:5" ht="13">
      <c r="A662" s="4"/>
      <c r="B662" s="43"/>
      <c r="C662" s="64"/>
      <c r="D662" s="89"/>
      <c r="E662" s="4"/>
    </row>
    <row r="663" spans="1:5" ht="13">
      <c r="A663" s="4"/>
      <c r="B663" s="43"/>
      <c r="C663" s="64"/>
      <c r="D663" s="89"/>
      <c r="E663" s="4"/>
    </row>
    <row r="664" spans="1:5" ht="13">
      <c r="A664" s="4"/>
      <c r="B664" s="43"/>
      <c r="C664" s="64"/>
      <c r="D664" s="88" t="s">
        <v>366</v>
      </c>
      <c r="E664" s="1" t="s">
        <v>0</v>
      </c>
    </row>
    <row r="665" spans="1:5" ht="13">
      <c r="A665" s="4"/>
      <c r="B665" s="43"/>
      <c r="C665" s="64"/>
      <c r="D665" s="88" t="s">
        <v>1</v>
      </c>
      <c r="E665" s="1" t="s">
        <v>1</v>
      </c>
    </row>
    <row r="666" spans="1:5" ht="13">
      <c r="A666" s="4"/>
      <c r="B666" s="43"/>
      <c r="C666" s="64"/>
      <c r="D666" s="1" t="s">
        <v>2</v>
      </c>
      <c r="E666" s="1" t="s">
        <v>2</v>
      </c>
    </row>
    <row r="667" spans="1:5" ht="13">
      <c r="A667" s="4"/>
      <c r="B667" s="43"/>
      <c r="C667" s="64"/>
      <c r="D667" s="88" t="s">
        <v>4</v>
      </c>
      <c r="E667" s="1" t="s">
        <v>4</v>
      </c>
    </row>
    <row r="668" spans="1:5" ht="28">
      <c r="A668" s="4"/>
      <c r="B668" s="43"/>
      <c r="C668" s="64"/>
      <c r="D668" s="63" t="s">
        <v>5</v>
      </c>
      <c r="E668" s="2" t="s">
        <v>5</v>
      </c>
    </row>
    <row r="669" spans="1:5" ht="14">
      <c r="A669" s="4"/>
      <c r="B669" s="43"/>
      <c r="C669" s="64"/>
      <c r="D669" s="63" t="s">
        <v>6</v>
      </c>
      <c r="E669" s="2" t="s">
        <v>6</v>
      </c>
    </row>
    <row r="670" spans="1:5" ht="14">
      <c r="A670" s="4"/>
      <c r="B670" s="43"/>
      <c r="C670" s="64"/>
      <c r="D670" s="63" t="s">
        <v>7</v>
      </c>
      <c r="E670" s="2" t="s">
        <v>7</v>
      </c>
    </row>
    <row r="671" spans="1:5" ht="28">
      <c r="A671" s="4"/>
      <c r="B671" s="43"/>
      <c r="C671" s="64"/>
      <c r="D671" s="63" t="s">
        <v>154</v>
      </c>
      <c r="E671" s="2" t="s">
        <v>154</v>
      </c>
    </row>
    <row r="672" spans="1:5" ht="14">
      <c r="A672" s="4"/>
      <c r="B672" s="43"/>
      <c r="C672" s="64"/>
      <c r="D672" s="63" t="s">
        <v>9</v>
      </c>
      <c r="E672" s="2" t="s">
        <v>9</v>
      </c>
    </row>
    <row r="673" spans="1:5" ht="14">
      <c r="A673" s="4"/>
      <c r="B673" s="43"/>
      <c r="C673" s="64"/>
      <c r="D673" s="63" t="s">
        <v>10</v>
      </c>
      <c r="E673" s="2" t="s">
        <v>204</v>
      </c>
    </row>
    <row r="674" spans="1:5" ht="14">
      <c r="A674" s="4"/>
      <c r="B674" s="43"/>
      <c r="C674" s="64"/>
      <c r="D674" s="63" t="s">
        <v>11</v>
      </c>
      <c r="E674" s="2" t="s">
        <v>205</v>
      </c>
    </row>
    <row r="675" spans="1:5" ht="13">
      <c r="A675" s="4"/>
      <c r="B675" s="43"/>
      <c r="C675" s="64"/>
      <c r="D675" s="88" t="s">
        <v>12</v>
      </c>
      <c r="E675" s="1" t="s">
        <v>12</v>
      </c>
    </row>
    <row r="676" spans="1:5" ht="26">
      <c r="A676" s="4"/>
      <c r="B676" s="43"/>
      <c r="C676" s="2" t="s">
        <v>0</v>
      </c>
      <c r="D676" s="63" t="s">
        <v>13</v>
      </c>
      <c r="E676" s="63" t="s">
        <v>13</v>
      </c>
    </row>
    <row r="677" spans="1:5" ht="26">
      <c r="A677" s="4"/>
      <c r="B677" s="43"/>
      <c r="C677" s="2" t="s">
        <v>1</v>
      </c>
      <c r="D677" s="63" t="s">
        <v>14</v>
      </c>
      <c r="E677" s="63" t="s">
        <v>14</v>
      </c>
    </row>
    <row r="678" spans="1:5" ht="26">
      <c r="A678" s="4"/>
      <c r="B678" s="43"/>
      <c r="C678" s="62" t="s">
        <v>2</v>
      </c>
      <c r="D678" s="63" t="s">
        <v>104</v>
      </c>
      <c r="E678" s="63" t="s">
        <v>104</v>
      </c>
    </row>
    <row r="679" spans="1:5" ht="26">
      <c r="A679" s="4"/>
      <c r="B679" s="43"/>
      <c r="C679" s="2" t="s">
        <v>4</v>
      </c>
      <c r="D679" s="63" t="s">
        <v>105</v>
      </c>
      <c r="E679" s="63" t="s">
        <v>105</v>
      </c>
    </row>
    <row r="680" spans="1:5" ht="28">
      <c r="A680" s="4"/>
      <c r="B680" s="43"/>
      <c r="C680" s="2" t="s">
        <v>5</v>
      </c>
      <c r="D680" s="63" t="s">
        <v>367</v>
      </c>
      <c r="E680" s="63" t="s">
        <v>367</v>
      </c>
    </row>
    <row r="681" spans="1:5" ht="26">
      <c r="A681" s="4"/>
      <c r="B681" s="43"/>
      <c r="C681" s="2" t="s">
        <v>6</v>
      </c>
      <c r="D681" s="63" t="s">
        <v>368</v>
      </c>
      <c r="E681" s="63" t="s">
        <v>368</v>
      </c>
    </row>
    <row r="682" spans="1:5" ht="26">
      <c r="A682" s="4"/>
      <c r="B682" s="43"/>
      <c r="C682" s="2" t="s">
        <v>7</v>
      </c>
      <c r="D682" s="63" t="s">
        <v>369</v>
      </c>
      <c r="E682" s="63" t="s">
        <v>369</v>
      </c>
    </row>
    <row r="683" spans="1:5" ht="26">
      <c r="A683" s="4"/>
      <c r="B683" s="43"/>
      <c r="C683" s="2" t="s">
        <v>8</v>
      </c>
      <c r="D683" s="63" t="s">
        <v>370</v>
      </c>
      <c r="E683" s="63" t="s">
        <v>370</v>
      </c>
    </row>
    <row r="684" spans="1:5" ht="14">
      <c r="A684" s="4"/>
      <c r="B684" s="43"/>
      <c r="C684" s="2" t="s">
        <v>9</v>
      </c>
      <c r="D684" s="63" t="s">
        <v>110</v>
      </c>
      <c r="E684" s="63" t="s">
        <v>110</v>
      </c>
    </row>
    <row r="685" spans="1:5" ht="14">
      <c r="A685" s="4"/>
      <c r="B685" s="43"/>
      <c r="C685" s="2" t="s">
        <v>103</v>
      </c>
      <c r="D685" s="63" t="s">
        <v>111</v>
      </c>
      <c r="E685" s="63" t="s">
        <v>111</v>
      </c>
    </row>
    <row r="686" spans="1:5" ht="26">
      <c r="A686" s="4"/>
      <c r="B686" s="43"/>
      <c r="C686" s="2" t="s">
        <v>11</v>
      </c>
      <c r="D686" s="63" t="s">
        <v>112</v>
      </c>
      <c r="E686" s="63" t="s">
        <v>207</v>
      </c>
    </row>
    <row r="687" spans="1:5" ht="26">
      <c r="A687" s="4"/>
      <c r="B687" s="1" t="s">
        <v>0</v>
      </c>
      <c r="C687" s="2" t="s">
        <v>12</v>
      </c>
      <c r="D687" s="63" t="s">
        <v>113</v>
      </c>
      <c r="E687" s="63" t="s">
        <v>113</v>
      </c>
    </row>
    <row r="688" spans="1:5" ht="26">
      <c r="A688" s="4"/>
      <c r="B688" s="1" t="s">
        <v>1</v>
      </c>
      <c r="C688" s="63" t="s">
        <v>13</v>
      </c>
      <c r="D688" s="63" t="s">
        <v>24</v>
      </c>
      <c r="E688" s="2" t="s">
        <v>279</v>
      </c>
    </row>
    <row r="689" spans="1:5" ht="26">
      <c r="A689" s="4"/>
      <c r="B689" s="1" t="s">
        <v>2</v>
      </c>
      <c r="C689" s="63" t="s">
        <v>14</v>
      </c>
      <c r="D689" s="63" t="s">
        <v>25</v>
      </c>
      <c r="E689" s="2" t="s">
        <v>281</v>
      </c>
    </row>
    <row r="690" spans="1:5" ht="26">
      <c r="A690" s="4"/>
      <c r="B690" s="1" t="s">
        <v>4</v>
      </c>
      <c r="C690" s="63" t="s">
        <v>104</v>
      </c>
      <c r="D690" s="63" t="s">
        <v>372</v>
      </c>
      <c r="E690" s="63" t="s">
        <v>372</v>
      </c>
    </row>
    <row r="691" spans="1:5" ht="28">
      <c r="A691" s="4"/>
      <c r="B691" s="2" t="s">
        <v>5</v>
      </c>
      <c r="C691" s="63" t="s">
        <v>105</v>
      </c>
      <c r="D691" s="88" t="s">
        <v>27</v>
      </c>
      <c r="E691" s="2" t="s">
        <v>27</v>
      </c>
    </row>
    <row r="692" spans="1:5" ht="26">
      <c r="A692" s="4"/>
      <c r="B692" s="3" t="s">
        <v>6</v>
      </c>
      <c r="C692" s="63" t="s">
        <v>367</v>
      </c>
      <c r="D692" s="89"/>
      <c r="E692" s="4"/>
    </row>
    <row r="693" spans="1:5" ht="26">
      <c r="A693" s="4"/>
      <c r="B693" s="3" t="s">
        <v>7</v>
      </c>
      <c r="C693" s="63" t="s">
        <v>368</v>
      </c>
      <c r="D693" s="89"/>
      <c r="E693" s="4"/>
    </row>
    <row r="694" spans="1:5" ht="26">
      <c r="A694" s="4"/>
      <c r="B694" s="1" t="s">
        <v>8</v>
      </c>
      <c r="C694" s="63" t="s">
        <v>369</v>
      </c>
      <c r="D694" s="89"/>
      <c r="E694" s="4"/>
    </row>
    <row r="695" spans="1:5" ht="26">
      <c r="A695" s="4"/>
      <c r="B695" s="2" t="s">
        <v>9</v>
      </c>
      <c r="C695" s="63" t="s">
        <v>370</v>
      </c>
      <c r="D695" s="89"/>
      <c r="E695" s="4"/>
    </row>
    <row r="696" spans="1:5" ht="14">
      <c r="A696" s="4"/>
      <c r="B696" s="2" t="s">
        <v>10</v>
      </c>
      <c r="C696" s="63" t="s">
        <v>110</v>
      </c>
      <c r="D696" s="89"/>
      <c r="E696" s="4"/>
    </row>
    <row r="697" spans="1:5" ht="14">
      <c r="A697" s="1" t="s">
        <v>300</v>
      </c>
      <c r="B697" s="2" t="s">
        <v>11</v>
      </c>
      <c r="C697" s="63" t="s">
        <v>111</v>
      </c>
      <c r="D697" s="89"/>
      <c r="E697" s="4"/>
    </row>
    <row r="698" spans="1:5" ht="13">
      <c r="A698" s="1" t="s">
        <v>1</v>
      </c>
      <c r="B698" s="1" t="s">
        <v>12</v>
      </c>
      <c r="C698" s="63" t="s">
        <v>112</v>
      </c>
      <c r="D698" s="89"/>
      <c r="E698" s="4"/>
    </row>
    <row r="699" spans="1:5" ht="28">
      <c r="A699" s="1" t="s">
        <v>2</v>
      </c>
      <c r="B699" s="2" t="s">
        <v>13</v>
      </c>
      <c r="C699" s="2" t="s">
        <v>113</v>
      </c>
      <c r="D699" s="89"/>
      <c r="E699" s="4"/>
    </row>
    <row r="700" spans="1:5" ht="28">
      <c r="A700" s="1" t="s">
        <v>3</v>
      </c>
      <c r="B700" s="2" t="s">
        <v>14</v>
      </c>
      <c r="C700" s="2" t="s">
        <v>279</v>
      </c>
      <c r="D700" s="89"/>
      <c r="E700" s="4"/>
    </row>
    <row r="701" spans="1:5" ht="42">
      <c r="A701" s="1" t="s">
        <v>4</v>
      </c>
      <c r="B701" s="2" t="s">
        <v>15</v>
      </c>
      <c r="C701" s="2" t="s">
        <v>281</v>
      </c>
      <c r="D701" s="89"/>
      <c r="E701" s="4"/>
    </row>
    <row r="702" spans="1:5" ht="42">
      <c r="A702" s="2" t="s">
        <v>5</v>
      </c>
      <c r="B702" s="2" t="s">
        <v>16</v>
      </c>
      <c r="C702" s="2" t="s">
        <v>371</v>
      </c>
      <c r="D702" s="89"/>
      <c r="E702" s="4"/>
    </row>
    <row r="703" spans="1:5" ht="42">
      <c r="A703" s="3" t="s">
        <v>6</v>
      </c>
      <c r="B703" s="2" t="s">
        <v>17</v>
      </c>
      <c r="C703" s="2" t="s">
        <v>27</v>
      </c>
      <c r="D703" s="89"/>
      <c r="E703" s="4"/>
    </row>
    <row r="704" spans="1:5" ht="42">
      <c r="A704" s="3" t="s">
        <v>7</v>
      </c>
      <c r="B704" s="2" t="s">
        <v>18</v>
      </c>
      <c r="C704" s="64"/>
      <c r="D704" s="89"/>
      <c r="E704" s="4"/>
    </row>
    <row r="705" spans="1:5" ht="28">
      <c r="A705" s="1" t="s">
        <v>8</v>
      </c>
      <c r="B705" s="2" t="s">
        <v>19</v>
      </c>
      <c r="C705" s="64"/>
      <c r="D705" s="89"/>
      <c r="E705" s="4"/>
    </row>
    <row r="706" spans="1:5" ht="28">
      <c r="A706" s="2" t="s">
        <v>9</v>
      </c>
      <c r="B706" s="2" t="s">
        <v>20</v>
      </c>
      <c r="C706" s="64"/>
      <c r="D706" s="89"/>
      <c r="E706" s="4"/>
    </row>
    <row r="707" spans="1:5" ht="14">
      <c r="A707" s="2" t="s">
        <v>10</v>
      </c>
      <c r="B707" s="2" t="s">
        <v>21</v>
      </c>
      <c r="C707" s="64"/>
      <c r="D707" s="89"/>
      <c r="E707" s="4"/>
    </row>
    <row r="708" spans="1:5" ht="28">
      <c r="A708" s="2" t="s">
        <v>11</v>
      </c>
      <c r="B708" s="2" t="s">
        <v>22</v>
      </c>
      <c r="C708" s="64"/>
      <c r="D708" s="89"/>
      <c r="E708" s="4"/>
    </row>
    <row r="709" spans="1:5" ht="28">
      <c r="A709" s="1" t="s">
        <v>12</v>
      </c>
      <c r="B709" s="2" t="s">
        <v>23</v>
      </c>
      <c r="C709" s="64"/>
      <c r="D709" s="89"/>
      <c r="E709" s="4"/>
    </row>
    <row r="710" spans="1:5" ht="28">
      <c r="A710" s="2" t="s">
        <v>13</v>
      </c>
      <c r="B710" s="2" t="s">
        <v>24</v>
      </c>
      <c r="C710" s="64"/>
      <c r="D710" s="89"/>
      <c r="E710" s="4"/>
    </row>
    <row r="711" spans="1:5" ht="28">
      <c r="A711" s="2" t="s">
        <v>14</v>
      </c>
      <c r="B711" s="2" t="s">
        <v>25</v>
      </c>
      <c r="C711" s="64"/>
      <c r="D711" s="89"/>
      <c r="E711" s="4"/>
    </row>
    <row r="712" spans="1:5" ht="42">
      <c r="A712" s="2" t="s">
        <v>15</v>
      </c>
      <c r="B712" s="1" t="s">
        <v>27</v>
      </c>
      <c r="C712" s="64"/>
      <c r="D712" s="89"/>
      <c r="E712" s="4"/>
    </row>
    <row r="713" spans="1:5" ht="42">
      <c r="A713" s="2" t="s">
        <v>16</v>
      </c>
      <c r="B713" s="1"/>
      <c r="C713" s="64"/>
      <c r="D713" s="89"/>
      <c r="E713" s="4"/>
    </row>
    <row r="714" spans="1:5" ht="42">
      <c r="A714" s="2" t="s">
        <v>17</v>
      </c>
      <c r="B714" s="43"/>
      <c r="C714" s="64"/>
      <c r="D714" s="89"/>
      <c r="E714" s="4"/>
    </row>
    <row r="715" spans="1:5" ht="42">
      <c r="A715" s="2" t="s">
        <v>18</v>
      </c>
      <c r="B715" s="43"/>
      <c r="C715" s="64"/>
      <c r="D715" s="89"/>
      <c r="E715" s="4"/>
    </row>
    <row r="716" spans="1:5" ht="28">
      <c r="A716" s="2" t="s">
        <v>19</v>
      </c>
      <c r="B716" s="43"/>
      <c r="C716" s="64"/>
      <c r="D716" s="89"/>
      <c r="E716" s="4"/>
    </row>
    <row r="717" spans="1:5" ht="28">
      <c r="A717" s="2" t="s">
        <v>20</v>
      </c>
      <c r="B717" s="43"/>
      <c r="C717" s="64"/>
      <c r="D717" s="89"/>
      <c r="E717" s="4"/>
    </row>
    <row r="718" spans="1:5" ht="14">
      <c r="A718" s="2" t="s">
        <v>21</v>
      </c>
      <c r="B718" s="43"/>
      <c r="C718" s="64"/>
      <c r="D718" s="89"/>
      <c r="E718" s="4"/>
    </row>
    <row r="719" spans="1:5" ht="28">
      <c r="A719" s="2" t="s">
        <v>22</v>
      </c>
      <c r="B719" s="43"/>
      <c r="C719" s="64"/>
      <c r="D719" s="89"/>
      <c r="E719" s="4"/>
    </row>
    <row r="720" spans="1:5" ht="28">
      <c r="A720" s="2" t="s">
        <v>23</v>
      </c>
      <c r="B720" s="43"/>
      <c r="C720" s="64"/>
      <c r="D720" s="89"/>
      <c r="E720" s="4"/>
    </row>
    <row r="721" spans="1:5" ht="28">
      <c r="A721" s="2" t="s">
        <v>24</v>
      </c>
      <c r="B721" s="43"/>
      <c r="C721" s="64"/>
      <c r="D721" s="89"/>
      <c r="E721" s="4"/>
    </row>
    <row r="722" spans="1:5" ht="14">
      <c r="A722" s="2" t="s">
        <v>25</v>
      </c>
      <c r="B722" s="43"/>
      <c r="C722" s="64"/>
      <c r="D722" s="89"/>
      <c r="E722" s="4"/>
    </row>
    <row r="723" spans="1:5" ht="13">
      <c r="A723" s="1" t="s">
        <v>27</v>
      </c>
      <c r="B723" s="43"/>
      <c r="C723" s="64"/>
      <c r="D723" s="89"/>
      <c r="E723" s="4"/>
    </row>
    <row r="724" spans="1:5" ht="14">
      <c r="A724" s="1" t="s">
        <v>28</v>
      </c>
      <c r="B724" s="43"/>
      <c r="C724" s="2" t="s">
        <v>0</v>
      </c>
      <c r="D724" s="88" t="s">
        <v>366</v>
      </c>
      <c r="E724" s="1" t="s">
        <v>0</v>
      </c>
    </row>
    <row r="725" spans="1:5" ht="14">
      <c r="A725" s="4"/>
      <c r="B725" s="43"/>
      <c r="C725" s="2" t="s">
        <v>1</v>
      </c>
      <c r="D725" s="88" t="s">
        <v>1</v>
      </c>
      <c r="E725" s="1" t="s">
        <v>1</v>
      </c>
    </row>
    <row r="726" spans="1:5" ht="13">
      <c r="A726" s="4"/>
      <c r="B726" s="43"/>
      <c r="C726" s="62" t="s">
        <v>2</v>
      </c>
      <c r="D726" s="1" t="s">
        <v>2</v>
      </c>
      <c r="E726" s="1" t="s">
        <v>2</v>
      </c>
    </row>
    <row r="727" spans="1:5" ht="14">
      <c r="A727" s="4"/>
      <c r="B727" s="43"/>
      <c r="C727" s="2" t="s">
        <v>4</v>
      </c>
      <c r="D727" s="88" t="s">
        <v>4</v>
      </c>
      <c r="E727" s="1" t="s">
        <v>4</v>
      </c>
    </row>
    <row r="728" spans="1:5" ht="28">
      <c r="A728" s="4"/>
      <c r="B728" s="43"/>
      <c r="C728" s="2" t="s">
        <v>5</v>
      </c>
      <c r="D728" s="63" t="s">
        <v>5</v>
      </c>
      <c r="E728" s="2" t="s">
        <v>5</v>
      </c>
    </row>
    <row r="729" spans="1:5" ht="14">
      <c r="A729" s="4"/>
      <c r="B729" s="43"/>
      <c r="C729" s="2" t="s">
        <v>6</v>
      </c>
      <c r="D729" s="63" t="s">
        <v>6</v>
      </c>
      <c r="E729" s="2" t="s">
        <v>6</v>
      </c>
    </row>
    <row r="730" spans="1:5" ht="14">
      <c r="A730" s="4"/>
      <c r="B730" s="43"/>
      <c r="C730" s="2" t="s">
        <v>7</v>
      </c>
      <c r="D730" s="63" t="s">
        <v>7</v>
      </c>
      <c r="E730" s="2" t="s">
        <v>7</v>
      </c>
    </row>
    <row r="731" spans="1:5" ht="28">
      <c r="A731" s="4"/>
      <c r="B731" s="43"/>
      <c r="C731" s="2" t="s">
        <v>8</v>
      </c>
      <c r="D731" s="63" t="s">
        <v>154</v>
      </c>
      <c r="E731" s="2" t="s">
        <v>154</v>
      </c>
    </row>
    <row r="732" spans="1:5" ht="14">
      <c r="A732" s="4"/>
      <c r="B732" s="43"/>
      <c r="C732" s="2" t="s">
        <v>9</v>
      </c>
      <c r="D732" s="63" t="s">
        <v>9</v>
      </c>
      <c r="E732" s="2" t="s">
        <v>9</v>
      </c>
    </row>
    <row r="733" spans="1:5" ht="14">
      <c r="A733" s="4"/>
      <c r="B733" s="43"/>
      <c r="C733" s="2" t="s">
        <v>103</v>
      </c>
      <c r="D733" s="63" t="s">
        <v>10</v>
      </c>
      <c r="E733" s="2" t="s">
        <v>204</v>
      </c>
    </row>
    <row r="734" spans="1:5" ht="14">
      <c r="A734" s="4"/>
      <c r="B734" s="43"/>
      <c r="C734" s="2" t="s">
        <v>11</v>
      </c>
      <c r="D734" s="63" t="s">
        <v>11</v>
      </c>
      <c r="E734" s="2" t="s">
        <v>205</v>
      </c>
    </row>
    <row r="735" spans="1:5" ht="14">
      <c r="A735" s="4"/>
      <c r="B735" s="43"/>
      <c r="C735" s="2" t="s">
        <v>12</v>
      </c>
      <c r="D735" s="88" t="s">
        <v>12</v>
      </c>
      <c r="E735" s="1" t="s">
        <v>12</v>
      </c>
    </row>
    <row r="736" spans="1:5" ht="26">
      <c r="A736" s="4"/>
      <c r="B736" s="43"/>
      <c r="C736" s="63" t="s">
        <v>13</v>
      </c>
      <c r="D736" s="63" t="s">
        <v>13</v>
      </c>
      <c r="E736" s="63" t="s">
        <v>13</v>
      </c>
    </row>
    <row r="737" spans="1:5" ht="26">
      <c r="A737" s="4"/>
      <c r="B737" s="43"/>
      <c r="C737" s="63" t="s">
        <v>14</v>
      </c>
      <c r="D737" s="63" t="s">
        <v>14</v>
      </c>
      <c r="E737" s="63" t="s">
        <v>14</v>
      </c>
    </row>
    <row r="738" spans="1:5" ht="26">
      <c r="A738" s="4"/>
      <c r="B738" s="43"/>
      <c r="C738" s="63" t="s">
        <v>104</v>
      </c>
      <c r="D738" s="63" t="s">
        <v>104</v>
      </c>
      <c r="E738" s="63" t="s">
        <v>104</v>
      </c>
    </row>
    <row r="739" spans="1:5" ht="26">
      <c r="A739" s="4"/>
      <c r="B739" s="43"/>
      <c r="C739" s="63" t="s">
        <v>105</v>
      </c>
      <c r="D739" s="63" t="s">
        <v>105</v>
      </c>
      <c r="E739" s="63" t="s">
        <v>105</v>
      </c>
    </row>
    <row r="740" spans="1:5" ht="26">
      <c r="A740" s="4"/>
      <c r="B740" s="43"/>
      <c r="C740" s="63" t="s">
        <v>367</v>
      </c>
      <c r="D740" s="63" t="s">
        <v>367</v>
      </c>
      <c r="E740" s="63" t="s">
        <v>367</v>
      </c>
    </row>
    <row r="741" spans="1:5" ht="26">
      <c r="A741" s="4"/>
      <c r="B741" s="43"/>
      <c r="C741" s="63" t="s">
        <v>368</v>
      </c>
      <c r="D741" s="63" t="s">
        <v>368</v>
      </c>
      <c r="E741" s="63" t="s">
        <v>368</v>
      </c>
    </row>
    <row r="742" spans="1:5" ht="26">
      <c r="A742" s="4"/>
      <c r="B742" s="43"/>
      <c r="C742" s="63" t="s">
        <v>369</v>
      </c>
      <c r="D742" s="63" t="s">
        <v>369</v>
      </c>
      <c r="E742" s="63" t="s">
        <v>369</v>
      </c>
    </row>
    <row r="743" spans="1:5" ht="26">
      <c r="A743" s="4"/>
      <c r="B743" s="43"/>
      <c r="C743" s="63" t="s">
        <v>370</v>
      </c>
      <c r="D743" s="63" t="s">
        <v>370</v>
      </c>
      <c r="E743" s="63" t="s">
        <v>370</v>
      </c>
    </row>
    <row r="744" spans="1:5" ht="13">
      <c r="A744" s="4"/>
      <c r="B744" s="43"/>
      <c r="C744" s="63" t="s">
        <v>110</v>
      </c>
      <c r="D744" s="63" t="s">
        <v>110</v>
      </c>
      <c r="E744" s="63" t="s">
        <v>110</v>
      </c>
    </row>
    <row r="745" spans="1:5" ht="13">
      <c r="A745" s="4"/>
      <c r="B745" s="43"/>
      <c r="C745" s="63" t="s">
        <v>111</v>
      </c>
      <c r="D745" s="63" t="s">
        <v>111</v>
      </c>
      <c r="E745" s="63" t="s">
        <v>111</v>
      </c>
    </row>
    <row r="746" spans="1:5" ht="26">
      <c r="A746" s="4"/>
      <c r="B746" s="43"/>
      <c r="C746" s="63" t="s">
        <v>112</v>
      </c>
      <c r="D746" s="63" t="s">
        <v>112</v>
      </c>
      <c r="E746" s="63" t="s">
        <v>207</v>
      </c>
    </row>
    <row r="747" spans="1:5" ht="28">
      <c r="A747" s="4"/>
      <c r="B747" s="43"/>
      <c r="C747" s="2" t="s">
        <v>113</v>
      </c>
      <c r="D747" s="63" t="s">
        <v>113</v>
      </c>
      <c r="E747" s="63" t="s">
        <v>113</v>
      </c>
    </row>
    <row r="748" spans="1:5" ht="26">
      <c r="A748" s="4"/>
      <c r="B748" s="43"/>
      <c r="C748" s="2" t="s">
        <v>279</v>
      </c>
      <c r="D748" s="63" t="s">
        <v>24</v>
      </c>
      <c r="E748" s="2" t="s">
        <v>279</v>
      </c>
    </row>
    <row r="749" spans="1:5" ht="14">
      <c r="A749" s="4"/>
      <c r="B749" s="1" t="s">
        <v>0</v>
      </c>
      <c r="C749" s="2" t="s">
        <v>281</v>
      </c>
      <c r="D749" s="63" t="s">
        <v>25</v>
      </c>
      <c r="E749" s="2" t="s">
        <v>281</v>
      </c>
    </row>
    <row r="750" spans="1:5" ht="26">
      <c r="A750" s="4"/>
      <c r="B750" s="1" t="s">
        <v>1</v>
      </c>
      <c r="C750" s="2" t="s">
        <v>371</v>
      </c>
      <c r="D750" s="63" t="s">
        <v>372</v>
      </c>
      <c r="E750" s="63" t="s">
        <v>372</v>
      </c>
    </row>
    <row r="751" spans="1:5" ht="14">
      <c r="A751" s="4"/>
      <c r="B751" s="1" t="s">
        <v>2</v>
      </c>
      <c r="C751" s="2" t="s">
        <v>27</v>
      </c>
      <c r="D751" s="88" t="s">
        <v>27</v>
      </c>
      <c r="E751" s="2" t="s">
        <v>27</v>
      </c>
    </row>
    <row r="752" spans="1:5" ht="13">
      <c r="A752" s="4"/>
      <c r="B752" s="1" t="s">
        <v>4</v>
      </c>
      <c r="C752" s="64"/>
      <c r="D752" s="89"/>
      <c r="E752" s="4"/>
    </row>
    <row r="753" spans="1:5" ht="28">
      <c r="A753" s="4"/>
      <c r="B753" s="2" t="s">
        <v>5</v>
      </c>
      <c r="C753" s="64"/>
      <c r="D753" s="89"/>
      <c r="E753" s="4"/>
    </row>
    <row r="754" spans="1:5" ht="13">
      <c r="A754" s="4"/>
      <c r="B754" s="3" t="s">
        <v>6</v>
      </c>
      <c r="C754" s="64"/>
      <c r="D754" s="89"/>
      <c r="E754" s="4"/>
    </row>
    <row r="755" spans="1:5" ht="13">
      <c r="A755" s="4"/>
      <c r="B755" s="3" t="s">
        <v>7</v>
      </c>
      <c r="C755" s="64"/>
      <c r="D755" s="89"/>
      <c r="E755" s="4"/>
    </row>
    <row r="756" spans="1:5" ht="13">
      <c r="A756" s="4"/>
      <c r="B756" s="1" t="s">
        <v>8</v>
      </c>
      <c r="C756" s="64"/>
      <c r="D756" s="89"/>
      <c r="E756" s="4"/>
    </row>
    <row r="757" spans="1:5" ht="14">
      <c r="A757" s="4"/>
      <c r="B757" s="2" t="s">
        <v>9</v>
      </c>
      <c r="C757" s="64"/>
      <c r="D757" s="89"/>
      <c r="E757" s="4"/>
    </row>
    <row r="758" spans="1:5" ht="14">
      <c r="A758" s="4"/>
      <c r="B758" s="2" t="s">
        <v>10</v>
      </c>
      <c r="C758" s="64"/>
      <c r="D758" s="89"/>
      <c r="E758" s="4"/>
    </row>
    <row r="759" spans="1:5" ht="14">
      <c r="A759" s="4"/>
      <c r="B759" s="2" t="s">
        <v>11</v>
      </c>
      <c r="C759" s="64"/>
      <c r="D759" s="89"/>
      <c r="E759" s="4"/>
    </row>
    <row r="760" spans="1:5" ht="13">
      <c r="A760" s="1" t="s">
        <v>300</v>
      </c>
      <c r="B760" s="1" t="s">
        <v>12</v>
      </c>
      <c r="C760" s="64"/>
      <c r="D760" s="89"/>
      <c r="E760" s="4"/>
    </row>
    <row r="761" spans="1:5" ht="28">
      <c r="A761" s="1" t="s">
        <v>1</v>
      </c>
      <c r="B761" s="2" t="s">
        <v>13</v>
      </c>
      <c r="C761" s="64"/>
      <c r="D761" s="89"/>
      <c r="E761" s="4"/>
    </row>
    <row r="762" spans="1:5" ht="28">
      <c r="A762" s="1" t="s">
        <v>2</v>
      </c>
      <c r="B762" s="2" t="s">
        <v>14</v>
      </c>
      <c r="C762" s="64"/>
      <c r="D762" s="89"/>
      <c r="E762" s="4"/>
    </row>
    <row r="763" spans="1:5" ht="42">
      <c r="A763" s="1" t="s">
        <v>3</v>
      </c>
      <c r="B763" s="2" t="s">
        <v>15</v>
      </c>
      <c r="C763" s="64"/>
      <c r="D763" s="89"/>
      <c r="E763" s="4"/>
    </row>
    <row r="764" spans="1:5" ht="42">
      <c r="A764" s="1" t="s">
        <v>4</v>
      </c>
      <c r="B764" s="2" t="s">
        <v>16</v>
      </c>
      <c r="C764" s="64"/>
      <c r="D764" s="89"/>
      <c r="E764" s="4"/>
    </row>
    <row r="765" spans="1:5" ht="42">
      <c r="A765" s="2" t="s">
        <v>5</v>
      </c>
      <c r="B765" s="2" t="s">
        <v>17</v>
      </c>
      <c r="C765" s="64"/>
      <c r="D765" s="89"/>
      <c r="E765" s="4"/>
    </row>
    <row r="766" spans="1:5" ht="42">
      <c r="A766" s="3" t="s">
        <v>6</v>
      </c>
      <c r="B766" s="2" t="s">
        <v>18</v>
      </c>
      <c r="C766" s="64"/>
      <c r="D766" s="89"/>
      <c r="E766" s="4"/>
    </row>
    <row r="767" spans="1:5" ht="28">
      <c r="A767" s="3" t="s">
        <v>7</v>
      </c>
      <c r="B767" s="2" t="s">
        <v>19</v>
      </c>
      <c r="C767" s="64"/>
      <c r="D767" s="89"/>
      <c r="E767" s="4"/>
    </row>
    <row r="768" spans="1:5" ht="28">
      <c r="A768" s="1" t="s">
        <v>8</v>
      </c>
      <c r="B768" s="2" t="s">
        <v>20</v>
      </c>
      <c r="C768" s="64"/>
      <c r="D768" s="89"/>
      <c r="E768" s="4"/>
    </row>
    <row r="769" spans="1:5" ht="14">
      <c r="A769" s="2" t="s">
        <v>9</v>
      </c>
      <c r="B769" s="2" t="s">
        <v>21</v>
      </c>
      <c r="C769" s="64"/>
      <c r="D769" s="89"/>
      <c r="E769" s="4"/>
    </row>
    <row r="770" spans="1:5" ht="28">
      <c r="A770" s="2" t="s">
        <v>10</v>
      </c>
      <c r="B770" s="2" t="s">
        <v>22</v>
      </c>
      <c r="C770" s="64"/>
      <c r="D770" s="89"/>
      <c r="E770" s="4"/>
    </row>
    <row r="771" spans="1:5" ht="28">
      <c r="A771" s="2" t="s">
        <v>11</v>
      </c>
      <c r="B771" s="2" t="s">
        <v>23</v>
      </c>
      <c r="C771" s="64"/>
      <c r="D771" s="89"/>
      <c r="E771" s="4"/>
    </row>
    <row r="772" spans="1:5" ht="28">
      <c r="A772" s="1" t="s">
        <v>12</v>
      </c>
      <c r="B772" s="2" t="s">
        <v>24</v>
      </c>
      <c r="C772" s="2" t="s">
        <v>0</v>
      </c>
      <c r="D772" s="89"/>
      <c r="E772" s="4"/>
    </row>
    <row r="773" spans="1:5" ht="28">
      <c r="A773" s="2" t="s">
        <v>13</v>
      </c>
      <c r="B773" s="2" t="s">
        <v>25</v>
      </c>
      <c r="C773" s="2" t="s">
        <v>1</v>
      </c>
      <c r="D773" s="89"/>
      <c r="E773" s="4"/>
    </row>
    <row r="774" spans="1:5" ht="28">
      <c r="A774" s="2" t="s">
        <v>14</v>
      </c>
      <c r="B774" s="1" t="s">
        <v>27</v>
      </c>
      <c r="C774" s="62" t="s">
        <v>2</v>
      </c>
      <c r="D774" s="89"/>
      <c r="E774" s="4"/>
    </row>
    <row r="775" spans="1:5" ht="42">
      <c r="A775" s="2" t="s">
        <v>15</v>
      </c>
      <c r="B775" s="1"/>
      <c r="C775" s="2" t="s">
        <v>4</v>
      </c>
      <c r="D775" s="89"/>
      <c r="E775" s="4"/>
    </row>
    <row r="776" spans="1:5" ht="42">
      <c r="A776" s="2" t="s">
        <v>16</v>
      </c>
      <c r="B776" s="43"/>
      <c r="C776" s="2" t="s">
        <v>5</v>
      </c>
      <c r="D776" s="89"/>
      <c r="E776" s="4"/>
    </row>
    <row r="777" spans="1:5" ht="42">
      <c r="A777" s="2" t="s">
        <v>17</v>
      </c>
      <c r="B777" s="43"/>
      <c r="C777" s="2" t="s">
        <v>6</v>
      </c>
      <c r="D777" s="89"/>
      <c r="E777" s="4"/>
    </row>
    <row r="778" spans="1:5" ht="42">
      <c r="A778" s="2" t="s">
        <v>18</v>
      </c>
      <c r="B778" s="43"/>
      <c r="C778" s="2" t="s">
        <v>7</v>
      </c>
      <c r="D778" s="89"/>
      <c r="E778" s="4"/>
    </row>
    <row r="779" spans="1:5" ht="28">
      <c r="A779" s="2" t="s">
        <v>19</v>
      </c>
      <c r="B779" s="43"/>
      <c r="C779" s="2" t="s">
        <v>8</v>
      </c>
      <c r="D779" s="89"/>
      <c r="E779" s="4"/>
    </row>
    <row r="780" spans="1:5" ht="28">
      <c r="A780" s="2" t="s">
        <v>20</v>
      </c>
      <c r="B780" s="43"/>
      <c r="C780" s="2" t="s">
        <v>9</v>
      </c>
      <c r="D780" s="89"/>
      <c r="E780" s="4"/>
    </row>
    <row r="781" spans="1:5" ht="14">
      <c r="A781" s="2" t="s">
        <v>21</v>
      </c>
      <c r="B781" s="43"/>
      <c r="C781" s="2" t="s">
        <v>103</v>
      </c>
      <c r="D781" s="89"/>
      <c r="E781" s="4"/>
    </row>
    <row r="782" spans="1:5" ht="28">
      <c r="A782" s="2" t="s">
        <v>22</v>
      </c>
      <c r="B782" s="43"/>
      <c r="C782" s="2" t="s">
        <v>11</v>
      </c>
      <c r="D782" s="89"/>
      <c r="E782" s="4"/>
    </row>
    <row r="783" spans="1:5" ht="28">
      <c r="A783" s="2" t="s">
        <v>23</v>
      </c>
      <c r="B783" s="43"/>
      <c r="C783" s="2" t="s">
        <v>12</v>
      </c>
      <c r="D783" s="89"/>
      <c r="E783" s="4"/>
    </row>
    <row r="784" spans="1:5" ht="28">
      <c r="A784" s="2" t="s">
        <v>24</v>
      </c>
      <c r="B784" s="43"/>
      <c r="C784" s="63" t="s">
        <v>13</v>
      </c>
      <c r="D784" s="88" t="s">
        <v>366</v>
      </c>
      <c r="E784" s="1" t="s">
        <v>0</v>
      </c>
    </row>
    <row r="785" spans="1:5" ht="26">
      <c r="A785" s="2" t="s">
        <v>25</v>
      </c>
      <c r="B785" s="43"/>
      <c r="C785" s="63" t="s">
        <v>14</v>
      </c>
      <c r="D785" s="88" t="s">
        <v>1</v>
      </c>
      <c r="E785" s="1" t="s">
        <v>1</v>
      </c>
    </row>
    <row r="786" spans="1:5" ht="26">
      <c r="A786" s="1" t="s">
        <v>27</v>
      </c>
      <c r="B786" s="43"/>
      <c r="C786" s="63" t="s">
        <v>104</v>
      </c>
      <c r="D786" s="1" t="s">
        <v>2</v>
      </c>
      <c r="E786" s="1" t="s">
        <v>2</v>
      </c>
    </row>
    <row r="787" spans="1:5" ht="26">
      <c r="A787" s="1" t="s">
        <v>28</v>
      </c>
      <c r="B787" s="43"/>
      <c r="C787" s="63" t="s">
        <v>105</v>
      </c>
      <c r="D787" s="88" t="s">
        <v>4</v>
      </c>
      <c r="E787" s="1" t="s">
        <v>4</v>
      </c>
    </row>
    <row r="788" spans="1:5" ht="28">
      <c r="A788" s="4"/>
      <c r="B788" s="43"/>
      <c r="C788" s="63" t="s">
        <v>367</v>
      </c>
      <c r="D788" s="63" t="s">
        <v>5</v>
      </c>
      <c r="E788" s="2" t="s">
        <v>5</v>
      </c>
    </row>
    <row r="789" spans="1:5" ht="26">
      <c r="A789" s="4"/>
      <c r="B789" s="43"/>
      <c r="C789" s="63" t="s">
        <v>368</v>
      </c>
      <c r="D789" s="63" t="s">
        <v>6</v>
      </c>
      <c r="E789" s="2" t="s">
        <v>6</v>
      </c>
    </row>
    <row r="790" spans="1:5" ht="26">
      <c r="A790" s="4"/>
      <c r="B790" s="43"/>
      <c r="C790" s="63" t="s">
        <v>369</v>
      </c>
      <c r="D790" s="63" t="s">
        <v>7</v>
      </c>
      <c r="E790" s="2" t="s">
        <v>7</v>
      </c>
    </row>
    <row r="791" spans="1:5" ht="28">
      <c r="A791" s="4"/>
      <c r="B791" s="43"/>
      <c r="C791" s="63" t="s">
        <v>370</v>
      </c>
      <c r="D791" s="63" t="s">
        <v>154</v>
      </c>
      <c r="E791" s="2" t="s">
        <v>154</v>
      </c>
    </row>
    <row r="792" spans="1:5" ht="14">
      <c r="A792" s="4"/>
      <c r="B792" s="43"/>
      <c r="C792" s="63" t="s">
        <v>110</v>
      </c>
      <c r="D792" s="63" t="s">
        <v>9</v>
      </c>
      <c r="E792" s="2" t="s">
        <v>9</v>
      </c>
    </row>
    <row r="793" spans="1:5" ht="14">
      <c r="A793" s="4"/>
      <c r="B793" s="43"/>
      <c r="C793" s="63" t="s">
        <v>111</v>
      </c>
      <c r="D793" s="63" t="s">
        <v>10</v>
      </c>
      <c r="E793" s="2" t="s">
        <v>204</v>
      </c>
    </row>
    <row r="794" spans="1:5" ht="14">
      <c r="A794" s="4"/>
      <c r="B794" s="43"/>
      <c r="C794" s="63" t="s">
        <v>112</v>
      </c>
      <c r="D794" s="63" t="s">
        <v>11</v>
      </c>
      <c r="E794" s="2" t="s">
        <v>205</v>
      </c>
    </row>
    <row r="795" spans="1:5" ht="28">
      <c r="A795" s="4"/>
      <c r="B795" s="43"/>
      <c r="C795" s="2" t="s">
        <v>113</v>
      </c>
      <c r="D795" s="88" t="s">
        <v>12</v>
      </c>
      <c r="E795" s="1" t="s">
        <v>12</v>
      </c>
    </row>
    <row r="796" spans="1:5" ht="26">
      <c r="A796" s="4"/>
      <c r="B796" s="43"/>
      <c r="C796" s="2" t="s">
        <v>279</v>
      </c>
      <c r="D796" s="63" t="s">
        <v>13</v>
      </c>
      <c r="E796" s="63" t="s">
        <v>13</v>
      </c>
    </row>
    <row r="797" spans="1:5" ht="26">
      <c r="A797" s="4"/>
      <c r="B797" s="43"/>
      <c r="C797" s="2" t="s">
        <v>281</v>
      </c>
      <c r="D797" s="63" t="s">
        <v>14</v>
      </c>
      <c r="E797" s="63" t="s">
        <v>14</v>
      </c>
    </row>
    <row r="798" spans="1:5" ht="26">
      <c r="A798" s="4"/>
      <c r="B798" s="43"/>
      <c r="C798" s="2" t="s">
        <v>371</v>
      </c>
      <c r="D798" s="63" t="s">
        <v>104</v>
      </c>
      <c r="E798" s="63" t="s">
        <v>104</v>
      </c>
    </row>
    <row r="799" spans="1:5" ht="26">
      <c r="A799" s="4"/>
      <c r="B799" s="43"/>
      <c r="C799" s="2" t="s">
        <v>27</v>
      </c>
      <c r="D799" s="63" t="s">
        <v>105</v>
      </c>
      <c r="E799" s="63" t="s">
        <v>105</v>
      </c>
    </row>
    <row r="800" spans="1:5" ht="26">
      <c r="A800" s="4"/>
      <c r="B800" s="43"/>
      <c r="C800" s="64"/>
      <c r="D800" s="63" t="s">
        <v>367</v>
      </c>
      <c r="E800" s="63" t="s">
        <v>367</v>
      </c>
    </row>
    <row r="801" spans="1:5" ht="26">
      <c r="A801" s="4"/>
      <c r="B801" s="43"/>
      <c r="C801" s="64"/>
      <c r="D801" s="63" t="s">
        <v>368</v>
      </c>
      <c r="E801" s="63" t="s">
        <v>368</v>
      </c>
    </row>
    <row r="802" spans="1:5" ht="26">
      <c r="A802" s="4"/>
      <c r="B802" s="43"/>
      <c r="C802" s="64"/>
      <c r="D802" s="63" t="s">
        <v>369</v>
      </c>
      <c r="E802" s="63" t="s">
        <v>369</v>
      </c>
    </row>
    <row r="803" spans="1:5" ht="26">
      <c r="A803" s="4"/>
      <c r="B803" s="43"/>
      <c r="C803" s="64"/>
      <c r="D803" s="63" t="s">
        <v>370</v>
      </c>
      <c r="E803" s="63" t="s">
        <v>370</v>
      </c>
    </row>
    <row r="804" spans="1:5" ht="13">
      <c r="A804" s="4"/>
      <c r="B804" s="43"/>
      <c r="C804" s="64"/>
      <c r="D804" s="63" t="s">
        <v>110</v>
      </c>
      <c r="E804" s="63" t="s">
        <v>110</v>
      </c>
    </row>
    <row r="805" spans="1:5" ht="13">
      <c r="A805" s="4"/>
      <c r="B805" s="43"/>
      <c r="C805" s="64"/>
      <c r="D805" s="63" t="s">
        <v>111</v>
      </c>
      <c r="E805" s="63" t="s">
        <v>111</v>
      </c>
    </row>
    <row r="806" spans="1:5" ht="26">
      <c r="A806" s="4"/>
      <c r="B806" s="43"/>
      <c r="C806" s="64"/>
      <c r="D806" s="63" t="s">
        <v>112</v>
      </c>
      <c r="E806" s="63" t="s">
        <v>207</v>
      </c>
    </row>
    <row r="807" spans="1:5" ht="26">
      <c r="A807" s="4"/>
      <c r="B807" s="43"/>
      <c r="C807" s="64"/>
      <c r="D807" s="63" t="s">
        <v>113</v>
      </c>
      <c r="E807" s="63" t="s">
        <v>113</v>
      </c>
    </row>
    <row r="808" spans="1:5" ht="26">
      <c r="A808" s="4"/>
      <c r="B808" s="43"/>
      <c r="C808" s="64"/>
      <c r="D808" s="63" t="s">
        <v>24</v>
      </c>
      <c r="E808" s="2" t="s">
        <v>279</v>
      </c>
    </row>
    <row r="809" spans="1:5" ht="14">
      <c r="A809" s="4"/>
      <c r="B809" s="43"/>
      <c r="C809" s="64"/>
      <c r="D809" s="63" t="s">
        <v>25</v>
      </c>
      <c r="E809" s="2" t="s">
        <v>281</v>
      </c>
    </row>
    <row r="810" spans="1:5" ht="26">
      <c r="A810" s="4"/>
      <c r="B810" s="43"/>
      <c r="C810" s="64"/>
      <c r="D810" s="63" t="s">
        <v>372</v>
      </c>
      <c r="E810" s="63" t="s">
        <v>372</v>
      </c>
    </row>
    <row r="811" spans="1:5" ht="14">
      <c r="A811" s="4"/>
      <c r="B811" s="1" t="s">
        <v>0</v>
      </c>
      <c r="C811" s="64"/>
      <c r="D811" s="88" t="s">
        <v>27</v>
      </c>
      <c r="E811" s="2" t="s">
        <v>27</v>
      </c>
    </row>
    <row r="812" spans="1:5" ht="13">
      <c r="A812" s="4"/>
      <c r="B812" s="1" t="s">
        <v>1</v>
      </c>
      <c r="C812" s="64"/>
      <c r="D812" s="89"/>
      <c r="E812" s="4"/>
    </row>
    <row r="813" spans="1:5" ht="13">
      <c r="A813" s="4"/>
      <c r="B813" s="1" t="s">
        <v>2</v>
      </c>
      <c r="C813" s="64"/>
      <c r="D813" s="89"/>
      <c r="E813" s="4"/>
    </row>
    <row r="814" spans="1:5" ht="13">
      <c r="A814" s="4"/>
      <c r="B814" s="1" t="s">
        <v>4</v>
      </c>
      <c r="C814" s="64"/>
      <c r="D814" s="89"/>
      <c r="E814" s="4"/>
    </row>
    <row r="815" spans="1:5" ht="28">
      <c r="A815" s="4"/>
      <c r="B815" s="2" t="s">
        <v>5</v>
      </c>
      <c r="C815" s="64"/>
      <c r="D815" s="89"/>
      <c r="E815" s="4"/>
    </row>
    <row r="816" spans="1:5" ht="13">
      <c r="A816" s="4"/>
      <c r="B816" s="3" t="s">
        <v>6</v>
      </c>
      <c r="C816" s="64"/>
      <c r="D816" s="89"/>
      <c r="E816" s="4"/>
    </row>
    <row r="817" spans="1:5" ht="13">
      <c r="A817" s="4"/>
      <c r="B817" s="3" t="s">
        <v>7</v>
      </c>
      <c r="C817" s="64"/>
      <c r="D817" s="89"/>
      <c r="E817" s="4"/>
    </row>
    <row r="818" spans="1:5" ht="13">
      <c r="A818" s="4"/>
      <c r="B818" s="1" t="s">
        <v>8</v>
      </c>
      <c r="C818" s="64"/>
      <c r="D818" s="89"/>
      <c r="E818" s="4"/>
    </row>
    <row r="819" spans="1:5" ht="14">
      <c r="A819" s="4"/>
      <c r="B819" s="2" t="s">
        <v>9</v>
      </c>
      <c r="C819" s="64"/>
      <c r="D819" s="89"/>
      <c r="E819" s="4"/>
    </row>
    <row r="820" spans="1:5" ht="14">
      <c r="A820" s="4"/>
      <c r="B820" s="2" t="s">
        <v>10</v>
      </c>
      <c r="C820" s="2" t="s">
        <v>0</v>
      </c>
      <c r="D820" s="89"/>
      <c r="E820" s="4"/>
    </row>
    <row r="821" spans="1:5" ht="14">
      <c r="A821" s="4"/>
      <c r="B821" s="2" t="s">
        <v>11</v>
      </c>
      <c r="C821" s="2" t="s">
        <v>1</v>
      </c>
      <c r="D821" s="89"/>
      <c r="E821" s="4"/>
    </row>
    <row r="822" spans="1:5" ht="13">
      <c r="A822" s="4"/>
      <c r="B822" s="1" t="s">
        <v>12</v>
      </c>
      <c r="C822" s="62" t="s">
        <v>2</v>
      </c>
      <c r="D822" s="89"/>
      <c r="E822" s="4"/>
    </row>
    <row r="823" spans="1:5" ht="28">
      <c r="A823" s="1" t="s">
        <v>300</v>
      </c>
      <c r="B823" s="2" t="s">
        <v>13</v>
      </c>
      <c r="C823" s="2" t="s">
        <v>4</v>
      </c>
      <c r="D823" s="89"/>
      <c r="E823" s="4"/>
    </row>
    <row r="824" spans="1:5" ht="28">
      <c r="A824" s="1" t="s">
        <v>1</v>
      </c>
      <c r="B824" s="2" t="s">
        <v>14</v>
      </c>
      <c r="C824" s="2" t="s">
        <v>5</v>
      </c>
      <c r="D824" s="89"/>
      <c r="E824" s="4"/>
    </row>
    <row r="825" spans="1:5" ht="42">
      <c r="A825" s="1" t="s">
        <v>2</v>
      </c>
      <c r="B825" s="2" t="s">
        <v>15</v>
      </c>
      <c r="C825" s="2" t="s">
        <v>6</v>
      </c>
      <c r="D825" s="89"/>
      <c r="E825" s="4"/>
    </row>
    <row r="826" spans="1:5" ht="42">
      <c r="A826" s="1" t="s">
        <v>3</v>
      </c>
      <c r="B826" s="2" t="s">
        <v>16</v>
      </c>
      <c r="C826" s="2" t="s">
        <v>7</v>
      </c>
      <c r="D826" s="89"/>
      <c r="E826" s="4"/>
    </row>
    <row r="827" spans="1:5" ht="42">
      <c r="A827" s="1" t="s">
        <v>4</v>
      </c>
      <c r="B827" s="2" t="s">
        <v>17</v>
      </c>
      <c r="C827" s="2" t="s">
        <v>8</v>
      </c>
      <c r="D827" s="89"/>
      <c r="E827" s="4"/>
    </row>
    <row r="828" spans="1:5" ht="42">
      <c r="A828" s="2" t="s">
        <v>5</v>
      </c>
      <c r="B828" s="2" t="s">
        <v>18</v>
      </c>
      <c r="C828" s="2" t="s">
        <v>9</v>
      </c>
      <c r="D828" s="89"/>
      <c r="E828" s="4"/>
    </row>
    <row r="829" spans="1:5" ht="28">
      <c r="A829" s="3" t="s">
        <v>6</v>
      </c>
      <c r="B829" s="2" t="s">
        <v>19</v>
      </c>
      <c r="C829" s="2" t="s">
        <v>103</v>
      </c>
      <c r="D829" s="89"/>
      <c r="E829" s="4"/>
    </row>
    <row r="830" spans="1:5" ht="28">
      <c r="A830" s="3" t="s">
        <v>7</v>
      </c>
      <c r="B830" s="2" t="s">
        <v>20</v>
      </c>
      <c r="C830" s="2" t="s">
        <v>11</v>
      </c>
      <c r="D830" s="89"/>
      <c r="E830" s="4"/>
    </row>
    <row r="831" spans="1:5" ht="14">
      <c r="A831" s="1" t="s">
        <v>8</v>
      </c>
      <c r="B831" s="2" t="s">
        <v>21</v>
      </c>
      <c r="C831" s="2" t="s">
        <v>12</v>
      </c>
      <c r="D831" s="89"/>
      <c r="E831" s="4"/>
    </row>
    <row r="832" spans="1:5" ht="28">
      <c r="A832" s="2" t="s">
        <v>9</v>
      </c>
      <c r="B832" s="2" t="s">
        <v>22</v>
      </c>
      <c r="C832" s="63" t="s">
        <v>13</v>
      </c>
      <c r="D832" s="89"/>
      <c r="E832" s="4"/>
    </row>
    <row r="833" spans="1:5" ht="28">
      <c r="A833" s="2" t="s">
        <v>10</v>
      </c>
      <c r="B833" s="2" t="s">
        <v>23</v>
      </c>
      <c r="C833" s="63" t="s">
        <v>14</v>
      </c>
      <c r="D833" s="89"/>
      <c r="E833" s="4"/>
    </row>
    <row r="834" spans="1:5" ht="28">
      <c r="A834" s="2" t="s">
        <v>11</v>
      </c>
      <c r="B834" s="2" t="s">
        <v>24</v>
      </c>
      <c r="C834" s="63" t="s">
        <v>104</v>
      </c>
      <c r="D834" s="89"/>
      <c r="E834" s="4"/>
    </row>
    <row r="835" spans="1:5" ht="26">
      <c r="A835" s="1" t="s">
        <v>12</v>
      </c>
      <c r="B835" s="2" t="s">
        <v>25</v>
      </c>
      <c r="C835" s="63" t="s">
        <v>105</v>
      </c>
      <c r="D835" s="89"/>
      <c r="E835" s="4"/>
    </row>
    <row r="836" spans="1:5" ht="28">
      <c r="A836" s="2" t="s">
        <v>13</v>
      </c>
      <c r="B836" s="1" t="s">
        <v>27</v>
      </c>
      <c r="C836" s="63" t="s">
        <v>367</v>
      </c>
      <c r="D836" s="89"/>
      <c r="E836" s="4"/>
    </row>
    <row r="837" spans="1:5" ht="28">
      <c r="A837" s="2" t="s">
        <v>14</v>
      </c>
      <c r="B837" s="1"/>
      <c r="C837" s="63" t="s">
        <v>368</v>
      </c>
      <c r="D837" s="89"/>
      <c r="E837" s="4"/>
    </row>
    <row r="838" spans="1:5" ht="42">
      <c r="A838" s="2" t="s">
        <v>15</v>
      </c>
      <c r="B838" s="43"/>
      <c r="C838" s="63" t="s">
        <v>369</v>
      </c>
      <c r="D838" s="89"/>
      <c r="E838" s="4"/>
    </row>
    <row r="839" spans="1:5" ht="42">
      <c r="A839" s="2" t="s">
        <v>16</v>
      </c>
      <c r="B839" s="43"/>
      <c r="C839" s="63" t="s">
        <v>370</v>
      </c>
      <c r="D839" s="89"/>
      <c r="E839" s="4"/>
    </row>
    <row r="840" spans="1:5" ht="42">
      <c r="A840" s="2" t="s">
        <v>17</v>
      </c>
      <c r="B840" s="43"/>
      <c r="C840" s="63" t="s">
        <v>110</v>
      </c>
      <c r="D840" s="89"/>
      <c r="E840" s="4"/>
    </row>
    <row r="841" spans="1:5" ht="42">
      <c r="A841" s="2" t="s">
        <v>18</v>
      </c>
      <c r="B841" s="43"/>
      <c r="C841" s="63" t="s">
        <v>111</v>
      </c>
      <c r="D841" s="89"/>
      <c r="E841" s="4"/>
    </row>
    <row r="842" spans="1:5" ht="28">
      <c r="A842" s="2" t="s">
        <v>19</v>
      </c>
      <c r="B842" s="43"/>
      <c r="C842" s="63" t="s">
        <v>112</v>
      </c>
      <c r="D842" s="89"/>
      <c r="E842" s="4"/>
    </row>
    <row r="843" spans="1:5" ht="28">
      <c r="A843" s="2" t="s">
        <v>20</v>
      </c>
      <c r="B843" s="43"/>
      <c r="C843" s="2" t="s">
        <v>113</v>
      </c>
      <c r="D843" s="89"/>
      <c r="E843" s="4"/>
    </row>
    <row r="844" spans="1:5" ht="14">
      <c r="A844" s="2" t="s">
        <v>21</v>
      </c>
      <c r="B844" s="43"/>
      <c r="C844" s="2" t="s">
        <v>279</v>
      </c>
      <c r="D844" s="88" t="s">
        <v>366</v>
      </c>
      <c r="E844" s="1" t="s">
        <v>0</v>
      </c>
    </row>
    <row r="845" spans="1:5" ht="28">
      <c r="A845" s="2" t="s">
        <v>22</v>
      </c>
      <c r="B845" s="43"/>
      <c r="C845" s="2" t="s">
        <v>281</v>
      </c>
      <c r="D845" s="88" t="s">
        <v>1</v>
      </c>
      <c r="E845" s="1" t="s">
        <v>1</v>
      </c>
    </row>
    <row r="846" spans="1:5" ht="28">
      <c r="A846" s="2" t="s">
        <v>23</v>
      </c>
      <c r="B846" s="43"/>
      <c r="C846" s="2" t="s">
        <v>371</v>
      </c>
      <c r="D846" s="1" t="s">
        <v>2</v>
      </c>
      <c r="E846" s="1" t="s">
        <v>2</v>
      </c>
    </row>
    <row r="847" spans="1:5" ht="28">
      <c r="A847" s="2" t="s">
        <v>24</v>
      </c>
      <c r="B847" s="43"/>
      <c r="C847" s="2" t="s">
        <v>27</v>
      </c>
      <c r="D847" s="88" t="s">
        <v>4</v>
      </c>
      <c r="E847" s="1" t="s">
        <v>4</v>
      </c>
    </row>
    <row r="848" spans="1:5" ht="28">
      <c r="A848" s="2" t="s">
        <v>25</v>
      </c>
      <c r="B848" s="43"/>
      <c r="C848" s="64"/>
      <c r="D848" s="63" t="s">
        <v>5</v>
      </c>
      <c r="E848" s="2" t="s">
        <v>5</v>
      </c>
    </row>
    <row r="849" spans="1:5" ht="14">
      <c r="A849" s="1" t="s">
        <v>27</v>
      </c>
      <c r="B849" s="43"/>
      <c r="C849" s="64"/>
      <c r="D849" s="63" t="s">
        <v>6</v>
      </c>
      <c r="E849" s="2" t="s">
        <v>6</v>
      </c>
    </row>
    <row r="850" spans="1:5" ht="14">
      <c r="A850" s="1" t="s">
        <v>28</v>
      </c>
      <c r="B850" s="43"/>
      <c r="C850" s="64"/>
      <c r="D850" s="63" t="s">
        <v>7</v>
      </c>
      <c r="E850" s="2" t="s">
        <v>7</v>
      </c>
    </row>
    <row r="851" spans="1:5" ht="28">
      <c r="A851" s="4"/>
      <c r="B851" s="43"/>
      <c r="C851" s="64"/>
      <c r="D851" s="63" t="s">
        <v>154</v>
      </c>
      <c r="E851" s="2" t="s">
        <v>154</v>
      </c>
    </row>
    <row r="852" spans="1:5" ht="14">
      <c r="A852" s="4"/>
      <c r="B852" s="43"/>
      <c r="C852" s="64"/>
      <c r="D852" s="63" t="s">
        <v>9</v>
      </c>
      <c r="E852" s="2" t="s">
        <v>9</v>
      </c>
    </row>
    <row r="853" spans="1:5" ht="14">
      <c r="A853" s="4"/>
      <c r="B853" s="43"/>
      <c r="C853" s="64"/>
      <c r="D853" s="63" t="s">
        <v>10</v>
      </c>
      <c r="E853" s="2" t="s">
        <v>204</v>
      </c>
    </row>
    <row r="854" spans="1:5" ht="14">
      <c r="A854" s="4"/>
      <c r="B854" s="43"/>
      <c r="C854" s="64"/>
      <c r="D854" s="63" t="s">
        <v>11</v>
      </c>
      <c r="E854" s="2" t="s">
        <v>205</v>
      </c>
    </row>
    <row r="855" spans="1:5" ht="13">
      <c r="A855" s="4"/>
      <c r="B855" s="43"/>
      <c r="C855" s="64"/>
      <c r="D855" s="88" t="s">
        <v>12</v>
      </c>
      <c r="E855" s="1" t="s">
        <v>12</v>
      </c>
    </row>
    <row r="856" spans="1:5" ht="26">
      <c r="A856" s="4"/>
      <c r="B856" s="43"/>
      <c r="C856" s="64"/>
      <c r="D856" s="63" t="s">
        <v>13</v>
      </c>
      <c r="E856" s="63" t="s">
        <v>13</v>
      </c>
    </row>
    <row r="857" spans="1:5" ht="26">
      <c r="A857" s="4"/>
      <c r="B857" s="43"/>
      <c r="C857" s="64"/>
      <c r="D857" s="63" t="s">
        <v>14</v>
      </c>
      <c r="E857" s="63" t="s">
        <v>14</v>
      </c>
    </row>
    <row r="858" spans="1:5" ht="26">
      <c r="A858" s="4"/>
      <c r="B858" s="43"/>
      <c r="C858" s="64"/>
      <c r="D858" s="63" t="s">
        <v>104</v>
      </c>
      <c r="E858" s="63" t="s">
        <v>104</v>
      </c>
    </row>
    <row r="859" spans="1:5" ht="26">
      <c r="A859" s="4"/>
      <c r="B859" s="43"/>
      <c r="C859" s="64"/>
      <c r="D859" s="63" t="s">
        <v>105</v>
      </c>
      <c r="E859" s="63" t="s">
        <v>105</v>
      </c>
    </row>
    <row r="860" spans="1:5" ht="26">
      <c r="A860" s="4"/>
      <c r="B860" s="43"/>
      <c r="C860" s="64"/>
      <c r="D860" s="63" t="s">
        <v>367</v>
      </c>
      <c r="E860" s="63" t="s">
        <v>367</v>
      </c>
    </row>
    <row r="861" spans="1:5" ht="26">
      <c r="A861" s="4"/>
      <c r="B861" s="43"/>
      <c r="C861" s="64"/>
      <c r="D861" s="63" t="s">
        <v>368</v>
      </c>
      <c r="E861" s="63" t="s">
        <v>368</v>
      </c>
    </row>
    <row r="862" spans="1:5" ht="26">
      <c r="A862" s="4"/>
      <c r="B862" s="43"/>
      <c r="C862" s="64"/>
      <c r="D862" s="63" t="s">
        <v>369</v>
      </c>
      <c r="E862" s="63" t="s">
        <v>369</v>
      </c>
    </row>
    <row r="863" spans="1:5" ht="26">
      <c r="A863" s="4"/>
      <c r="B863" s="43"/>
      <c r="C863" s="64"/>
      <c r="D863" s="63" t="s">
        <v>370</v>
      </c>
      <c r="E863" s="63" t="s">
        <v>370</v>
      </c>
    </row>
    <row r="864" spans="1:5" ht="13">
      <c r="A864" s="4"/>
      <c r="B864" s="43"/>
      <c r="C864" s="64"/>
      <c r="D864" s="63" t="s">
        <v>110</v>
      </c>
      <c r="E864" s="63" t="s">
        <v>110</v>
      </c>
    </row>
    <row r="865" spans="1:5" ht="13">
      <c r="A865" s="4"/>
      <c r="B865" s="43"/>
      <c r="C865" s="64"/>
      <c r="D865" s="63" t="s">
        <v>111</v>
      </c>
      <c r="E865" s="63" t="s">
        <v>111</v>
      </c>
    </row>
    <row r="866" spans="1:5" ht="26">
      <c r="A866" s="4"/>
      <c r="B866" s="43"/>
      <c r="C866" s="64"/>
      <c r="D866" s="63" t="s">
        <v>112</v>
      </c>
      <c r="E866" s="63" t="s">
        <v>207</v>
      </c>
    </row>
    <row r="867" spans="1:5" ht="26">
      <c r="A867" s="4"/>
      <c r="B867" s="43"/>
      <c r="C867" s="64"/>
      <c r="D867" s="63" t="s">
        <v>113</v>
      </c>
      <c r="E867" s="63" t="s">
        <v>113</v>
      </c>
    </row>
    <row r="868" spans="1:5" ht="26">
      <c r="A868" s="4"/>
      <c r="B868" s="43"/>
      <c r="C868" s="2" t="s">
        <v>0</v>
      </c>
      <c r="D868" s="63" t="s">
        <v>24</v>
      </c>
      <c r="E868" s="2" t="s">
        <v>279</v>
      </c>
    </row>
    <row r="869" spans="1:5" ht="14">
      <c r="A869" s="4"/>
      <c r="B869" s="43"/>
      <c r="C869" s="2" t="s">
        <v>1</v>
      </c>
      <c r="D869" s="63" t="s">
        <v>25</v>
      </c>
      <c r="E869" s="2" t="s">
        <v>281</v>
      </c>
    </row>
    <row r="870" spans="1:5" ht="26">
      <c r="A870" s="4"/>
      <c r="B870" s="43"/>
      <c r="C870" s="62" t="s">
        <v>2</v>
      </c>
      <c r="D870" s="63" t="s">
        <v>372</v>
      </c>
      <c r="E870" s="63" t="s">
        <v>372</v>
      </c>
    </row>
    <row r="871" spans="1:5" ht="14">
      <c r="A871" s="4"/>
      <c r="B871" s="43"/>
      <c r="C871" s="2" t="s">
        <v>4</v>
      </c>
      <c r="D871" s="88" t="s">
        <v>27</v>
      </c>
      <c r="E871" s="2" t="s">
        <v>27</v>
      </c>
    </row>
    <row r="872" spans="1:5" ht="28">
      <c r="A872" s="4"/>
      <c r="B872" s="43"/>
      <c r="C872" s="2" t="s">
        <v>5</v>
      </c>
      <c r="D872" s="89"/>
      <c r="E872" s="4"/>
    </row>
    <row r="873" spans="1:5" ht="14">
      <c r="A873" s="4"/>
      <c r="B873" s="1" t="s">
        <v>0</v>
      </c>
      <c r="C873" s="2" t="s">
        <v>6</v>
      </c>
      <c r="D873" s="89"/>
      <c r="E873" s="4"/>
    </row>
    <row r="874" spans="1:5" ht="14">
      <c r="A874" s="4"/>
      <c r="B874" s="1" t="s">
        <v>1</v>
      </c>
      <c r="C874" s="2" t="s">
        <v>7</v>
      </c>
      <c r="D874" s="89"/>
      <c r="E874" s="4"/>
    </row>
    <row r="875" spans="1:5" ht="14">
      <c r="A875" s="4"/>
      <c r="B875" s="1" t="s">
        <v>2</v>
      </c>
      <c r="C875" s="2" t="s">
        <v>8</v>
      </c>
      <c r="D875" s="89"/>
      <c r="E875" s="4"/>
    </row>
    <row r="876" spans="1:5" ht="14">
      <c r="A876" s="4"/>
      <c r="B876" s="1" t="s">
        <v>4</v>
      </c>
      <c r="C876" s="2" t="s">
        <v>9</v>
      </c>
      <c r="D876" s="89"/>
      <c r="E876" s="4"/>
    </row>
    <row r="877" spans="1:5" ht="28">
      <c r="A877" s="4"/>
      <c r="B877" s="2" t="s">
        <v>5</v>
      </c>
      <c r="C877" s="2" t="s">
        <v>103</v>
      </c>
      <c r="D877" s="89"/>
      <c r="E877" s="4"/>
    </row>
    <row r="878" spans="1:5" ht="14">
      <c r="A878" s="4"/>
      <c r="B878" s="3" t="s">
        <v>6</v>
      </c>
      <c r="C878" s="2" t="s">
        <v>11</v>
      </c>
      <c r="D878" s="89"/>
      <c r="E878" s="4"/>
    </row>
    <row r="879" spans="1:5" ht="14">
      <c r="A879" s="4"/>
      <c r="B879" s="3" t="s">
        <v>7</v>
      </c>
      <c r="C879" s="2" t="s">
        <v>12</v>
      </c>
      <c r="D879" s="89"/>
      <c r="E879" s="4"/>
    </row>
    <row r="880" spans="1:5" ht="26">
      <c r="A880" s="4"/>
      <c r="B880" s="1" t="s">
        <v>8</v>
      </c>
      <c r="C880" s="63" t="s">
        <v>13</v>
      </c>
      <c r="D880" s="89"/>
      <c r="E880" s="4"/>
    </row>
    <row r="881" spans="1:5" ht="26">
      <c r="A881" s="4"/>
      <c r="B881" s="2" t="s">
        <v>9</v>
      </c>
      <c r="C881" s="63" t="s">
        <v>14</v>
      </c>
      <c r="D881" s="89"/>
      <c r="E881" s="4"/>
    </row>
    <row r="882" spans="1:5" ht="26">
      <c r="A882" s="4"/>
      <c r="B882" s="2" t="s">
        <v>10</v>
      </c>
      <c r="C882" s="63" t="s">
        <v>104</v>
      </c>
      <c r="D882" s="89"/>
      <c r="E882" s="4"/>
    </row>
    <row r="883" spans="1:5" ht="26">
      <c r="A883" s="4"/>
      <c r="B883" s="2" t="s">
        <v>11</v>
      </c>
      <c r="C883" s="63" t="s">
        <v>105</v>
      </c>
      <c r="D883" s="89"/>
      <c r="E883" s="4"/>
    </row>
    <row r="884" spans="1:5" ht="26">
      <c r="A884" s="4"/>
      <c r="B884" s="1" t="s">
        <v>12</v>
      </c>
      <c r="C884" s="63" t="s">
        <v>367</v>
      </c>
      <c r="D884" s="89"/>
      <c r="E884" s="4"/>
    </row>
    <row r="885" spans="1:5" ht="28">
      <c r="A885" s="4"/>
      <c r="B885" s="2" t="s">
        <v>13</v>
      </c>
      <c r="C885" s="63" t="s">
        <v>368</v>
      </c>
      <c r="D885" s="89"/>
      <c r="E885" s="4"/>
    </row>
    <row r="886" spans="1:5" ht="28">
      <c r="A886" s="1" t="s">
        <v>300</v>
      </c>
      <c r="B886" s="2" t="s">
        <v>14</v>
      </c>
      <c r="C886" s="63" t="s">
        <v>369</v>
      </c>
      <c r="D886" s="89"/>
      <c r="E886" s="4"/>
    </row>
    <row r="887" spans="1:5" ht="42">
      <c r="A887" s="1" t="s">
        <v>1</v>
      </c>
      <c r="B887" s="2" t="s">
        <v>15</v>
      </c>
      <c r="C887" s="63" t="s">
        <v>370</v>
      </c>
      <c r="D887" s="89"/>
      <c r="E887" s="4"/>
    </row>
    <row r="888" spans="1:5" ht="42">
      <c r="A888" s="1" t="s">
        <v>2</v>
      </c>
      <c r="B888" s="2" t="s">
        <v>16</v>
      </c>
      <c r="C888" s="63" t="s">
        <v>110</v>
      </c>
      <c r="D888" s="89"/>
      <c r="E888" s="4"/>
    </row>
    <row r="889" spans="1:5" ht="42">
      <c r="A889" s="1" t="s">
        <v>3</v>
      </c>
      <c r="B889" s="2" t="s">
        <v>17</v>
      </c>
      <c r="C889" s="63" t="s">
        <v>111</v>
      </c>
      <c r="D889" s="89"/>
      <c r="E889" s="4"/>
    </row>
    <row r="890" spans="1:5" ht="42">
      <c r="A890" s="1" t="s">
        <v>4</v>
      </c>
      <c r="B890" s="2" t="s">
        <v>18</v>
      </c>
      <c r="C890" s="63" t="s">
        <v>112</v>
      </c>
      <c r="D890" s="89"/>
      <c r="E890" s="4"/>
    </row>
    <row r="891" spans="1:5" ht="28">
      <c r="A891" s="2" t="s">
        <v>5</v>
      </c>
      <c r="B891" s="2" t="s">
        <v>19</v>
      </c>
      <c r="C891" s="2" t="s">
        <v>113</v>
      </c>
      <c r="D891" s="89"/>
      <c r="E891" s="4"/>
    </row>
    <row r="892" spans="1:5" ht="28">
      <c r="A892" s="3" t="s">
        <v>6</v>
      </c>
      <c r="B892" s="2" t="s">
        <v>20</v>
      </c>
      <c r="C892" s="2" t="s">
        <v>279</v>
      </c>
      <c r="D892" s="89"/>
      <c r="E892" s="4"/>
    </row>
    <row r="893" spans="1:5" ht="14">
      <c r="A893" s="3" t="s">
        <v>7</v>
      </c>
      <c r="B893" s="2" t="s">
        <v>21</v>
      </c>
      <c r="C893" s="2" t="s">
        <v>281</v>
      </c>
      <c r="D893" s="89"/>
      <c r="E893" s="4"/>
    </row>
    <row r="894" spans="1:5" ht="28">
      <c r="A894" s="1" t="s">
        <v>8</v>
      </c>
      <c r="B894" s="2" t="s">
        <v>22</v>
      </c>
      <c r="C894" s="2" t="s">
        <v>371</v>
      </c>
      <c r="D894" s="89"/>
      <c r="E894" s="4"/>
    </row>
    <row r="895" spans="1:5" ht="28">
      <c r="A895" s="2" t="s">
        <v>9</v>
      </c>
      <c r="B895" s="2" t="s">
        <v>23</v>
      </c>
      <c r="C895" s="2" t="s">
        <v>27</v>
      </c>
      <c r="D895" s="89"/>
      <c r="E895" s="4"/>
    </row>
    <row r="896" spans="1:5" ht="28">
      <c r="A896" s="2" t="s">
        <v>10</v>
      </c>
      <c r="B896" s="2" t="s">
        <v>24</v>
      </c>
      <c r="C896" s="64"/>
      <c r="D896" s="89"/>
      <c r="E896" s="4"/>
    </row>
    <row r="897" spans="1:5" ht="14">
      <c r="A897" s="2" t="s">
        <v>11</v>
      </c>
      <c r="B897" s="2" t="s">
        <v>25</v>
      </c>
      <c r="C897" s="64"/>
      <c r="D897" s="89"/>
      <c r="E897" s="4"/>
    </row>
    <row r="898" spans="1:5" ht="13">
      <c r="A898" s="1" t="s">
        <v>12</v>
      </c>
      <c r="B898" s="1" t="s">
        <v>27</v>
      </c>
      <c r="C898" s="64"/>
      <c r="D898" s="89"/>
      <c r="E898" s="4"/>
    </row>
    <row r="899" spans="1:5" ht="28">
      <c r="A899" s="2" t="s">
        <v>13</v>
      </c>
      <c r="B899" s="1"/>
      <c r="C899" s="64"/>
      <c r="D899" s="89"/>
      <c r="E899" s="4"/>
    </row>
    <row r="900" spans="1:5" ht="28">
      <c r="A900" s="2" t="s">
        <v>14</v>
      </c>
      <c r="B900" s="43"/>
      <c r="C900" s="64"/>
      <c r="D900" s="89"/>
      <c r="E900" s="4"/>
    </row>
    <row r="901" spans="1:5" ht="42">
      <c r="A901" s="2" t="s">
        <v>15</v>
      </c>
      <c r="B901" s="43"/>
      <c r="C901" s="64"/>
      <c r="D901" s="89"/>
      <c r="E901" s="4"/>
    </row>
    <row r="902" spans="1:5" ht="42">
      <c r="A902" s="2" t="s">
        <v>16</v>
      </c>
      <c r="B902" s="43"/>
      <c r="C902" s="64"/>
      <c r="D902" s="89"/>
      <c r="E902" s="4"/>
    </row>
    <row r="903" spans="1:5" ht="42">
      <c r="A903" s="2" t="s">
        <v>17</v>
      </c>
      <c r="B903" s="43"/>
      <c r="C903" s="64"/>
      <c r="D903" s="89"/>
      <c r="E903" s="4"/>
    </row>
    <row r="904" spans="1:5" ht="42">
      <c r="A904" s="2" t="s">
        <v>18</v>
      </c>
      <c r="B904" s="43"/>
      <c r="C904" s="64"/>
      <c r="D904" s="88" t="s">
        <v>366</v>
      </c>
      <c r="E904" s="1" t="s">
        <v>0</v>
      </c>
    </row>
    <row r="905" spans="1:5" ht="28">
      <c r="A905" s="2" t="s">
        <v>19</v>
      </c>
      <c r="B905" s="43"/>
      <c r="C905" s="64"/>
      <c r="D905" s="88" t="s">
        <v>1</v>
      </c>
      <c r="E905" s="1" t="s">
        <v>1</v>
      </c>
    </row>
    <row r="906" spans="1:5" ht="28">
      <c r="A906" s="2" t="s">
        <v>20</v>
      </c>
      <c r="B906" s="43"/>
      <c r="C906" s="64"/>
      <c r="D906" s="1" t="s">
        <v>2</v>
      </c>
      <c r="E906" s="1" t="s">
        <v>2</v>
      </c>
    </row>
    <row r="907" spans="1:5" ht="14">
      <c r="A907" s="2" t="s">
        <v>21</v>
      </c>
      <c r="B907" s="43"/>
      <c r="C907" s="64"/>
      <c r="D907" s="88" t="s">
        <v>4</v>
      </c>
      <c r="E907" s="1" t="s">
        <v>4</v>
      </c>
    </row>
    <row r="908" spans="1:5" ht="28">
      <c r="A908" s="2" t="s">
        <v>22</v>
      </c>
      <c r="B908" s="43"/>
      <c r="C908" s="64"/>
      <c r="D908" s="63" t="s">
        <v>5</v>
      </c>
      <c r="E908" s="2" t="s">
        <v>5</v>
      </c>
    </row>
    <row r="909" spans="1:5" ht="28">
      <c r="A909" s="2" t="s">
        <v>23</v>
      </c>
      <c r="B909" s="43"/>
      <c r="C909" s="64"/>
      <c r="D909" s="63" t="s">
        <v>6</v>
      </c>
      <c r="E909" s="2" t="s">
        <v>6</v>
      </c>
    </row>
    <row r="910" spans="1:5" ht="28">
      <c r="A910" s="2" t="s">
        <v>24</v>
      </c>
      <c r="B910" s="43"/>
      <c r="C910" s="64"/>
      <c r="D910" s="63" t="s">
        <v>7</v>
      </c>
      <c r="E910" s="2" t="s">
        <v>7</v>
      </c>
    </row>
    <row r="911" spans="1:5" ht="28">
      <c r="A911" s="2" t="s">
        <v>25</v>
      </c>
      <c r="B911" s="43"/>
      <c r="C911" s="64"/>
      <c r="D911" s="63" t="s">
        <v>154</v>
      </c>
      <c r="E911" s="2" t="s">
        <v>154</v>
      </c>
    </row>
    <row r="912" spans="1:5" ht="14">
      <c r="A912" s="1" t="s">
        <v>27</v>
      </c>
      <c r="B912" s="43"/>
      <c r="C912" s="64"/>
      <c r="D912" s="63" t="s">
        <v>9</v>
      </c>
      <c r="E912" s="2" t="s">
        <v>9</v>
      </c>
    </row>
    <row r="913" spans="1:5" ht="14">
      <c r="A913" s="1" t="s">
        <v>28</v>
      </c>
      <c r="B913" s="43"/>
      <c r="C913" s="64"/>
      <c r="D913" s="63" t="s">
        <v>10</v>
      </c>
      <c r="E913" s="2" t="s">
        <v>204</v>
      </c>
    </row>
    <row r="914" spans="1:5" ht="14">
      <c r="A914" s="4"/>
      <c r="B914" s="43"/>
      <c r="C914" s="64"/>
      <c r="D914" s="63" t="s">
        <v>11</v>
      </c>
      <c r="E914" s="2" t="s">
        <v>205</v>
      </c>
    </row>
    <row r="915" spans="1:5" ht="13">
      <c r="A915" s="4"/>
      <c r="B915" s="43"/>
      <c r="C915" s="64"/>
      <c r="D915" s="88" t="s">
        <v>12</v>
      </c>
      <c r="E915" s="1" t="s">
        <v>12</v>
      </c>
    </row>
    <row r="916" spans="1:5" ht="26">
      <c r="A916" s="4"/>
      <c r="B916" s="43"/>
      <c r="C916" s="2" t="s">
        <v>0</v>
      </c>
      <c r="D916" s="63" t="s">
        <v>13</v>
      </c>
      <c r="E916" s="63" t="s">
        <v>13</v>
      </c>
    </row>
    <row r="917" spans="1:5" ht="26">
      <c r="A917" s="4"/>
      <c r="B917" s="43"/>
      <c r="C917" s="2" t="s">
        <v>1</v>
      </c>
      <c r="D917" s="63" t="s">
        <v>14</v>
      </c>
      <c r="E917" s="63" t="s">
        <v>14</v>
      </c>
    </row>
    <row r="918" spans="1:5" ht="26">
      <c r="A918" s="4"/>
      <c r="B918" s="43"/>
      <c r="C918" s="62" t="s">
        <v>2</v>
      </c>
      <c r="D918" s="63" t="s">
        <v>104</v>
      </c>
      <c r="E918" s="63" t="s">
        <v>104</v>
      </c>
    </row>
    <row r="919" spans="1:5" ht="26">
      <c r="A919" s="4"/>
      <c r="B919" s="43"/>
      <c r="C919" s="2" t="s">
        <v>4</v>
      </c>
      <c r="D919" s="63" t="s">
        <v>105</v>
      </c>
      <c r="E919" s="63" t="s">
        <v>105</v>
      </c>
    </row>
    <row r="920" spans="1:5" ht="28">
      <c r="A920" s="4"/>
      <c r="B920" s="43"/>
      <c r="C920" s="2" t="s">
        <v>5</v>
      </c>
      <c r="D920" s="63" t="s">
        <v>367</v>
      </c>
      <c r="E920" s="63" t="s">
        <v>367</v>
      </c>
    </row>
    <row r="921" spans="1:5" ht="26">
      <c r="A921" s="4"/>
      <c r="B921" s="43"/>
      <c r="C921" s="2" t="s">
        <v>6</v>
      </c>
      <c r="D921" s="63" t="s">
        <v>368</v>
      </c>
      <c r="E921" s="63" t="s">
        <v>368</v>
      </c>
    </row>
    <row r="922" spans="1:5" ht="26">
      <c r="A922" s="4"/>
      <c r="B922" s="43"/>
      <c r="C922" s="2" t="s">
        <v>7</v>
      </c>
      <c r="D922" s="63" t="s">
        <v>369</v>
      </c>
      <c r="E922" s="63" t="s">
        <v>369</v>
      </c>
    </row>
    <row r="923" spans="1:5" ht="26">
      <c r="A923" s="4"/>
      <c r="B923" s="43"/>
      <c r="C923" s="2" t="s">
        <v>8</v>
      </c>
      <c r="D923" s="63" t="s">
        <v>370</v>
      </c>
      <c r="E923" s="63" t="s">
        <v>370</v>
      </c>
    </row>
    <row r="924" spans="1:5" ht="14">
      <c r="A924" s="4"/>
      <c r="B924" s="43"/>
      <c r="C924" s="2" t="s">
        <v>9</v>
      </c>
      <c r="D924" s="63" t="s">
        <v>110</v>
      </c>
      <c r="E924" s="63" t="s">
        <v>110</v>
      </c>
    </row>
    <row r="925" spans="1:5" ht="14">
      <c r="A925" s="4"/>
      <c r="B925" s="43"/>
      <c r="C925" s="2" t="s">
        <v>103</v>
      </c>
      <c r="D925" s="63" t="s">
        <v>111</v>
      </c>
      <c r="E925" s="63" t="s">
        <v>111</v>
      </c>
    </row>
    <row r="926" spans="1:5" ht="26">
      <c r="A926" s="4"/>
      <c r="B926" s="43"/>
      <c r="C926" s="2" t="s">
        <v>11</v>
      </c>
      <c r="D926" s="63" t="s">
        <v>112</v>
      </c>
      <c r="E926" s="63" t="s">
        <v>207</v>
      </c>
    </row>
    <row r="927" spans="1:5" ht="26">
      <c r="A927" s="4"/>
      <c r="B927" s="43"/>
      <c r="C927" s="2" t="s">
        <v>12</v>
      </c>
      <c r="D927" s="63" t="s">
        <v>113</v>
      </c>
      <c r="E927" s="63" t="s">
        <v>113</v>
      </c>
    </row>
    <row r="928" spans="1:5" ht="26">
      <c r="A928" s="4"/>
      <c r="B928" s="43"/>
      <c r="C928" s="63" t="s">
        <v>13</v>
      </c>
      <c r="D928" s="63" t="s">
        <v>24</v>
      </c>
      <c r="E928" s="2" t="s">
        <v>279</v>
      </c>
    </row>
    <row r="929" spans="1:5" ht="26">
      <c r="A929" s="4"/>
      <c r="B929" s="43"/>
      <c r="C929" s="63" t="s">
        <v>14</v>
      </c>
      <c r="D929" s="63" t="s">
        <v>25</v>
      </c>
      <c r="E929" s="2" t="s">
        <v>281</v>
      </c>
    </row>
    <row r="930" spans="1:5" ht="26">
      <c r="A930" s="4"/>
      <c r="B930" s="43"/>
      <c r="C930" s="63" t="s">
        <v>104</v>
      </c>
      <c r="D930" s="63" t="s">
        <v>372</v>
      </c>
      <c r="E930" s="63" t="s">
        <v>372</v>
      </c>
    </row>
    <row r="931" spans="1:5" ht="26">
      <c r="A931" s="4"/>
      <c r="B931" s="43"/>
      <c r="C931" s="63" t="s">
        <v>105</v>
      </c>
      <c r="D931" s="88" t="s">
        <v>27</v>
      </c>
      <c r="E931" s="2" t="s">
        <v>27</v>
      </c>
    </row>
    <row r="932" spans="1:5" ht="26">
      <c r="A932" s="4"/>
      <c r="B932" s="43"/>
      <c r="C932" s="63" t="s">
        <v>367</v>
      </c>
      <c r="D932" s="89"/>
      <c r="E932" s="4"/>
    </row>
    <row r="933" spans="1:5" ht="26">
      <c r="A933" s="4"/>
      <c r="B933" s="43"/>
      <c r="C933" s="63" t="s">
        <v>368</v>
      </c>
      <c r="D933" s="89"/>
      <c r="E933" s="4"/>
    </row>
    <row r="934" spans="1:5" ht="26">
      <c r="A934" s="4"/>
      <c r="B934" s="43"/>
      <c r="C934" s="63" t="s">
        <v>369</v>
      </c>
      <c r="D934" s="89"/>
      <c r="E934" s="4"/>
    </row>
    <row r="935" spans="1:5" ht="26">
      <c r="A935" s="4"/>
      <c r="B935" s="1" t="s">
        <v>0</v>
      </c>
      <c r="C935" s="63" t="s">
        <v>370</v>
      </c>
      <c r="D935" s="89"/>
      <c r="E935" s="4"/>
    </row>
    <row r="936" spans="1:5" ht="13">
      <c r="A936" s="4"/>
      <c r="B936" s="1" t="s">
        <v>1</v>
      </c>
      <c r="C936" s="63" t="s">
        <v>110</v>
      </c>
      <c r="D936" s="89"/>
      <c r="E936" s="4"/>
    </row>
    <row r="937" spans="1:5" ht="13">
      <c r="A937" s="4"/>
      <c r="B937" s="1" t="s">
        <v>2</v>
      </c>
      <c r="C937" s="63" t="s">
        <v>111</v>
      </c>
      <c r="D937" s="89"/>
      <c r="E937" s="4"/>
    </row>
    <row r="938" spans="1:5" ht="13">
      <c r="A938" s="4"/>
      <c r="B938" s="1" t="s">
        <v>4</v>
      </c>
      <c r="C938" s="63" t="s">
        <v>112</v>
      </c>
      <c r="D938" s="89"/>
      <c r="E938" s="4"/>
    </row>
    <row r="939" spans="1:5" ht="28">
      <c r="A939" s="4"/>
      <c r="B939" s="2" t="s">
        <v>5</v>
      </c>
      <c r="C939" s="2" t="s">
        <v>113</v>
      </c>
      <c r="D939" s="89"/>
      <c r="E939" s="4"/>
    </row>
    <row r="940" spans="1:5" ht="14">
      <c r="A940" s="4"/>
      <c r="B940" s="3" t="s">
        <v>6</v>
      </c>
      <c r="C940" s="2" t="s">
        <v>279</v>
      </c>
      <c r="D940" s="89"/>
      <c r="E940" s="4"/>
    </row>
    <row r="941" spans="1:5" ht="14">
      <c r="A941" s="4"/>
      <c r="B941" s="3" t="s">
        <v>7</v>
      </c>
      <c r="C941" s="2" t="s">
        <v>281</v>
      </c>
      <c r="D941" s="89"/>
      <c r="E941" s="4"/>
    </row>
    <row r="942" spans="1:5" ht="14">
      <c r="A942" s="4"/>
      <c r="B942" s="1" t="s">
        <v>8</v>
      </c>
      <c r="C942" s="2" t="s">
        <v>371</v>
      </c>
      <c r="D942" s="89"/>
      <c r="E942" s="4"/>
    </row>
    <row r="943" spans="1:5" ht="14">
      <c r="A943" s="4"/>
      <c r="B943" s="2" t="s">
        <v>9</v>
      </c>
      <c r="C943" s="2" t="s">
        <v>27</v>
      </c>
      <c r="D943" s="89"/>
      <c r="E943" s="4"/>
    </row>
    <row r="944" spans="1:5" ht="14">
      <c r="A944" s="4"/>
      <c r="B944" s="2" t="s">
        <v>10</v>
      </c>
      <c r="C944" s="64"/>
      <c r="D944" s="89"/>
      <c r="E944" s="4"/>
    </row>
    <row r="945" spans="1:5" ht="14">
      <c r="A945" s="4"/>
      <c r="B945" s="2" t="s">
        <v>11</v>
      </c>
      <c r="C945" s="64"/>
      <c r="D945" s="89"/>
      <c r="E945" s="4"/>
    </row>
    <row r="946" spans="1:5" ht="13">
      <c r="A946" s="4"/>
      <c r="B946" s="1" t="s">
        <v>12</v>
      </c>
      <c r="C946" s="64"/>
      <c r="D946" s="89"/>
      <c r="E946" s="4"/>
    </row>
    <row r="947" spans="1:5" ht="28">
      <c r="A947" s="4"/>
      <c r="B947" s="2" t="s">
        <v>13</v>
      </c>
      <c r="C947" s="64"/>
      <c r="D947" s="89"/>
      <c r="E947" s="4"/>
    </row>
    <row r="948" spans="1:5" ht="28">
      <c r="A948" s="4"/>
      <c r="B948" s="2" t="s">
        <v>14</v>
      </c>
      <c r="C948" s="64"/>
      <c r="D948" s="89"/>
      <c r="E948" s="4"/>
    </row>
    <row r="949" spans="1:5" ht="42">
      <c r="B949" s="2" t="s">
        <v>15</v>
      </c>
      <c r="C949" s="64"/>
      <c r="D949" s="89"/>
      <c r="E949" s="4"/>
    </row>
    <row r="950" spans="1:5" ht="42">
      <c r="B950" s="2" t="s">
        <v>16</v>
      </c>
      <c r="C950" s="64"/>
      <c r="D950" s="89"/>
      <c r="E950" s="4"/>
    </row>
    <row r="951" spans="1:5" ht="42">
      <c r="B951" s="2" t="s">
        <v>17</v>
      </c>
      <c r="C951" s="64"/>
      <c r="D951" s="89"/>
      <c r="E951" s="4"/>
    </row>
    <row r="952" spans="1:5" ht="42">
      <c r="B952" s="2" t="s">
        <v>18</v>
      </c>
      <c r="C952" s="64"/>
      <c r="D952" s="89"/>
      <c r="E952" s="4"/>
    </row>
    <row r="953" spans="1:5" ht="28">
      <c r="B953" s="2" t="s">
        <v>19</v>
      </c>
      <c r="C953" s="64"/>
      <c r="D953" s="89"/>
      <c r="E953" s="4"/>
    </row>
    <row r="954" spans="1:5" ht="28">
      <c r="B954" s="2" t="s">
        <v>20</v>
      </c>
      <c r="C954" s="64"/>
      <c r="D954" s="89"/>
      <c r="E954" s="4"/>
    </row>
    <row r="955" spans="1:5" ht="14">
      <c r="B955" s="2" t="s">
        <v>21</v>
      </c>
      <c r="C955" s="64"/>
      <c r="D955" s="89"/>
      <c r="E955" s="4"/>
    </row>
    <row r="956" spans="1:5" ht="28">
      <c r="B956" s="2" t="s">
        <v>22</v>
      </c>
      <c r="C956" s="64"/>
      <c r="D956" s="89"/>
      <c r="E956" s="4"/>
    </row>
    <row r="957" spans="1:5" ht="28">
      <c r="B957" s="2" t="s">
        <v>23</v>
      </c>
      <c r="C957" s="64"/>
      <c r="D957" s="89"/>
      <c r="E957" s="4"/>
    </row>
    <row r="958" spans="1:5" ht="28">
      <c r="B958" s="2" t="s">
        <v>24</v>
      </c>
      <c r="C958" s="64"/>
      <c r="D958" s="89"/>
      <c r="E958" s="4"/>
    </row>
    <row r="959" spans="1:5" ht="14">
      <c r="B959" s="2" t="s">
        <v>25</v>
      </c>
      <c r="C959" s="64"/>
      <c r="D959" s="89"/>
      <c r="E959" s="4"/>
    </row>
    <row r="960" spans="1:5" ht="13">
      <c r="B960" s="1" t="s">
        <v>27</v>
      </c>
      <c r="C960" s="64"/>
      <c r="D960" s="89"/>
      <c r="E960" s="4"/>
    </row>
    <row r="961" spans="2:5" ht="13">
      <c r="B961" s="1"/>
      <c r="C961" s="64"/>
      <c r="D961" s="89"/>
      <c r="E961" s="4"/>
    </row>
    <row r="962" spans="2:5" ht="13">
      <c r="B962" s="43"/>
      <c r="C962" s="64"/>
      <c r="D962" s="89"/>
      <c r="E962" s="4"/>
    </row>
    <row r="963" spans="2:5" ht="13">
      <c r="B963" s="43"/>
      <c r="C963" s="64"/>
      <c r="D963" s="89"/>
      <c r="E963" s="4"/>
    </row>
    <row r="964" spans="2:5" ht="13">
      <c r="B964" s="43"/>
    </row>
    <row r="965" spans="2:5" ht="13">
      <c r="B965" s="43"/>
    </row>
    <row r="966" spans="2:5" ht="13">
      <c r="B966" s="43"/>
    </row>
    <row r="967" spans="2:5" ht="13">
      <c r="B967" s="43"/>
    </row>
    <row r="968" spans="2:5" ht="13">
      <c r="B968" s="43"/>
    </row>
    <row r="969" spans="2:5" ht="13">
      <c r="B969" s="43"/>
    </row>
    <row r="970" spans="2:5" ht="13">
      <c r="B970" s="43"/>
    </row>
    <row r="971" spans="2:5" ht="13">
      <c r="B971" s="43"/>
    </row>
    <row r="972" spans="2:5" ht="13">
      <c r="B972" s="43"/>
    </row>
    <row r="973" spans="2:5" ht="13">
      <c r="B973" s="43"/>
    </row>
    <row r="974" spans="2:5" ht="13">
      <c r="B974" s="43"/>
    </row>
    <row r="975" spans="2:5" ht="13">
      <c r="B975" s="43"/>
    </row>
    <row r="976" spans="2:5" ht="13">
      <c r="B976" s="43"/>
    </row>
    <row r="977" spans="2:2" ht="13">
      <c r="B977" s="43"/>
    </row>
    <row r="978" spans="2:2" ht="13">
      <c r="B978" s="43"/>
    </row>
    <row r="979" spans="2:2" ht="13">
      <c r="B979" s="43"/>
    </row>
    <row r="980" spans="2:2" ht="13">
      <c r="B980" s="43"/>
    </row>
    <row r="981" spans="2:2" ht="13">
      <c r="B981" s="43"/>
    </row>
    <row r="982" spans="2:2" ht="13">
      <c r="B982" s="43"/>
    </row>
    <row r="983" spans="2:2" ht="13">
      <c r="B983" s="43"/>
    </row>
    <row r="984" spans="2:2" ht="13">
      <c r="B984" s="43"/>
    </row>
    <row r="985" spans="2:2" ht="13">
      <c r="B985" s="43"/>
    </row>
    <row r="986" spans="2:2" ht="13">
      <c r="B986" s="43"/>
    </row>
    <row r="987" spans="2:2" ht="13">
      <c r="B987" s="43"/>
    </row>
    <row r="988" spans="2:2" ht="13">
      <c r="B988" s="43"/>
    </row>
    <row r="989" spans="2:2" ht="13">
      <c r="B989" s="43"/>
    </row>
    <row r="990" spans="2:2" ht="13">
      <c r="B990" s="43"/>
    </row>
    <row r="991" spans="2:2" ht="13">
      <c r="B991" s="43"/>
    </row>
    <row r="992" spans="2:2" ht="13">
      <c r="B992" s="43"/>
    </row>
    <row r="993" spans="2:2" ht="13">
      <c r="B993" s="43"/>
    </row>
    <row r="994" spans="2:2" ht="13">
      <c r="B994" s="43"/>
    </row>
    <row r="995" spans="2:2" ht="13">
      <c r="B995" s="43"/>
    </row>
    <row r="996" spans="2:2" ht="13">
      <c r="B996" s="4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32"/>
  <sheetViews>
    <sheetView topLeftCell="B1" workbookViewId="0"/>
  </sheetViews>
  <sheetFormatPr baseColWidth="10" defaultColWidth="12.6640625" defaultRowHeight="15.75" customHeight="1"/>
  <cols>
    <col min="1" max="1" width="76.1640625" hidden="1" customWidth="1"/>
    <col min="2" max="2" width="7.33203125" customWidth="1"/>
    <col min="3" max="14" width="5.6640625" customWidth="1"/>
  </cols>
  <sheetData>
    <row r="1" spans="1:14" ht="15.75" customHeight="1">
      <c r="A1" s="7" t="s">
        <v>373</v>
      </c>
      <c r="B1" t="str">
        <f ca="1">IFERROR(__xludf.DUMMYFUNCTION("split(A1,"" "")"),"Day")</f>
        <v>Day</v>
      </c>
      <c r="C1" s="67" t="str">
        <f ca="1">IFERROR(__xludf.DUMMYFUNCTION("""COMPUTED_VALUE"""),"Jan.")</f>
        <v>Jan.</v>
      </c>
      <c r="D1" s="67" t="str">
        <f ca="1">IFERROR(__xludf.DUMMYFUNCTION("""COMPUTED_VALUE"""),"Feb.")</f>
        <v>Feb.</v>
      </c>
      <c r="E1" s="67" t="str">
        <f ca="1">IFERROR(__xludf.DUMMYFUNCTION("""COMPUTED_VALUE"""),"Mar.")</f>
        <v>Mar.</v>
      </c>
      <c r="F1" s="67" t="str">
        <f ca="1">IFERROR(__xludf.DUMMYFUNCTION("""COMPUTED_VALUE"""),"Apr.")</f>
        <v>Apr.</v>
      </c>
      <c r="G1" s="67" t="str">
        <f ca="1">IFERROR(__xludf.DUMMYFUNCTION("""COMPUTED_VALUE"""),"May")</f>
        <v>May</v>
      </c>
      <c r="H1" s="67" t="str">
        <f ca="1">IFERROR(__xludf.DUMMYFUNCTION("""COMPUTED_VALUE"""),"June")</f>
        <v>June</v>
      </c>
      <c r="I1" s="67" t="str">
        <f ca="1">IFERROR(__xludf.DUMMYFUNCTION("""COMPUTED_VALUE"""),"July")</f>
        <v>July</v>
      </c>
      <c r="J1" s="67" t="str">
        <f ca="1">IFERROR(__xludf.DUMMYFUNCTION("""COMPUTED_VALUE"""),"Aug.")</f>
        <v>Aug.</v>
      </c>
      <c r="K1" s="67" t="str">
        <f ca="1">IFERROR(__xludf.DUMMYFUNCTION("""COMPUTED_VALUE"""),"Sep.")</f>
        <v>Sep.</v>
      </c>
      <c r="L1" s="67" t="str">
        <f ca="1">IFERROR(__xludf.DUMMYFUNCTION("""COMPUTED_VALUE"""),"Oct.")</f>
        <v>Oct.</v>
      </c>
      <c r="M1" s="67" t="str">
        <f ca="1">IFERROR(__xludf.DUMMYFUNCTION("""COMPUTED_VALUE"""),"Nov.")</f>
        <v>Nov.</v>
      </c>
      <c r="N1" s="67" t="str">
        <f ca="1">IFERROR(__xludf.DUMMYFUNCTION("""COMPUTED_VALUE"""),"Dec.")</f>
        <v>Dec.</v>
      </c>
    </row>
    <row r="2" spans="1:14" ht="15.75" customHeight="1">
      <c r="A2" s="7" t="s">
        <v>374</v>
      </c>
      <c r="B2">
        <f ca="1">IFERROR(__xludf.DUMMYFUNCTION("split(A2,"" "")"),1)</f>
        <v>1</v>
      </c>
      <c r="C2" s="67">
        <f ca="1">IFERROR(__xludf.DUMMYFUNCTION("""COMPUTED_VALUE"""),0.09)</f>
        <v>0.09</v>
      </c>
      <c r="D2" s="67">
        <f ca="1">IFERROR(__xludf.DUMMYFUNCTION("""COMPUTED_VALUE"""),0.2)</f>
        <v>0.2</v>
      </c>
      <c r="E2" s="67">
        <f ca="1">IFERROR(__xludf.DUMMYFUNCTION("""COMPUTED_VALUE"""),0.09)</f>
        <v>0.09</v>
      </c>
      <c r="F2" s="67">
        <f ca="1">IFERROR(__xludf.DUMMYFUNCTION("""COMPUTED_VALUE"""),0.23)</f>
        <v>0.23</v>
      </c>
      <c r="G2" s="67">
        <f ca="1">IFERROR(__xludf.DUMMYFUNCTION("""COMPUTED_VALUE"""),0.31)</f>
        <v>0.31</v>
      </c>
      <c r="H2" s="67">
        <f ca="1">IFERROR(__xludf.DUMMYFUNCTION("""COMPUTED_VALUE"""),0.48)</f>
        <v>0.48</v>
      </c>
      <c r="I2" s="67">
        <f ca="1">IFERROR(__xludf.DUMMYFUNCTION("""COMPUTED_VALUE"""),0.53)</f>
        <v>0.53</v>
      </c>
      <c r="J2" s="67">
        <f ca="1">IFERROR(__xludf.DUMMYFUNCTION("""COMPUTED_VALUE"""),0.66)</f>
        <v>0.66</v>
      </c>
      <c r="K2" s="67">
        <f ca="1">IFERROR(__xludf.DUMMYFUNCTION("""COMPUTED_VALUE"""),0.77)</f>
        <v>0.77</v>
      </c>
      <c r="L2" s="67">
        <f ca="1">IFERROR(__xludf.DUMMYFUNCTION("""COMPUTED_VALUE"""),0.79)</f>
        <v>0.79</v>
      </c>
      <c r="M2" s="67">
        <f ca="1">IFERROR(__xludf.DUMMYFUNCTION("""COMPUTED_VALUE"""),0.89)</f>
        <v>0.89</v>
      </c>
      <c r="N2" s="67">
        <f ca="1">IFERROR(__xludf.DUMMYFUNCTION("""COMPUTED_VALUE"""),0.92)</f>
        <v>0.92</v>
      </c>
    </row>
    <row r="3" spans="1:14" ht="15.75" customHeight="1">
      <c r="A3" s="7" t="s">
        <v>375</v>
      </c>
      <c r="B3">
        <f ca="1">IFERROR(__xludf.DUMMYFUNCTION("split(A3,"" "")"),2)</f>
        <v>2</v>
      </c>
      <c r="C3" s="67">
        <f ca="1">IFERROR(__xludf.DUMMYFUNCTION("""COMPUTED_VALUE"""),0.16)</f>
        <v>0.16</v>
      </c>
      <c r="D3" s="67">
        <f ca="1">IFERROR(__xludf.DUMMYFUNCTION("""COMPUTED_VALUE"""),0.3)</f>
        <v>0.3</v>
      </c>
      <c r="E3" s="67">
        <f ca="1">IFERROR(__xludf.DUMMYFUNCTION("""COMPUTED_VALUE"""),0.17)</f>
        <v>0.17</v>
      </c>
      <c r="F3" s="67">
        <f ca="1">IFERROR(__xludf.DUMMYFUNCTION("""COMPUTED_VALUE"""),0.34)</f>
        <v>0.34</v>
      </c>
      <c r="G3" s="67">
        <f ca="1">IFERROR(__xludf.DUMMYFUNCTION("""COMPUTED_VALUE"""),0.42)</f>
        <v>0.42</v>
      </c>
      <c r="H3" s="67">
        <f ca="1">IFERROR(__xludf.DUMMYFUNCTION("""COMPUTED_VALUE"""),0.58)</f>
        <v>0.57999999999999996</v>
      </c>
      <c r="I3" s="67">
        <f ca="1">IFERROR(__xludf.DUMMYFUNCTION("""COMPUTED_VALUE"""),0.63)</f>
        <v>0.63</v>
      </c>
      <c r="J3" s="67">
        <f ca="1">IFERROR(__xludf.DUMMYFUNCTION("""COMPUTED_VALUE"""),0.75)</f>
        <v>0.75</v>
      </c>
      <c r="K3" s="67">
        <f ca="1">IFERROR(__xludf.DUMMYFUNCTION("""COMPUTED_VALUE"""),0.85)</f>
        <v>0.85</v>
      </c>
      <c r="L3" s="67">
        <f ca="1">IFERROR(__xludf.DUMMYFUNCTION("""COMPUTED_VALUE"""),0.87)</f>
        <v>0.87</v>
      </c>
      <c r="M3" s="67">
        <f ca="1">IFERROR(__xludf.DUMMYFUNCTION("""COMPUTED_VALUE"""),0.95)</f>
        <v>0.95</v>
      </c>
      <c r="N3" s="67">
        <f ca="1">IFERROR(__xludf.DUMMYFUNCTION("""COMPUTED_VALUE"""),0.97)</f>
        <v>0.97</v>
      </c>
    </row>
    <row r="4" spans="1:14" ht="15.75" customHeight="1">
      <c r="A4" s="7" t="s">
        <v>376</v>
      </c>
      <c r="B4">
        <f ca="1">IFERROR(__xludf.DUMMYFUNCTION("split(A4,"" "")"),3)</f>
        <v>3</v>
      </c>
      <c r="C4" s="67">
        <f ca="1">IFERROR(__xludf.DUMMYFUNCTION("""COMPUTED_VALUE"""),0.24)</f>
        <v>0.24</v>
      </c>
      <c r="D4" s="67">
        <f ca="1">IFERROR(__xludf.DUMMYFUNCTION("""COMPUTED_VALUE"""),0.41)</f>
        <v>0.41</v>
      </c>
      <c r="E4" s="67">
        <f ca="1">IFERROR(__xludf.DUMMYFUNCTION("""COMPUTED_VALUE"""),0.26)</f>
        <v>0.26</v>
      </c>
      <c r="F4" s="67">
        <f ca="1">IFERROR(__xludf.DUMMYFUNCTION("""COMPUTED_VALUE"""),0.45)</f>
        <v>0.45</v>
      </c>
      <c r="G4" s="67">
        <f ca="1">IFERROR(__xludf.DUMMYFUNCTION("""COMPUTED_VALUE"""),0.52)</f>
        <v>0.52</v>
      </c>
      <c r="H4" s="67">
        <f ca="1">IFERROR(__xludf.DUMMYFUNCTION("""COMPUTED_VALUE"""),0.68)</f>
        <v>0.68</v>
      </c>
      <c r="I4" s="67">
        <f ca="1">IFERROR(__xludf.DUMMYFUNCTION("""COMPUTED_VALUE"""),0.72)</f>
        <v>0.72</v>
      </c>
      <c r="J4" s="67">
        <f ca="1">IFERROR(__xludf.DUMMYFUNCTION("""COMPUTED_VALUE"""),0.82)</f>
        <v>0.82</v>
      </c>
      <c r="K4" s="67">
        <f ca="1">IFERROR(__xludf.DUMMYFUNCTION("""COMPUTED_VALUE"""),0.91)</f>
        <v>0.91</v>
      </c>
      <c r="L4" s="67">
        <f ca="1">IFERROR(__xludf.DUMMYFUNCTION("""COMPUTED_VALUE"""),0.93)</f>
        <v>0.93</v>
      </c>
      <c r="M4" s="67">
        <f ca="1">IFERROR(__xludf.DUMMYFUNCTION("""COMPUTED_VALUE"""),0.99)</f>
        <v>0.99</v>
      </c>
      <c r="N4" s="67">
        <f ca="1">IFERROR(__xludf.DUMMYFUNCTION("""COMPUTED_VALUE"""),1)</f>
        <v>1</v>
      </c>
    </row>
    <row r="5" spans="1:14" ht="15.75" customHeight="1">
      <c r="A5" s="7" t="s">
        <v>377</v>
      </c>
      <c r="B5">
        <f ca="1">IFERROR(__xludf.DUMMYFUNCTION("split(A5,"" "")"),4)</f>
        <v>4</v>
      </c>
      <c r="C5" s="67">
        <f ca="1">IFERROR(__xludf.DUMMYFUNCTION("""COMPUTED_VALUE"""),0.34)</f>
        <v>0.34</v>
      </c>
      <c r="D5" s="67">
        <f ca="1">IFERROR(__xludf.DUMMYFUNCTION("""COMPUTED_VALUE"""),0.52)</f>
        <v>0.52</v>
      </c>
      <c r="E5" s="67">
        <f ca="1">IFERROR(__xludf.DUMMYFUNCTION("""COMPUTED_VALUE"""),0.37)</f>
        <v>0.37</v>
      </c>
      <c r="F5" s="67">
        <f ca="1">IFERROR(__xludf.DUMMYFUNCTION("""COMPUTED_VALUE"""),0.56)</f>
        <v>0.56000000000000005</v>
      </c>
      <c r="G5" s="67">
        <f ca="1">IFERROR(__xludf.DUMMYFUNCTION("""COMPUTED_VALUE"""),0.63)</f>
        <v>0.63</v>
      </c>
      <c r="H5" s="67">
        <f ca="1">IFERROR(__xludf.DUMMYFUNCTION("""COMPUTED_VALUE"""),0.77)</f>
        <v>0.77</v>
      </c>
      <c r="I5" s="67">
        <f ca="1">IFERROR(__xludf.DUMMYFUNCTION("""COMPUTED_VALUE"""),0.8)</f>
        <v>0.8</v>
      </c>
      <c r="J5" s="67">
        <f ca="1">IFERROR(__xludf.DUMMYFUNCTION("""COMPUTED_VALUE"""),0.89)</f>
        <v>0.89</v>
      </c>
      <c r="K5" s="67">
        <f ca="1">IFERROR(__xludf.DUMMYFUNCTION("""COMPUTED_VALUE"""),0.96)</f>
        <v>0.96</v>
      </c>
      <c r="L5" s="67">
        <f ca="1">IFERROR(__xludf.DUMMYFUNCTION("""COMPUTED_VALUE"""),0.97)</f>
        <v>0.97</v>
      </c>
      <c r="M5" s="67">
        <f ca="1">IFERROR(__xludf.DUMMYFUNCTION("""COMPUTED_VALUE"""),1)</f>
        <v>1</v>
      </c>
      <c r="N5" s="67">
        <f ca="1">IFERROR(__xludf.DUMMYFUNCTION("""COMPUTED_VALUE"""),0.99)</f>
        <v>0.99</v>
      </c>
    </row>
    <row r="6" spans="1:14" ht="15.75" customHeight="1">
      <c r="A6" s="7" t="s">
        <v>378</v>
      </c>
      <c r="B6">
        <f ca="1">IFERROR(__xludf.DUMMYFUNCTION("split(A6,"" "")"),5)</f>
        <v>5</v>
      </c>
      <c r="C6" s="67">
        <f ca="1">IFERROR(__xludf.DUMMYFUNCTION("""COMPUTED_VALUE"""),0.45)</f>
        <v>0.45</v>
      </c>
      <c r="D6" s="67">
        <f ca="1">IFERROR(__xludf.DUMMYFUNCTION("""COMPUTED_VALUE"""),0.63)</f>
        <v>0.63</v>
      </c>
      <c r="E6" s="67">
        <f ca="1">IFERROR(__xludf.DUMMYFUNCTION("""COMPUTED_VALUE"""),0.48)</f>
        <v>0.48</v>
      </c>
      <c r="F6" s="67">
        <f ca="1">IFERROR(__xludf.DUMMYFUNCTION("""COMPUTED_VALUE"""),0.67)</f>
        <v>0.67</v>
      </c>
      <c r="G6" s="67">
        <f ca="1">IFERROR(__xludf.DUMMYFUNCTION("""COMPUTED_VALUE"""),0.73)</f>
        <v>0.73</v>
      </c>
      <c r="H6" s="67">
        <f ca="1">IFERROR(__xludf.DUMMYFUNCTION("""COMPUTED_VALUE"""),0.85)</f>
        <v>0.85</v>
      </c>
      <c r="I6" s="67">
        <f ca="1">IFERROR(__xludf.DUMMYFUNCTION("""COMPUTED_VALUE"""),0.87)</f>
        <v>0.87</v>
      </c>
      <c r="J6" s="67">
        <f ca="1">IFERROR(__xludf.DUMMYFUNCTION("""COMPUTED_VALUE"""),0.94)</f>
        <v>0.94</v>
      </c>
      <c r="K6" s="67">
        <f ca="1">IFERROR(__xludf.DUMMYFUNCTION("""COMPUTED_VALUE"""),0.99)</f>
        <v>0.99</v>
      </c>
      <c r="L6" s="67">
        <f ca="1">IFERROR(__xludf.DUMMYFUNCTION("""COMPUTED_VALUE"""),1)</f>
        <v>1</v>
      </c>
      <c r="M6" s="67">
        <f ca="1">IFERROR(__xludf.DUMMYFUNCTION("""COMPUTED_VALUE"""),0.98)</f>
        <v>0.98</v>
      </c>
      <c r="N6" s="67">
        <f ca="1">IFERROR(__xludf.DUMMYFUNCTION("""COMPUTED_VALUE"""),0.96)</f>
        <v>0.96</v>
      </c>
    </row>
    <row r="7" spans="1:14" ht="15.75" customHeight="1">
      <c r="A7" s="7" t="s">
        <v>379</v>
      </c>
      <c r="B7">
        <f ca="1">IFERROR(__xludf.DUMMYFUNCTION("split(A7,"" "")"),6)</f>
        <v>6</v>
      </c>
      <c r="C7" s="67">
        <f ca="1">IFERROR(__xludf.DUMMYFUNCTION("""COMPUTED_VALUE"""),0.56)</f>
        <v>0.56000000000000005</v>
      </c>
      <c r="D7" s="67">
        <f ca="1">IFERROR(__xludf.DUMMYFUNCTION("""COMPUTED_VALUE"""),0.74)</f>
        <v>0.74</v>
      </c>
      <c r="E7" s="67">
        <f ca="1">IFERROR(__xludf.DUMMYFUNCTION("""COMPUTED_VALUE"""),0.6)</f>
        <v>0.6</v>
      </c>
      <c r="F7" s="67">
        <f ca="1">IFERROR(__xludf.DUMMYFUNCTION("""COMPUTED_VALUE"""),0.77)</f>
        <v>0.77</v>
      </c>
      <c r="G7" s="67">
        <f ca="1">IFERROR(__xludf.DUMMYFUNCTION("""COMPUTED_VALUE"""),0.81)</f>
        <v>0.81</v>
      </c>
      <c r="H7" s="67">
        <f ca="1">IFERROR(__xludf.DUMMYFUNCTION("""COMPUTED_VALUE"""),0.91)</f>
        <v>0.91</v>
      </c>
      <c r="I7" s="67">
        <f ca="1">IFERROR(__xludf.DUMMYFUNCTION("""COMPUTED_VALUE"""),0.93)</f>
        <v>0.93</v>
      </c>
      <c r="J7" s="67">
        <f ca="1">IFERROR(__xludf.DUMMYFUNCTION("""COMPUTED_VALUE"""),0.98)</f>
        <v>0.98</v>
      </c>
      <c r="K7" s="67">
        <f ca="1">IFERROR(__xludf.DUMMYFUNCTION("""COMPUTED_VALUE"""),1)</f>
        <v>1</v>
      </c>
      <c r="L7" s="67">
        <f ca="1">IFERROR(__xludf.DUMMYFUNCTION("""COMPUTED_VALUE"""),0.99)</f>
        <v>0.99</v>
      </c>
      <c r="M7" s="67">
        <f ca="1">IFERROR(__xludf.DUMMYFUNCTION("""COMPUTED_VALUE"""),0.93)</f>
        <v>0.93</v>
      </c>
      <c r="N7" s="67">
        <f ca="1">IFERROR(__xludf.DUMMYFUNCTION("""COMPUTED_VALUE"""),0.9)</f>
        <v>0.9</v>
      </c>
    </row>
    <row r="8" spans="1:14" ht="15.75" customHeight="1">
      <c r="A8" s="7" t="s">
        <v>380</v>
      </c>
      <c r="B8">
        <f ca="1">IFERROR(__xludf.DUMMYFUNCTION("split(A8,"" "")"),7)</f>
        <v>7</v>
      </c>
      <c r="C8" s="67">
        <f ca="1">IFERROR(__xludf.DUMMYFUNCTION("""COMPUTED_VALUE"""),0.67)</f>
        <v>0.67</v>
      </c>
      <c r="D8" s="67">
        <f ca="1">IFERROR(__xludf.DUMMYFUNCTION("""COMPUTED_VALUE"""),0.83)</f>
        <v>0.83</v>
      </c>
      <c r="E8" s="67">
        <f ca="1">IFERROR(__xludf.DUMMYFUNCTION("""COMPUTED_VALUE"""),0.71)</f>
        <v>0.71</v>
      </c>
      <c r="F8" s="67">
        <f ca="1">IFERROR(__xludf.DUMMYFUNCTION("""COMPUTED_VALUE"""),0.85)</f>
        <v>0.85</v>
      </c>
      <c r="G8" s="67">
        <f ca="1">IFERROR(__xludf.DUMMYFUNCTION("""COMPUTED_VALUE"""),0.88)</f>
        <v>0.88</v>
      </c>
      <c r="H8" s="67">
        <f ca="1">IFERROR(__xludf.DUMMYFUNCTION("""COMPUTED_VALUE"""),0.95)</f>
        <v>0.95</v>
      </c>
      <c r="I8" s="67">
        <f ca="1">IFERROR(__xludf.DUMMYFUNCTION("""COMPUTED_VALUE"""),0.97)</f>
        <v>0.97</v>
      </c>
      <c r="J8" s="67">
        <f ca="1">IFERROR(__xludf.DUMMYFUNCTION("""COMPUTED_VALUE"""),1)</f>
        <v>1</v>
      </c>
      <c r="K8" s="67">
        <f ca="1">IFERROR(__xludf.DUMMYFUNCTION("""COMPUTED_VALUE"""),0.99)</f>
        <v>0.99</v>
      </c>
      <c r="L8" s="67">
        <f ca="1">IFERROR(__xludf.DUMMYFUNCTION("""COMPUTED_VALUE"""),0.97)</f>
        <v>0.97</v>
      </c>
      <c r="M8" s="67">
        <f ca="1">IFERROR(__xludf.DUMMYFUNCTION("""COMPUTED_VALUE"""),0.86)</f>
        <v>0.86</v>
      </c>
      <c r="N8" s="67">
        <f ca="1">IFERROR(__xludf.DUMMYFUNCTION("""COMPUTED_VALUE"""),0.81)</f>
        <v>0.81</v>
      </c>
    </row>
    <row r="9" spans="1:14" ht="15.75" customHeight="1">
      <c r="A9" s="7" t="s">
        <v>381</v>
      </c>
      <c r="B9">
        <f ca="1">IFERROR(__xludf.DUMMYFUNCTION("split(A9,"" "")"),8)</f>
        <v>8</v>
      </c>
      <c r="C9" s="67">
        <f ca="1">IFERROR(__xludf.DUMMYFUNCTION("""COMPUTED_VALUE"""),0.77)</f>
        <v>0.77</v>
      </c>
      <c r="D9" s="67">
        <f ca="1">IFERROR(__xludf.DUMMYFUNCTION("""COMPUTED_VALUE"""),0.91)</f>
        <v>0.91</v>
      </c>
      <c r="E9" s="67">
        <f ca="1">IFERROR(__xludf.DUMMYFUNCTION("""COMPUTED_VALUE"""),0.8)</f>
        <v>0.8</v>
      </c>
      <c r="F9" s="67">
        <f ca="1">IFERROR(__xludf.DUMMYFUNCTION("""COMPUTED_VALUE"""),0.92)</f>
        <v>0.92</v>
      </c>
      <c r="G9" s="67">
        <f ca="1">IFERROR(__xludf.DUMMYFUNCTION("""COMPUTED_VALUE"""),0.94)</f>
        <v>0.94</v>
      </c>
      <c r="H9" s="67">
        <f ca="1">IFERROR(__xludf.DUMMYFUNCTION("""COMPUTED_VALUE"""),0.98)</f>
        <v>0.98</v>
      </c>
      <c r="I9" s="67">
        <f ca="1">IFERROR(__xludf.DUMMYFUNCTION("""COMPUTED_VALUE"""),0.99)</f>
        <v>0.99</v>
      </c>
      <c r="J9" s="67">
        <f ca="1">IFERROR(__xludf.DUMMYFUNCTION("""COMPUTED_VALUE"""),1)</f>
        <v>1</v>
      </c>
      <c r="K9" s="67">
        <f ca="1">IFERROR(__xludf.DUMMYFUNCTION("""COMPUTED_VALUE"""),0.95)</f>
        <v>0.95</v>
      </c>
      <c r="L9" s="67">
        <f ca="1">IFERROR(__xludf.DUMMYFUNCTION("""COMPUTED_VALUE"""),0.91)</f>
        <v>0.91</v>
      </c>
      <c r="M9" s="67">
        <f ca="1">IFERROR(__xludf.DUMMYFUNCTION("""COMPUTED_VALUE"""),0.77)</f>
        <v>0.77</v>
      </c>
      <c r="N9" s="67">
        <f ca="1">IFERROR(__xludf.DUMMYFUNCTION("""COMPUTED_VALUE"""),0.71)</f>
        <v>0.71</v>
      </c>
    </row>
    <row r="10" spans="1:14" ht="15.75" customHeight="1">
      <c r="A10" s="7" t="s">
        <v>382</v>
      </c>
      <c r="B10">
        <f ca="1">IFERROR(__xludf.DUMMYFUNCTION("split(A10,"" "")"),9)</f>
        <v>9</v>
      </c>
      <c r="C10" s="67">
        <f ca="1">IFERROR(__xludf.DUMMYFUNCTION("""COMPUTED_VALUE"""),0.86)</f>
        <v>0.86</v>
      </c>
      <c r="D10" s="67">
        <f ca="1">IFERROR(__xludf.DUMMYFUNCTION("""COMPUTED_VALUE"""),0.96)</f>
        <v>0.96</v>
      </c>
      <c r="E10" s="67">
        <f ca="1">IFERROR(__xludf.DUMMYFUNCTION("""COMPUTED_VALUE"""),0.88)</f>
        <v>0.88</v>
      </c>
      <c r="F10" s="67">
        <f ca="1">IFERROR(__xludf.DUMMYFUNCTION("""COMPUTED_VALUE"""),0.96)</f>
        <v>0.96</v>
      </c>
      <c r="G10" s="67">
        <f ca="1">IFERROR(__xludf.DUMMYFUNCTION("""COMPUTED_VALUE"""),0.98)</f>
        <v>0.98</v>
      </c>
      <c r="H10" s="67">
        <f ca="1">IFERROR(__xludf.DUMMYFUNCTION("""COMPUTED_VALUE"""),1)</f>
        <v>1</v>
      </c>
      <c r="I10" s="67">
        <f ca="1">IFERROR(__xludf.DUMMYFUNCTION("""COMPUTED_VALUE"""),1)</f>
        <v>1</v>
      </c>
      <c r="J10" s="67">
        <f ca="1">IFERROR(__xludf.DUMMYFUNCTION("""COMPUTED_VALUE"""),0.97)</f>
        <v>0.97</v>
      </c>
      <c r="K10" s="67">
        <f ca="1">IFERROR(__xludf.DUMMYFUNCTION("""COMPUTED_VALUE"""),0.89)</f>
        <v>0.89</v>
      </c>
      <c r="L10" s="67">
        <f ca="1">IFERROR(__xludf.DUMMYFUNCTION("""COMPUTED_VALUE"""),0.84)</f>
        <v>0.84</v>
      </c>
      <c r="M10" s="67">
        <f ca="1">IFERROR(__xludf.DUMMYFUNCTION("""COMPUTED_VALUE"""),0.67)</f>
        <v>0.67</v>
      </c>
      <c r="N10" s="67">
        <f ca="1">IFERROR(__xludf.DUMMYFUNCTION("""COMPUTED_VALUE"""),0.61)</f>
        <v>0.61</v>
      </c>
    </row>
    <row r="11" spans="1:14" ht="15.75" customHeight="1">
      <c r="A11" s="7" t="s">
        <v>383</v>
      </c>
      <c r="B11">
        <f ca="1">IFERROR(__xludf.DUMMYFUNCTION("split(A11,"" "")"),10)</f>
        <v>10</v>
      </c>
      <c r="C11" s="67">
        <f ca="1">IFERROR(__xludf.DUMMYFUNCTION("""COMPUTED_VALUE"""),0.93)</f>
        <v>0.93</v>
      </c>
      <c r="D11" s="67">
        <f ca="1">IFERROR(__xludf.DUMMYFUNCTION("""COMPUTED_VALUE"""),0.99)</f>
        <v>0.99</v>
      </c>
      <c r="E11" s="67">
        <f ca="1">IFERROR(__xludf.DUMMYFUNCTION("""COMPUTED_VALUE"""),0.94)</f>
        <v>0.94</v>
      </c>
      <c r="F11" s="67">
        <f ca="1">IFERROR(__xludf.DUMMYFUNCTION("""COMPUTED_VALUE"""),0.99)</f>
        <v>0.99</v>
      </c>
      <c r="G11" s="67">
        <f ca="1">IFERROR(__xludf.DUMMYFUNCTION("""COMPUTED_VALUE"""),1)</f>
        <v>1</v>
      </c>
      <c r="H11" s="67">
        <f ca="1">IFERROR(__xludf.DUMMYFUNCTION("""COMPUTED_VALUE"""),0.99)</f>
        <v>0.99</v>
      </c>
      <c r="I11" s="67">
        <f ca="1">IFERROR(__xludf.DUMMYFUNCTION("""COMPUTED_VALUE"""),0.99)</f>
        <v>0.99</v>
      </c>
      <c r="J11" s="67">
        <f ca="1">IFERROR(__xludf.DUMMYFUNCTION("""COMPUTED_VALUE"""),0.93)</f>
        <v>0.93</v>
      </c>
      <c r="K11" s="67">
        <f ca="1">IFERROR(__xludf.DUMMYFUNCTION("""COMPUTED_VALUE"""),0.81)</f>
        <v>0.81</v>
      </c>
      <c r="L11" s="67">
        <f ca="1">IFERROR(__xludf.DUMMYFUNCTION("""COMPUTED_VALUE"""),0.74)</f>
        <v>0.74</v>
      </c>
      <c r="M11" s="67">
        <f ca="1">IFERROR(__xludf.DUMMYFUNCTION("""COMPUTED_VALUE"""),0.56)</f>
        <v>0.56000000000000005</v>
      </c>
      <c r="N11" s="67">
        <f ca="1">IFERROR(__xludf.DUMMYFUNCTION("""COMPUTED_VALUE"""),0.5)</f>
        <v>0.5</v>
      </c>
    </row>
    <row r="12" spans="1:14" ht="15.75" customHeight="1">
      <c r="A12" s="7" t="s">
        <v>384</v>
      </c>
      <c r="B12">
        <f ca="1">IFERROR(__xludf.DUMMYFUNCTION("split(A12,"" "")"),11)</f>
        <v>11</v>
      </c>
      <c r="C12" s="67">
        <f ca="1">IFERROR(__xludf.DUMMYFUNCTION("""COMPUTED_VALUE"""),0.98)</f>
        <v>0.98</v>
      </c>
      <c r="D12" s="67">
        <f ca="1">IFERROR(__xludf.DUMMYFUNCTION("""COMPUTED_VALUE"""),1)</f>
        <v>1</v>
      </c>
      <c r="E12" s="67">
        <f ca="1">IFERROR(__xludf.DUMMYFUNCTION("""COMPUTED_VALUE"""),0.98)</f>
        <v>0.98</v>
      </c>
      <c r="F12" s="67">
        <f ca="1">IFERROR(__xludf.DUMMYFUNCTION("""COMPUTED_VALUE"""),1)</f>
        <v>1</v>
      </c>
      <c r="G12" s="67">
        <f ca="1">IFERROR(__xludf.DUMMYFUNCTION("""COMPUTED_VALUE"""),1)</f>
        <v>1</v>
      </c>
      <c r="H12" s="67">
        <f ca="1">IFERROR(__xludf.DUMMYFUNCTION("""COMPUTED_VALUE"""),0.97)</f>
        <v>0.97</v>
      </c>
      <c r="I12" s="67">
        <f ca="1">IFERROR(__xludf.DUMMYFUNCTION("""COMPUTED_VALUE"""),0.96)</f>
        <v>0.96</v>
      </c>
      <c r="J12" s="67">
        <f ca="1">IFERROR(__xludf.DUMMYFUNCTION("""COMPUTED_VALUE"""),0.87)</f>
        <v>0.87</v>
      </c>
      <c r="K12" s="67">
        <f ca="1">IFERROR(__xludf.DUMMYFUNCTION("""COMPUTED_VALUE"""),0.72)</f>
        <v>0.72</v>
      </c>
      <c r="L12" s="67">
        <f ca="1">IFERROR(__xludf.DUMMYFUNCTION("""COMPUTED_VALUE"""),0.64)</f>
        <v>0.64</v>
      </c>
      <c r="M12" s="67">
        <f ca="1">IFERROR(__xludf.DUMMYFUNCTION("""COMPUTED_VALUE"""),0.45)</f>
        <v>0.45</v>
      </c>
      <c r="N12" s="67">
        <f ca="1">IFERROR(__xludf.DUMMYFUNCTION("""COMPUTED_VALUE"""),0.4)</f>
        <v>0.4</v>
      </c>
    </row>
    <row r="13" spans="1:14" ht="15.75" customHeight="1">
      <c r="A13" s="7" t="s">
        <v>385</v>
      </c>
      <c r="B13">
        <f ca="1">IFERROR(__xludf.DUMMYFUNCTION("split(A13,"" "")"),12)</f>
        <v>12</v>
      </c>
      <c r="C13" s="67">
        <f ca="1">IFERROR(__xludf.DUMMYFUNCTION("""COMPUTED_VALUE"""),1)</f>
        <v>1</v>
      </c>
      <c r="D13" s="67">
        <f ca="1">IFERROR(__xludf.DUMMYFUNCTION("""COMPUTED_VALUE"""),0.98)</f>
        <v>0.98</v>
      </c>
      <c r="E13" s="67">
        <f ca="1">IFERROR(__xludf.DUMMYFUNCTION("""COMPUTED_VALUE"""),1)</f>
        <v>1</v>
      </c>
      <c r="F13" s="67">
        <f ca="1">IFERROR(__xludf.DUMMYFUNCTION("""COMPUTED_VALUE"""),0.99)</f>
        <v>0.99</v>
      </c>
      <c r="G13" s="67">
        <f ca="1">IFERROR(__xludf.DUMMYFUNCTION("""COMPUTED_VALUE"""),0.98)</f>
        <v>0.98</v>
      </c>
      <c r="H13" s="67">
        <f ca="1">IFERROR(__xludf.DUMMYFUNCTION("""COMPUTED_VALUE"""),0.93)</f>
        <v>0.93</v>
      </c>
      <c r="I13" s="67">
        <f ca="1">IFERROR(__xludf.DUMMYFUNCTION("""COMPUTED_VALUE"""),0.91)</f>
        <v>0.91</v>
      </c>
      <c r="J13" s="67">
        <f ca="1">IFERROR(__xludf.DUMMYFUNCTION("""COMPUTED_VALUE"""),0.79)</f>
        <v>0.79</v>
      </c>
      <c r="K13" s="67">
        <f ca="1">IFERROR(__xludf.DUMMYFUNCTION("""COMPUTED_VALUE"""),0.61)</f>
        <v>0.61</v>
      </c>
      <c r="L13" s="67">
        <f ca="1">IFERROR(__xludf.DUMMYFUNCTION("""COMPUTED_VALUE"""),0.52)</f>
        <v>0.52</v>
      </c>
      <c r="M13" s="67">
        <f ca="1">IFERROR(__xludf.DUMMYFUNCTION("""COMPUTED_VALUE"""),0.34)</f>
        <v>0.34</v>
      </c>
      <c r="N13" s="67">
        <f ca="1">IFERROR(__xludf.DUMMYFUNCTION("""COMPUTED_VALUE"""),0.3)</f>
        <v>0.3</v>
      </c>
    </row>
    <row r="14" spans="1:14" ht="15.75" customHeight="1">
      <c r="A14" s="7" t="s">
        <v>386</v>
      </c>
      <c r="B14">
        <f ca="1">IFERROR(__xludf.DUMMYFUNCTION("split(A14,"" "")"),13)</f>
        <v>13</v>
      </c>
      <c r="C14" s="67">
        <f ca="1">IFERROR(__xludf.DUMMYFUNCTION("""COMPUTED_VALUE"""),0.99)</f>
        <v>0.99</v>
      </c>
      <c r="D14" s="67">
        <f ca="1">IFERROR(__xludf.DUMMYFUNCTION("""COMPUTED_VALUE"""),0.94)</f>
        <v>0.94</v>
      </c>
      <c r="E14" s="67">
        <f ca="1">IFERROR(__xludf.DUMMYFUNCTION("""COMPUTED_VALUE"""),0.99)</f>
        <v>0.99</v>
      </c>
      <c r="F14" s="67">
        <f ca="1">IFERROR(__xludf.DUMMYFUNCTION("""COMPUTED_VALUE"""),0.96)</f>
        <v>0.96</v>
      </c>
      <c r="G14" s="67">
        <f ca="1">IFERROR(__xludf.DUMMYFUNCTION("""COMPUTED_VALUE"""),0.95)</f>
        <v>0.95</v>
      </c>
      <c r="H14" s="67">
        <f ca="1">IFERROR(__xludf.DUMMYFUNCTION("""COMPUTED_VALUE"""),0.87)</f>
        <v>0.87</v>
      </c>
      <c r="I14" s="67">
        <f ca="1">IFERROR(__xludf.DUMMYFUNCTION("""COMPUTED_VALUE"""),0.84)</f>
        <v>0.84</v>
      </c>
      <c r="J14" s="67">
        <f ca="1">IFERROR(__xludf.DUMMYFUNCTION("""COMPUTED_VALUE"""),0.69)</f>
        <v>0.69</v>
      </c>
      <c r="K14" s="67">
        <f ca="1">IFERROR(__xludf.DUMMYFUNCTION("""COMPUTED_VALUE"""),0.49)</f>
        <v>0.49</v>
      </c>
      <c r="L14" s="67">
        <f ca="1">IFERROR(__xludf.DUMMYFUNCTION("""COMPUTED_VALUE"""),0.41)</f>
        <v>0.41</v>
      </c>
      <c r="M14" s="67">
        <f ca="1">IFERROR(__xludf.DUMMYFUNCTION("""COMPUTED_VALUE"""),0.25)</f>
        <v>0.25</v>
      </c>
      <c r="N14" s="67">
        <f ca="1">IFERROR(__xludf.DUMMYFUNCTION("""COMPUTED_VALUE"""),0.21)</f>
        <v>0.21</v>
      </c>
    </row>
    <row r="15" spans="1:14" ht="15.75" customHeight="1">
      <c r="A15" s="7" t="s">
        <v>387</v>
      </c>
      <c r="B15">
        <f ca="1">IFERROR(__xludf.DUMMYFUNCTION("split(A15,"" "")"),14)</f>
        <v>14</v>
      </c>
      <c r="C15" s="67">
        <f ca="1">IFERROR(__xludf.DUMMYFUNCTION("""COMPUTED_VALUE"""),0.96)</f>
        <v>0.96</v>
      </c>
      <c r="D15" s="67">
        <f ca="1">IFERROR(__xludf.DUMMYFUNCTION("""COMPUTED_VALUE"""),0.88)</f>
        <v>0.88</v>
      </c>
      <c r="E15" s="67">
        <f ca="1">IFERROR(__xludf.DUMMYFUNCTION("""COMPUTED_VALUE"""),0.97)</f>
        <v>0.97</v>
      </c>
      <c r="F15" s="67">
        <f ca="1">IFERROR(__xludf.DUMMYFUNCTION("""COMPUTED_VALUE"""),0.91)</f>
        <v>0.91</v>
      </c>
      <c r="G15" s="67">
        <f ca="1">IFERROR(__xludf.DUMMYFUNCTION("""COMPUTED_VALUE"""),0.9)</f>
        <v>0.9</v>
      </c>
      <c r="H15" s="67">
        <f ca="1">IFERROR(__xludf.DUMMYFUNCTION("""COMPUTED_VALUE"""),0.8)</f>
        <v>0.8</v>
      </c>
      <c r="I15" s="67">
        <f ca="1">IFERROR(__xludf.DUMMYFUNCTION("""COMPUTED_VALUE"""),0.76)</f>
        <v>0.76</v>
      </c>
      <c r="J15" s="67">
        <f ca="1">IFERROR(__xludf.DUMMYFUNCTION("""COMPUTED_VALUE"""),0.58)</f>
        <v>0.57999999999999996</v>
      </c>
      <c r="K15" s="67">
        <f ca="1">IFERROR(__xludf.DUMMYFUNCTION("""COMPUTED_VALUE"""),0.38)</f>
        <v>0.38</v>
      </c>
      <c r="L15" s="67">
        <f ca="1">IFERROR(__xludf.DUMMYFUNCTION("""COMPUTED_VALUE"""),0.3)</f>
        <v>0.3</v>
      </c>
      <c r="M15" s="67">
        <f ca="1">IFERROR(__xludf.DUMMYFUNCTION("""COMPUTED_VALUE"""),0.16)</f>
        <v>0.16</v>
      </c>
      <c r="N15" s="67">
        <f ca="1">IFERROR(__xludf.DUMMYFUNCTION("""COMPUTED_VALUE"""),0.14)</f>
        <v>0.14000000000000001</v>
      </c>
    </row>
    <row r="16" spans="1:14" ht="15.75" customHeight="1">
      <c r="A16" s="7" t="s">
        <v>388</v>
      </c>
      <c r="B16">
        <f ca="1">IFERROR(__xludf.DUMMYFUNCTION("split(A16,"" "")"),15)</f>
        <v>15</v>
      </c>
      <c r="C16" s="67">
        <f ca="1">IFERROR(__xludf.DUMMYFUNCTION("""COMPUTED_VALUE"""),0.9)</f>
        <v>0.9</v>
      </c>
      <c r="D16" s="67">
        <f ca="1">IFERROR(__xludf.DUMMYFUNCTION("""COMPUTED_VALUE"""),0.81)</f>
        <v>0.81</v>
      </c>
      <c r="E16" s="67">
        <f ca="1">IFERROR(__xludf.DUMMYFUNCTION("""COMPUTED_VALUE"""),0.93)</f>
        <v>0.93</v>
      </c>
      <c r="F16" s="67">
        <f ca="1">IFERROR(__xludf.DUMMYFUNCTION("""COMPUTED_VALUE"""),0.85)</f>
        <v>0.85</v>
      </c>
      <c r="G16" s="67">
        <f ca="1">IFERROR(__xludf.DUMMYFUNCTION("""COMPUTED_VALUE"""),0.83)</f>
        <v>0.83</v>
      </c>
      <c r="H16" s="67">
        <f ca="1">IFERROR(__xludf.DUMMYFUNCTION("""COMPUTED_VALUE"""),0.72)</f>
        <v>0.72</v>
      </c>
      <c r="I16" s="67">
        <f ca="1">IFERROR(__xludf.DUMMYFUNCTION("""COMPUTED_VALUE"""),0.66)</f>
        <v>0.66</v>
      </c>
      <c r="J16" s="67">
        <f ca="1">IFERROR(__xludf.DUMMYFUNCTION("""COMPUTED_VALUE"""),0.47)</f>
        <v>0.47</v>
      </c>
      <c r="K16" s="67">
        <f ca="1">IFERROR(__xludf.DUMMYFUNCTION("""COMPUTED_VALUE"""),0.27)</f>
        <v>0.27</v>
      </c>
      <c r="L16" s="67">
        <f ca="1">IFERROR(__xludf.DUMMYFUNCTION("""COMPUTED_VALUE"""),0.21)</f>
        <v>0.21</v>
      </c>
      <c r="M16" s="67">
        <f ca="1">IFERROR(__xludf.DUMMYFUNCTION("""COMPUTED_VALUE"""),0.1)</f>
        <v>0.1</v>
      </c>
      <c r="N16" s="67">
        <f ca="1">IFERROR(__xludf.DUMMYFUNCTION("""COMPUTED_VALUE"""),0.08)</f>
        <v>0.08</v>
      </c>
    </row>
    <row r="17" spans="1:14" ht="15.75" customHeight="1">
      <c r="A17" s="7" t="s">
        <v>389</v>
      </c>
      <c r="B17">
        <f ca="1">IFERROR(__xludf.DUMMYFUNCTION("split(A17,"" "")"),16)</f>
        <v>16</v>
      </c>
      <c r="C17" s="67">
        <f ca="1">IFERROR(__xludf.DUMMYFUNCTION("""COMPUTED_VALUE"""),0.83)</f>
        <v>0.83</v>
      </c>
      <c r="D17" s="67">
        <f ca="1">IFERROR(__xludf.DUMMYFUNCTION("""COMPUTED_VALUE"""),0.73)</f>
        <v>0.73</v>
      </c>
      <c r="E17" s="67">
        <f ca="1">IFERROR(__xludf.DUMMYFUNCTION("""COMPUTED_VALUE"""),0.87)</f>
        <v>0.87</v>
      </c>
      <c r="F17" s="67">
        <f ca="1">IFERROR(__xludf.DUMMYFUNCTION("""COMPUTED_VALUE"""),0.78)</f>
        <v>0.78</v>
      </c>
      <c r="G17" s="67">
        <f ca="1">IFERROR(__xludf.DUMMYFUNCTION("""COMPUTED_VALUE"""),0.76)</f>
        <v>0.76</v>
      </c>
      <c r="H17" s="67">
        <f ca="1">IFERROR(__xludf.DUMMYFUNCTION("""COMPUTED_VALUE"""),0.62)</f>
        <v>0.62</v>
      </c>
      <c r="I17" s="67">
        <f ca="1">IFERROR(__xludf.DUMMYFUNCTION("""COMPUTED_VALUE"""),0.55)</f>
        <v>0.55000000000000004</v>
      </c>
      <c r="J17" s="67">
        <f ca="1">IFERROR(__xludf.DUMMYFUNCTION("""COMPUTED_VALUE"""),0.36)</f>
        <v>0.36</v>
      </c>
      <c r="K17" s="67">
        <f ca="1">IFERROR(__xludf.DUMMYFUNCTION("""COMPUTED_VALUE"""),0.18)</f>
        <v>0.18</v>
      </c>
      <c r="L17" s="67">
        <f ca="1">IFERROR(__xludf.DUMMYFUNCTION("""COMPUTED_VALUE"""),0.13)</f>
        <v>0.13</v>
      </c>
      <c r="M17" s="67">
        <f ca="1">IFERROR(__xludf.DUMMYFUNCTION("""COMPUTED_VALUE"""),0.05)</f>
        <v>0.05</v>
      </c>
      <c r="N17" s="67">
        <f ca="1">IFERROR(__xludf.DUMMYFUNCTION("""COMPUTED_VALUE"""),0.04)</f>
        <v>0.04</v>
      </c>
    </row>
    <row r="18" spans="1:14" ht="15.75" customHeight="1">
      <c r="A18" s="7" t="s">
        <v>390</v>
      </c>
      <c r="B18">
        <f ca="1">IFERROR(__xludf.DUMMYFUNCTION("split(A18,"" "")"),17)</f>
        <v>17</v>
      </c>
      <c r="C18" s="67">
        <f ca="1">IFERROR(__xludf.DUMMYFUNCTION("""COMPUTED_VALUE"""),0.74)</f>
        <v>0.74</v>
      </c>
      <c r="D18" s="67">
        <f ca="1">IFERROR(__xludf.DUMMYFUNCTION("""COMPUTED_VALUE"""),0.64)</f>
        <v>0.64</v>
      </c>
      <c r="E18" s="67">
        <f ca="1">IFERROR(__xludf.DUMMYFUNCTION("""COMPUTED_VALUE"""),0.8)</f>
        <v>0.8</v>
      </c>
      <c r="F18" s="67">
        <f ca="1">IFERROR(__xludf.DUMMYFUNCTION("""COMPUTED_VALUE"""),0.7)</f>
        <v>0.7</v>
      </c>
      <c r="G18" s="67">
        <f ca="1">IFERROR(__xludf.DUMMYFUNCTION("""COMPUTED_VALUE"""),0.67)</f>
        <v>0.67</v>
      </c>
      <c r="H18" s="67">
        <f ca="1">IFERROR(__xludf.DUMMYFUNCTION("""COMPUTED_VALUE"""),0.52)</f>
        <v>0.52</v>
      </c>
      <c r="I18" s="67">
        <f ca="1">IFERROR(__xludf.DUMMYFUNCTION("""COMPUTED_VALUE"""),0.44)</f>
        <v>0.44</v>
      </c>
      <c r="J18" s="67">
        <f ca="1">IFERROR(__xludf.DUMMYFUNCTION("""COMPUTED_VALUE"""),0.25)</f>
        <v>0.25</v>
      </c>
      <c r="K18" s="67">
        <f ca="1">IFERROR(__xludf.DUMMYFUNCTION("""COMPUTED_VALUE"""),0.1)</f>
        <v>0.1</v>
      </c>
      <c r="L18" s="67">
        <f ca="1">IFERROR(__xludf.DUMMYFUNCTION("""COMPUTED_VALUE"""),0.07)</f>
        <v>7.0000000000000007E-2</v>
      </c>
      <c r="M18" s="67">
        <f ca="1">IFERROR(__xludf.DUMMYFUNCTION("""COMPUTED_VALUE"""),0.01)</f>
        <v>0.01</v>
      </c>
      <c r="N18" s="67">
        <f ca="1">IFERROR(__xludf.DUMMYFUNCTION("""COMPUTED_VALUE"""),0.01)</f>
        <v>0.01</v>
      </c>
    </row>
    <row r="19" spans="1:14" ht="15.75" customHeight="1">
      <c r="A19" s="7" t="s">
        <v>391</v>
      </c>
      <c r="B19">
        <f ca="1">IFERROR(__xludf.DUMMYFUNCTION("split(A19,"" "")"),18)</f>
        <v>18</v>
      </c>
      <c r="C19" s="67">
        <f ca="1">IFERROR(__xludf.DUMMYFUNCTION("""COMPUTED_VALUE"""),0.65)</f>
        <v>0.65</v>
      </c>
      <c r="D19" s="67">
        <f ca="1">IFERROR(__xludf.DUMMYFUNCTION("""COMPUTED_VALUE"""),0.55)</f>
        <v>0.55000000000000004</v>
      </c>
      <c r="E19" s="67">
        <f ca="1">IFERROR(__xludf.DUMMYFUNCTION("""COMPUTED_VALUE"""),0.71)</f>
        <v>0.71</v>
      </c>
      <c r="F19" s="67">
        <f ca="1">IFERROR(__xludf.DUMMYFUNCTION("""COMPUTED_VALUE"""),0.61)</f>
        <v>0.61</v>
      </c>
      <c r="G19" s="67">
        <f ca="1">IFERROR(__xludf.DUMMYFUNCTION("""COMPUTED_VALUE"""),0.57)</f>
        <v>0.56999999999999995</v>
      </c>
      <c r="H19" s="67">
        <f ca="1">IFERROR(__xludf.DUMMYFUNCTION("""COMPUTED_VALUE"""),0.41)</f>
        <v>0.41</v>
      </c>
      <c r="I19" s="67">
        <f ca="1">IFERROR(__xludf.DUMMYFUNCTION("""COMPUTED_VALUE"""),0.33)</f>
        <v>0.33</v>
      </c>
      <c r="J19" s="67">
        <f ca="1">IFERROR(__xludf.DUMMYFUNCTION("""COMPUTED_VALUE"""),0.15)</f>
        <v>0.15</v>
      </c>
      <c r="K19" s="67">
        <f ca="1">IFERROR(__xludf.DUMMYFUNCTION("""COMPUTED_VALUE"""),0.04)</f>
        <v>0.04</v>
      </c>
      <c r="L19" s="67">
        <f ca="1">IFERROR(__xludf.DUMMYFUNCTION("""COMPUTED_VALUE"""),0.02)</f>
        <v>0.02</v>
      </c>
      <c r="M19" s="67">
        <f ca="1">IFERROR(__xludf.DUMMYFUNCTION("""COMPUTED_VALUE"""),0)</f>
        <v>0</v>
      </c>
      <c r="N19" s="67">
        <f ca="1">IFERROR(__xludf.DUMMYFUNCTION("""COMPUTED_VALUE"""),0)</f>
        <v>0</v>
      </c>
    </row>
    <row r="20" spans="1:14" ht="15.75" customHeight="1">
      <c r="A20" s="7" t="s">
        <v>392</v>
      </c>
      <c r="B20">
        <f ca="1">IFERROR(__xludf.DUMMYFUNCTION("split(A20,"" "")"),19)</f>
        <v>19</v>
      </c>
      <c r="C20" s="67">
        <f ca="1">IFERROR(__xludf.DUMMYFUNCTION("""COMPUTED_VALUE"""),0.56)</f>
        <v>0.56000000000000005</v>
      </c>
      <c r="D20" s="67">
        <f ca="1">IFERROR(__xludf.DUMMYFUNCTION("""COMPUTED_VALUE"""),0.45)</f>
        <v>0.45</v>
      </c>
      <c r="E20" s="67">
        <f ca="1">IFERROR(__xludf.DUMMYFUNCTION("""COMPUTED_VALUE"""),0.63)</f>
        <v>0.63</v>
      </c>
      <c r="F20" s="67">
        <f ca="1">IFERROR(__xludf.DUMMYFUNCTION("""COMPUTED_VALUE"""),0.51)</f>
        <v>0.51</v>
      </c>
      <c r="G20" s="67">
        <f ca="1">IFERROR(__xludf.DUMMYFUNCTION("""COMPUTED_VALUE"""),0.47)</f>
        <v>0.47</v>
      </c>
      <c r="H20" s="67">
        <f ca="1">IFERROR(__xludf.DUMMYFUNCTION("""COMPUTED_VALUE"""),0.3)</f>
        <v>0.3</v>
      </c>
      <c r="I20" s="67">
        <f ca="1">IFERROR(__xludf.DUMMYFUNCTION("""COMPUTED_VALUE"""),0.23)</f>
        <v>0.23</v>
      </c>
      <c r="J20" s="67">
        <f ca="1">IFERROR(__xludf.DUMMYFUNCTION("""COMPUTED_VALUE"""),0.08)</f>
        <v>0.08</v>
      </c>
      <c r="K20" s="67">
        <f ca="1">IFERROR(__xludf.DUMMYFUNCTION("""COMPUTED_VALUE"""),0.01)</f>
        <v>0.01</v>
      </c>
      <c r="L20" s="67">
        <f ca="1">IFERROR(__xludf.DUMMYFUNCTION("""COMPUTED_VALUE"""),0)</f>
        <v>0</v>
      </c>
      <c r="M20" s="67">
        <f ca="1">IFERROR(__xludf.DUMMYFUNCTION("""COMPUTED_VALUE"""),0.01)</f>
        <v>0.01</v>
      </c>
      <c r="N20" s="67">
        <f ca="1">IFERROR(__xludf.DUMMYFUNCTION("""COMPUTED_VALUE"""),0.01)</f>
        <v>0.01</v>
      </c>
    </row>
    <row r="21" spans="1:14" ht="15.75" customHeight="1">
      <c r="A21" s="7" t="s">
        <v>393</v>
      </c>
      <c r="B21">
        <f ca="1">IFERROR(__xludf.DUMMYFUNCTION("split(A21,"" "")"),20)</f>
        <v>20</v>
      </c>
      <c r="C21" s="67">
        <f ca="1">IFERROR(__xludf.DUMMYFUNCTION("""COMPUTED_VALUE"""),0.46)</f>
        <v>0.46</v>
      </c>
      <c r="D21" s="67">
        <f ca="1">IFERROR(__xludf.DUMMYFUNCTION("""COMPUTED_VALUE"""),0.36)</f>
        <v>0.36</v>
      </c>
      <c r="E21" s="67">
        <f ca="1">IFERROR(__xludf.DUMMYFUNCTION("""COMPUTED_VALUE"""),0.53)</f>
        <v>0.53</v>
      </c>
      <c r="F21" s="67">
        <f ca="1">IFERROR(__xludf.DUMMYFUNCTION("""COMPUTED_VALUE"""),0.41)</f>
        <v>0.41</v>
      </c>
      <c r="G21" s="67">
        <f ca="1">IFERROR(__xludf.DUMMYFUNCTION("""COMPUTED_VALUE"""),0.37)</f>
        <v>0.37</v>
      </c>
      <c r="H21" s="67">
        <f ca="1">IFERROR(__xludf.DUMMYFUNCTION("""COMPUTED_VALUE"""),0.2)</f>
        <v>0.2</v>
      </c>
      <c r="I21" s="67">
        <f ca="1">IFERROR(__xludf.DUMMYFUNCTION("""COMPUTED_VALUE"""),0.13)</f>
        <v>0.13</v>
      </c>
      <c r="J21" s="67">
        <f ca="1">IFERROR(__xludf.DUMMYFUNCTION("""COMPUTED_VALUE"""),0.03)</f>
        <v>0.03</v>
      </c>
      <c r="K21" s="67">
        <f ca="1">IFERROR(__xludf.DUMMYFUNCTION("""COMPUTED_VALUE"""),0)</f>
        <v>0</v>
      </c>
      <c r="L21" s="67">
        <f ca="1">IFERROR(__xludf.DUMMYFUNCTION("""COMPUTED_VALUE"""),0)</f>
        <v>0</v>
      </c>
      <c r="M21" s="67">
        <f ca="1">IFERROR(__xludf.DUMMYFUNCTION("""COMPUTED_VALUE"""),0.03)</f>
        <v>0.03</v>
      </c>
      <c r="N21" s="67">
        <f ca="1">IFERROR(__xludf.DUMMYFUNCTION("""COMPUTED_VALUE"""),0.04)</f>
        <v>0.04</v>
      </c>
    </row>
    <row r="22" spans="1:14" ht="15.75" customHeight="1">
      <c r="A22" s="7" t="s">
        <v>394</v>
      </c>
      <c r="B22">
        <f ca="1">IFERROR(__xludf.DUMMYFUNCTION("split(A22,"" "")"),21)</f>
        <v>21</v>
      </c>
      <c r="C22" s="67">
        <f ca="1">IFERROR(__xludf.DUMMYFUNCTION("""COMPUTED_VALUE"""),0.37)</f>
        <v>0.37</v>
      </c>
      <c r="D22" s="67">
        <f ca="1">IFERROR(__xludf.DUMMYFUNCTION("""COMPUTED_VALUE"""),0.27)</f>
        <v>0.27</v>
      </c>
      <c r="E22" s="67">
        <f ca="1">IFERROR(__xludf.DUMMYFUNCTION("""COMPUTED_VALUE"""),0.44)</f>
        <v>0.44</v>
      </c>
      <c r="F22" s="67">
        <f ca="1">IFERROR(__xludf.DUMMYFUNCTION("""COMPUTED_VALUE"""),0.31)</f>
        <v>0.31</v>
      </c>
      <c r="G22" s="67">
        <f ca="1">IFERROR(__xludf.DUMMYFUNCTION("""COMPUTED_VALUE"""),0.26)</f>
        <v>0.26</v>
      </c>
      <c r="H22" s="67">
        <f ca="1">IFERROR(__xludf.DUMMYFUNCTION("""COMPUTED_VALUE"""),0.12)</f>
        <v>0.12</v>
      </c>
      <c r="I22" s="67">
        <f ca="1">IFERROR(__xludf.DUMMYFUNCTION("""COMPUTED_VALUE"""),0.06)</f>
        <v>0.06</v>
      </c>
      <c r="J22" s="67">
        <f ca="1">IFERROR(__xludf.DUMMYFUNCTION("""COMPUTED_VALUE"""),0)</f>
        <v>0</v>
      </c>
      <c r="K22" s="67">
        <f ca="1">IFERROR(__xludf.DUMMYFUNCTION("""COMPUTED_VALUE"""),0.01)</f>
        <v>0.01</v>
      </c>
      <c r="L22" s="67">
        <f ca="1">IFERROR(__xludf.DUMMYFUNCTION("""COMPUTED_VALUE"""),0.03)</f>
        <v>0.03</v>
      </c>
      <c r="M22" s="67">
        <f ca="1">IFERROR(__xludf.DUMMYFUNCTION("""COMPUTED_VALUE"""),0.07)</f>
        <v>7.0000000000000007E-2</v>
      </c>
      <c r="N22" s="67">
        <f ca="1">IFERROR(__xludf.DUMMYFUNCTION("""COMPUTED_VALUE"""),0.08)</f>
        <v>0.08</v>
      </c>
    </row>
    <row r="23" spans="1:14" ht="15.75" customHeight="1">
      <c r="A23" s="7" t="s">
        <v>395</v>
      </c>
      <c r="B23">
        <f ca="1">IFERROR(__xludf.DUMMYFUNCTION("split(A23,"" "")"),22)</f>
        <v>22</v>
      </c>
      <c r="C23" s="67">
        <f ca="1">IFERROR(__xludf.DUMMYFUNCTION("""COMPUTED_VALUE"""),0.28)</f>
        <v>0.28000000000000003</v>
      </c>
      <c r="D23" s="67">
        <f ca="1">IFERROR(__xludf.DUMMYFUNCTION("""COMPUTED_VALUE"""),0.19)</f>
        <v>0.19</v>
      </c>
      <c r="E23" s="67">
        <f ca="1">IFERROR(__xludf.DUMMYFUNCTION("""COMPUTED_VALUE"""),0.34)</f>
        <v>0.34</v>
      </c>
      <c r="F23" s="67">
        <f ca="1">IFERROR(__xludf.DUMMYFUNCTION("""COMPUTED_VALUE"""),0.22)</f>
        <v>0.22</v>
      </c>
      <c r="G23" s="67">
        <f ca="1">IFERROR(__xludf.DUMMYFUNCTION("""COMPUTED_VALUE"""),0.17)</f>
        <v>0.17</v>
      </c>
      <c r="H23" s="67">
        <f ca="1">IFERROR(__xludf.DUMMYFUNCTION("""COMPUTED_VALUE"""),0.05)</f>
        <v>0.05</v>
      </c>
      <c r="I23" s="67">
        <f ca="1">IFERROR(__xludf.DUMMYFUNCTION("""COMPUTED_VALUE"""),0.02)</f>
        <v>0.02</v>
      </c>
      <c r="J23" s="67">
        <f ca="1">IFERROR(__xludf.DUMMYFUNCTION("""COMPUTED_VALUE"""),0)</f>
        <v>0</v>
      </c>
      <c r="K23" s="67">
        <f ca="1">IFERROR(__xludf.DUMMYFUNCTION("""COMPUTED_VALUE"""),0.05)</f>
        <v>0.05</v>
      </c>
      <c r="L23" s="67">
        <f ca="1">IFERROR(__xludf.DUMMYFUNCTION("""COMPUTED_VALUE"""),0.06)</f>
        <v>0.06</v>
      </c>
      <c r="M23" s="67">
        <f ca="1">IFERROR(__xludf.DUMMYFUNCTION("""COMPUTED_VALUE"""),0.13)</f>
        <v>0.13</v>
      </c>
      <c r="N23" s="67">
        <f ca="1">IFERROR(__xludf.DUMMYFUNCTION("""COMPUTED_VALUE"""),0.14)</f>
        <v>0.14000000000000001</v>
      </c>
    </row>
    <row r="24" spans="1:14" ht="15.75" customHeight="1">
      <c r="A24" s="7" t="s">
        <v>396</v>
      </c>
      <c r="B24">
        <f ca="1">IFERROR(__xludf.DUMMYFUNCTION("split(A24,"" "")"),23)</f>
        <v>23</v>
      </c>
      <c r="C24" s="67">
        <f ca="1">IFERROR(__xludf.DUMMYFUNCTION("""COMPUTED_VALUE"""),0.2)</f>
        <v>0.2</v>
      </c>
      <c r="D24" s="67">
        <f ca="1">IFERROR(__xludf.DUMMYFUNCTION("""COMPUTED_VALUE"""),0.12)</f>
        <v>0.12</v>
      </c>
      <c r="E24" s="67">
        <f ca="1">IFERROR(__xludf.DUMMYFUNCTION("""COMPUTED_VALUE"""),0.25)</f>
        <v>0.25</v>
      </c>
      <c r="F24" s="67">
        <f ca="1">IFERROR(__xludf.DUMMYFUNCTION("""COMPUTED_VALUE"""),0.14)</f>
        <v>0.14000000000000001</v>
      </c>
      <c r="G24" s="67">
        <f ca="1">IFERROR(__xludf.DUMMYFUNCTION("""COMPUTED_VALUE"""),0.09)</f>
        <v>0.09</v>
      </c>
      <c r="H24" s="67">
        <f ca="1">IFERROR(__xludf.DUMMYFUNCTION("""COMPUTED_VALUE"""),0.01)</f>
        <v>0.01</v>
      </c>
      <c r="I24" s="67">
        <f ca="1">IFERROR(__xludf.DUMMYFUNCTION("""COMPUTED_VALUE"""),0)</f>
        <v>0</v>
      </c>
      <c r="J24" s="67">
        <f ca="1">IFERROR(__xludf.DUMMYFUNCTION("""COMPUTED_VALUE"""),0.03)</f>
        <v>0.03</v>
      </c>
      <c r="K24" s="67">
        <f ca="1">IFERROR(__xludf.DUMMYFUNCTION("""COMPUTED_VALUE"""),0.1)</f>
        <v>0.1</v>
      </c>
      <c r="L24" s="67">
        <f ca="1">IFERROR(__xludf.DUMMYFUNCTION("""COMPUTED_VALUE"""),0.12)</f>
        <v>0.12</v>
      </c>
      <c r="M24" s="67">
        <f ca="1">IFERROR(__xludf.DUMMYFUNCTION("""COMPUTED_VALUE"""),0.2)</f>
        <v>0.2</v>
      </c>
      <c r="N24" s="67">
        <f ca="1">IFERROR(__xludf.DUMMYFUNCTION("""COMPUTED_VALUE"""),0.21)</f>
        <v>0.21</v>
      </c>
    </row>
    <row r="25" spans="1:14" ht="15.75" customHeight="1">
      <c r="A25" s="7" t="s">
        <v>397</v>
      </c>
      <c r="B25">
        <f ca="1">IFERROR(__xludf.DUMMYFUNCTION("split(A25,"" "")"),24)</f>
        <v>24</v>
      </c>
      <c r="C25" s="67">
        <f ca="1">IFERROR(__xludf.DUMMYFUNCTION("""COMPUTED_VALUE"""),0.13)</f>
        <v>0.13</v>
      </c>
      <c r="D25" s="67">
        <f ca="1">IFERROR(__xludf.DUMMYFUNCTION("""COMPUTED_VALUE"""),0.06)</f>
        <v>0.06</v>
      </c>
      <c r="E25" s="67">
        <f ca="1">IFERROR(__xludf.DUMMYFUNCTION("""COMPUTED_VALUE"""),0.17)</f>
        <v>0.17</v>
      </c>
      <c r="F25" s="67">
        <f ca="1">IFERROR(__xludf.DUMMYFUNCTION("""COMPUTED_VALUE"""),0.07)</f>
        <v>7.0000000000000007E-2</v>
      </c>
      <c r="G25" s="67">
        <f ca="1">IFERROR(__xludf.DUMMYFUNCTION("""COMPUTED_VALUE"""),0.04)</f>
        <v>0.04</v>
      </c>
      <c r="H25" s="67">
        <f ca="1">IFERROR(__xludf.DUMMYFUNCTION("""COMPUTED_VALUE"""),0)</f>
        <v>0</v>
      </c>
      <c r="I25" s="67">
        <f ca="1">IFERROR(__xludf.DUMMYFUNCTION("""COMPUTED_VALUE"""),0.01)</f>
        <v>0.01</v>
      </c>
      <c r="J25" s="67">
        <f ca="1">IFERROR(__xludf.DUMMYFUNCTION("""COMPUTED_VALUE"""),0.08)</f>
        <v>0.08</v>
      </c>
      <c r="K25" s="67">
        <f ca="1">IFERROR(__xludf.DUMMYFUNCTION("""COMPUTED_VALUE"""),0.17)</f>
        <v>0.17</v>
      </c>
      <c r="L25" s="67">
        <f ca="1">IFERROR(__xludf.DUMMYFUNCTION("""COMPUTED_VALUE"""),0.19)</f>
        <v>0.19</v>
      </c>
      <c r="M25" s="67">
        <f ca="1">IFERROR(__xludf.DUMMYFUNCTION("""COMPUTED_VALUE"""),0.28)</f>
        <v>0.28000000000000003</v>
      </c>
      <c r="N25" s="67">
        <f ca="1">IFERROR(__xludf.DUMMYFUNCTION("""COMPUTED_VALUE"""),0.3)</f>
        <v>0.3</v>
      </c>
    </row>
    <row r="26" spans="1:14" ht="15.75" customHeight="1">
      <c r="A26" s="7" t="s">
        <v>398</v>
      </c>
      <c r="B26">
        <f ca="1">IFERROR(__xludf.DUMMYFUNCTION("split(A26,"" "")"),25)</f>
        <v>25</v>
      </c>
      <c r="C26" s="67">
        <f ca="1">IFERROR(__xludf.DUMMYFUNCTION("""COMPUTED_VALUE"""),0.07)</f>
        <v>7.0000000000000007E-2</v>
      </c>
      <c r="D26" s="67">
        <f ca="1">IFERROR(__xludf.DUMMYFUNCTION("""COMPUTED_VALUE"""),0.02)</f>
        <v>0.02</v>
      </c>
      <c r="E26" s="67">
        <f ca="1">IFERROR(__xludf.DUMMYFUNCTION("""COMPUTED_VALUE"""),0.1)</f>
        <v>0.1</v>
      </c>
      <c r="F26" s="67">
        <f ca="1">IFERROR(__xludf.DUMMYFUNCTION("""COMPUTED_VALUE"""),0.02)</f>
        <v>0.02</v>
      </c>
      <c r="G26" s="67">
        <f ca="1">IFERROR(__xludf.DUMMYFUNCTION("""COMPUTED_VALUE"""),0.01)</f>
        <v>0.01</v>
      </c>
      <c r="H26" s="67">
        <f ca="1">IFERROR(__xludf.DUMMYFUNCTION("""COMPUTED_VALUE"""),0.02)</f>
        <v>0.02</v>
      </c>
      <c r="I26" s="67">
        <f ca="1">IFERROR(__xludf.DUMMYFUNCTION("""COMPUTED_VALUE"""),0.05)</f>
        <v>0.05</v>
      </c>
      <c r="J26" s="67">
        <f ca="1">IFERROR(__xludf.DUMMYFUNCTION("""COMPUTED_VALUE"""),0.15)</f>
        <v>0.15</v>
      </c>
      <c r="K26" s="67">
        <f ca="1">IFERROR(__xludf.DUMMYFUNCTION("""COMPUTED_VALUE"""),0.25)</f>
        <v>0.25</v>
      </c>
      <c r="L26" s="67">
        <f ca="1">IFERROR(__xludf.DUMMYFUNCTION("""COMPUTED_VALUE"""),0.26)</f>
        <v>0.26</v>
      </c>
      <c r="M26" s="67">
        <f ca="1">IFERROR(__xludf.DUMMYFUNCTION("""COMPUTED_VALUE"""),0.37)</f>
        <v>0.37</v>
      </c>
      <c r="N26" s="67">
        <f ca="1">IFERROR(__xludf.DUMMYFUNCTION("""COMPUTED_VALUE"""),0.39)</f>
        <v>0.39</v>
      </c>
    </row>
    <row r="27" spans="1:14" ht="15.75" customHeight="1">
      <c r="A27" s="7" t="s">
        <v>399</v>
      </c>
      <c r="B27">
        <f ca="1">IFERROR(__xludf.DUMMYFUNCTION("split(A27,"" "")"),26)</f>
        <v>26</v>
      </c>
      <c r="C27" s="67">
        <f ca="1">IFERROR(__xludf.DUMMYFUNCTION("""COMPUTED_VALUE"""),0.03)</f>
        <v>0.03</v>
      </c>
      <c r="D27" s="67">
        <f ca="1">IFERROR(__xludf.DUMMYFUNCTION("""COMPUTED_VALUE"""),0)</f>
        <v>0</v>
      </c>
      <c r="E27" s="67">
        <f ca="1">IFERROR(__xludf.DUMMYFUNCTION("""COMPUTED_VALUE"""),0.04)</f>
        <v>0.04</v>
      </c>
      <c r="F27" s="67">
        <f ca="1">IFERROR(__xludf.DUMMYFUNCTION("""COMPUTED_VALUE"""),0)</f>
        <v>0</v>
      </c>
      <c r="G27" s="67">
        <f ca="1">IFERROR(__xludf.DUMMYFUNCTION("""COMPUTED_VALUE"""),0.01)</f>
        <v>0.01</v>
      </c>
      <c r="H27" s="67">
        <f ca="1">IFERROR(__xludf.DUMMYFUNCTION("""COMPUTED_VALUE"""),0.07)</f>
        <v>7.0000000000000007E-2</v>
      </c>
      <c r="I27" s="67">
        <f ca="1">IFERROR(__xludf.DUMMYFUNCTION("""COMPUTED_VALUE"""),0.11)</f>
        <v>0.11</v>
      </c>
      <c r="J27" s="67">
        <f ca="1">IFERROR(__xludf.DUMMYFUNCTION("""COMPUTED_VALUE"""),0.22)</f>
        <v>0.22</v>
      </c>
      <c r="K27" s="67">
        <f ca="1">IFERROR(__xludf.DUMMYFUNCTION("""COMPUTED_VALUE"""),0.34)</f>
        <v>0.34</v>
      </c>
      <c r="L27" s="67">
        <f ca="1">IFERROR(__xludf.DUMMYFUNCTION("""COMPUTED_VALUE"""),0.35)</f>
        <v>0.35</v>
      </c>
      <c r="M27" s="67">
        <f ca="1">IFERROR(__xludf.DUMMYFUNCTION("""COMPUTED_VALUE"""),0.46)</f>
        <v>0.46</v>
      </c>
      <c r="N27" s="67">
        <f ca="1">IFERROR(__xludf.DUMMYFUNCTION("""COMPUTED_VALUE"""),0.5)</f>
        <v>0.5</v>
      </c>
    </row>
    <row r="28" spans="1:14" ht="15.75" customHeight="1">
      <c r="A28" s="7" t="s">
        <v>400</v>
      </c>
      <c r="B28">
        <f ca="1">IFERROR(__xludf.DUMMYFUNCTION("split(A28,"" "")"),27)</f>
        <v>27</v>
      </c>
      <c r="C28" s="67">
        <f ca="1">IFERROR(__xludf.DUMMYFUNCTION("""COMPUTED_VALUE"""),0.01)</f>
        <v>0.01</v>
      </c>
      <c r="D28" s="67">
        <f ca="1">IFERROR(__xludf.DUMMYFUNCTION("""COMPUTED_VALUE"""),0.01)</f>
        <v>0.01</v>
      </c>
      <c r="E28" s="67">
        <f ca="1">IFERROR(__xludf.DUMMYFUNCTION("""COMPUTED_VALUE"""),0.01)</f>
        <v>0.01</v>
      </c>
      <c r="F28" s="67">
        <f ca="1">IFERROR(__xludf.DUMMYFUNCTION("""COMPUTED_VALUE"""),0.01)</f>
        <v>0.01</v>
      </c>
      <c r="G28" s="67">
        <f ca="1">IFERROR(__xludf.DUMMYFUNCTION("""COMPUTED_VALUE"""),0.04)</f>
        <v>0.04</v>
      </c>
      <c r="H28" s="67">
        <f ca="1">IFERROR(__xludf.DUMMYFUNCTION("""COMPUTED_VALUE"""),0.14)</f>
        <v>0.14000000000000001</v>
      </c>
      <c r="I28" s="67">
        <f ca="1">IFERROR(__xludf.DUMMYFUNCTION("""COMPUTED_VALUE"""),0.19)</f>
        <v>0.19</v>
      </c>
      <c r="J28" s="67">
        <f ca="1">IFERROR(__xludf.DUMMYFUNCTION("""COMPUTED_VALUE"""),0.31)</f>
        <v>0.31</v>
      </c>
      <c r="K28" s="67">
        <f ca="1">IFERROR(__xludf.DUMMYFUNCTION("""COMPUTED_VALUE"""),0.43)</f>
        <v>0.43</v>
      </c>
      <c r="L28" s="67">
        <f ca="1">IFERROR(__xludf.DUMMYFUNCTION("""COMPUTED_VALUE"""),0.44)</f>
        <v>0.44</v>
      </c>
      <c r="M28" s="67">
        <f ca="1">IFERROR(__xludf.DUMMYFUNCTION("""COMPUTED_VALUE"""),0.56)</f>
        <v>0.56000000000000005</v>
      </c>
      <c r="N28" s="67">
        <f ca="1">IFERROR(__xludf.DUMMYFUNCTION("""COMPUTED_VALUE"""),0.6)</f>
        <v>0.6</v>
      </c>
    </row>
    <row r="29" spans="1:14" ht="15.75" customHeight="1">
      <c r="A29" s="7" t="s">
        <v>401</v>
      </c>
      <c r="B29">
        <f ca="1">IFERROR(__xludf.DUMMYFUNCTION("split(A29,"" "")"),28)</f>
        <v>28</v>
      </c>
      <c r="C29" s="67">
        <f ca="1">IFERROR(__xludf.DUMMYFUNCTION("""COMPUTED_VALUE"""),0)</f>
        <v>0</v>
      </c>
      <c r="D29" s="67">
        <f ca="1">IFERROR(__xludf.DUMMYFUNCTION("""COMPUTED_VALUE"""),0.04)</f>
        <v>0.04</v>
      </c>
      <c r="E29" s="67">
        <f ca="1">IFERROR(__xludf.DUMMYFUNCTION("""COMPUTED_VALUE"""),0)</f>
        <v>0</v>
      </c>
      <c r="F29" s="67">
        <f ca="1">IFERROR(__xludf.DUMMYFUNCTION("""COMPUTED_VALUE"""),0.05)</f>
        <v>0.05</v>
      </c>
      <c r="G29" s="67">
        <f ca="1">IFERROR(__xludf.DUMMYFUNCTION("""COMPUTED_VALUE"""),0.09)</f>
        <v>0.09</v>
      </c>
      <c r="H29" s="67">
        <f ca="1">IFERROR(__xludf.DUMMYFUNCTION("""COMPUTED_VALUE"""),0.23)</f>
        <v>0.23</v>
      </c>
      <c r="I29" s="67">
        <f ca="1">IFERROR(__xludf.DUMMYFUNCTION("""COMPUTED_VALUE"""),0.28)</f>
        <v>0.28000000000000003</v>
      </c>
      <c r="J29" s="67">
        <f ca="1">IFERROR(__xludf.DUMMYFUNCTION("""COMPUTED_VALUE"""),0.41)</f>
        <v>0.41</v>
      </c>
      <c r="K29" s="67">
        <f ca="1">IFERROR(__xludf.DUMMYFUNCTION("""COMPUTED_VALUE"""),0.52)</f>
        <v>0.52</v>
      </c>
      <c r="L29" s="67">
        <f ca="1">IFERROR(__xludf.DUMMYFUNCTION("""COMPUTED_VALUE"""),0.54)</f>
        <v>0.54</v>
      </c>
      <c r="M29" s="67">
        <f ca="1">IFERROR(__xludf.DUMMYFUNCTION("""COMPUTED_VALUE"""),0.66)</f>
        <v>0.66</v>
      </c>
      <c r="N29" s="67">
        <f ca="1">IFERROR(__xludf.DUMMYFUNCTION("""COMPUTED_VALUE"""),0.7)</f>
        <v>0.7</v>
      </c>
    </row>
    <row r="30" spans="1:14" ht="15.75" customHeight="1">
      <c r="A30" s="7" t="s">
        <v>402</v>
      </c>
      <c r="B30">
        <f ca="1">IFERROR(__xludf.DUMMYFUNCTION("split(A30,"" "")"),29)</f>
        <v>29</v>
      </c>
      <c r="C30" s="67">
        <f ca="1">IFERROR(__xludf.DUMMYFUNCTION("""COMPUTED_VALUE"""),0.02)</f>
        <v>0.02</v>
      </c>
      <c r="D30" s="67" t="str">
        <f ca="1">IFERROR(__xludf.DUMMYFUNCTION("""COMPUTED_VALUE"""),"x")</f>
        <v>x</v>
      </c>
      <c r="E30" s="67">
        <f ca="1">IFERROR(__xludf.DUMMYFUNCTION("""COMPUTED_VALUE"""),0.02)</f>
        <v>0.02</v>
      </c>
      <c r="F30" s="67">
        <f ca="1">IFERROR(__xludf.DUMMYFUNCTION("""COMPUTED_VALUE"""),0.12)</f>
        <v>0.12</v>
      </c>
      <c r="G30" s="67">
        <f ca="1">IFERROR(__xludf.DUMMYFUNCTION("""COMPUTED_VALUE"""),0.18)</f>
        <v>0.18</v>
      </c>
      <c r="H30" s="67">
        <f ca="1">IFERROR(__xludf.DUMMYFUNCTION("""COMPUTED_VALUE"""),0.33)</f>
        <v>0.33</v>
      </c>
      <c r="I30" s="67">
        <f ca="1">IFERROR(__xludf.DUMMYFUNCTION("""COMPUTED_VALUE"""),0.37)</f>
        <v>0.37</v>
      </c>
      <c r="J30" s="67">
        <f ca="1">IFERROR(__xludf.DUMMYFUNCTION("""COMPUTED_VALUE"""),0.5)</f>
        <v>0.5</v>
      </c>
      <c r="K30" s="67">
        <f ca="1">IFERROR(__xludf.DUMMYFUNCTION("""COMPUTED_VALUE"""),0.62)</f>
        <v>0.62</v>
      </c>
      <c r="L30" s="67">
        <f ca="1">IFERROR(__xludf.DUMMYFUNCTION("""COMPUTED_VALUE"""),0.64)</f>
        <v>0.64</v>
      </c>
      <c r="M30" s="67">
        <f ca="1">IFERROR(__xludf.DUMMYFUNCTION("""COMPUTED_VALUE"""),0.76)</f>
        <v>0.76</v>
      </c>
      <c r="N30" s="67">
        <f ca="1">IFERROR(__xludf.DUMMYFUNCTION("""COMPUTED_VALUE"""),0.8)</f>
        <v>0.8</v>
      </c>
    </row>
    <row r="31" spans="1:14" ht="15.75" customHeight="1">
      <c r="A31" s="7" t="s">
        <v>403</v>
      </c>
      <c r="B31">
        <f ca="1">IFERROR(__xludf.DUMMYFUNCTION("split(A31,"" "")"),30)</f>
        <v>30</v>
      </c>
      <c r="C31" s="67">
        <f ca="1">IFERROR(__xludf.DUMMYFUNCTION("""COMPUTED_VALUE"""),0.06)</f>
        <v>0.06</v>
      </c>
      <c r="D31" s="67" t="str">
        <f ca="1">IFERROR(__xludf.DUMMYFUNCTION("""COMPUTED_VALUE"""),"x")</f>
        <v>x</v>
      </c>
      <c r="E31" s="67">
        <f ca="1">IFERROR(__xludf.DUMMYFUNCTION("""COMPUTED_VALUE"""),0.07)</f>
        <v>7.0000000000000007E-2</v>
      </c>
      <c r="F31" s="67">
        <f ca="1">IFERROR(__xludf.DUMMYFUNCTION("""COMPUTED_VALUE"""),0.2)</f>
        <v>0.2</v>
      </c>
      <c r="G31" s="67">
        <f ca="1">IFERROR(__xludf.DUMMYFUNCTION("""COMPUTED_VALUE"""),0.27)</f>
        <v>0.27</v>
      </c>
      <c r="H31" s="67">
        <f ca="1">IFERROR(__xludf.DUMMYFUNCTION("""COMPUTED_VALUE"""),0.43)</f>
        <v>0.43</v>
      </c>
      <c r="I31" s="67">
        <f ca="1">IFERROR(__xludf.DUMMYFUNCTION("""COMPUTED_VALUE"""),0.47)</f>
        <v>0.47</v>
      </c>
      <c r="J31" s="67">
        <f ca="1">IFERROR(__xludf.DUMMYFUNCTION("""COMPUTED_VALUE"""),0.59)</f>
        <v>0.59</v>
      </c>
      <c r="K31" s="67">
        <f ca="1">IFERROR(__xludf.DUMMYFUNCTION("""COMPUTED_VALUE"""),0.71)</f>
        <v>0.71</v>
      </c>
      <c r="L31" s="67">
        <f ca="1">IFERROR(__xludf.DUMMYFUNCTION("""COMPUTED_VALUE"""),0.73)</f>
        <v>0.73</v>
      </c>
      <c r="M31" s="67">
        <f ca="1">IFERROR(__xludf.DUMMYFUNCTION("""COMPUTED_VALUE"""),0.85)</f>
        <v>0.85</v>
      </c>
      <c r="N31" s="67">
        <f ca="1">IFERROR(__xludf.DUMMYFUNCTION("""COMPUTED_VALUE"""),0.89)</f>
        <v>0.89</v>
      </c>
    </row>
    <row r="32" spans="1:14" ht="15.75" customHeight="1">
      <c r="A32" s="160" t="s">
        <v>404</v>
      </c>
      <c r="B32">
        <f ca="1">IFERROR(__xludf.DUMMYFUNCTION("split(A32,"" "")"),31)</f>
        <v>31</v>
      </c>
      <c r="C32" s="67">
        <f ca="1">IFERROR(__xludf.DUMMYFUNCTION("""COMPUTED_VALUE"""),0.12)</f>
        <v>0.12</v>
      </c>
      <c r="D32" s="67" t="str">
        <f ca="1">IFERROR(__xludf.DUMMYFUNCTION("""COMPUTED_VALUE"""),"x")</f>
        <v>x</v>
      </c>
      <c r="E32" s="67">
        <f ca="1">IFERROR(__xludf.DUMMYFUNCTION("""COMPUTED_VALUE"""),0.14)</f>
        <v>0.14000000000000001</v>
      </c>
      <c r="F32" s="67" t="str">
        <f ca="1">IFERROR(__xludf.DUMMYFUNCTION("""COMPUTED_VALUE"""),"x")</f>
        <v>x</v>
      </c>
      <c r="G32" s="67">
        <f ca="1">IFERROR(__xludf.DUMMYFUNCTION("""COMPUTED_VALUE"""),0.37)</f>
        <v>0.37</v>
      </c>
      <c r="H32" s="67" t="str">
        <f ca="1">IFERROR(__xludf.DUMMYFUNCTION("""COMPUTED_VALUE"""),"x")</f>
        <v>x</v>
      </c>
      <c r="I32" s="67">
        <f ca="1">IFERROR(__xludf.DUMMYFUNCTION("""COMPUTED_VALUE"""),0.57)</f>
        <v>0.56999999999999995</v>
      </c>
      <c r="J32" s="67">
        <f ca="1">IFERROR(__xludf.DUMMYFUNCTION("""COMPUTED_VALUE"""),0.69)</f>
        <v>0.69</v>
      </c>
      <c r="K32" s="67" t="str">
        <f ca="1">IFERROR(__xludf.DUMMYFUNCTION("""COMPUTED_VALUE"""),"x")</f>
        <v>x</v>
      </c>
      <c r="L32" s="67">
        <f ca="1">IFERROR(__xludf.DUMMYFUNCTION("""COMPUTED_VALUE"""),0.82)</f>
        <v>0.82</v>
      </c>
      <c r="M32" s="67" t="str">
        <f ca="1">IFERROR(__xludf.DUMMYFUNCTION("""COMPUTED_VALUE"""),"x")</f>
        <v>x</v>
      </c>
      <c r="N32" s="67">
        <f ca="1">IFERROR(__xludf.DUMMYFUNCTION("""COMPUTED_VALUE"""),0.95)</f>
        <v>0.95</v>
      </c>
    </row>
  </sheetData>
  <conditionalFormatting sqref="C2:N32">
    <cfRule type="colorScale" priority="1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32"/>
  <sheetViews>
    <sheetView topLeftCell="B1" workbookViewId="0"/>
  </sheetViews>
  <sheetFormatPr baseColWidth="10" defaultColWidth="12.6640625" defaultRowHeight="15.75" customHeight="1"/>
  <cols>
    <col min="1" max="1" width="67.83203125" hidden="1" customWidth="1"/>
    <col min="2" max="14" width="7.1640625" customWidth="1"/>
  </cols>
  <sheetData>
    <row r="1" spans="1:14" ht="15.75" customHeight="1">
      <c r="A1" s="7"/>
      <c r="C1" s="7" t="s">
        <v>405</v>
      </c>
      <c r="D1" s="7" t="s">
        <v>406</v>
      </c>
      <c r="E1" s="7" t="s">
        <v>407</v>
      </c>
      <c r="F1" s="7" t="s">
        <v>408</v>
      </c>
      <c r="G1" s="7" t="s">
        <v>409</v>
      </c>
      <c r="H1" s="7" t="s">
        <v>410</v>
      </c>
      <c r="I1" s="7" t="s">
        <v>411</v>
      </c>
      <c r="J1" s="7" t="s">
        <v>412</v>
      </c>
      <c r="K1" s="7" t="s">
        <v>413</v>
      </c>
      <c r="L1" s="7" t="s">
        <v>414</v>
      </c>
      <c r="M1" s="7" t="s">
        <v>415</v>
      </c>
      <c r="N1" s="7" t="s">
        <v>416</v>
      </c>
    </row>
    <row r="2" spans="1:14" ht="15.75" customHeight="1">
      <c r="A2" s="7" t="s">
        <v>417</v>
      </c>
      <c r="B2">
        <v>1</v>
      </c>
      <c r="C2">
        <v>0.59</v>
      </c>
      <c r="D2">
        <v>0.48</v>
      </c>
      <c r="E2">
        <v>0.56000000000000005</v>
      </c>
      <c r="F2">
        <v>0.43</v>
      </c>
      <c r="G2">
        <v>0.37</v>
      </c>
      <c r="H2">
        <v>0.2</v>
      </c>
      <c r="I2">
        <v>0.13</v>
      </c>
      <c r="J2">
        <v>0.03</v>
      </c>
      <c r="K2">
        <v>0</v>
      </c>
      <c r="L2">
        <v>0</v>
      </c>
      <c r="M2">
        <v>0.02</v>
      </c>
      <c r="N2">
        <v>0.03</v>
      </c>
    </row>
    <row r="3" spans="1:14" ht="15.75" customHeight="1">
      <c r="A3" s="7" t="s">
        <v>418</v>
      </c>
      <c r="B3">
        <v>2</v>
      </c>
      <c r="C3">
        <v>0.49</v>
      </c>
      <c r="D3">
        <v>0.39</v>
      </c>
      <c r="E3">
        <v>0.47</v>
      </c>
      <c r="F3">
        <v>0.33</v>
      </c>
      <c r="G3">
        <v>0.27</v>
      </c>
      <c r="H3">
        <v>0.11</v>
      </c>
      <c r="I3">
        <v>0.06</v>
      </c>
      <c r="J3">
        <v>0</v>
      </c>
      <c r="K3">
        <v>0.01</v>
      </c>
      <c r="L3">
        <v>0.02</v>
      </c>
      <c r="M3">
        <v>0.06</v>
      </c>
      <c r="N3">
        <v>7.0000000000000007E-2</v>
      </c>
    </row>
    <row r="4" spans="1:14" ht="15.75" customHeight="1">
      <c r="A4" s="7" t="s">
        <v>419</v>
      </c>
      <c r="B4">
        <v>3</v>
      </c>
      <c r="C4">
        <v>0.4</v>
      </c>
      <c r="D4">
        <v>0.3</v>
      </c>
      <c r="E4">
        <v>0.37</v>
      </c>
      <c r="F4">
        <v>0.23</v>
      </c>
      <c r="G4">
        <v>0.17</v>
      </c>
      <c r="H4">
        <v>0.05</v>
      </c>
      <c r="I4">
        <v>0.02</v>
      </c>
      <c r="J4">
        <v>0</v>
      </c>
      <c r="K4">
        <v>0.04</v>
      </c>
      <c r="L4">
        <v>0.05</v>
      </c>
      <c r="M4">
        <v>0.11</v>
      </c>
      <c r="N4">
        <v>0.13</v>
      </c>
    </row>
    <row r="5" spans="1:14" ht="15.75" customHeight="1">
      <c r="A5" s="7" t="s">
        <v>420</v>
      </c>
      <c r="B5">
        <v>4</v>
      </c>
      <c r="C5">
        <v>0.31</v>
      </c>
      <c r="D5">
        <v>0.21</v>
      </c>
      <c r="E5">
        <v>0.27</v>
      </c>
      <c r="F5">
        <v>0.14000000000000001</v>
      </c>
      <c r="G5">
        <v>0.09</v>
      </c>
      <c r="H5">
        <v>0.01</v>
      </c>
      <c r="I5">
        <v>0</v>
      </c>
      <c r="J5">
        <v>0.02</v>
      </c>
      <c r="K5">
        <v>0.08</v>
      </c>
      <c r="L5">
        <v>0.1</v>
      </c>
      <c r="M5">
        <v>0.18</v>
      </c>
      <c r="N5">
        <v>0.21</v>
      </c>
    </row>
    <row r="6" spans="1:14" ht="15.75" customHeight="1">
      <c r="A6" s="7" t="s">
        <v>421</v>
      </c>
      <c r="B6">
        <v>5</v>
      </c>
      <c r="C6">
        <v>0.22</v>
      </c>
      <c r="D6">
        <v>0.13</v>
      </c>
      <c r="E6">
        <v>0.18</v>
      </c>
      <c r="F6">
        <v>7.0000000000000007E-2</v>
      </c>
      <c r="G6">
        <v>0.03</v>
      </c>
      <c r="H6">
        <v>0</v>
      </c>
      <c r="I6">
        <v>0.01</v>
      </c>
      <c r="J6">
        <v>7.0000000000000007E-2</v>
      </c>
      <c r="K6">
        <v>0.14000000000000001</v>
      </c>
      <c r="L6">
        <v>0.16</v>
      </c>
      <c r="M6">
        <v>0.26</v>
      </c>
      <c r="N6">
        <v>0.28999999999999998</v>
      </c>
    </row>
    <row r="7" spans="1:14" ht="15.75" customHeight="1">
      <c r="A7" s="7" t="s">
        <v>422</v>
      </c>
      <c r="B7">
        <v>6</v>
      </c>
      <c r="C7">
        <v>0.15</v>
      </c>
      <c r="D7">
        <v>7.0000000000000007E-2</v>
      </c>
      <c r="E7">
        <v>0.1</v>
      </c>
      <c r="F7">
        <v>0.02</v>
      </c>
      <c r="G7">
        <v>0</v>
      </c>
      <c r="H7">
        <v>0.02</v>
      </c>
      <c r="I7">
        <v>0.04</v>
      </c>
      <c r="J7">
        <v>0.12</v>
      </c>
      <c r="K7">
        <v>0.22</v>
      </c>
      <c r="L7">
        <v>0.24</v>
      </c>
      <c r="M7">
        <v>0.35</v>
      </c>
      <c r="N7">
        <v>0.39</v>
      </c>
    </row>
    <row r="8" spans="1:14" ht="15.75" customHeight="1">
      <c r="A8" s="7" t="s">
        <v>423</v>
      </c>
      <c r="B8">
        <v>7</v>
      </c>
      <c r="C8">
        <v>0.08</v>
      </c>
      <c r="D8">
        <v>0.02</v>
      </c>
      <c r="E8">
        <v>0.04</v>
      </c>
      <c r="F8">
        <v>0</v>
      </c>
      <c r="G8">
        <v>0.01</v>
      </c>
      <c r="H8">
        <v>7.0000000000000007E-2</v>
      </c>
      <c r="I8">
        <v>0.1</v>
      </c>
      <c r="J8">
        <v>0.2</v>
      </c>
      <c r="K8">
        <v>0.3</v>
      </c>
      <c r="L8">
        <v>0.32</v>
      </c>
      <c r="M8">
        <v>0.45</v>
      </c>
      <c r="N8">
        <v>0.5</v>
      </c>
    </row>
    <row r="9" spans="1:14" ht="15.75" customHeight="1">
      <c r="A9" s="7" t="s">
        <v>424</v>
      </c>
      <c r="B9">
        <v>8</v>
      </c>
      <c r="C9">
        <v>0.04</v>
      </c>
      <c r="D9">
        <v>0</v>
      </c>
      <c r="E9">
        <v>0.01</v>
      </c>
      <c r="F9">
        <v>0.01</v>
      </c>
      <c r="G9">
        <v>0.04</v>
      </c>
      <c r="H9">
        <v>0.13</v>
      </c>
      <c r="I9">
        <v>0.17</v>
      </c>
      <c r="J9">
        <v>0.28000000000000003</v>
      </c>
      <c r="K9">
        <v>0.39</v>
      </c>
      <c r="L9">
        <v>0.42</v>
      </c>
      <c r="M9">
        <v>0.55000000000000004</v>
      </c>
      <c r="N9">
        <v>0.61</v>
      </c>
    </row>
    <row r="10" spans="1:14" ht="15.75" customHeight="1">
      <c r="A10" s="7" t="s">
        <v>425</v>
      </c>
      <c r="B10">
        <v>9</v>
      </c>
      <c r="C10">
        <v>0.01</v>
      </c>
      <c r="D10">
        <v>0.01</v>
      </c>
      <c r="E10">
        <v>0</v>
      </c>
      <c r="F10">
        <v>0.05</v>
      </c>
      <c r="G10">
        <v>0.09</v>
      </c>
      <c r="H10">
        <v>0.22</v>
      </c>
      <c r="I10">
        <v>0.25</v>
      </c>
      <c r="J10">
        <v>0.37</v>
      </c>
      <c r="K10">
        <v>0.49</v>
      </c>
      <c r="L10">
        <v>0.52</v>
      </c>
      <c r="M10">
        <v>0.66</v>
      </c>
      <c r="N10">
        <v>0.71</v>
      </c>
    </row>
    <row r="11" spans="1:14" ht="15.75" customHeight="1">
      <c r="A11" s="7" t="s">
        <v>426</v>
      </c>
      <c r="B11">
        <v>10</v>
      </c>
      <c r="C11">
        <v>0</v>
      </c>
      <c r="D11">
        <v>0.04</v>
      </c>
      <c r="E11">
        <v>0.02</v>
      </c>
      <c r="F11">
        <v>0.12</v>
      </c>
      <c r="G11">
        <v>0.17</v>
      </c>
      <c r="H11">
        <v>0.31</v>
      </c>
      <c r="I11">
        <v>0.34</v>
      </c>
      <c r="J11">
        <v>0.46</v>
      </c>
      <c r="K11">
        <v>0.57999999999999996</v>
      </c>
      <c r="L11">
        <v>0.62</v>
      </c>
      <c r="M11">
        <v>0.76</v>
      </c>
      <c r="N11">
        <v>0.81</v>
      </c>
    </row>
    <row r="12" spans="1:14" ht="15.75" customHeight="1">
      <c r="A12" s="7" t="s">
        <v>427</v>
      </c>
      <c r="B12">
        <v>11</v>
      </c>
      <c r="C12">
        <v>0.02</v>
      </c>
      <c r="D12">
        <v>0.1</v>
      </c>
      <c r="E12">
        <v>7.0000000000000007E-2</v>
      </c>
      <c r="F12">
        <v>0.21</v>
      </c>
      <c r="G12">
        <v>0.26</v>
      </c>
      <c r="H12">
        <v>0.4</v>
      </c>
      <c r="I12">
        <v>0.43</v>
      </c>
      <c r="J12">
        <v>0.56000000000000005</v>
      </c>
      <c r="K12">
        <v>0.68</v>
      </c>
      <c r="L12">
        <v>0.72</v>
      </c>
      <c r="M12">
        <v>0.85</v>
      </c>
      <c r="N12">
        <v>0.89</v>
      </c>
    </row>
    <row r="13" spans="1:14" ht="15.75" customHeight="1">
      <c r="A13" s="7" t="s">
        <v>428</v>
      </c>
      <c r="B13">
        <v>12</v>
      </c>
      <c r="C13">
        <v>0.06</v>
      </c>
      <c r="D13">
        <v>0.18</v>
      </c>
      <c r="E13">
        <v>0.15</v>
      </c>
      <c r="F13">
        <v>0.31</v>
      </c>
      <c r="G13">
        <v>0.36</v>
      </c>
      <c r="H13">
        <v>0.5</v>
      </c>
      <c r="I13">
        <v>0.53</v>
      </c>
      <c r="J13">
        <v>0.65</v>
      </c>
      <c r="K13">
        <v>0.77</v>
      </c>
      <c r="L13">
        <v>0.81</v>
      </c>
      <c r="M13">
        <v>0.92</v>
      </c>
      <c r="N13">
        <v>0.96</v>
      </c>
    </row>
    <row r="14" spans="1:14" ht="15.75" customHeight="1">
      <c r="A14" s="7" t="s">
        <v>429</v>
      </c>
      <c r="B14">
        <v>13</v>
      </c>
      <c r="C14">
        <v>0.13</v>
      </c>
      <c r="D14">
        <v>0.28000000000000003</v>
      </c>
      <c r="E14">
        <v>0.24</v>
      </c>
      <c r="F14">
        <v>0.41</v>
      </c>
      <c r="G14">
        <v>0.46</v>
      </c>
      <c r="H14">
        <v>0.6</v>
      </c>
      <c r="I14">
        <v>0.62</v>
      </c>
      <c r="J14">
        <v>0.74</v>
      </c>
      <c r="K14">
        <v>0.85</v>
      </c>
      <c r="L14">
        <v>0.89</v>
      </c>
      <c r="M14">
        <v>0.97</v>
      </c>
      <c r="N14">
        <v>0.99</v>
      </c>
    </row>
    <row r="15" spans="1:14" ht="15.75" customHeight="1">
      <c r="A15" s="7" t="s">
        <v>430</v>
      </c>
      <c r="B15">
        <v>14</v>
      </c>
      <c r="C15">
        <v>0.22</v>
      </c>
      <c r="D15">
        <v>0.39</v>
      </c>
      <c r="E15">
        <v>0.35</v>
      </c>
      <c r="F15">
        <v>0.52</v>
      </c>
      <c r="G15">
        <v>0.56000000000000005</v>
      </c>
      <c r="H15">
        <v>0.69</v>
      </c>
      <c r="I15">
        <v>0.71</v>
      </c>
      <c r="J15">
        <v>0.82</v>
      </c>
      <c r="K15">
        <v>0.92</v>
      </c>
      <c r="L15">
        <v>0.95</v>
      </c>
      <c r="M15">
        <v>1</v>
      </c>
      <c r="N15">
        <v>1</v>
      </c>
    </row>
    <row r="16" spans="1:14" ht="15.75" customHeight="1">
      <c r="A16" s="7" t="s">
        <v>431</v>
      </c>
      <c r="B16">
        <v>15</v>
      </c>
      <c r="C16">
        <v>0.32</v>
      </c>
      <c r="D16">
        <v>0.5</v>
      </c>
      <c r="E16">
        <v>0.46</v>
      </c>
      <c r="F16">
        <v>0.62</v>
      </c>
      <c r="G16">
        <v>0.66</v>
      </c>
      <c r="H16">
        <v>0.77</v>
      </c>
      <c r="I16">
        <v>0.79</v>
      </c>
      <c r="J16">
        <v>0.89</v>
      </c>
      <c r="K16">
        <v>0.97</v>
      </c>
      <c r="L16">
        <v>0.99</v>
      </c>
      <c r="M16">
        <v>0.99</v>
      </c>
      <c r="N16">
        <v>0.97</v>
      </c>
    </row>
    <row r="17" spans="1:14" ht="15.75" customHeight="1">
      <c r="A17" s="7" t="s">
        <v>432</v>
      </c>
      <c r="B17">
        <v>16</v>
      </c>
      <c r="C17">
        <v>0.43</v>
      </c>
      <c r="D17">
        <v>0.61</v>
      </c>
      <c r="E17">
        <v>0.56999999999999995</v>
      </c>
      <c r="F17">
        <v>0.72</v>
      </c>
      <c r="G17">
        <v>0.75</v>
      </c>
      <c r="H17">
        <v>0.84</v>
      </c>
      <c r="I17">
        <v>0.87</v>
      </c>
      <c r="J17">
        <v>0.95</v>
      </c>
      <c r="K17">
        <v>1</v>
      </c>
      <c r="L17">
        <v>1</v>
      </c>
      <c r="M17">
        <v>0.95</v>
      </c>
      <c r="N17">
        <v>0.92</v>
      </c>
    </row>
    <row r="18" spans="1:14" ht="15.75" customHeight="1">
      <c r="A18" s="7" t="s">
        <v>433</v>
      </c>
      <c r="B18">
        <v>17</v>
      </c>
      <c r="C18">
        <v>0.54</v>
      </c>
      <c r="D18">
        <v>0.72</v>
      </c>
      <c r="E18">
        <v>0.67</v>
      </c>
      <c r="F18">
        <v>0.8</v>
      </c>
      <c r="G18">
        <v>0.82</v>
      </c>
      <c r="H18">
        <v>0.91</v>
      </c>
      <c r="I18">
        <v>0.93</v>
      </c>
      <c r="J18">
        <v>0.99</v>
      </c>
      <c r="K18">
        <v>1</v>
      </c>
      <c r="L18">
        <v>0.98</v>
      </c>
      <c r="M18">
        <v>0.89</v>
      </c>
      <c r="N18">
        <v>0.85</v>
      </c>
    </row>
    <row r="19" spans="1:14" ht="15.75" customHeight="1">
      <c r="A19" s="7" t="s">
        <v>434</v>
      </c>
      <c r="B19">
        <v>18</v>
      </c>
      <c r="C19">
        <v>0.65</v>
      </c>
      <c r="D19">
        <v>0.81</v>
      </c>
      <c r="E19">
        <v>0.76</v>
      </c>
      <c r="F19">
        <v>0.87</v>
      </c>
      <c r="G19">
        <v>0.89</v>
      </c>
      <c r="H19">
        <v>0.95</v>
      </c>
      <c r="I19">
        <v>0.97</v>
      </c>
      <c r="J19">
        <v>1</v>
      </c>
      <c r="K19">
        <v>0.97</v>
      </c>
      <c r="L19">
        <v>0.93</v>
      </c>
      <c r="M19">
        <v>0.81</v>
      </c>
      <c r="N19">
        <v>0.77</v>
      </c>
    </row>
    <row r="20" spans="1:14" ht="15.75" customHeight="1">
      <c r="A20" s="7" t="s">
        <v>435</v>
      </c>
      <c r="B20">
        <v>19</v>
      </c>
      <c r="C20">
        <v>0.75</v>
      </c>
      <c r="D20">
        <v>0.88</v>
      </c>
      <c r="E20">
        <v>0.84</v>
      </c>
      <c r="F20">
        <v>0.93</v>
      </c>
      <c r="G20">
        <v>0.94</v>
      </c>
      <c r="H20">
        <v>0.99</v>
      </c>
      <c r="I20">
        <v>0.99</v>
      </c>
      <c r="J20">
        <v>0.99</v>
      </c>
      <c r="K20">
        <v>0.91</v>
      </c>
      <c r="L20">
        <v>0.86</v>
      </c>
      <c r="M20">
        <v>0.71</v>
      </c>
      <c r="N20">
        <v>0.67</v>
      </c>
    </row>
    <row r="21" spans="1:14" ht="15.75" customHeight="1">
      <c r="A21" s="7" t="s">
        <v>436</v>
      </c>
      <c r="B21">
        <v>20</v>
      </c>
      <c r="C21">
        <v>0.84</v>
      </c>
      <c r="D21">
        <v>0.94</v>
      </c>
      <c r="E21">
        <v>0.91</v>
      </c>
      <c r="F21">
        <v>0.97</v>
      </c>
      <c r="G21">
        <v>0.98</v>
      </c>
      <c r="H21">
        <v>1</v>
      </c>
      <c r="I21">
        <v>1</v>
      </c>
      <c r="J21">
        <v>0.95</v>
      </c>
      <c r="K21">
        <v>0.83</v>
      </c>
      <c r="L21">
        <v>0.76</v>
      </c>
      <c r="M21">
        <v>0.61</v>
      </c>
      <c r="N21">
        <v>0.57999999999999996</v>
      </c>
    </row>
    <row r="22" spans="1:14" ht="15.75" customHeight="1">
      <c r="A22" s="7" t="s">
        <v>437</v>
      </c>
      <c r="B22">
        <v>21</v>
      </c>
      <c r="C22">
        <v>0.91</v>
      </c>
      <c r="D22">
        <v>0.98</v>
      </c>
      <c r="E22">
        <v>0.96</v>
      </c>
      <c r="F22">
        <v>0.99</v>
      </c>
      <c r="G22">
        <v>1</v>
      </c>
      <c r="H22">
        <v>0.99</v>
      </c>
      <c r="I22">
        <v>0.98</v>
      </c>
      <c r="J22">
        <v>0.89</v>
      </c>
      <c r="K22">
        <v>0.73</v>
      </c>
      <c r="L22">
        <v>0.66</v>
      </c>
      <c r="M22">
        <v>0.5</v>
      </c>
      <c r="N22">
        <v>0.48</v>
      </c>
    </row>
    <row r="23" spans="1:14" ht="15.75" customHeight="1">
      <c r="A23" s="7" t="s">
        <v>438</v>
      </c>
      <c r="B23">
        <v>22</v>
      </c>
      <c r="C23">
        <v>0.96</v>
      </c>
      <c r="D23">
        <v>1</v>
      </c>
      <c r="E23">
        <v>0.99</v>
      </c>
      <c r="F23">
        <v>1</v>
      </c>
      <c r="G23">
        <v>1</v>
      </c>
      <c r="H23">
        <v>0.96</v>
      </c>
      <c r="I23">
        <v>0.93</v>
      </c>
      <c r="J23">
        <v>0.81</v>
      </c>
      <c r="K23">
        <v>0.62</v>
      </c>
      <c r="L23">
        <v>0.55000000000000004</v>
      </c>
      <c r="M23">
        <v>0.4</v>
      </c>
      <c r="N23">
        <v>0.38</v>
      </c>
    </row>
    <row r="24" spans="1:14" ht="15.75" customHeight="1">
      <c r="A24" s="7" t="s">
        <v>439</v>
      </c>
      <c r="B24">
        <v>23</v>
      </c>
      <c r="C24">
        <v>0.99</v>
      </c>
      <c r="D24">
        <v>1</v>
      </c>
      <c r="E24">
        <v>1</v>
      </c>
      <c r="F24">
        <v>0.99</v>
      </c>
      <c r="G24">
        <v>0.98</v>
      </c>
      <c r="H24">
        <v>0.91</v>
      </c>
      <c r="I24">
        <v>0.87</v>
      </c>
      <c r="J24">
        <v>0.71</v>
      </c>
      <c r="K24">
        <v>0.51</v>
      </c>
      <c r="L24">
        <v>0.44</v>
      </c>
      <c r="M24">
        <v>0.31</v>
      </c>
      <c r="N24">
        <v>0.28999999999999998</v>
      </c>
    </row>
    <row r="25" spans="1:14" ht="15.75" customHeight="1">
      <c r="A25" s="7" t="s">
        <v>440</v>
      </c>
      <c r="B25">
        <v>24</v>
      </c>
      <c r="C25">
        <v>1</v>
      </c>
      <c r="D25">
        <v>0.98</v>
      </c>
      <c r="E25">
        <v>0.99</v>
      </c>
      <c r="F25">
        <v>0.96</v>
      </c>
      <c r="G25">
        <v>0.94</v>
      </c>
      <c r="H25">
        <v>0.84</v>
      </c>
      <c r="I25">
        <v>0.78</v>
      </c>
      <c r="J25">
        <v>0.6</v>
      </c>
      <c r="K25">
        <v>0.4</v>
      </c>
      <c r="L25">
        <v>0.34</v>
      </c>
      <c r="M25">
        <v>0.22</v>
      </c>
      <c r="N25">
        <v>0.21</v>
      </c>
    </row>
    <row r="26" spans="1:14" ht="15.75" customHeight="1">
      <c r="A26" s="7" t="s">
        <v>441</v>
      </c>
      <c r="B26">
        <v>25</v>
      </c>
      <c r="C26">
        <v>0.98</v>
      </c>
      <c r="D26">
        <v>0.94</v>
      </c>
      <c r="E26">
        <v>0.97</v>
      </c>
      <c r="F26">
        <v>0.91</v>
      </c>
      <c r="G26">
        <v>0.89</v>
      </c>
      <c r="H26">
        <v>0.76</v>
      </c>
      <c r="I26">
        <v>0.68</v>
      </c>
      <c r="J26">
        <v>0.48</v>
      </c>
      <c r="K26">
        <v>0.3</v>
      </c>
      <c r="L26">
        <v>0.25</v>
      </c>
      <c r="M26">
        <v>0.15</v>
      </c>
      <c r="N26">
        <v>0.14000000000000001</v>
      </c>
    </row>
    <row r="27" spans="1:14" ht="15.75" customHeight="1">
      <c r="A27" s="7" t="s">
        <v>442</v>
      </c>
      <c r="B27">
        <v>26</v>
      </c>
      <c r="C27">
        <v>0.95</v>
      </c>
      <c r="D27">
        <v>0.89</v>
      </c>
      <c r="E27">
        <v>0.93</v>
      </c>
      <c r="F27">
        <v>0.85</v>
      </c>
      <c r="G27">
        <v>0.81</v>
      </c>
      <c r="H27">
        <v>0.66</v>
      </c>
      <c r="I27">
        <v>0.56999999999999995</v>
      </c>
      <c r="J27">
        <v>0.37</v>
      </c>
      <c r="K27">
        <v>0.21</v>
      </c>
      <c r="L27">
        <v>0.17</v>
      </c>
      <c r="M27">
        <v>0.09</v>
      </c>
      <c r="N27">
        <v>0.08</v>
      </c>
    </row>
    <row r="28" spans="1:14" ht="15.75" customHeight="1">
      <c r="A28" s="7" t="s">
        <v>443</v>
      </c>
      <c r="B28">
        <v>27</v>
      </c>
      <c r="C28">
        <v>0.9</v>
      </c>
      <c r="D28">
        <v>0.82</v>
      </c>
      <c r="E28">
        <v>0.87</v>
      </c>
      <c r="F28">
        <v>0.77</v>
      </c>
      <c r="G28">
        <v>0.73</v>
      </c>
      <c r="H28">
        <v>0.55000000000000004</v>
      </c>
      <c r="I28">
        <v>0.46</v>
      </c>
      <c r="J28">
        <v>0.26</v>
      </c>
      <c r="K28">
        <v>0.13</v>
      </c>
      <c r="L28">
        <v>0.1</v>
      </c>
      <c r="M28">
        <v>0.04</v>
      </c>
      <c r="N28">
        <v>0.04</v>
      </c>
    </row>
    <row r="29" spans="1:14" ht="15.75" customHeight="1">
      <c r="A29" s="7" t="s">
        <v>444</v>
      </c>
      <c r="B29">
        <v>28</v>
      </c>
      <c r="C29">
        <v>0.83</v>
      </c>
      <c r="D29">
        <v>0.74</v>
      </c>
      <c r="E29">
        <v>0.8</v>
      </c>
      <c r="F29">
        <v>0.69</v>
      </c>
      <c r="G29">
        <v>0.63</v>
      </c>
      <c r="H29">
        <v>0.44</v>
      </c>
      <c r="I29">
        <v>0.35</v>
      </c>
      <c r="J29">
        <v>0.17</v>
      </c>
      <c r="K29">
        <v>7.0000000000000007E-2</v>
      </c>
      <c r="L29">
        <v>0.05</v>
      </c>
      <c r="M29">
        <v>0.01</v>
      </c>
      <c r="N29">
        <v>0.01</v>
      </c>
    </row>
    <row r="30" spans="1:14" ht="15.75" customHeight="1">
      <c r="A30" s="7" t="s">
        <v>445</v>
      </c>
      <c r="B30">
        <v>29</v>
      </c>
      <c r="C30">
        <v>0.75</v>
      </c>
      <c r="D30">
        <v>0.66</v>
      </c>
      <c r="E30">
        <v>0.72</v>
      </c>
      <c r="F30">
        <v>0.59</v>
      </c>
      <c r="G30">
        <v>0.52</v>
      </c>
      <c r="H30">
        <v>0.32</v>
      </c>
      <c r="I30">
        <v>0.24</v>
      </c>
      <c r="J30">
        <v>0.1</v>
      </c>
      <c r="K30">
        <v>0.03</v>
      </c>
      <c r="L30">
        <v>0.02</v>
      </c>
      <c r="M30">
        <v>0</v>
      </c>
      <c r="N30">
        <v>0</v>
      </c>
    </row>
    <row r="31" spans="1:14" ht="15.75" customHeight="1">
      <c r="A31" s="7" t="s">
        <v>446</v>
      </c>
      <c r="B31">
        <v>30</v>
      </c>
      <c r="C31">
        <v>0.67</v>
      </c>
      <c r="D31" t="s">
        <v>447</v>
      </c>
      <c r="E31">
        <v>0.63</v>
      </c>
      <c r="F31">
        <v>0.48</v>
      </c>
      <c r="G31">
        <v>0.41</v>
      </c>
      <c r="H31">
        <v>0.22</v>
      </c>
      <c r="I31">
        <v>0.15</v>
      </c>
      <c r="J31">
        <v>0.04</v>
      </c>
      <c r="K31">
        <v>0</v>
      </c>
      <c r="L31">
        <v>0</v>
      </c>
      <c r="M31">
        <v>0.01</v>
      </c>
      <c r="N31">
        <v>0.01</v>
      </c>
    </row>
    <row r="32" spans="1:14" ht="15.75" customHeight="1">
      <c r="A32" s="7" t="s">
        <v>448</v>
      </c>
      <c r="B32">
        <v>31</v>
      </c>
      <c r="C32">
        <v>0.57999999999999996</v>
      </c>
      <c r="D32" t="s">
        <v>447</v>
      </c>
      <c r="E32">
        <v>0.53</v>
      </c>
      <c r="F32" t="s">
        <v>447</v>
      </c>
      <c r="G32">
        <v>0.3</v>
      </c>
      <c r="H32" t="s">
        <v>447</v>
      </c>
      <c r="I32">
        <v>0.08</v>
      </c>
      <c r="J32">
        <v>0.01</v>
      </c>
      <c r="K32" t="s">
        <v>447</v>
      </c>
      <c r="L32">
        <v>0</v>
      </c>
      <c r="M32" t="s">
        <v>447</v>
      </c>
      <c r="N32">
        <v>0.04</v>
      </c>
    </row>
  </sheetData>
  <conditionalFormatting sqref="C2:N32">
    <cfRule type="colorScale" priority="1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November 2016</vt:lpstr>
      <vt:lpstr>December 2016</vt:lpstr>
      <vt:lpstr>January 2017</vt:lpstr>
      <vt:lpstr>February 2017</vt:lpstr>
      <vt:lpstr>March 2017</vt:lpstr>
      <vt:lpstr>April 2017</vt:lpstr>
      <vt:lpstr>Legend</vt:lpstr>
      <vt:lpstr>totals</vt:lpstr>
      <vt:lpstr>column labels</vt:lpstr>
      <vt:lpstr>Moon phases 2017</vt:lpstr>
      <vt:lpstr>Moon phases 2016</vt:lpstr>
      <vt:lpstr>dec_tot_down</vt:lpstr>
      <vt:lpstr>dec_tot_hrs</vt:lpstr>
      <vt:lpstr>dec_tot_up</vt:lpstr>
      <vt:lpstr>feb_tot_down</vt:lpstr>
      <vt:lpstr>feb_tot_hrs</vt:lpstr>
      <vt:lpstr>feb_tot_up</vt:lpstr>
      <vt:lpstr>jan_tot_down</vt:lpstr>
      <vt:lpstr>jan_tot_hrs</vt:lpstr>
      <vt:lpstr>jan_tot_up</vt:lpstr>
      <vt:lpstr>'April 2017'!MAR_F_A_DN</vt:lpstr>
      <vt:lpstr>MAR_F_A_DN</vt:lpstr>
      <vt:lpstr>'April 2017'!mar_tot_down</vt:lpstr>
      <vt:lpstr>mar_tot_down</vt:lpstr>
      <vt:lpstr>'April 2017'!mar_tot_hrs</vt:lpstr>
      <vt:lpstr>mar_tot_hrs</vt:lpstr>
      <vt:lpstr>'April 2017'!mar_tot_up</vt:lpstr>
      <vt:lpstr>mar_tot_up</vt:lpstr>
      <vt:lpstr>nov_tot_down</vt:lpstr>
      <vt:lpstr>nov_tot_hrs</vt:lpstr>
      <vt:lpstr>nov_tot_up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2026-04-13T00:08:03Z</dcterms:modified>
</cp:coreProperties>
</file>