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orgiakirkpatrick/Documents/Willamette_Courses/Spring_Semester/DS_505_Applied_Machine_Learning/Final Project/frog_data/"/>
    </mc:Choice>
  </mc:AlternateContent>
  <xr:revisionPtr revIDLastSave="0" documentId="13_ncr:1_{569A475A-065F-5643-BFC9-48FCB7527784}" xr6:coauthVersionLast="36" xr6:coauthVersionMax="36" xr10:uidLastSave="{00000000-0000-0000-0000-000000000000}"/>
  <bookViews>
    <workbookView xWindow="0" yWindow="500" windowWidth="28800" windowHeight="15920" xr2:uid="{00000000-000D-0000-FFFF-FFFF00000000}"/>
  </bookViews>
  <sheets>
    <sheet name="April 2018" sheetId="1" r:id="rId1"/>
    <sheet name="Sheet22" sheetId="2" r:id="rId2"/>
    <sheet name="November 2017" sheetId="3" r:id="rId3"/>
    <sheet name="December 2017" sheetId="4" r:id="rId4"/>
    <sheet name="January 2018" sheetId="5" r:id="rId5"/>
    <sheet name="February 2018" sheetId="6" r:id="rId6"/>
    <sheet name="March 2018" sheetId="7" r:id="rId7"/>
    <sheet name=" sunrisesunset" sheetId="8" r:id="rId8"/>
    <sheet name="moon phases 2018" sheetId="9" r:id="rId9"/>
    <sheet name="moon phases 2017" sheetId="10" r:id="rId10"/>
    <sheet name="Legend" sheetId="11" r:id="rId11"/>
    <sheet name="column labels" sheetId="12" r:id="rId12"/>
  </sheets>
  <definedNames>
    <definedName name="apr_tot_down">#REF!</definedName>
    <definedName name="apr_tot_up">#REF!</definedName>
    <definedName name="dec_tot_down">'December 2017'!$Y$33</definedName>
    <definedName name="dec_tot_hrs">'December 2017'!$I$33</definedName>
    <definedName name="dec_tot_up">'December 2017'!$Z$33</definedName>
    <definedName name="feb_tot_down">'February 2018'!$Y$33</definedName>
    <definedName name="feb_tot_hrs">'February 2018'!$I$33</definedName>
    <definedName name="feb_tot_up">'February 2018'!$Z$33</definedName>
    <definedName name="jan_tot_down">'January 2018'!$Y$33</definedName>
    <definedName name="jan_tot_hrs">'January 2018'!$I$33</definedName>
    <definedName name="jan_tot_up">'January 2018'!$Z$33</definedName>
    <definedName name="MAR_F_A_DN" localSheetId="0">'April 2018'!$M$33</definedName>
    <definedName name="MAR_F_A_DN">'March 2018'!$M$33</definedName>
    <definedName name="mar_tot_down" localSheetId="0">'April 2018'!$Y$33</definedName>
    <definedName name="mar_tot_down">'March 2018'!$Y$33</definedName>
    <definedName name="mar_tot_hrs" localSheetId="0">'April 2018'!$I$33</definedName>
    <definedName name="mar_tot_hrs">'March 2018'!$I$33</definedName>
    <definedName name="mar_tot_up" localSheetId="0">'April 2018'!$Z$33</definedName>
    <definedName name="mar_tot_up">'March 2018'!$Z$33</definedName>
    <definedName name="nov_tot_down">'November 2017'!$Y$33</definedName>
    <definedName name="nov_tot_hrs">'November 2017'!$I$33</definedName>
    <definedName name="nov_tot_up">'November 2017'!$Z$33</definedName>
  </definedNames>
  <calcPr calcId="181029"/>
</workbook>
</file>

<file path=xl/calcChain.xml><?xml version="1.0" encoding="utf-8"?>
<calcChain xmlns="http://schemas.openxmlformats.org/spreadsheetml/2006/main">
  <c r="M26" i="12" l="1"/>
  <c r="M25" i="12"/>
  <c r="M24" i="12"/>
  <c r="M23" i="12"/>
  <c r="M22" i="12"/>
  <c r="M21" i="12"/>
  <c r="M20" i="12"/>
  <c r="M19" i="12"/>
  <c r="M18" i="12"/>
  <c r="M17" i="12"/>
  <c r="M16" i="12"/>
  <c r="M15" i="12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N2" i="10"/>
  <c r="M2" i="10"/>
  <c r="L2" i="10"/>
  <c r="K2" i="10"/>
  <c r="J2" i="10"/>
  <c r="I2" i="10"/>
  <c r="H2" i="10"/>
  <c r="G2" i="10"/>
  <c r="F2" i="10"/>
  <c r="E2" i="10"/>
  <c r="D2" i="10"/>
  <c r="C2" i="10"/>
  <c r="B2" i="10"/>
  <c r="N1" i="10"/>
  <c r="M1" i="10"/>
  <c r="L1" i="10"/>
  <c r="K1" i="10"/>
  <c r="J1" i="10"/>
  <c r="I1" i="10"/>
  <c r="H1" i="10"/>
  <c r="G1" i="10"/>
  <c r="F1" i="10"/>
  <c r="E1" i="10"/>
  <c r="D1" i="10"/>
  <c r="C1" i="10"/>
  <c r="B1" i="10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N9" i="9"/>
  <c r="M9" i="9"/>
  <c r="L9" i="9"/>
  <c r="K9" i="9"/>
  <c r="J9" i="9"/>
  <c r="I9" i="9"/>
  <c r="H9" i="9"/>
  <c r="G9" i="9"/>
  <c r="F9" i="9"/>
  <c r="E9" i="9"/>
  <c r="D9" i="9"/>
  <c r="C9" i="9"/>
  <c r="B9" i="9"/>
  <c r="N8" i="9"/>
  <c r="M8" i="9"/>
  <c r="L8" i="9"/>
  <c r="K8" i="9"/>
  <c r="J8" i="9"/>
  <c r="I8" i="9"/>
  <c r="H8" i="9"/>
  <c r="G8" i="9"/>
  <c r="F8" i="9"/>
  <c r="E8" i="9"/>
  <c r="D8" i="9"/>
  <c r="C8" i="9"/>
  <c r="B8" i="9"/>
  <c r="N7" i="9"/>
  <c r="M7" i="9"/>
  <c r="L7" i="9"/>
  <c r="K7" i="9"/>
  <c r="J7" i="9"/>
  <c r="I7" i="9"/>
  <c r="H7" i="9"/>
  <c r="G7" i="9"/>
  <c r="F7" i="9"/>
  <c r="E7" i="9"/>
  <c r="D7" i="9"/>
  <c r="C7" i="9"/>
  <c r="B7" i="9"/>
  <c r="N6" i="9"/>
  <c r="M6" i="9"/>
  <c r="L6" i="9"/>
  <c r="K6" i="9"/>
  <c r="J6" i="9"/>
  <c r="I6" i="9"/>
  <c r="H6" i="9"/>
  <c r="G6" i="9"/>
  <c r="F6" i="9"/>
  <c r="E6" i="9"/>
  <c r="D6" i="9"/>
  <c r="C6" i="9"/>
  <c r="B6" i="9"/>
  <c r="N5" i="9"/>
  <c r="M5" i="9"/>
  <c r="L5" i="9"/>
  <c r="K5" i="9"/>
  <c r="J5" i="9"/>
  <c r="I5" i="9"/>
  <c r="H5" i="9"/>
  <c r="G5" i="9"/>
  <c r="F5" i="9"/>
  <c r="E5" i="9"/>
  <c r="D5" i="9"/>
  <c r="C5" i="9"/>
  <c r="B5" i="9"/>
  <c r="N4" i="9"/>
  <c r="M4" i="9"/>
  <c r="L4" i="9"/>
  <c r="K4" i="9"/>
  <c r="J4" i="9"/>
  <c r="I4" i="9"/>
  <c r="H4" i="9"/>
  <c r="G4" i="9"/>
  <c r="F4" i="9"/>
  <c r="E4" i="9"/>
  <c r="D4" i="9"/>
  <c r="C4" i="9"/>
  <c r="B4" i="9"/>
  <c r="N3" i="9"/>
  <c r="M3" i="9"/>
  <c r="L3" i="9"/>
  <c r="K3" i="9"/>
  <c r="J3" i="9"/>
  <c r="I3" i="9"/>
  <c r="H3" i="9"/>
  <c r="G3" i="9"/>
  <c r="F3" i="9"/>
  <c r="E3" i="9"/>
  <c r="D3" i="9"/>
  <c r="C3" i="9"/>
  <c r="B3" i="9"/>
  <c r="N2" i="9"/>
  <c r="M2" i="9"/>
  <c r="L2" i="9"/>
  <c r="K2" i="9"/>
  <c r="J2" i="9"/>
  <c r="I2" i="9"/>
  <c r="H2" i="9"/>
  <c r="G2" i="9"/>
  <c r="F2" i="9"/>
  <c r="E2" i="9"/>
  <c r="D2" i="9"/>
  <c r="C2" i="9"/>
  <c r="B2" i="9"/>
  <c r="N1" i="9"/>
  <c r="M1" i="9"/>
  <c r="L1" i="9"/>
  <c r="K1" i="9"/>
  <c r="J1" i="9"/>
  <c r="I1" i="9"/>
  <c r="H1" i="9"/>
  <c r="G1" i="9"/>
  <c r="F1" i="9"/>
  <c r="E1" i="9"/>
  <c r="D1" i="9"/>
  <c r="C1" i="9"/>
  <c r="B1" i="9"/>
  <c r="O34" i="7"/>
  <c r="X33" i="7"/>
  <c r="X34" i="1" s="1"/>
  <c r="W33" i="7"/>
  <c r="V33" i="7"/>
  <c r="U33" i="7"/>
  <c r="T33" i="7"/>
  <c r="T35" i="1" s="1"/>
  <c r="S33" i="7"/>
  <c r="R33" i="7"/>
  <c r="Q33" i="7"/>
  <c r="P33" i="7"/>
  <c r="P35" i="1" s="1"/>
  <c r="O33" i="7"/>
  <c r="N33" i="7"/>
  <c r="M33" i="7"/>
  <c r="I33" i="7"/>
  <c r="I34" i="1" s="1"/>
  <c r="AB32" i="7"/>
  <c r="AA32" i="7"/>
  <c r="Z32" i="7"/>
  <c r="Y32" i="7"/>
  <c r="H32" i="7"/>
  <c r="D32" i="7"/>
  <c r="AB31" i="7"/>
  <c r="AA31" i="7"/>
  <c r="Z31" i="7"/>
  <c r="Y31" i="7"/>
  <c r="H31" i="7"/>
  <c r="D31" i="7"/>
  <c r="AB30" i="7"/>
  <c r="AA30" i="7"/>
  <c r="Z30" i="7"/>
  <c r="Y30" i="7"/>
  <c r="H30" i="7"/>
  <c r="D30" i="7"/>
  <c r="AB29" i="7"/>
  <c r="AA29" i="7"/>
  <c r="Z29" i="7"/>
  <c r="Y29" i="7"/>
  <c r="H29" i="7"/>
  <c r="D29" i="7"/>
  <c r="AB28" i="7"/>
  <c r="AA28" i="7"/>
  <c r="Z28" i="7"/>
  <c r="Y28" i="7"/>
  <c r="H28" i="7"/>
  <c r="D28" i="7"/>
  <c r="AB27" i="7"/>
  <c r="AA27" i="7"/>
  <c r="Z27" i="7"/>
  <c r="Y27" i="7"/>
  <c r="H27" i="7"/>
  <c r="D27" i="7"/>
  <c r="AB26" i="7"/>
  <c r="AA26" i="7"/>
  <c r="Z26" i="7"/>
  <c r="Y26" i="7"/>
  <c r="H26" i="7"/>
  <c r="D26" i="7"/>
  <c r="AB25" i="7"/>
  <c r="AA25" i="7"/>
  <c r="Z25" i="7"/>
  <c r="Y25" i="7"/>
  <c r="H25" i="7"/>
  <c r="D25" i="7"/>
  <c r="AB24" i="7"/>
  <c r="AA24" i="7"/>
  <c r="Z24" i="7"/>
  <c r="Y24" i="7"/>
  <c r="H24" i="7"/>
  <c r="D24" i="7"/>
  <c r="AB23" i="7"/>
  <c r="AA23" i="7"/>
  <c r="Z23" i="7"/>
  <c r="Y23" i="7"/>
  <c r="H23" i="7"/>
  <c r="D23" i="7"/>
  <c r="AB22" i="7"/>
  <c r="AA22" i="7"/>
  <c r="Z22" i="7"/>
  <c r="Y22" i="7"/>
  <c r="D22" i="7"/>
  <c r="AB21" i="7"/>
  <c r="AA21" i="7"/>
  <c r="Z21" i="7"/>
  <c r="Y21" i="7"/>
  <c r="H21" i="7"/>
  <c r="D21" i="7"/>
  <c r="AB20" i="7"/>
  <c r="AA20" i="7"/>
  <c r="Z20" i="7"/>
  <c r="Y20" i="7"/>
  <c r="H20" i="7"/>
  <c r="D20" i="7"/>
  <c r="AB19" i="7"/>
  <c r="AA19" i="7"/>
  <c r="Z19" i="7"/>
  <c r="Y19" i="7"/>
  <c r="H19" i="7"/>
  <c r="D19" i="7"/>
  <c r="AB18" i="7"/>
  <c r="AA18" i="7"/>
  <c r="Z18" i="7"/>
  <c r="Y18" i="7"/>
  <c r="H18" i="7"/>
  <c r="D18" i="7"/>
  <c r="AB17" i="7"/>
  <c r="AA17" i="7"/>
  <c r="Z17" i="7"/>
  <c r="Y17" i="7"/>
  <c r="H17" i="7"/>
  <c r="D17" i="7"/>
  <c r="AB16" i="7"/>
  <c r="AA16" i="7"/>
  <c r="Z16" i="7"/>
  <c r="Y16" i="7"/>
  <c r="H16" i="7"/>
  <c r="D16" i="7"/>
  <c r="AB15" i="7"/>
  <c r="AA15" i="7"/>
  <c r="Z15" i="7"/>
  <c r="Y15" i="7"/>
  <c r="H15" i="7"/>
  <c r="D15" i="7"/>
  <c r="AB14" i="7"/>
  <c r="AA14" i="7"/>
  <c r="Z14" i="7"/>
  <c r="Y14" i="7"/>
  <c r="H14" i="7"/>
  <c r="D14" i="7"/>
  <c r="AB13" i="7"/>
  <c r="AA13" i="7"/>
  <c r="Z13" i="7"/>
  <c r="Y13" i="7"/>
  <c r="H13" i="7"/>
  <c r="D13" i="7"/>
  <c r="AB12" i="7"/>
  <c r="AA12" i="7"/>
  <c r="Z12" i="7"/>
  <c r="Y12" i="7"/>
  <c r="H12" i="7"/>
  <c r="D12" i="7"/>
  <c r="AB11" i="7"/>
  <c r="AA11" i="7"/>
  <c r="Z11" i="7"/>
  <c r="Y11" i="7"/>
  <c r="H11" i="7"/>
  <c r="D11" i="7"/>
  <c r="AB10" i="7"/>
  <c r="AA10" i="7"/>
  <c r="Z10" i="7"/>
  <c r="Y10" i="7"/>
  <c r="H10" i="7"/>
  <c r="D10" i="7"/>
  <c r="AB9" i="7"/>
  <c r="AA9" i="7"/>
  <c r="Z9" i="7"/>
  <c r="Y9" i="7"/>
  <c r="H9" i="7"/>
  <c r="D9" i="7"/>
  <c r="AB8" i="7"/>
  <c r="AA8" i="7"/>
  <c r="Z8" i="7"/>
  <c r="Y8" i="7"/>
  <c r="H8" i="7"/>
  <c r="D8" i="7"/>
  <c r="AB7" i="7"/>
  <c r="AA7" i="7"/>
  <c r="Z7" i="7"/>
  <c r="Y7" i="7"/>
  <c r="H7" i="7"/>
  <c r="D7" i="7"/>
  <c r="AB6" i="7"/>
  <c r="AA6" i="7"/>
  <c r="Z6" i="7"/>
  <c r="Y6" i="7"/>
  <c r="H6" i="7"/>
  <c r="D6" i="7"/>
  <c r="AB5" i="7"/>
  <c r="AA5" i="7"/>
  <c r="Z5" i="7"/>
  <c r="Y5" i="7"/>
  <c r="H5" i="7"/>
  <c r="D5" i="7"/>
  <c r="AB4" i="7"/>
  <c r="AA4" i="7"/>
  <c r="Z4" i="7"/>
  <c r="Y4" i="7"/>
  <c r="H4" i="7"/>
  <c r="D4" i="7"/>
  <c r="AB3" i="7"/>
  <c r="AA3" i="7"/>
  <c r="Z3" i="7"/>
  <c r="Y3" i="7"/>
  <c r="H3" i="7"/>
  <c r="D3" i="7"/>
  <c r="AB2" i="7"/>
  <c r="AA2" i="7"/>
  <c r="AA33" i="7" s="1"/>
  <c r="Z2" i="7"/>
  <c r="Y2" i="7"/>
  <c r="Y33" i="7" s="1"/>
  <c r="H2" i="7"/>
  <c r="D2" i="7"/>
  <c r="X35" i="6"/>
  <c r="W35" i="6"/>
  <c r="P35" i="6"/>
  <c r="O35" i="6"/>
  <c r="AB33" i="6"/>
  <c r="AA33" i="6"/>
  <c r="X33" i="6"/>
  <c r="W33" i="6"/>
  <c r="V33" i="6"/>
  <c r="U33" i="6"/>
  <c r="T33" i="6"/>
  <c r="S33" i="6"/>
  <c r="R33" i="6"/>
  <c r="Q33" i="6"/>
  <c r="P33" i="6"/>
  <c r="O33" i="6"/>
  <c r="N33" i="6"/>
  <c r="M33" i="6"/>
  <c r="I33" i="6"/>
  <c r="H32" i="6"/>
  <c r="H31" i="6"/>
  <c r="H30" i="6"/>
  <c r="AB29" i="6"/>
  <c r="AA29" i="6"/>
  <c r="Z29" i="6"/>
  <c r="Y29" i="6"/>
  <c r="H29" i="6"/>
  <c r="D29" i="6"/>
  <c r="AB28" i="6"/>
  <c r="AA28" i="6"/>
  <c r="Z28" i="6"/>
  <c r="Y28" i="6"/>
  <c r="H28" i="6"/>
  <c r="D28" i="6"/>
  <c r="AB27" i="6"/>
  <c r="AA27" i="6"/>
  <c r="Z27" i="6"/>
  <c r="Y27" i="6"/>
  <c r="H27" i="6"/>
  <c r="D27" i="6"/>
  <c r="AB26" i="6"/>
  <c r="AA26" i="6"/>
  <c r="Z26" i="6"/>
  <c r="Y26" i="6"/>
  <c r="H26" i="6"/>
  <c r="D26" i="6"/>
  <c r="AB25" i="6"/>
  <c r="AA25" i="6"/>
  <c r="Z25" i="6"/>
  <c r="Y25" i="6"/>
  <c r="H25" i="6"/>
  <c r="D25" i="6"/>
  <c r="AB24" i="6"/>
  <c r="AA24" i="6"/>
  <c r="Z24" i="6"/>
  <c r="Y24" i="6"/>
  <c r="H24" i="6"/>
  <c r="D24" i="6"/>
  <c r="AB23" i="6"/>
  <c r="AA23" i="6"/>
  <c r="Z23" i="6"/>
  <c r="Y23" i="6"/>
  <c r="H23" i="6"/>
  <c r="D23" i="6"/>
  <c r="AB22" i="6"/>
  <c r="AA22" i="6"/>
  <c r="Z22" i="6"/>
  <c r="Y22" i="6"/>
  <c r="H22" i="6"/>
  <c r="D22" i="6"/>
  <c r="AB21" i="6"/>
  <c r="AA21" i="6"/>
  <c r="Z21" i="6"/>
  <c r="Y21" i="6"/>
  <c r="H21" i="6"/>
  <c r="D21" i="6"/>
  <c r="AB20" i="6"/>
  <c r="AA20" i="6"/>
  <c r="Z20" i="6"/>
  <c r="Y20" i="6"/>
  <c r="H20" i="6"/>
  <c r="D20" i="6"/>
  <c r="AB19" i="6"/>
  <c r="AA19" i="6"/>
  <c r="Z19" i="6"/>
  <c r="Y19" i="6"/>
  <c r="H19" i="6"/>
  <c r="D19" i="6"/>
  <c r="AB18" i="6"/>
  <c r="AA18" i="6"/>
  <c r="Z18" i="6"/>
  <c r="Y18" i="6"/>
  <c r="H18" i="6"/>
  <c r="D18" i="6"/>
  <c r="AB17" i="6"/>
  <c r="AA17" i="6"/>
  <c r="Z17" i="6"/>
  <c r="Y17" i="6"/>
  <c r="H17" i="6"/>
  <c r="H33" i="6" s="1"/>
  <c r="AB16" i="6"/>
  <c r="AA16" i="6"/>
  <c r="Z16" i="6"/>
  <c r="Y16" i="6"/>
  <c r="H16" i="6"/>
  <c r="D16" i="6"/>
  <c r="AB15" i="6"/>
  <c r="AA15" i="6"/>
  <c r="Z15" i="6"/>
  <c r="Y15" i="6"/>
  <c r="H15" i="6"/>
  <c r="D15" i="6"/>
  <c r="AB14" i="6"/>
  <c r="AA14" i="6"/>
  <c r="Z14" i="6"/>
  <c r="Y14" i="6"/>
  <c r="H14" i="6"/>
  <c r="D14" i="6"/>
  <c r="AB13" i="6"/>
  <c r="AA13" i="6"/>
  <c r="Z13" i="6"/>
  <c r="Y13" i="6"/>
  <c r="H13" i="6"/>
  <c r="D13" i="6"/>
  <c r="AB12" i="6"/>
  <c r="AA12" i="6"/>
  <c r="Z12" i="6"/>
  <c r="Y12" i="6"/>
  <c r="H12" i="6"/>
  <c r="D12" i="6"/>
  <c r="AB11" i="6"/>
  <c r="AA11" i="6"/>
  <c r="Z11" i="6"/>
  <c r="Y11" i="6"/>
  <c r="H11" i="6"/>
  <c r="D11" i="6"/>
  <c r="AB10" i="6"/>
  <c r="AA10" i="6"/>
  <c r="Z10" i="6"/>
  <c r="Y10" i="6"/>
  <c r="H10" i="6"/>
  <c r="D10" i="6"/>
  <c r="AB9" i="6"/>
  <c r="AA9" i="6"/>
  <c r="Z9" i="6"/>
  <c r="Y9" i="6"/>
  <c r="H9" i="6"/>
  <c r="D9" i="6"/>
  <c r="AB8" i="6"/>
  <c r="AA8" i="6"/>
  <c r="Z8" i="6"/>
  <c r="Y8" i="6"/>
  <c r="H8" i="6"/>
  <c r="D8" i="6"/>
  <c r="AB7" i="6"/>
  <c r="AA7" i="6"/>
  <c r="Z7" i="6"/>
  <c r="Y7" i="6"/>
  <c r="H7" i="6"/>
  <c r="D7" i="6"/>
  <c r="AB6" i="6"/>
  <c r="AA6" i="6"/>
  <c r="Z6" i="6"/>
  <c r="Y6" i="6"/>
  <c r="H6" i="6"/>
  <c r="D6" i="6"/>
  <c r="AB5" i="6"/>
  <c r="AA5" i="6"/>
  <c r="Z5" i="6"/>
  <c r="Y5" i="6"/>
  <c r="H5" i="6"/>
  <c r="D5" i="6"/>
  <c r="AB4" i="6"/>
  <c r="AA4" i="6"/>
  <c r="Z4" i="6"/>
  <c r="Y4" i="6"/>
  <c r="H4" i="6"/>
  <c r="D4" i="6"/>
  <c r="AB3" i="6"/>
  <c r="AA3" i="6"/>
  <c r="Z3" i="6"/>
  <c r="Y3" i="6"/>
  <c r="H3" i="6"/>
  <c r="D3" i="6"/>
  <c r="AB2" i="6"/>
  <c r="AA2" i="6"/>
  <c r="Z2" i="6"/>
  <c r="Y2" i="6"/>
  <c r="Y33" i="6" s="1"/>
  <c r="H2" i="6"/>
  <c r="D2" i="6"/>
  <c r="X35" i="5"/>
  <c r="P35" i="5"/>
  <c r="O35" i="5"/>
  <c r="AB33" i="5"/>
  <c r="AA33" i="5"/>
  <c r="X33" i="5"/>
  <c r="W33" i="5"/>
  <c r="V33" i="5"/>
  <c r="U33" i="5"/>
  <c r="T33" i="5"/>
  <c r="T35" i="6" s="1"/>
  <c r="S33" i="5"/>
  <c r="R33" i="5"/>
  <c r="Q33" i="5"/>
  <c r="P33" i="5"/>
  <c r="O33" i="5"/>
  <c r="N33" i="5"/>
  <c r="M33" i="5"/>
  <c r="I33" i="5"/>
  <c r="I35" i="6" s="1"/>
  <c r="AB32" i="5"/>
  <c r="AA32" i="5"/>
  <c r="Z32" i="5"/>
  <c r="Y32" i="5"/>
  <c r="H32" i="5"/>
  <c r="D32" i="5"/>
  <c r="AA31" i="5"/>
  <c r="Z31" i="5"/>
  <c r="Y31" i="5"/>
  <c r="H31" i="5"/>
  <c r="D31" i="5"/>
  <c r="AB30" i="5"/>
  <c r="AA30" i="5"/>
  <c r="Z30" i="5"/>
  <c r="Y30" i="5"/>
  <c r="H30" i="5"/>
  <c r="D30" i="5"/>
  <c r="AB29" i="5"/>
  <c r="AA29" i="5"/>
  <c r="Z29" i="5"/>
  <c r="Y29" i="5"/>
  <c r="H29" i="5"/>
  <c r="D29" i="5"/>
  <c r="AB28" i="5"/>
  <c r="AA28" i="5"/>
  <c r="Z28" i="5"/>
  <c r="Y28" i="5"/>
  <c r="H28" i="5"/>
  <c r="H33" i="5" s="1"/>
  <c r="D28" i="5"/>
  <c r="AB27" i="5"/>
  <c r="AA27" i="5"/>
  <c r="Z27" i="5"/>
  <c r="Y27" i="5"/>
  <c r="H27" i="5"/>
  <c r="AB26" i="5"/>
  <c r="AA26" i="5"/>
  <c r="Z26" i="5"/>
  <c r="Y26" i="5"/>
  <c r="H26" i="5"/>
  <c r="D26" i="5"/>
  <c r="AB25" i="5"/>
  <c r="AA25" i="5"/>
  <c r="Z25" i="5"/>
  <c r="Y25" i="5"/>
  <c r="H25" i="5"/>
  <c r="D25" i="5"/>
  <c r="AB24" i="5"/>
  <c r="AA24" i="5"/>
  <c r="Z24" i="5"/>
  <c r="Y24" i="5"/>
  <c r="H24" i="5"/>
  <c r="D24" i="5"/>
  <c r="AB23" i="5"/>
  <c r="AA23" i="5"/>
  <c r="Z23" i="5"/>
  <c r="Y23" i="5"/>
  <c r="H23" i="5"/>
  <c r="D23" i="5"/>
  <c r="AB22" i="5"/>
  <c r="AA22" i="5"/>
  <c r="Z22" i="5"/>
  <c r="Y22" i="5"/>
  <c r="H22" i="5"/>
  <c r="D22" i="5"/>
  <c r="AB21" i="5"/>
  <c r="AA21" i="5"/>
  <c r="Z21" i="5"/>
  <c r="Y21" i="5"/>
  <c r="H21" i="5"/>
  <c r="D21" i="5"/>
  <c r="AB20" i="5"/>
  <c r="AA20" i="5"/>
  <c r="Z20" i="5"/>
  <c r="Y20" i="5"/>
  <c r="H20" i="5"/>
  <c r="D20" i="5"/>
  <c r="AB19" i="5"/>
  <c r="AA19" i="5"/>
  <c r="Z19" i="5"/>
  <c r="Y19" i="5"/>
  <c r="H19" i="5"/>
  <c r="D19" i="5"/>
  <c r="AB18" i="5"/>
  <c r="AA18" i="5"/>
  <c r="Z18" i="5"/>
  <c r="Y18" i="5"/>
  <c r="H18" i="5"/>
  <c r="D18" i="5"/>
  <c r="AB17" i="5"/>
  <c r="AA17" i="5"/>
  <c r="Z17" i="5"/>
  <c r="Y17" i="5"/>
  <c r="H17" i="5"/>
  <c r="D17" i="5"/>
  <c r="AB16" i="5"/>
  <c r="AA16" i="5"/>
  <c r="Z16" i="5"/>
  <c r="Y16" i="5"/>
  <c r="H16" i="5"/>
  <c r="D16" i="5"/>
  <c r="AB15" i="5"/>
  <c r="AA15" i="5"/>
  <c r="Z15" i="5"/>
  <c r="Y15" i="5"/>
  <c r="H15" i="5"/>
  <c r="D15" i="5"/>
  <c r="AB14" i="5"/>
  <c r="AA14" i="5"/>
  <c r="Z14" i="5"/>
  <c r="Y14" i="5"/>
  <c r="H14" i="5"/>
  <c r="D14" i="5"/>
  <c r="AB13" i="5"/>
  <c r="AA13" i="5"/>
  <c r="Z13" i="5"/>
  <c r="Y13" i="5"/>
  <c r="H13" i="5"/>
  <c r="D13" i="5"/>
  <c r="AB12" i="5"/>
  <c r="AA12" i="5"/>
  <c r="Z12" i="5"/>
  <c r="Y12" i="5"/>
  <c r="H12" i="5"/>
  <c r="D12" i="5"/>
  <c r="AB11" i="5"/>
  <c r="AA11" i="5"/>
  <c r="Z11" i="5"/>
  <c r="Y11" i="5"/>
  <c r="H11" i="5"/>
  <c r="D11" i="5"/>
  <c r="AB10" i="5"/>
  <c r="AA10" i="5"/>
  <c r="Z10" i="5"/>
  <c r="Y10" i="5"/>
  <c r="H10" i="5"/>
  <c r="D10" i="5"/>
  <c r="AB9" i="5"/>
  <c r="AA9" i="5"/>
  <c r="Z9" i="5"/>
  <c r="Y9" i="5"/>
  <c r="H9" i="5"/>
  <c r="D9" i="5"/>
  <c r="AB8" i="5"/>
  <c r="AA8" i="5"/>
  <c r="Z8" i="5"/>
  <c r="Y8" i="5"/>
  <c r="H8" i="5"/>
  <c r="D8" i="5"/>
  <c r="AB7" i="5"/>
  <c r="AA7" i="5"/>
  <c r="Z7" i="5"/>
  <c r="Y7" i="5"/>
  <c r="H7" i="5"/>
  <c r="D7" i="5"/>
  <c r="AB6" i="5"/>
  <c r="AA6" i="5"/>
  <c r="Z6" i="5"/>
  <c r="Y6" i="5"/>
  <c r="H6" i="5"/>
  <c r="D6" i="5"/>
  <c r="AB5" i="5"/>
  <c r="AA5" i="5"/>
  <c r="Z5" i="5"/>
  <c r="Y5" i="5"/>
  <c r="H5" i="5"/>
  <c r="D5" i="5"/>
  <c r="AB4" i="5"/>
  <c r="AA4" i="5"/>
  <c r="Z4" i="5"/>
  <c r="Y4" i="5"/>
  <c r="H4" i="5"/>
  <c r="D4" i="5"/>
  <c r="AB3" i="5"/>
  <c r="AA3" i="5"/>
  <c r="Z3" i="5"/>
  <c r="Y3" i="5"/>
  <c r="H3" i="5"/>
  <c r="D3" i="5"/>
  <c r="AB2" i="5"/>
  <c r="AA2" i="5"/>
  <c r="Z2" i="5"/>
  <c r="Z33" i="5" s="1"/>
  <c r="Y2" i="5"/>
  <c r="Y33" i="5" s="1"/>
  <c r="H2" i="5"/>
  <c r="D2" i="5"/>
  <c r="X34" i="4"/>
  <c r="T34" i="4"/>
  <c r="P34" i="4"/>
  <c r="I34" i="4"/>
  <c r="Z33" i="4"/>
  <c r="Y33" i="4"/>
  <c r="Y34" i="5" s="1"/>
  <c r="X33" i="4"/>
  <c r="W33" i="4"/>
  <c r="V33" i="4"/>
  <c r="U33" i="4"/>
  <c r="U34" i="1" s="1"/>
  <c r="T33" i="4"/>
  <c r="S33" i="4"/>
  <c r="R33" i="4"/>
  <c r="Q33" i="4"/>
  <c r="P33" i="4"/>
  <c r="O33" i="4"/>
  <c r="N33" i="4"/>
  <c r="N34" i="1" s="1"/>
  <c r="M33" i="4"/>
  <c r="M35" i="7" s="1"/>
  <c r="I33" i="4"/>
  <c r="AB32" i="4"/>
  <c r="AA32" i="4"/>
  <c r="Z32" i="4"/>
  <c r="Y32" i="4"/>
  <c r="H32" i="4"/>
  <c r="D32" i="4"/>
  <c r="AB31" i="4"/>
  <c r="AA31" i="4"/>
  <c r="Z31" i="4"/>
  <c r="Y31" i="4"/>
  <c r="H31" i="4"/>
  <c r="D31" i="4"/>
  <c r="AB30" i="4"/>
  <c r="AA30" i="4"/>
  <c r="Z30" i="4"/>
  <c r="Y30" i="4"/>
  <c r="H30" i="4"/>
  <c r="D30" i="4"/>
  <c r="AB29" i="4"/>
  <c r="AA29" i="4"/>
  <c r="Z29" i="4"/>
  <c r="Y29" i="4"/>
  <c r="H29" i="4"/>
  <c r="D29" i="4"/>
  <c r="AB28" i="4"/>
  <c r="AA28" i="4"/>
  <c r="Z28" i="4"/>
  <c r="Y28" i="4"/>
  <c r="H28" i="4"/>
  <c r="D28" i="4"/>
  <c r="AB27" i="4"/>
  <c r="AA27" i="4"/>
  <c r="Z27" i="4"/>
  <c r="Y27" i="4"/>
  <c r="H27" i="4"/>
  <c r="D27" i="4"/>
  <c r="AB26" i="4"/>
  <c r="AA26" i="4"/>
  <c r="Z26" i="4"/>
  <c r="Y26" i="4"/>
  <c r="H26" i="4"/>
  <c r="D26" i="4"/>
  <c r="AB25" i="4"/>
  <c r="AA25" i="4"/>
  <c r="Z25" i="4"/>
  <c r="Y25" i="4"/>
  <c r="H25" i="4"/>
  <c r="D25" i="4"/>
  <c r="AB24" i="4"/>
  <c r="AA24" i="4"/>
  <c r="Z24" i="4"/>
  <c r="Y24" i="4"/>
  <c r="H24" i="4"/>
  <c r="D24" i="4"/>
  <c r="AB23" i="4"/>
  <c r="AA23" i="4"/>
  <c r="Z23" i="4"/>
  <c r="Y23" i="4"/>
  <c r="H23" i="4"/>
  <c r="D23" i="4"/>
  <c r="AB22" i="4"/>
  <c r="AA22" i="4"/>
  <c r="Z22" i="4"/>
  <c r="Y22" i="4"/>
  <c r="H22" i="4"/>
  <c r="D22" i="4"/>
  <c r="AB21" i="4"/>
  <c r="AA21" i="4"/>
  <c r="Z21" i="4"/>
  <c r="Y21" i="4"/>
  <c r="H21" i="4"/>
  <c r="D21" i="4"/>
  <c r="AB20" i="4"/>
  <c r="AA20" i="4"/>
  <c r="Z20" i="4"/>
  <c r="Y20" i="4"/>
  <c r="H20" i="4"/>
  <c r="D20" i="4"/>
  <c r="AB19" i="4"/>
  <c r="AA19" i="4"/>
  <c r="Z19" i="4"/>
  <c r="Y19" i="4"/>
  <c r="H19" i="4"/>
  <c r="D19" i="4"/>
  <c r="AB18" i="4"/>
  <c r="AA18" i="4"/>
  <c r="Z18" i="4"/>
  <c r="Y18" i="4"/>
  <c r="H18" i="4"/>
  <c r="D18" i="4"/>
  <c r="AB17" i="4"/>
  <c r="AA17" i="4"/>
  <c r="Z17" i="4"/>
  <c r="Y17" i="4"/>
  <c r="H17" i="4"/>
  <c r="D17" i="4"/>
  <c r="AB16" i="4"/>
  <c r="AA16" i="4"/>
  <c r="Z16" i="4"/>
  <c r="Y16" i="4"/>
  <c r="H16" i="4"/>
  <c r="D16" i="4"/>
  <c r="AB15" i="4"/>
  <c r="AA15" i="4"/>
  <c r="Z15" i="4"/>
  <c r="Y15" i="4"/>
  <c r="H15" i="4"/>
  <c r="D15" i="4"/>
  <c r="AB14" i="4"/>
  <c r="AA14" i="4"/>
  <c r="Z14" i="4"/>
  <c r="Y14" i="4"/>
  <c r="H14" i="4"/>
  <c r="D14" i="4"/>
  <c r="AB13" i="4"/>
  <c r="AA13" i="4"/>
  <c r="Z13" i="4"/>
  <c r="Y13" i="4"/>
  <c r="H13" i="4"/>
  <c r="D13" i="4"/>
  <c r="AB12" i="4"/>
  <c r="AA12" i="4"/>
  <c r="Z12" i="4"/>
  <c r="Y12" i="4"/>
  <c r="H12" i="4"/>
  <c r="D12" i="4"/>
  <c r="AB11" i="4"/>
  <c r="AA11" i="4"/>
  <c r="Z11" i="4"/>
  <c r="Y11" i="4"/>
  <c r="H11" i="4"/>
  <c r="D11" i="4"/>
  <c r="AB10" i="4"/>
  <c r="AA10" i="4"/>
  <c r="Z10" i="4"/>
  <c r="Y10" i="4"/>
  <c r="H10" i="4"/>
  <c r="D10" i="4"/>
  <c r="AB9" i="4"/>
  <c r="AA9" i="4"/>
  <c r="Z9" i="4"/>
  <c r="Y9" i="4"/>
  <c r="H9" i="4"/>
  <c r="D9" i="4"/>
  <c r="AB8" i="4"/>
  <c r="AA8" i="4"/>
  <c r="Z8" i="4"/>
  <c r="Y8" i="4"/>
  <c r="H8" i="4"/>
  <c r="D8" i="4"/>
  <c r="AB7" i="4"/>
  <c r="AA7" i="4"/>
  <c r="Z7" i="4"/>
  <c r="Y7" i="4"/>
  <c r="H7" i="4"/>
  <c r="D7" i="4"/>
  <c r="AB6" i="4"/>
  <c r="AA6" i="4"/>
  <c r="Z6" i="4"/>
  <c r="Y6" i="4"/>
  <c r="H6" i="4"/>
  <c r="D6" i="4"/>
  <c r="AB5" i="4"/>
  <c r="AA5" i="4"/>
  <c r="Z5" i="4"/>
  <c r="Y5" i="4"/>
  <c r="H5" i="4"/>
  <c r="D5" i="4"/>
  <c r="AB4" i="4"/>
  <c r="AA4" i="4"/>
  <c r="Z4" i="4"/>
  <c r="Y4" i="4"/>
  <c r="H4" i="4"/>
  <c r="H33" i="4" s="1"/>
  <c r="D4" i="4"/>
  <c r="AB3" i="4"/>
  <c r="AA3" i="4"/>
  <c r="Z3" i="4"/>
  <c r="Y3" i="4"/>
  <c r="H3" i="4"/>
  <c r="D3" i="4"/>
  <c r="AB2" i="4"/>
  <c r="AB33" i="4" s="1"/>
  <c r="AA2" i="4"/>
  <c r="AA33" i="4" s="1"/>
  <c r="Z2" i="4"/>
  <c r="Y2" i="4"/>
  <c r="H2" i="4"/>
  <c r="D2" i="4"/>
  <c r="S35" i="3"/>
  <c r="R35" i="3"/>
  <c r="N35" i="3"/>
  <c r="X34" i="3"/>
  <c r="U34" i="3"/>
  <c r="T34" i="3"/>
  <c r="P34" i="3"/>
  <c r="O34" i="3"/>
  <c r="I34" i="3"/>
  <c r="H34" i="3"/>
  <c r="AA33" i="3"/>
  <c r="X33" i="3"/>
  <c r="X35" i="7" s="1"/>
  <c r="W33" i="3"/>
  <c r="V33" i="3"/>
  <c r="U33" i="3"/>
  <c r="T33" i="3"/>
  <c r="T35" i="7" s="1"/>
  <c r="S33" i="3"/>
  <c r="R33" i="3"/>
  <c r="Q33" i="3"/>
  <c r="P33" i="3"/>
  <c r="P35" i="7" s="1"/>
  <c r="O33" i="3"/>
  <c r="N33" i="3"/>
  <c r="M33" i="3"/>
  <c r="I33" i="3"/>
  <c r="I35" i="7" s="1"/>
  <c r="H33" i="3"/>
  <c r="AB31" i="3"/>
  <c r="AA31" i="3"/>
  <c r="Z31" i="3"/>
  <c r="Y31" i="3"/>
  <c r="H31" i="3"/>
  <c r="D31" i="3"/>
  <c r="AB30" i="3"/>
  <c r="AA30" i="3"/>
  <c r="Z30" i="3"/>
  <c r="Y30" i="3"/>
  <c r="H30" i="3"/>
  <c r="D30" i="3"/>
  <c r="AB29" i="3"/>
  <c r="AA29" i="3"/>
  <c r="Z29" i="3"/>
  <c r="Y29" i="3"/>
  <c r="H29" i="3"/>
  <c r="D29" i="3"/>
  <c r="AB28" i="3"/>
  <c r="AA28" i="3"/>
  <c r="Z28" i="3"/>
  <c r="Y28" i="3"/>
  <c r="H28" i="3"/>
  <c r="D28" i="3"/>
  <c r="AB27" i="3"/>
  <c r="AA27" i="3"/>
  <c r="Z27" i="3"/>
  <c r="Y27" i="3"/>
  <c r="H27" i="3"/>
  <c r="D27" i="3"/>
  <c r="AB26" i="3"/>
  <c r="AA26" i="3"/>
  <c r="Z26" i="3"/>
  <c r="Y26" i="3"/>
  <c r="H26" i="3"/>
  <c r="D26" i="3"/>
  <c r="AB25" i="3"/>
  <c r="AA25" i="3"/>
  <c r="Z25" i="3"/>
  <c r="Y25" i="3"/>
  <c r="H25" i="3"/>
  <c r="D25" i="3"/>
  <c r="AB24" i="3"/>
  <c r="AA24" i="3"/>
  <c r="Z24" i="3"/>
  <c r="Y24" i="3"/>
  <c r="H24" i="3"/>
  <c r="D24" i="3"/>
  <c r="AB23" i="3"/>
  <c r="AA23" i="3"/>
  <c r="Z23" i="3"/>
  <c r="Y23" i="3"/>
  <c r="H23" i="3"/>
  <c r="D23" i="3"/>
  <c r="AB22" i="3"/>
  <c r="AA22" i="3"/>
  <c r="Z22" i="3"/>
  <c r="Y22" i="3"/>
  <c r="H22" i="3"/>
  <c r="D22" i="3"/>
  <c r="AB21" i="3"/>
  <c r="AA21" i="3"/>
  <c r="Z21" i="3"/>
  <c r="Y21" i="3"/>
  <c r="H21" i="3"/>
  <c r="D21" i="3"/>
  <c r="AB20" i="3"/>
  <c r="AA20" i="3"/>
  <c r="Z20" i="3"/>
  <c r="Y20" i="3"/>
  <c r="H20" i="3"/>
  <c r="D20" i="3"/>
  <c r="AB19" i="3"/>
  <c r="AA19" i="3"/>
  <c r="Z19" i="3"/>
  <c r="Y19" i="3"/>
  <c r="H19" i="3"/>
  <c r="D19" i="3"/>
  <c r="AB18" i="3"/>
  <c r="AA18" i="3"/>
  <c r="Z18" i="3"/>
  <c r="Y18" i="3"/>
  <c r="H18" i="3"/>
  <c r="D18" i="3"/>
  <c r="AB17" i="3"/>
  <c r="AA17" i="3"/>
  <c r="Z17" i="3"/>
  <c r="Y17" i="3"/>
  <c r="H17" i="3"/>
  <c r="D17" i="3"/>
  <c r="AB16" i="3"/>
  <c r="AA16" i="3"/>
  <c r="Z16" i="3"/>
  <c r="Y16" i="3"/>
  <c r="H16" i="3"/>
  <c r="D16" i="3"/>
  <c r="AB15" i="3"/>
  <c r="AA15" i="3"/>
  <c r="Z15" i="3"/>
  <c r="Y15" i="3"/>
  <c r="H15" i="3"/>
  <c r="D15" i="3"/>
  <c r="AB14" i="3"/>
  <c r="AA14" i="3"/>
  <c r="Z14" i="3"/>
  <c r="Y14" i="3"/>
  <c r="H14" i="3"/>
  <c r="D14" i="3"/>
  <c r="AB13" i="3"/>
  <c r="AA13" i="3"/>
  <c r="Z13" i="3"/>
  <c r="Y13" i="3"/>
  <c r="H13" i="3"/>
  <c r="D13" i="3"/>
  <c r="AB12" i="3"/>
  <c r="AA12" i="3"/>
  <c r="Z12" i="3"/>
  <c r="Y12" i="3"/>
  <c r="H12" i="3"/>
  <c r="D12" i="3"/>
  <c r="AB11" i="3"/>
  <c r="AA11" i="3"/>
  <c r="Z11" i="3"/>
  <c r="Y11" i="3"/>
  <c r="H11" i="3"/>
  <c r="D11" i="3"/>
  <c r="AB10" i="3"/>
  <c r="AA10" i="3"/>
  <c r="Z10" i="3"/>
  <c r="Y10" i="3"/>
  <c r="H10" i="3"/>
  <c r="D10" i="3"/>
  <c r="AB9" i="3"/>
  <c r="AA9" i="3"/>
  <c r="Z9" i="3"/>
  <c r="Y9" i="3"/>
  <c r="H9" i="3"/>
  <c r="D9" i="3"/>
  <c r="AB8" i="3"/>
  <c r="AA8" i="3"/>
  <c r="Z8" i="3"/>
  <c r="Y8" i="3"/>
  <c r="H8" i="3"/>
  <c r="D8" i="3"/>
  <c r="AB7" i="3"/>
  <c r="AA7" i="3"/>
  <c r="Z7" i="3"/>
  <c r="Y7" i="3"/>
  <c r="H7" i="3"/>
  <c r="D7" i="3"/>
  <c r="AB6" i="3"/>
  <c r="AA6" i="3"/>
  <c r="Z6" i="3"/>
  <c r="Y6" i="3"/>
  <c r="H6" i="3"/>
  <c r="D6" i="3"/>
  <c r="AB5" i="3"/>
  <c r="AA5" i="3"/>
  <c r="Z5" i="3"/>
  <c r="Y5" i="3"/>
  <c r="H5" i="3"/>
  <c r="D5" i="3"/>
  <c r="AB4" i="3"/>
  <c r="AA4" i="3"/>
  <c r="Z4" i="3"/>
  <c r="Y4" i="3"/>
  <c r="H4" i="3"/>
  <c r="D4" i="3"/>
  <c r="AB3" i="3"/>
  <c r="AA3" i="3"/>
  <c r="Z3" i="3"/>
  <c r="Y3" i="3"/>
  <c r="H3" i="3"/>
  <c r="D3" i="3"/>
  <c r="AB2" i="3"/>
  <c r="AB33" i="3" s="1"/>
  <c r="AA2" i="3"/>
  <c r="Z2" i="3"/>
  <c r="Z33" i="3" s="1"/>
  <c r="Y2" i="3"/>
  <c r="Y33" i="3" s="1"/>
  <c r="Y34" i="3" s="1"/>
  <c r="H2" i="3"/>
  <c r="X35" i="1"/>
  <c r="W35" i="1"/>
  <c r="S35" i="1"/>
  <c r="I35" i="1"/>
  <c r="T34" i="1"/>
  <c r="P34" i="1"/>
  <c r="AB33" i="1"/>
  <c r="AA33" i="1"/>
  <c r="X33" i="1"/>
  <c r="W33" i="1"/>
  <c r="V33" i="1"/>
  <c r="U33" i="1"/>
  <c r="T33" i="1"/>
  <c r="S33" i="1"/>
  <c r="R33" i="1"/>
  <c r="Q33" i="1"/>
  <c r="P33" i="1"/>
  <c r="O33" i="1"/>
  <c r="N33" i="1"/>
  <c r="M33" i="1"/>
  <c r="I33" i="1"/>
  <c r="H32" i="1"/>
  <c r="AB31" i="1"/>
  <c r="AA31" i="1"/>
  <c r="Z31" i="1"/>
  <c r="Y31" i="1"/>
  <c r="H31" i="1"/>
  <c r="D31" i="1"/>
  <c r="AB30" i="1"/>
  <c r="AA30" i="1"/>
  <c r="Z30" i="1"/>
  <c r="Y30" i="1"/>
  <c r="H30" i="1"/>
  <c r="D30" i="1"/>
  <c r="AB29" i="1"/>
  <c r="AA29" i="1"/>
  <c r="Z29" i="1"/>
  <c r="Y29" i="1"/>
  <c r="H29" i="1"/>
  <c r="D29" i="1"/>
  <c r="AB28" i="1"/>
  <c r="AA28" i="1"/>
  <c r="Z28" i="1"/>
  <c r="Y28" i="1"/>
  <c r="H28" i="1"/>
  <c r="D28" i="1"/>
  <c r="AB27" i="1"/>
  <c r="AA27" i="1"/>
  <c r="Z27" i="1"/>
  <c r="Y27" i="1"/>
  <c r="H27" i="1"/>
  <c r="D27" i="1"/>
  <c r="AB26" i="1"/>
  <c r="AA26" i="1"/>
  <c r="Z26" i="1"/>
  <c r="Y26" i="1"/>
  <c r="H26" i="1"/>
  <c r="D26" i="1"/>
  <c r="AB25" i="1"/>
  <c r="AA25" i="1"/>
  <c r="Z25" i="1"/>
  <c r="Y25" i="1"/>
  <c r="H25" i="1"/>
  <c r="D25" i="1"/>
  <c r="AB24" i="1"/>
  <c r="AA24" i="1"/>
  <c r="Z24" i="1"/>
  <c r="Y24" i="1"/>
  <c r="H24" i="1"/>
  <c r="D24" i="1"/>
  <c r="AB23" i="1"/>
  <c r="AA23" i="1"/>
  <c r="Z23" i="1"/>
  <c r="Y23" i="1"/>
  <c r="H23" i="1"/>
  <c r="D23" i="1"/>
  <c r="AB22" i="1"/>
  <c r="AA22" i="1"/>
  <c r="Z22" i="1"/>
  <c r="Y22" i="1"/>
  <c r="H22" i="1"/>
  <c r="D22" i="1"/>
  <c r="AB21" i="1"/>
  <c r="AA21" i="1"/>
  <c r="Z21" i="1"/>
  <c r="Y21" i="1"/>
  <c r="H21" i="1"/>
  <c r="D21" i="1"/>
  <c r="AB20" i="1"/>
  <c r="AA20" i="1"/>
  <c r="Z20" i="1"/>
  <c r="Y20" i="1"/>
  <c r="H20" i="1"/>
  <c r="D20" i="1"/>
  <c r="AB19" i="1"/>
  <c r="AA19" i="1"/>
  <c r="Z19" i="1"/>
  <c r="Y19" i="1"/>
  <c r="H19" i="1"/>
  <c r="D19" i="1"/>
  <c r="AB18" i="1"/>
  <c r="AA18" i="1"/>
  <c r="Z18" i="1"/>
  <c r="Y18" i="1"/>
  <c r="H18" i="1"/>
  <c r="D18" i="1"/>
  <c r="AB17" i="1"/>
  <c r="AA17" i="1"/>
  <c r="Z17" i="1"/>
  <c r="Y17" i="1"/>
  <c r="H17" i="1"/>
  <c r="D17" i="1"/>
  <c r="AB16" i="1"/>
  <c r="AA16" i="1"/>
  <c r="Z16" i="1"/>
  <c r="Y16" i="1"/>
  <c r="H16" i="1"/>
  <c r="D16" i="1"/>
  <c r="AB15" i="1"/>
  <c r="AA15" i="1"/>
  <c r="Z15" i="1"/>
  <c r="Y15" i="1"/>
  <c r="H15" i="1"/>
  <c r="D15" i="1"/>
  <c r="AB14" i="1"/>
  <c r="AA14" i="1"/>
  <c r="Z14" i="1"/>
  <c r="Y14" i="1"/>
  <c r="H14" i="1"/>
  <c r="D14" i="1"/>
  <c r="AB13" i="1"/>
  <c r="AA13" i="1"/>
  <c r="Z13" i="1"/>
  <c r="Y13" i="1"/>
  <c r="H13" i="1"/>
  <c r="D13" i="1"/>
  <c r="AB12" i="1"/>
  <c r="AA12" i="1"/>
  <c r="Z12" i="1"/>
  <c r="Y12" i="1"/>
  <c r="H12" i="1"/>
  <c r="D12" i="1"/>
  <c r="AB11" i="1"/>
  <c r="AA11" i="1"/>
  <c r="Z11" i="1"/>
  <c r="Y11" i="1"/>
  <c r="H11" i="1"/>
  <c r="D11" i="1"/>
  <c r="AB10" i="1"/>
  <c r="AA10" i="1"/>
  <c r="Z10" i="1"/>
  <c r="Y10" i="1"/>
  <c r="H10" i="1"/>
  <c r="D10" i="1"/>
  <c r="AB9" i="1"/>
  <c r="AA9" i="1"/>
  <c r="Z9" i="1"/>
  <c r="Y9" i="1"/>
  <c r="H9" i="1"/>
  <c r="D9" i="1"/>
  <c r="AB8" i="1"/>
  <c r="AA8" i="1"/>
  <c r="Z8" i="1"/>
  <c r="Y8" i="1"/>
  <c r="H8" i="1"/>
  <c r="D8" i="1"/>
  <c r="AB7" i="1"/>
  <c r="AA7" i="1"/>
  <c r="Z7" i="1"/>
  <c r="Y7" i="1"/>
  <c r="H7" i="1"/>
  <c r="D7" i="1"/>
  <c r="AB6" i="1"/>
  <c r="AA6" i="1"/>
  <c r="Z6" i="1"/>
  <c r="Y6" i="1"/>
  <c r="H6" i="1"/>
  <c r="D6" i="1"/>
  <c r="AB5" i="1"/>
  <c r="AA5" i="1"/>
  <c r="Z5" i="1"/>
  <c r="Y5" i="1"/>
  <c r="H5" i="1"/>
  <c r="D5" i="1"/>
  <c r="AB4" i="1"/>
  <c r="AA4" i="1"/>
  <c r="Z4" i="1"/>
  <c r="Y4" i="1"/>
  <c r="H4" i="1"/>
  <c r="H33" i="1" s="1"/>
  <c r="D4" i="1"/>
  <c r="AB3" i="1"/>
  <c r="AA3" i="1"/>
  <c r="Z3" i="1"/>
  <c r="Z33" i="1" s="1"/>
  <c r="Y3" i="1"/>
  <c r="H3" i="1"/>
  <c r="D3" i="1"/>
  <c r="AB2" i="1"/>
  <c r="AA2" i="1"/>
  <c r="Z2" i="1"/>
  <c r="Y2" i="1"/>
  <c r="H2" i="1"/>
  <c r="D2" i="1"/>
  <c r="Q34" i="1" l="1"/>
  <c r="Q35" i="7"/>
  <c r="AA35" i="7"/>
  <c r="AA34" i="1"/>
  <c r="AA34" i="6"/>
  <c r="AA34" i="5"/>
  <c r="AA35" i="4"/>
  <c r="AA34" i="7"/>
  <c r="AA34" i="4"/>
  <c r="AA35" i="3"/>
  <c r="AA35" i="1"/>
  <c r="AA35" i="6"/>
  <c r="AA35" i="5"/>
  <c r="Q34" i="4"/>
  <c r="N35" i="1"/>
  <c r="Z34" i="7"/>
  <c r="Z34" i="4"/>
  <c r="Z34" i="3"/>
  <c r="Z34" i="6"/>
  <c r="Z34" i="5"/>
  <c r="AA34" i="3"/>
  <c r="AB34" i="6"/>
  <c r="AB34" i="5"/>
  <c r="AB34" i="3"/>
  <c r="Y34" i="7"/>
  <c r="Y34" i="4"/>
  <c r="R34" i="1"/>
  <c r="R34" i="6"/>
  <c r="R34" i="5"/>
  <c r="R35" i="4"/>
  <c r="V35" i="1"/>
  <c r="V34" i="1"/>
  <c r="AB34" i="4"/>
  <c r="Q35" i="4"/>
  <c r="Q34" i="6"/>
  <c r="R35" i="1"/>
  <c r="H35" i="7"/>
  <c r="H34" i="6"/>
  <c r="H34" i="5"/>
  <c r="H34" i="7"/>
  <c r="H34" i="4"/>
  <c r="H35" i="6"/>
  <c r="O35" i="7"/>
  <c r="O34" i="1"/>
  <c r="O34" i="6"/>
  <c r="O34" i="5"/>
  <c r="O35" i="4"/>
  <c r="O34" i="4"/>
  <c r="O35" i="3"/>
  <c r="O35" i="1"/>
  <c r="S35" i="7"/>
  <c r="S34" i="1"/>
  <c r="S34" i="6"/>
  <c r="S34" i="5"/>
  <c r="S35" i="4"/>
  <c r="S34" i="3"/>
  <c r="S35" i="6"/>
  <c r="S35" i="5"/>
  <c r="S34" i="7"/>
  <c r="S34" i="4"/>
  <c r="W35" i="7"/>
  <c r="W34" i="1"/>
  <c r="W34" i="6"/>
  <c r="W34" i="5"/>
  <c r="W35" i="4"/>
  <c r="W34" i="7"/>
  <c r="W34" i="3"/>
  <c r="M35" i="3"/>
  <c r="W35" i="3"/>
  <c r="M34" i="4"/>
  <c r="W34" i="4"/>
  <c r="Q34" i="5"/>
  <c r="W35" i="5"/>
  <c r="Y34" i="6"/>
  <c r="Y33" i="1"/>
  <c r="Y35" i="3" s="1"/>
  <c r="M34" i="7"/>
  <c r="M35" i="1"/>
  <c r="M35" i="6"/>
  <c r="M35" i="5"/>
  <c r="Q34" i="7"/>
  <c r="Q35" i="1"/>
  <c r="Q35" i="6"/>
  <c r="Q35" i="5"/>
  <c r="U34" i="7"/>
  <c r="U35" i="1"/>
  <c r="U35" i="6"/>
  <c r="U35" i="5"/>
  <c r="Q34" i="3"/>
  <c r="U35" i="3"/>
  <c r="M35" i="4"/>
  <c r="U35" i="4"/>
  <c r="M34" i="5"/>
  <c r="U34" i="5"/>
  <c r="M34" i="6"/>
  <c r="U34" i="6"/>
  <c r="U35" i="7"/>
  <c r="M34" i="1"/>
  <c r="N34" i="7"/>
  <c r="N35" i="6"/>
  <c r="N35" i="5"/>
  <c r="N34" i="4"/>
  <c r="N34" i="3"/>
  <c r="N35" i="7"/>
  <c r="R34" i="7"/>
  <c r="R35" i="6"/>
  <c r="R35" i="5"/>
  <c r="R34" i="4"/>
  <c r="R34" i="3"/>
  <c r="R35" i="7"/>
  <c r="V34" i="7"/>
  <c r="V35" i="6"/>
  <c r="V35" i="5"/>
  <c r="V34" i="4"/>
  <c r="V34" i="3"/>
  <c r="V35" i="7"/>
  <c r="M34" i="3"/>
  <c r="Q35" i="3"/>
  <c r="V35" i="3"/>
  <c r="U34" i="4"/>
  <c r="N35" i="4"/>
  <c r="V35" i="4"/>
  <c r="N34" i="5"/>
  <c r="V34" i="5"/>
  <c r="I35" i="5"/>
  <c r="T35" i="5"/>
  <c r="Z33" i="6"/>
  <c r="Z34" i="1" s="1"/>
  <c r="N34" i="6"/>
  <c r="V34" i="6"/>
  <c r="Z33" i="7"/>
  <c r="H33" i="7"/>
  <c r="H34" i="1" s="1"/>
  <c r="AB33" i="7"/>
  <c r="AB34" i="7" s="1"/>
  <c r="I34" i="7"/>
  <c r="P34" i="7"/>
  <c r="T34" i="7"/>
  <c r="X34" i="7"/>
  <c r="I35" i="3"/>
  <c r="P35" i="3"/>
  <c r="T35" i="3"/>
  <c r="X35" i="3"/>
  <c r="I35" i="4"/>
  <c r="P35" i="4"/>
  <c r="T35" i="4"/>
  <c r="X35" i="4"/>
  <c r="I34" i="5"/>
  <c r="P34" i="5"/>
  <c r="T34" i="5"/>
  <c r="X34" i="5"/>
  <c r="I34" i="6"/>
  <c r="P34" i="6"/>
  <c r="T34" i="6"/>
  <c r="X34" i="6"/>
  <c r="Y35" i="1" l="1"/>
  <c r="AB35" i="4"/>
  <c r="Z35" i="1"/>
  <c r="H35" i="4"/>
  <c r="H35" i="3"/>
  <c r="Y35" i="7"/>
  <c r="AB35" i="6"/>
  <c r="Z35" i="4"/>
  <c r="Z35" i="3"/>
  <c r="Z35" i="5"/>
  <c r="Y35" i="4"/>
  <c r="Y35" i="6"/>
  <c r="AB35" i="3"/>
  <c r="AB35" i="7"/>
  <c r="H35" i="1"/>
  <c r="AB35" i="1"/>
  <c r="AB35" i="5"/>
  <c r="H35" i="5"/>
  <c r="Y34" i="1"/>
  <c r="Y35" i="5"/>
  <c r="AB34" i="1"/>
  <c r="Z35" i="7"/>
  <c r="Z35" i="6"/>
</calcChain>
</file>

<file path=xl/sharedStrings.xml><?xml version="1.0" encoding="utf-8"?>
<sst xmlns="http://schemas.openxmlformats.org/spreadsheetml/2006/main" count="3322" uniqueCount="426">
  <si>
    <t>Date</t>
  </si>
  <si>
    <t>Sunset</t>
  </si>
  <si>
    <t>Civil 
Twilight</t>
  </si>
  <si>
    <t>Captain</t>
  </si>
  <si>
    <t>Monitored (Y/N)</t>
  </si>
  <si>
    <t>Start time
HH:MM</t>
  </si>
  <si>
    <t>End time
HH:MM</t>
  </si>
  <si>
    <t>Hours monitored</t>
  </si>
  <si>
    <t>Team Hrs.</t>
  </si>
  <si>
    <t>Start temp</t>
  </si>
  <si>
    <t>End temp</t>
  </si>
  <si>
    <t>Weather</t>
  </si>
  <si>
    <t>Females assisted down</t>
  </si>
  <si>
    <t>Males assisted down</t>
  </si>
  <si>
    <t>Unassisted Females down</t>
  </si>
  <si>
    <t>Unasissted Males down</t>
  </si>
  <si>
    <t>Females assisted 
up</t>
  </si>
  <si>
    <t>Males assisted 
up</t>
  </si>
  <si>
    <t>Unassisted females  
up</t>
  </si>
  <si>
    <t>Unassisted males 
up</t>
  </si>
  <si>
    <t>Juveniles assisted up</t>
  </si>
  <si>
    <t>Roadkill Females</t>
  </si>
  <si>
    <t>Roadkill 
Males</t>
  </si>
  <si>
    <t>Roadkill
Unk</t>
  </si>
  <si>
    <t>Total
frogs 
down</t>
  </si>
  <si>
    <t>Total
frogs 
up</t>
  </si>
  <si>
    <t>Total Frogs Assisted Down</t>
  </si>
  <si>
    <t>Total Frogs Assisted Up</t>
  </si>
  <si>
    <t>% moon visible</t>
  </si>
  <si>
    <t>Comments</t>
  </si>
  <si>
    <t>Y</t>
  </si>
  <si>
    <t>wet pavement, rain earlier</t>
  </si>
  <si>
    <t>8 Chorus frogs up, sex not determined. Interestingly, all found crossing MW uphill at 42-39 degrees.  One hypothermic to torpor.  Two Roadkill chorus frogs.</t>
  </si>
  <si>
    <t>N</t>
  </si>
  <si>
    <t>dry</t>
  </si>
  <si>
    <t>Dry</t>
  </si>
  <si>
    <t>Dry, wet pavement (rained earlier) Drizzle after 11:30</t>
  </si>
  <si>
    <t>3 chorus down, 30+ up; 1 NW Salamander up; 10(?) RL banded for tracking</t>
  </si>
  <si>
    <t>Dry (dry and warm all day)</t>
  </si>
  <si>
    <t>Rain forecast for 11PM hour did not occur</t>
  </si>
  <si>
    <t>y</t>
  </si>
  <si>
    <t>steady rain</t>
  </si>
  <si>
    <t>Dry; dry pavement</t>
  </si>
  <si>
    <t>Looked carefully for bodies from last night, saw none.  1 LT Salamander moved uphill.</t>
  </si>
  <si>
    <t>10 chorus frogs up, 5 down</t>
  </si>
  <si>
    <t>Dry, temp cooling</t>
  </si>
  <si>
    <t>Nary a chorus frog; wetlands were loud</t>
  </si>
  <si>
    <t>Dry, overcast</t>
  </si>
  <si>
    <t>wet, light rain on and off</t>
  </si>
  <si>
    <t>xx/xx/xxxx</t>
  </si>
  <si>
    <t>xxxx</t>
  </si>
  <si>
    <t>x</t>
  </si>
  <si>
    <t>Monthly total</t>
  </si>
  <si>
    <t>Cumulative Total</t>
  </si>
  <si>
    <t>Season Total</t>
  </si>
  <si>
    <t>2016-17 Total</t>
  </si>
  <si>
    <t>2015-16 Total</t>
  </si>
  <si>
    <t>2014-15 Total</t>
  </si>
  <si>
    <t>2013-14 Total</t>
  </si>
  <si>
    <t>Hours
Monitored</t>
  </si>
  <si>
    <t>Start Temp</t>
  </si>
  <si>
    <t>End Temp</t>
  </si>
  <si>
    <t>Females unassisted down</t>
  </si>
  <si>
    <t>Males unassisted down</t>
  </si>
  <si>
    <t>Females assisted up</t>
  </si>
  <si>
    <t>Males assisted up</t>
  </si>
  <si>
    <t>Females unassisted up</t>
  </si>
  <si>
    <t>Males unassisted up</t>
  </si>
  <si>
    <t>Juveniles</t>
  </si>
  <si>
    <t>Roadkills female</t>
  </si>
  <si>
    <t>Roadkills male</t>
  </si>
  <si>
    <t>Roadkills unk</t>
  </si>
  <si>
    <t>Total Frogs down</t>
  </si>
  <si>
    <t>Total Frogs up</t>
  </si>
  <si>
    <t xml:space="preserve">
</t>
  </si>
  <si>
    <t>wet</t>
  </si>
  <si>
    <t>Rob's checking</t>
  </si>
  <si>
    <t>showery</t>
  </si>
  <si>
    <t>ditto</t>
  </si>
  <si>
    <t>overcast, not raining, pvmnt wet</t>
  </si>
  <si>
    <t>ditto - Hrborton  /  Jeff checked</t>
  </si>
  <si>
    <t>wet pavement, intermittent drizzle</t>
  </si>
  <si>
    <t>Maggie caught  a frog in the ditch</t>
  </si>
  <si>
    <t>wet pavement</t>
  </si>
  <si>
    <t>Rob checked</t>
  </si>
  <si>
    <t>drying pavement</t>
  </si>
  <si>
    <t xml:space="preserve">light rain / wet pavement </t>
  </si>
  <si>
    <t>met with John earlier, went home, returned when rain seemed to pick up.</t>
  </si>
  <si>
    <t>Sue, Rob, &amp; Panos checked</t>
  </si>
  <si>
    <t>wet pavemnt, intermittent drizzle</t>
  </si>
  <si>
    <t>John checked</t>
  </si>
  <si>
    <t>n</t>
  </si>
  <si>
    <t>Dry.  Rain predicted. Check later</t>
  </si>
  <si>
    <t xml:space="preserve">Checked again at 8 after an hour of steady rain. Nothing. Temp 44.  </t>
  </si>
  <si>
    <t xml:space="preserve">   </t>
  </si>
  <si>
    <t>Moist air, very light rain later</t>
  </si>
  <si>
    <t>Checked at 6:15 and 9 and 2:45 AM.</t>
  </si>
  <si>
    <t>Rain</t>
  </si>
  <si>
    <t xml:space="preserve">warm rain.  found first male just after 7pm in pothole puddle at bottom of Harborton.  </t>
  </si>
  <si>
    <t>mist / wet pavement / showers</t>
  </si>
  <si>
    <t>Panos captured first 3 frogs within 15 mins during short mist event right after dusk.</t>
  </si>
  <si>
    <t>Dry (Still dry 9:30 PM)</t>
  </si>
  <si>
    <t xml:space="preserve">No rain since late morning. </t>
  </si>
  <si>
    <t>Dry pvmnt, clear skies</t>
  </si>
  <si>
    <t xml:space="preserve"> 8PM, 45, no frogs</t>
  </si>
  <si>
    <t>showery tapering off</t>
  </si>
  <si>
    <t>Dry pavement</t>
  </si>
  <si>
    <t>?</t>
  </si>
  <si>
    <t>wet pavement.  no rain.</t>
  </si>
  <si>
    <t>temperature for "Linnton, OR" seems to be malfunctioning on Weather Underground.</t>
  </si>
  <si>
    <t>Dry pavement, no rain</t>
  </si>
  <si>
    <t>Wet pavement, no rain.</t>
  </si>
  <si>
    <t>XX/XX/XX</t>
  </si>
  <si>
    <t xml:space="preserve"> </t>
  </si>
  <si>
    <t>Fred/Anne</t>
  </si>
  <si>
    <t>4;45</t>
  </si>
  <si>
    <t>6;15</t>
  </si>
  <si>
    <t>Females
assisted
up</t>
  </si>
  <si>
    <t>Males
 assisted
 up</t>
  </si>
  <si>
    <t>Roadkills
female</t>
  </si>
  <si>
    <t>Roadkills
male</t>
  </si>
  <si>
    <t>Roadkills
unk</t>
  </si>
  <si>
    <t>Light rain</t>
  </si>
  <si>
    <t>Heard chorus frog at bottom of Harborton.</t>
  </si>
  <si>
    <t>showery on &amp; off</t>
  </si>
  <si>
    <t>dry partial clear/cloud</t>
  </si>
  <si>
    <t>road somewhat moist but no puddles/wetness</t>
  </si>
  <si>
    <t>Clear, dry, and cold</t>
  </si>
  <si>
    <t>Clear and dry</t>
  </si>
  <si>
    <t>Clear, dry, cold.</t>
  </si>
  <si>
    <t>Clear, dry and cold.</t>
  </si>
  <si>
    <t>Mostly clear, dry, cold</t>
  </si>
  <si>
    <t>Partially cloudy, dry</t>
  </si>
  <si>
    <t>misty, cold</t>
  </si>
  <si>
    <t>dry, cold</t>
  </si>
  <si>
    <t>light rain, then just mist</t>
  </si>
  <si>
    <t>Checked Harborton at 6;20 a.m. to see if there was any evidence of movement after rain started at 5 a.m., but there was not.</t>
  </si>
  <si>
    <t>steady rain and cold</t>
  </si>
  <si>
    <t>Partially cloudy</t>
  </si>
  <si>
    <t>Foggy, cold.</t>
  </si>
  <si>
    <t>winter mix</t>
  </si>
  <si>
    <t>Overcast, foggy, cold</t>
  </si>
  <si>
    <t>Rain, to light rain</t>
  </si>
  <si>
    <t>plus 2 long-toed salamanders</t>
  </si>
  <si>
    <t>Rain to clearing</t>
  </si>
  <si>
    <t>Damp, clear sky</t>
  </si>
  <si>
    <t>Dry; Full Moon</t>
  </si>
  <si>
    <t>Walked road 1X; no sign of road kill or action.</t>
  </si>
  <si>
    <t>Hours 
monitored</t>
  </si>
  <si>
    <t>Start Temp.</t>
  </si>
  <si>
    <t>Females 
assisted 
up</t>
  </si>
  <si>
    <t xml:space="preserve">Juveniles </t>
  </si>
  <si>
    <t>Roadkill Males</t>
  </si>
  <si>
    <t>Total
frogs down</t>
  </si>
  <si>
    <t>Dry &amp; clear sky</t>
  </si>
  <si>
    <t>Dry til 4 PM; started raining; temp dropping</t>
  </si>
  <si>
    <t>Wet pvmnt, spotty rain</t>
  </si>
  <si>
    <t>Monitored 21:45-23:00. 49-48F. Rain returned at 22:30.</t>
  </si>
  <si>
    <t>Drying, clear</t>
  </si>
  <si>
    <t xml:space="preserve">Y </t>
  </si>
  <si>
    <t>Light drizzle</t>
  </si>
  <si>
    <t xml:space="preserve">no rain.  Wet pavement </t>
  </si>
  <si>
    <t xml:space="preserve">Light rain, wet pavement </t>
  </si>
  <si>
    <t>Mist; wet pavemt; Lt. rain</t>
  </si>
  <si>
    <t>1 long-toed salamander; most of roadkill from bank past Harborton</t>
  </si>
  <si>
    <t>Damp pvmnt, thin overcast</t>
  </si>
  <si>
    <t>clear, dry</t>
  </si>
  <si>
    <t>dry, few damp spots</t>
  </si>
  <si>
    <t xml:space="preserve"> mist and real rain</t>
  </si>
  <si>
    <t>heavy rain to dry</t>
  </si>
  <si>
    <t>frogs continued to move past midnight, females going down and up</t>
  </si>
  <si>
    <t>Patchy clouds, no rain</t>
  </si>
  <si>
    <t>Steady rain, wet pvmnt</t>
  </si>
  <si>
    <t>misty, then clearing</t>
  </si>
  <si>
    <t>dry, clearing</t>
  </si>
  <si>
    <t>dry, wet pavement</t>
  </si>
  <si>
    <t>rain</t>
  </si>
  <si>
    <t>Light steady rain</t>
  </si>
  <si>
    <t>Erica/Sarah</t>
  </si>
  <si>
    <t>light steady rain</t>
  </si>
  <si>
    <t>misty, some drizzle</t>
  </si>
  <si>
    <t>dry/moist</t>
  </si>
  <si>
    <t xml:space="preserve"> Females moving up appeared unusually dry and logy.</t>
  </si>
  <si>
    <t>rain,dry,mist,rain</t>
  </si>
  <si>
    <t>10 cfs</t>
  </si>
  <si>
    <t>dry, dry pavement</t>
  </si>
  <si>
    <t>Unasissted 
Males 
down</t>
  </si>
  <si>
    <t>Total 
frogs 
down</t>
  </si>
  <si>
    <t>Total 
frogs 
up</t>
  </si>
  <si>
    <t>Mist; dry; light mist</t>
  </si>
  <si>
    <t>AccuWeather predicts 49 degrees by 10 PM</t>
  </si>
  <si>
    <t>Dry, no rain</t>
  </si>
  <si>
    <t>Frogs moving despite dry, rainless conditions</t>
  </si>
  <si>
    <t>dry, no rain</t>
  </si>
  <si>
    <t>a few frogs early, then nothing</t>
  </si>
  <si>
    <t>Clear and very dry</t>
  </si>
  <si>
    <t>Gravid female was mostly submerged in a puddle near the bottom of the hill.</t>
  </si>
  <si>
    <t>p.cloudy, dry pavement</t>
  </si>
  <si>
    <t>Brief sprinkle, damp/dry</t>
  </si>
  <si>
    <t>Sprinkle did not get as far as Marina Way.</t>
  </si>
  <si>
    <t>Checked both Harb &amp; Marina, no frogs.  Clear sky, bone dry</t>
  </si>
  <si>
    <t>Dry; mostly dry pavemnt</t>
  </si>
  <si>
    <t>Erica/Sarah/John</t>
  </si>
  <si>
    <t>No frogs at Sundown, patrolled both Marina &amp; Harborton; misty-turned drizzle; Returned at 8pm to assist 6 Chorus frogs dh; 2 Long toed uh; 20 u/a Chorus frogs, NO red Leggeds out. after rains, left at 22:35.</t>
  </si>
  <si>
    <t>wet pavement, clearing</t>
  </si>
  <si>
    <t>expected a peep on Marina Way but nothing.</t>
  </si>
  <si>
    <t>Snow</t>
  </si>
  <si>
    <t>Snowing</t>
  </si>
  <si>
    <t>Cold; cloudy, snowing</t>
  </si>
  <si>
    <t>Dry; snow on pavement</t>
  </si>
  <si>
    <t>Dry; roadside snow</t>
  </si>
  <si>
    <t xml:space="preserve">overcast,  wet pavement </t>
  </si>
  <si>
    <t>Light rain, chilly &amp; humid</t>
  </si>
  <si>
    <t>No sign of frog movement on either road. It was chilly due to high humidity and cold temp.</t>
  </si>
  <si>
    <t>Intermittent light rain</t>
  </si>
  <si>
    <t>Dry, partially cloudy</t>
  </si>
  <si>
    <t>damp pavement, clouds</t>
  </si>
  <si>
    <t xml:space="preserve"> dry</t>
  </si>
  <si>
    <t>Dry, brief late eve mist</t>
  </si>
  <si>
    <t>Dots of moisture on pavement around 9:15 PM but nothing after that.</t>
  </si>
  <si>
    <t>Mostly dry; some mist</t>
  </si>
  <si>
    <t>34 chorus frogs assisted down, mostly gravid</t>
  </si>
  <si>
    <t>Bone dry, clear skies</t>
  </si>
  <si>
    <t>lite rain</t>
  </si>
  <si>
    <t xml:space="preserve">1 long toed and 1 northwestern salamamder assisted up </t>
  </si>
  <si>
    <t>Overcast and dry</t>
  </si>
  <si>
    <t>50; 44</t>
  </si>
  <si>
    <t>45; 43</t>
  </si>
  <si>
    <t>Brief mist 7:30then dry; 10-10:30 steady rain</t>
  </si>
  <si>
    <t>Two trips out; 1 male up on 2nd trip</t>
  </si>
  <si>
    <t>Dry, broken cloud cover</t>
  </si>
  <si>
    <t>dry, cloudy</t>
  </si>
  <si>
    <t>Dry, clear</t>
  </si>
  <si>
    <t>dry, clear</t>
  </si>
  <si>
    <t xml:space="preserve">lite to heavy rain </t>
  </si>
  <si>
    <t>62 +chorus frogs, 5 Long-toed sal.; 1 Northwestern salamander</t>
  </si>
  <si>
    <t>Dry; temp dropping</t>
  </si>
  <si>
    <t>Wet, cold steady rain</t>
  </si>
  <si>
    <t>Dry, cloudy</t>
  </si>
  <si>
    <t>cloudy &amp; mostly dry pavement</t>
  </si>
  <si>
    <t>Dry all day, light clouds</t>
  </si>
  <si>
    <t>daylight savings time</t>
  </si>
  <si>
    <t>2017 SUNRISE/SUNSET</t>
  </si>
  <si>
    <t>Jan.</t>
  </si>
  <si>
    <t>Feb.</t>
  </si>
  <si>
    <t>Mar.</t>
  </si>
  <si>
    <t>Apr.</t>
  </si>
  <si>
    <t>May</t>
  </si>
  <si>
    <t>June</t>
  </si>
  <si>
    <t>July</t>
  </si>
  <si>
    <t>Aug.</t>
  </si>
  <si>
    <t>Sept.</t>
  </si>
  <si>
    <t>Oct.</t>
  </si>
  <si>
    <t>Nov.</t>
  </si>
  <si>
    <t>Dec.</t>
  </si>
  <si>
    <t>Day</t>
  </si>
  <si>
    <t>Rise</t>
  </si>
  <si>
    <t>Set</t>
  </si>
  <si>
    <t>2018 SUNRISE/SUNSET</t>
  </si>
  <si>
    <t>2017 CIVIL TWILIGHT</t>
  </si>
  <si>
    <t>Begin</t>
  </si>
  <si>
    <t>End</t>
  </si>
  <si>
    <t>2018 CIVIL TWILIGHT</t>
  </si>
  <si>
    <t>Day    Jan.     Feb.     Mar.     Apr.     May      June     July     Aug.     Sep.     Oct.     Nov.     Dec.</t>
  </si>
  <si>
    <t>01     0.99     0.99     0.99     0.99     0.98     0.93     0.91     0.82     0.69     0.62     0.43     0.36</t>
  </si>
  <si>
    <t>02     1.00     0.96     1.00     0.96     0.95     0.88     0.85     0.74     0.59     0.51     0.32     0.25</t>
  </si>
  <si>
    <t>03     0.98     0.90     0.98     0.91     0.89     0.81     0.78     0.65     0.48     0.40     0.22     0.17</t>
  </si>
  <si>
    <t>04     0.93     0.82     0.93     0.85     0.83     0.73     0.70     0.55     0.36     0.29     0.13     0.09</t>
  </si>
  <si>
    <t>05     0.85     0.73     0.87     0.77     0.75     0.64     0.60     0.44     0.26     0.19     0.07     0.04</t>
  </si>
  <si>
    <t>06     0.77     0.63     0.79     0.68     0.66     0.54     0.50     0.33     0.16     0.11     0.02     0.01</t>
  </si>
  <si>
    <t>07     0.67     0.53     0.70     0.59     0.57     0.45     0.40     0.23     0.08     0.05     0.00     0.00</t>
  </si>
  <si>
    <t>08     0.56     0.44     0.61     0.50     0.48     0.35     0.29     0.14     0.03     0.01     0.01     0.01</t>
  </si>
  <si>
    <t>09     0.46     0.34     0.51     0.40     0.38     0.25     0.20     0.06     0.00     0.00     0.03     0.04</t>
  </si>
  <si>
    <t>10     0.36     0.26     0.42     0.31     0.29     0.16     0.11     0.02     0.01     0.02     0.08     0.09</t>
  </si>
  <si>
    <t>11     0.27     0.18     0.33     0.23     0.20     0.09     0.05     0.00     0.04     0.06     0.14     0.15</t>
  </si>
  <si>
    <t>12     0.19     0.11     0.24     0.15     0.12     0.03     0.01     0.01     0.09     0.12     0.21     0.22</t>
  </si>
  <si>
    <t>13     0.12     0.06     0.17     0.09     0.06     0.00     0.00     0.05     0.16     0.19     0.29     0.30</t>
  </si>
  <si>
    <t>14     0.07     0.02     0.10     0.04     0.02     0.00     0.02     0.12     0.25     0.28     0.38     0.39</t>
  </si>
  <si>
    <t>15     0.03     0.00     0.05     0.01     0.00     0.03     0.07     0.20     0.34     0.37     0.47     0.49</t>
  </si>
  <si>
    <t>16     0.01     0.00     0.02     0.00     0.01     0.09     0.15     0.30     0.44     0.46     0.57     0.58</t>
  </si>
  <si>
    <t>17     0.00     0.02     0.00     0.02     0.05     0.17     0.24     0.40     0.54     0.56     0.66     0.68</t>
  </si>
  <si>
    <t>18     0.01     0.06     0.01     0.07     0.11     0.27     0.34     0.50     0.63     0.65     0.75     0.77</t>
  </si>
  <si>
    <t>19     0.05     0.12     0.04     0.13     0.20     0.38     0.45     0.60     0.72     0.74     0.83     0.85</t>
  </si>
  <si>
    <t>20     0.09     0.20     0.09     0.22     0.30     0.49     0.55     0.69     0.80     0.81     0.90     0.92</t>
  </si>
  <si>
    <t>21     0.16     0.29     0.16     0.32     0.41     0.60     0.65     0.78     0.87     0.88     0.95     0.97</t>
  </si>
  <si>
    <t>22     0.24     0.39     0.25     0.44     0.52     0.70     0.75     0.85     0.93     0.94     0.99     1.00</t>
  </si>
  <si>
    <t>23     0.33     0.50     0.35     0.55     0.63     0.79     0.83     0.91     0.97     0.98     1.00     0.99</t>
  </si>
  <si>
    <t>24     0.44     0.61     0.47     0.66     0.73     0.86     0.89     0.96     0.99     1.00     0.98     0.96</t>
  </si>
  <si>
    <t>25     0.55     0.72     0.58     0.76     0.82     0.92     0.94     0.99     1.00     0.99     0.94     0.91</t>
  </si>
  <si>
    <t>26     0.65     0.82     0.69     0.85     0.89     0.97     0.98     1.00     0.98     0.97     0.88     0.82</t>
  </si>
  <si>
    <t>27     0.76     0.90     0.79     0.92     0.95     0.99     1.00     0.99     0.95     0.92     0.79     0.73</t>
  </si>
  <si>
    <t>28     0.85     0.96     0.88     0.97     0.98     1.00     1.00     0.97     0.89     0.85     0.69     0.62</t>
  </si>
  <si>
    <t>29     0.93      x        0.94     0.99     1.00     0.99     0.98     0.92     0.82     0.76     0.58     0.51</t>
  </si>
  <si>
    <t>30     0.98       x       0.98     1.00     0.99     0.96     0.94     0.86     0.72     0.65     0.47     0.40</t>
  </si>
  <si>
    <t>31     1.00       x       1.00      x        0.97       x       0.89     0.78       x       0.54      x        0.30</t>
  </si>
  <si>
    <t>01     0.09     0.20     0.09     0.23     0.31     0.48     0.53     0.66     0.77     0.79     0.89     0.92</t>
  </si>
  <si>
    <t>02     0.16     0.30     0.17     0.34     0.42     0.58     0.63     0.75     0.85     0.87     0.95     0.97</t>
  </si>
  <si>
    <t>03     0.24     0.41     0.26     0.45     0.52     0.68     0.72     0.82     0.91     0.93     0.99     1.00</t>
  </si>
  <si>
    <t>04     0.34     0.52     0.37     0.56     0.63     0.77     0.80     0.89     0.96     0.97     1.00     0.99</t>
  </si>
  <si>
    <t>05     0.45     0.63     0.48     0.67     0.73     0.85     0.87     0.94     0.99     1.00     0.98     0.96</t>
  </si>
  <si>
    <t>06     0.56     0.74     0.60     0.77     0.81     0.91     0.93     0.98     1.00     0.99     0.93     0.90</t>
  </si>
  <si>
    <t>07     0.67     0.83     0.71     0.85     0.88     0.95     0.97     1.00     0.99     0.97     0.86     0.81</t>
  </si>
  <si>
    <t>08     0.77     0.91     0.80     0.92     0.94     0.98     0.99     1.00     0.95     0.91     0.77     0.71</t>
  </si>
  <si>
    <t>09     0.86     0.96     0.88     0.96     0.98     1.00     1.00     0.97     0.89     0.84     0.67     0.61</t>
  </si>
  <si>
    <t>10     0.93     0.99     0.94     0.99     1.00     0.99     0.99     0.93     0.81     0.74     0.56     0.50</t>
  </si>
  <si>
    <t>11     0.98     1.00     0.98     1.00     1.00     0.97     0.96     0.87     0.72     0.64     0.45     0.40</t>
  </si>
  <si>
    <t>12     1.00     0.98     1.00     0.99     0.98     0.93     0.91     0.79     0.61     0.52     0.34     0.30</t>
  </si>
  <si>
    <t>13     0.99     0.94     0.99     0.96     0.95     0.87     0.84     0.69     0.49     0.41     0.25     0.21</t>
  </si>
  <si>
    <t>14     0.96     0.88     0.97     0.91     0.90     0.80     0.76     0.58     0.38     0.30     0.16     0.14</t>
  </si>
  <si>
    <t>15     0.90     0.81     0.93     0.85     0.83     0.72     0.66     0.47     0.27     0.21     0.10     0.08</t>
  </si>
  <si>
    <t>16     0.83     0.73     0.87     0.78     0.76     0.62     0.55     0.36     0.18     0.13     0.05     0.04</t>
  </si>
  <si>
    <t>17     0.74     0.64     0.80     0.70     0.67     0.52     0.44     0.25     0.10     0.07     0.01     0.01</t>
  </si>
  <si>
    <t>18     0.65     0.55     0.71     0.61     0.57     0.41     0.33     0.15     0.04     0.02     0.00     0.00</t>
  </si>
  <si>
    <t>19     0.56     0.45     0.63     0.51     0.47     0.30     0.23     0.08     0.01     0.00     0.01     0.01</t>
  </si>
  <si>
    <t>20     0.46     0.36     0.53     0.41     0.37     0.20     0.13     0.03     0.00     0.00     0.03     0.04</t>
  </si>
  <si>
    <t>21     0.37     0.27     0.44     0.31     0.26     0.12     0.06     0.00     0.01     0.03     0.07     0.08</t>
  </si>
  <si>
    <t>22     0.28     0.19     0.34     0.22     0.17     0.05     0.02     0.00     0.05     0.06     0.13     0.14</t>
  </si>
  <si>
    <t>23     0.20     0.12     0.25     0.14     0.09     0.01     0.00     0.03     0.10     0.12     0.20     0.21</t>
  </si>
  <si>
    <t>24     0.13     0.06     0.17     0.07     0.04     0.00     0.01     0.08     0.17     0.19     0.28     0.30</t>
  </si>
  <si>
    <t>25     0.07     0.02     0.10     0.02     0.01     0.02     0.05     0.15     0.25     0.26     0.37     0.39</t>
  </si>
  <si>
    <t>26     0.03     0.00     0.04     0.00     0.01     0.07     0.11     0.22     0.34     0.35     0.46     0.50</t>
  </si>
  <si>
    <t>27     0.01     0.01     0.01     0.01     0.04     0.14     0.19     0.31     0.43     0.44     0.56     0.60</t>
  </si>
  <si>
    <t>28     0.00     0.04     0.00     0.05     0.09     0.23     0.28     0.41     0.52     0.54     0.66     0.70</t>
  </si>
  <si>
    <t>29     0.02       x       0.02     0.12     0.18     0.33     0.37     0.50     0.62     0.64     0.76     0.80</t>
  </si>
  <si>
    <t>30     0.06       x       0.07     0.20     0.27     0.43     0.47     0.59     0.71     0.73     0.85     0.89</t>
  </si>
  <si>
    <t>31     0.12     x        0.14       x       0.37       x      0.57     0.69      x        0.82        x      0.95</t>
  </si>
  <si>
    <t>Month</t>
  </si>
  <si>
    <t>Each month is stored in its own tab - DO NOT CHANGE</t>
  </si>
  <si>
    <t>Date of the observation - note that each month has its own tab.  DO NOT CHANGE</t>
  </si>
  <si>
    <t>Sunset (Hidden)</t>
  </si>
  <si>
    <t>This is the time when the sun sets below the horizon. This is incuded as an aid to setting the time for volunteers to assemble.  DO NOT CHANGE.</t>
  </si>
  <si>
    <t>Dark</t>
  </si>
  <si>
    <t>This is the time of the end of civil twilight - when it becomes too dark to see without artificial illumination.This is incuded as an aid to setting the time for volunteers to assemble.  DO NOT CHANGE.</t>
  </si>
  <si>
    <t>Shift</t>
  </si>
  <si>
    <t>1 = Regular, 2 = Night Owl</t>
  </si>
  <si>
    <t>The captain in charge on this date.  Each captain is responsible for making his/her own daily entry.</t>
  </si>
  <si>
    <t>Enter Y if you went out to the site and N if not.</t>
  </si>
  <si>
    <t>Start time</t>
  </si>
  <si>
    <t>The time of arrival on site.</t>
  </si>
  <si>
    <t>End time</t>
  </si>
  <si>
    <t>The final time of departure from the site.</t>
  </si>
  <si>
    <t>The temperature when you arrived on site OR the temperature you used to make the go/no-go decision for the evening.</t>
  </si>
  <si>
    <t>The temperature when everyone went home for the night</t>
  </si>
  <si>
    <t>The weather you used to make the go/no-go decision for the evening.</t>
  </si>
  <si>
    <t>Hours</t>
  </si>
  <si>
    <t>Number of hours on site (difference of start and end times)</t>
  </si>
  <si>
    <t>Total hours on-site of all team members (including captain)</t>
  </si>
  <si>
    <t>Frogs down</t>
  </si>
  <si>
    <t>AUTOFILL:  Number of red legged frogs (assisited and unassisted) down (to the wetlands)</t>
  </si>
  <si>
    <t>Frogs up</t>
  </si>
  <si>
    <t>AUTOFILL:  Number of red legged frogs (assisited and unassisted) uphill  (from the wetlands)</t>
  </si>
  <si>
    <t>Notations of any special observations or circumstances and other species notied</t>
  </si>
  <si>
    <t>Barometric Pressure</t>
  </si>
  <si>
    <t>Available at http://w1.weather.gov/obhistory/KPDX.html.  Suffix + indicates rising, - indicates falling.</t>
  </si>
  <si>
    <t>nov</t>
  </si>
  <si>
    <t>dec</t>
  </si>
  <si>
    <t>jan</t>
  </si>
  <si>
    <t>feb</t>
  </si>
  <si>
    <t>mar</t>
  </si>
  <si>
    <t>apr</t>
  </si>
  <si>
    <t>NOV_F_A_DN</t>
  </si>
  <si>
    <t>DEC_F_A_DN</t>
  </si>
  <si>
    <t>JAN_F_A_DN</t>
  </si>
  <si>
    <t>FEB_F_A_DN</t>
  </si>
  <si>
    <t>MAR_F_A_DN</t>
  </si>
  <si>
    <t>NOV_M_A_DN</t>
  </si>
  <si>
    <t>DEC_M_A_DN</t>
  </si>
  <si>
    <t>JAN_M_A_DN</t>
  </si>
  <si>
    <t>FEB_M_A_DN</t>
  </si>
  <si>
    <t>MAR_M_A_DN</t>
  </si>
  <si>
    <t>NOV_F_U_DN</t>
  </si>
  <si>
    <t>DEC_F_U_DN</t>
  </si>
  <si>
    <t>JAN_F_U_DN</t>
  </si>
  <si>
    <t>FEB_F_U_DN</t>
  </si>
  <si>
    <t>MAR_F_U_DN</t>
  </si>
  <si>
    <t>NOV_M_U_DN</t>
  </si>
  <si>
    <t>DEC_M_U_DN</t>
  </si>
  <si>
    <t>JAN_M_U_DN</t>
  </si>
  <si>
    <t>FEB_M_U_DN</t>
  </si>
  <si>
    <t>MAR_M_U_DN</t>
  </si>
  <si>
    <t>NOV_F_A_UP</t>
  </si>
  <si>
    <t>DEC_F_A_UP</t>
  </si>
  <si>
    <t>JAN_F_A_UP</t>
  </si>
  <si>
    <t>FEB_F_A_UP</t>
  </si>
  <si>
    <t>MAR_F_A_UP</t>
  </si>
  <si>
    <t>NOV_M_A_UP</t>
  </si>
  <si>
    <t>DEC_M_A_UP</t>
  </si>
  <si>
    <t>JAN_M_A_UP</t>
  </si>
  <si>
    <t>FEB_M_A_UP</t>
  </si>
  <si>
    <t>MAR_M_A_UP</t>
  </si>
  <si>
    <t>NOV_F_U_UP</t>
  </si>
  <si>
    <t>DEC_F_U_UP</t>
  </si>
  <si>
    <t>JAN_F_U_UP</t>
  </si>
  <si>
    <t>FEB_F_U_UP</t>
  </si>
  <si>
    <t>MAR_F_U_UP</t>
  </si>
  <si>
    <t>NOV_M_U_UP</t>
  </si>
  <si>
    <t>DEC_M_U_UP</t>
  </si>
  <si>
    <t>JAN_M_U_UP</t>
  </si>
  <si>
    <t>FEB_M_U_UP</t>
  </si>
  <si>
    <t>MAR_M_U_UP</t>
  </si>
  <si>
    <t>NOV_JUV</t>
  </si>
  <si>
    <t>DEC_JUV</t>
  </si>
  <si>
    <t>JAN_JUV</t>
  </si>
  <si>
    <t>FEB_JUV</t>
  </si>
  <si>
    <t>MAR_JUV</t>
  </si>
  <si>
    <t>NOV_M_ROADKILL</t>
  </si>
  <si>
    <t>DEC_M_ROADKILL</t>
  </si>
  <si>
    <t>JAN_M_ROADKILL</t>
  </si>
  <si>
    <t>FEB_M_ROADKILL</t>
  </si>
  <si>
    <t>MAR_M_ROADKILL</t>
  </si>
  <si>
    <t>NOV_F_ROADKILL</t>
  </si>
  <si>
    <t>DEC_F_ROADKILL</t>
  </si>
  <si>
    <t>JAN_F_ROADKILL</t>
  </si>
  <si>
    <t>FEB_F_ROADKILL</t>
  </si>
  <si>
    <t>MAR_F_ROADKILL</t>
  </si>
  <si>
    <t>NOV_UNK_ROADKILL</t>
  </si>
  <si>
    <t>DEC_UNK_ROADKILL</t>
  </si>
  <si>
    <t>JAN_UNK_ROADKILL</t>
  </si>
  <si>
    <t>FEB_UNK_ROADKILL</t>
  </si>
  <si>
    <t>MAR_UNK_ROADKILL</t>
  </si>
  <si>
    <t>Total Frogs Assisted</t>
  </si>
  <si>
    <t>2015/</t>
  </si>
  <si>
    <t>Unassisted females  up</t>
  </si>
  <si>
    <t>Unassisted males up</t>
  </si>
  <si>
    <t>Total assisted</t>
  </si>
  <si>
    <t>Baro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</si>
</sst>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h&quot;:&quot;mm"/>
    <numFmt numFmtId="165" formatCode="h&quot;:&quot;mm&quot; &quot;AM/PM"/>
    <numFmt numFmtId="166" formatCode="mm/dd/yy"/>
    <numFmt numFmtId="167" formatCode="mm/dd/yyyy"/>
    <numFmt numFmtId="168" formatCode="m/d/yyyy\ h:mm:ss"/>
    <numFmt numFmtId="169" formatCode="m/d"/>
  </numFmts>
  <fonts count="13">
    <font>
      <sz val="10"/>
      <color rgb="FF000000"/>
      <name val="Arial"/>
    </font>
    <font>
      <sz val="10"/>
      <name val="Arial"/>
    </font>
    <font>
      <sz val="9"/>
      <name val="Arial"/>
    </font>
    <font>
      <sz val="10"/>
      <color rgb="FFFFFFFF"/>
      <name val="Arial"/>
    </font>
    <font>
      <b/>
      <sz val="6"/>
      <name val="Arial"/>
    </font>
    <font>
      <b/>
      <sz val="1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name val="Arial"/>
    </font>
    <font>
      <sz val="10"/>
      <name val="Arial"/>
    </font>
    <font>
      <sz val="11"/>
      <color rgb="FF000000"/>
      <name val="Inconsolata"/>
    </font>
    <font>
      <b/>
      <sz val="10"/>
      <name val="Arial"/>
    </font>
    <font>
      <b/>
      <i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8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/>
    <xf numFmtId="0" fontId="1" fillId="0" borderId="0" xfId="0" applyFont="1" applyAlignment="1"/>
    <xf numFmtId="0" fontId="1" fillId="2" borderId="0" xfId="0" applyFont="1" applyFill="1" applyAlignment="1"/>
    <xf numFmtId="164" fontId="1" fillId="2" borderId="0" xfId="0" applyNumberFormat="1" applyFont="1" applyFill="1" applyAlignment="1"/>
    <xf numFmtId="46" fontId="1" fillId="3" borderId="0" xfId="0" applyNumberFormat="1" applyFont="1" applyFill="1"/>
    <xf numFmtId="0" fontId="1" fillId="3" borderId="0" xfId="0" applyFont="1" applyFill="1" applyAlignment="1"/>
    <xf numFmtId="0" fontId="1" fillId="3" borderId="0" xfId="0" applyFont="1" applyFill="1"/>
    <xf numFmtId="0" fontId="1" fillId="0" borderId="0" xfId="0" applyFont="1" applyAlignment="1">
      <alignment horizontal="right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/>
    <xf numFmtId="14" fontId="1" fillId="4" borderId="0" xfId="0" applyNumberFormat="1" applyFont="1" applyFill="1" applyAlignment="1"/>
    <xf numFmtId="0" fontId="1" fillId="5" borderId="0" xfId="0" applyFont="1" applyFill="1"/>
    <xf numFmtId="0" fontId="1" fillId="5" borderId="0" xfId="0" applyFont="1" applyFill="1" applyAlignment="1"/>
    <xf numFmtId="164" fontId="1" fillId="5" borderId="0" xfId="0" applyNumberFormat="1" applyFont="1" applyFill="1" applyAlignment="1"/>
    <xf numFmtId="0" fontId="1" fillId="5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46" fontId="1" fillId="2" borderId="0" xfId="0" applyNumberFormat="1" applyFont="1" applyFill="1" applyAlignment="1"/>
    <xf numFmtId="14" fontId="1" fillId="3" borderId="0" xfId="0" applyNumberFormat="1" applyFont="1" applyFill="1" applyAlignment="1"/>
    <xf numFmtId="20" fontId="1" fillId="2" borderId="0" xfId="0" applyNumberFormat="1" applyFont="1" applyFill="1" applyAlignment="1"/>
    <xf numFmtId="0" fontId="1" fillId="5" borderId="0" xfId="0" applyFont="1" applyFill="1" applyAlignment="1">
      <alignment vertical="top"/>
    </xf>
    <xf numFmtId="164" fontId="1" fillId="5" borderId="0" xfId="0" applyNumberFormat="1" applyFont="1" applyFill="1" applyAlignment="1">
      <alignment vertical="top"/>
    </xf>
    <xf numFmtId="0" fontId="1" fillId="5" borderId="0" xfId="0" applyFont="1" applyFill="1" applyAlignment="1">
      <alignment horizontal="right" vertical="top"/>
    </xf>
    <xf numFmtId="0" fontId="1" fillId="5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1" fillId="5" borderId="0" xfId="0" applyFont="1" applyFill="1" applyAlignment="1">
      <alignment vertical="top"/>
    </xf>
    <xf numFmtId="14" fontId="1" fillId="6" borderId="0" xfId="0" applyNumberFormat="1" applyFont="1" applyFill="1" applyAlignment="1"/>
    <xf numFmtId="14" fontId="3" fillId="7" borderId="0" xfId="0" applyNumberFormat="1" applyFont="1" applyFill="1" applyAlignment="1"/>
    <xf numFmtId="0" fontId="1" fillId="2" borderId="0" xfId="0" applyFont="1" applyFill="1" applyAlignment="1">
      <alignment wrapText="1"/>
    </xf>
    <xf numFmtId="14" fontId="3" fillId="6" borderId="0" xfId="0" applyNumberFormat="1" applyFont="1" applyFill="1" applyAlignment="1"/>
    <xf numFmtId="164" fontId="1" fillId="2" borderId="0" xfId="0" applyNumberFormat="1" applyFont="1" applyFill="1"/>
    <xf numFmtId="14" fontId="3" fillId="3" borderId="0" xfId="0" applyNumberFormat="1" applyFont="1" applyFill="1" applyAlignment="1"/>
    <xf numFmtId="14" fontId="3" fillId="4" borderId="0" xfId="0" applyNumberFormat="1" applyFont="1" applyFill="1" applyAlignment="1"/>
    <xf numFmtId="0" fontId="2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164" fontId="1" fillId="5" borderId="0" xfId="0" applyNumberFormat="1" applyFont="1" applyFill="1"/>
    <xf numFmtId="4" fontId="1" fillId="5" borderId="0" xfId="0" applyNumberFormat="1" applyFont="1" applyFill="1" applyAlignment="1"/>
    <xf numFmtId="4" fontId="1" fillId="2" borderId="0" xfId="0" applyNumberFormat="1" applyFont="1" applyFill="1" applyAlignment="1"/>
    <xf numFmtId="0" fontId="1" fillId="2" borderId="0" xfId="0" applyFont="1" applyFill="1" applyAlignment="1">
      <alignment horizontal="right"/>
    </xf>
    <xf numFmtId="0" fontId="1" fillId="0" borderId="0" xfId="0" applyFont="1" applyAlignment="1"/>
    <xf numFmtId="164" fontId="1" fillId="0" borderId="0" xfId="0" applyNumberFormat="1" applyFont="1" applyAlignment="1"/>
    <xf numFmtId="4" fontId="1" fillId="0" borderId="0" xfId="0" applyNumberFormat="1" applyFont="1" applyAlignment="1"/>
    <xf numFmtId="0" fontId="1" fillId="0" borderId="0" xfId="0" applyFont="1" applyAlignment="1">
      <alignment wrapText="1"/>
    </xf>
    <xf numFmtId="0" fontId="4" fillId="2" borderId="0" xfId="0" applyFont="1" applyFill="1" applyAlignment="1"/>
    <xf numFmtId="0" fontId="5" fillId="2" borderId="0" xfId="0" applyFont="1" applyFill="1"/>
    <xf numFmtId="0" fontId="5" fillId="2" borderId="0" xfId="0" applyFont="1" applyFill="1" applyAlignment="1"/>
    <xf numFmtId="46" fontId="5" fillId="3" borderId="0" xfId="0" applyNumberFormat="1" applyFont="1" applyFill="1"/>
    <xf numFmtId="0" fontId="5" fillId="3" borderId="0" xfId="0" applyFont="1" applyFill="1"/>
    <xf numFmtId="3" fontId="6" fillId="3" borderId="0" xfId="0" applyNumberFormat="1" applyFont="1" applyFill="1" applyAlignment="1"/>
    <xf numFmtId="0" fontId="1" fillId="3" borderId="0" xfId="0" applyFont="1" applyFill="1" applyAlignment="1">
      <alignment wrapText="1"/>
    </xf>
    <xf numFmtId="3" fontId="5" fillId="3" borderId="0" xfId="0" applyNumberFormat="1" applyFont="1" applyFill="1"/>
    <xf numFmtId="0" fontId="5" fillId="2" borderId="0" xfId="0" applyFont="1" applyFill="1" applyAlignment="1">
      <alignment horizontal="left"/>
    </xf>
    <xf numFmtId="165" fontId="5" fillId="2" borderId="0" xfId="0" applyNumberFormat="1" applyFont="1" applyFill="1"/>
    <xf numFmtId="46" fontId="5" fillId="3" borderId="0" xfId="0" applyNumberFormat="1" applyFont="1" applyFill="1" applyAlignment="1"/>
    <xf numFmtId="4" fontId="5" fillId="3" borderId="0" xfId="0" applyNumberFormat="1" applyFont="1" applyFill="1" applyAlignment="1"/>
    <xf numFmtId="3" fontId="5" fillId="3" borderId="0" xfId="0" applyNumberFormat="1" applyFont="1" applyFill="1" applyAlignment="1"/>
    <xf numFmtId="3" fontId="7" fillId="3" borderId="0" xfId="0" applyNumberFormat="1" applyFont="1" applyFill="1"/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/>
    </xf>
    <xf numFmtId="14" fontId="5" fillId="2" borderId="0" xfId="0" applyNumberFormat="1" applyFont="1" applyFill="1" applyAlignment="1">
      <alignment vertical="top"/>
    </xf>
    <xf numFmtId="0" fontId="5" fillId="2" borderId="0" xfId="0" applyFont="1" applyFill="1" applyAlignment="1">
      <alignment vertical="top"/>
    </xf>
    <xf numFmtId="0" fontId="5" fillId="2" borderId="0" xfId="0" applyFont="1" applyFill="1" applyAlignment="1">
      <alignment vertical="top"/>
    </xf>
    <xf numFmtId="0" fontId="5" fillId="2" borderId="0" xfId="0" applyFont="1" applyFill="1" applyAlignment="1">
      <alignment horizontal="right" vertical="top"/>
    </xf>
    <xf numFmtId="4" fontId="5" fillId="2" borderId="0" xfId="0" applyNumberFormat="1" applyFont="1" applyFill="1" applyAlignment="1">
      <alignment horizontal="right" vertical="top"/>
    </xf>
    <xf numFmtId="0" fontId="5" fillId="2" borderId="0" xfId="0" applyFont="1" applyFill="1" applyAlignment="1">
      <alignment vertical="top" wrapText="1"/>
    </xf>
    <xf numFmtId="0" fontId="8" fillId="2" borderId="0" xfId="0" applyFont="1" applyFill="1" applyAlignment="1"/>
    <xf numFmtId="14" fontId="5" fillId="0" borderId="0" xfId="0" applyNumberFormat="1" applyFont="1" applyAlignment="1"/>
    <xf numFmtId="0" fontId="5" fillId="2" borderId="0" xfId="0" applyFont="1" applyFill="1" applyAlignment="1"/>
    <xf numFmtId="0" fontId="5" fillId="0" borderId="0" xfId="0" applyFont="1" applyAlignment="1"/>
    <xf numFmtId="20" fontId="5" fillId="0" borderId="0" xfId="0" applyNumberFormat="1" applyFont="1" applyAlignment="1"/>
    <xf numFmtId="46" fontId="5" fillId="0" borderId="0" xfId="0" applyNumberFormat="1" applyFont="1"/>
    <xf numFmtId="4" fontId="5" fillId="0" borderId="0" xfId="0" applyNumberFormat="1" applyFont="1" applyAlignment="1"/>
    <xf numFmtId="0" fontId="5" fillId="0" borderId="0" xfId="0" applyFont="1" applyAlignment="1">
      <alignment wrapText="1"/>
    </xf>
    <xf numFmtId="0" fontId="5" fillId="5" borderId="0" xfId="0" applyFont="1" applyFill="1" applyAlignment="1"/>
    <xf numFmtId="3" fontId="5" fillId="0" borderId="0" xfId="0" applyNumberFormat="1" applyFont="1" applyAlignment="1"/>
    <xf numFmtId="3" fontId="5" fillId="2" borderId="0" xfId="0" applyNumberFormat="1" applyFont="1" applyFill="1" applyAlignment="1"/>
    <xf numFmtId="14" fontId="1" fillId="0" borderId="0" xfId="0" applyNumberFormat="1" applyFont="1" applyAlignment="1"/>
    <xf numFmtId="0" fontId="1" fillId="2" borderId="0" xfId="0" applyFont="1" applyFill="1" applyAlignment="1"/>
    <xf numFmtId="20" fontId="1" fillId="0" borderId="0" xfId="0" applyNumberFormat="1" applyFont="1" applyAlignment="1"/>
    <xf numFmtId="46" fontId="1" fillId="0" borderId="0" xfId="0" applyNumberFormat="1" applyFont="1"/>
    <xf numFmtId="46" fontId="1" fillId="0" borderId="0" xfId="0" applyNumberFormat="1" applyFont="1" applyAlignment="1"/>
    <xf numFmtId="0" fontId="1" fillId="0" borderId="0" xfId="0" applyFont="1" applyAlignment="1">
      <alignment wrapText="1"/>
    </xf>
    <xf numFmtId="0" fontId="1" fillId="0" borderId="0" xfId="0" applyFont="1" applyAlignment="1"/>
    <xf numFmtId="3" fontId="5" fillId="2" borderId="0" xfId="0" applyNumberFormat="1" applyFont="1" applyFill="1" applyAlignment="1">
      <alignment wrapText="1"/>
    </xf>
    <xf numFmtId="46" fontId="5" fillId="2" borderId="0" xfId="0" applyNumberFormat="1" applyFont="1" applyFill="1"/>
    <xf numFmtId="4" fontId="5" fillId="2" borderId="0" xfId="0" applyNumberFormat="1" applyFont="1" applyFill="1"/>
    <xf numFmtId="3" fontId="5" fillId="0" borderId="0" xfId="0" applyNumberFormat="1" applyFont="1"/>
    <xf numFmtId="3" fontId="5" fillId="0" borderId="0" xfId="0" applyNumberFormat="1" applyFont="1" applyAlignment="1">
      <alignment wrapText="1"/>
    </xf>
    <xf numFmtId="3" fontId="5" fillId="2" borderId="0" xfId="0" applyNumberFormat="1" applyFont="1" applyFill="1"/>
    <xf numFmtId="0" fontId="5" fillId="2" borderId="0" xfId="0" applyFont="1" applyFill="1" applyAlignment="1">
      <alignment wrapText="1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5" fontId="1" fillId="2" borderId="0" xfId="0" applyNumberFormat="1" applyFont="1" applyFill="1"/>
    <xf numFmtId="2" fontId="1" fillId="2" borderId="0" xfId="0" applyNumberFormat="1" applyFont="1" applyFill="1" applyAlignment="1"/>
    <xf numFmtId="0" fontId="1" fillId="2" borderId="0" xfId="0" applyFont="1" applyFill="1"/>
    <xf numFmtId="0" fontId="1" fillId="5" borderId="0" xfId="0" applyFont="1" applyFill="1" applyAlignment="1">
      <alignment horizontal="center"/>
    </xf>
    <xf numFmtId="165" fontId="1" fillId="5" borderId="0" xfId="0" applyNumberFormat="1" applyFont="1" applyFill="1"/>
    <xf numFmtId="2" fontId="1" fillId="5" borderId="0" xfId="0" applyNumberFormat="1" applyFont="1" applyFill="1" applyAlignment="1"/>
    <xf numFmtId="0" fontId="1" fillId="5" borderId="0" xfId="0" applyFont="1" applyFill="1"/>
    <xf numFmtId="0" fontId="1" fillId="5" borderId="0" xfId="0" applyFont="1" applyFill="1" applyAlignment="1"/>
    <xf numFmtId="165" fontId="1" fillId="2" borderId="0" xfId="0" applyNumberFormat="1" applyFont="1" applyFill="1" applyAlignment="1"/>
    <xf numFmtId="0" fontId="1" fillId="2" borderId="0" xfId="0" applyFont="1" applyFill="1" applyAlignment="1"/>
    <xf numFmtId="20" fontId="1" fillId="5" borderId="0" xfId="0" applyNumberFormat="1" applyFont="1" applyFill="1" applyAlignment="1"/>
    <xf numFmtId="0" fontId="1" fillId="2" borderId="0" xfId="0" applyFont="1" applyFill="1" applyAlignment="1">
      <alignment horizontal="left"/>
    </xf>
    <xf numFmtId="0" fontId="1" fillId="2" borderId="0" xfId="0" applyFont="1" applyFill="1" applyAlignment="1"/>
    <xf numFmtId="0" fontId="1" fillId="5" borderId="0" xfId="0" applyFont="1" applyFill="1" applyAlignment="1"/>
    <xf numFmtId="0" fontId="3" fillId="4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20" fontId="1" fillId="2" borderId="0" xfId="0" applyNumberFormat="1" applyFont="1" applyFill="1" applyAlignment="1"/>
    <xf numFmtId="165" fontId="1" fillId="2" borderId="0" xfId="0" applyNumberFormat="1" applyFont="1" applyFill="1" applyAlignment="1"/>
    <xf numFmtId="4" fontId="5" fillId="3" borderId="0" xfId="0" applyNumberFormat="1" applyFont="1" applyFill="1"/>
    <xf numFmtId="0" fontId="9" fillId="0" borderId="0" xfId="0" applyFont="1" applyAlignment="1"/>
    <xf numFmtId="3" fontId="10" fillId="3" borderId="0" xfId="0" applyNumberFormat="1" applyFont="1" applyFill="1"/>
    <xf numFmtId="166" fontId="1" fillId="2" borderId="0" xfId="0" applyNumberFormat="1" applyFont="1" applyFill="1" applyAlignment="1"/>
    <xf numFmtId="0" fontId="1" fillId="0" borderId="0" xfId="0" applyFont="1" applyAlignment="1">
      <alignment horizontal="center"/>
    </xf>
    <xf numFmtId="14" fontId="6" fillId="2" borderId="0" xfId="0" applyNumberFormat="1" applyFont="1" applyFill="1" applyAlignment="1"/>
    <xf numFmtId="14" fontId="6" fillId="4" borderId="0" xfId="0" applyNumberFormat="1" applyFont="1" applyFill="1" applyAlignment="1"/>
    <xf numFmtId="14" fontId="6" fillId="3" borderId="0" xfId="0" applyNumberFormat="1" applyFont="1" applyFill="1" applyAlignment="1"/>
    <xf numFmtId="0" fontId="1" fillId="8" borderId="0" xfId="0" applyFont="1" applyFill="1" applyAlignment="1"/>
    <xf numFmtId="14" fontId="6" fillId="6" borderId="0" xfId="0" applyNumberFormat="1" applyFont="1" applyFill="1" applyAlignment="1"/>
    <xf numFmtId="0" fontId="5" fillId="0" borderId="0" xfId="0" applyFont="1"/>
    <xf numFmtId="165" fontId="5" fillId="0" borderId="0" xfId="0" applyNumberFormat="1" applyFont="1"/>
    <xf numFmtId="3" fontId="11" fillId="3" borderId="0" xfId="0" applyNumberFormat="1" applyFont="1" applyFill="1" applyAlignment="1"/>
    <xf numFmtId="165" fontId="1" fillId="0" borderId="0" xfId="0" applyNumberFormat="1" applyFont="1"/>
    <xf numFmtId="0" fontId="6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1" fillId="0" borderId="0" xfId="0" applyFont="1" applyAlignment="1">
      <alignment horizontal="center" wrapText="1"/>
    </xf>
    <xf numFmtId="2" fontId="1" fillId="9" borderId="0" xfId="0" applyNumberFormat="1" applyFont="1" applyFill="1" applyAlignment="1"/>
    <xf numFmtId="0" fontId="1" fillId="9" borderId="0" xfId="0" applyFont="1" applyFill="1"/>
    <xf numFmtId="0" fontId="1" fillId="9" borderId="0" xfId="0" applyFont="1" applyFill="1" applyAlignment="1">
      <alignment wrapText="1"/>
    </xf>
    <xf numFmtId="0" fontId="1" fillId="9" borderId="0" xfId="0" applyFont="1" applyFill="1" applyAlignment="1">
      <alignment wrapText="1"/>
    </xf>
    <xf numFmtId="20" fontId="1" fillId="9" borderId="0" xfId="0" applyNumberFormat="1" applyFont="1" applyFill="1" applyAlignment="1"/>
    <xf numFmtId="0" fontId="1" fillId="5" borderId="0" xfId="0" applyFont="1" applyFill="1" applyAlignment="1"/>
    <xf numFmtId="0" fontId="6" fillId="2" borderId="0" xfId="0" applyFont="1" applyFill="1"/>
    <xf numFmtId="0" fontId="6" fillId="2" borderId="0" xfId="0" applyFont="1" applyFill="1" applyAlignment="1"/>
    <xf numFmtId="0" fontId="6" fillId="2" borderId="0" xfId="0" applyFont="1" applyFill="1" applyAlignment="1">
      <alignment horizontal="center"/>
    </xf>
    <xf numFmtId="164" fontId="6" fillId="2" borderId="0" xfId="0" applyNumberFormat="1" applyFont="1" applyFill="1" applyAlignment="1"/>
    <xf numFmtId="46" fontId="6" fillId="3" borderId="0" xfId="0" applyNumberFormat="1" applyFont="1" applyFill="1"/>
    <xf numFmtId="20" fontId="6" fillId="2" borderId="0" xfId="0" applyNumberFormat="1" applyFont="1" applyFill="1" applyAlignment="1"/>
    <xf numFmtId="0" fontId="6" fillId="2" borderId="0" xfId="0" applyFont="1" applyFill="1" applyAlignment="1">
      <alignment horizontal="right"/>
    </xf>
    <xf numFmtId="0" fontId="6" fillId="3" borderId="0" xfId="0" applyFont="1" applyFill="1" applyAlignment="1"/>
    <xf numFmtId="0" fontId="6" fillId="3" borderId="0" xfId="0" applyFont="1" applyFill="1"/>
    <xf numFmtId="0" fontId="6" fillId="2" borderId="0" xfId="0" applyFont="1" applyFill="1" applyAlignment="1">
      <alignment wrapText="1"/>
    </xf>
    <xf numFmtId="0" fontId="1" fillId="5" borderId="0" xfId="0" applyFont="1" applyFill="1" applyAlignment="1">
      <alignment horizontal="right"/>
    </xf>
    <xf numFmtId="164" fontId="1" fillId="10" borderId="0" xfId="0" applyNumberFormat="1" applyFont="1" applyFill="1"/>
    <xf numFmtId="0" fontId="1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2" fontId="5" fillId="3" borderId="0" xfId="0" applyNumberFormat="1" applyFont="1" applyFill="1"/>
    <xf numFmtId="0" fontId="5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4" fontId="1" fillId="2" borderId="0" xfId="0" applyNumberFormat="1" applyFont="1" applyFill="1" applyAlignment="1">
      <alignment wrapText="1"/>
    </xf>
    <xf numFmtId="4" fontId="1" fillId="5" borderId="0" xfId="0" applyNumberFormat="1" applyFont="1" applyFill="1" applyAlignment="1">
      <alignment wrapText="1"/>
    </xf>
    <xf numFmtId="20" fontId="1" fillId="2" borderId="0" xfId="0" applyNumberFormat="1" applyFont="1" applyFill="1" applyAlignment="1">
      <alignment wrapText="1"/>
    </xf>
    <xf numFmtId="0" fontId="1" fillId="5" borderId="0" xfId="0" applyFont="1" applyFill="1" applyAlignment="1">
      <alignment wrapText="1"/>
    </xf>
    <xf numFmtId="0" fontId="1" fillId="5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/>
    </xf>
    <xf numFmtId="4" fontId="6" fillId="2" borderId="0" xfId="0" applyNumberFormat="1" applyFont="1" applyFill="1" applyAlignment="1">
      <alignment wrapText="1"/>
    </xf>
    <xf numFmtId="0" fontId="6" fillId="2" borderId="0" xfId="0" applyFont="1" applyFill="1" applyAlignment="1">
      <alignment horizontal="right"/>
    </xf>
    <xf numFmtId="0" fontId="6" fillId="5" borderId="0" xfId="0" applyFont="1" applyFill="1"/>
    <xf numFmtId="0" fontId="6" fillId="5" borderId="0" xfId="0" applyFont="1" applyFill="1" applyAlignment="1"/>
    <xf numFmtId="0" fontId="6" fillId="5" borderId="0" xfId="0" applyFont="1" applyFill="1" applyAlignment="1">
      <alignment horizontal="center"/>
    </xf>
    <xf numFmtId="164" fontId="6" fillId="5" borderId="0" xfId="0" applyNumberFormat="1" applyFont="1" applyFill="1" applyAlignment="1"/>
    <xf numFmtId="4" fontId="6" fillId="5" borderId="0" xfId="0" applyNumberFormat="1" applyFont="1" applyFill="1" applyAlignment="1">
      <alignment wrapText="1"/>
    </xf>
    <xf numFmtId="0" fontId="6" fillId="5" borderId="0" xfId="0" applyFont="1" applyFill="1" applyAlignment="1">
      <alignment wrapText="1"/>
    </xf>
    <xf numFmtId="0" fontId="6" fillId="5" borderId="0" xfId="0" applyFont="1" applyFill="1" applyAlignment="1">
      <alignment horizontal="right"/>
    </xf>
    <xf numFmtId="167" fontId="1" fillId="3" borderId="0" xfId="0" applyNumberFormat="1" applyFont="1" applyFill="1" applyAlignment="1">
      <alignment horizontal="right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horizontal="right"/>
    </xf>
    <xf numFmtId="0" fontId="1" fillId="3" borderId="0" xfId="0" applyFont="1" applyFill="1" applyAlignment="1">
      <alignment wrapText="1"/>
    </xf>
    <xf numFmtId="0" fontId="12" fillId="2" borderId="0" xfId="0" applyFont="1" applyFill="1" applyAlignment="1"/>
    <xf numFmtId="168" fontId="1" fillId="2" borderId="0" xfId="0" applyNumberFormat="1" applyFont="1" applyFill="1" applyAlignment="1"/>
    <xf numFmtId="18" fontId="1" fillId="5" borderId="0" xfId="0" applyNumberFormat="1" applyFont="1" applyFill="1" applyAlignment="1"/>
    <xf numFmtId="46" fontId="1" fillId="3" borderId="0" xfId="0" applyNumberFormat="1" applyFont="1" applyFill="1" applyAlignment="1"/>
    <xf numFmtId="0" fontId="1" fillId="2" borderId="0" xfId="0" applyFont="1" applyFill="1" applyAlignment="1">
      <alignment wrapText="1"/>
    </xf>
    <xf numFmtId="0" fontId="6" fillId="0" borderId="0" xfId="0" applyFont="1" applyAlignment="1"/>
    <xf numFmtId="0" fontId="1" fillId="0" borderId="0" xfId="0" quotePrefix="1" applyFont="1" applyAlignment="1"/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9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 wrapText="1"/>
    </xf>
    <xf numFmtId="165" fontId="1" fillId="0" borderId="0" xfId="0" applyNumberFormat="1" applyFont="1" applyAlignment="1">
      <alignment horizontal="center" wrapText="1"/>
    </xf>
    <xf numFmtId="165" fontId="1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center" wrapText="1"/>
    </xf>
    <xf numFmtId="165" fontId="1" fillId="0" borderId="0" xfId="0" applyNumberFormat="1" applyFont="1" applyAlignment="1">
      <alignment horizontal="center"/>
    </xf>
  </cellXfs>
  <cellStyles count="1">
    <cellStyle name="Normal" xfId="0" builtinId="0"/>
  </cellStyles>
  <dxfs count="42"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9">
    <tableStyle name="April 2018-style" pivot="0" count="3" xr9:uid="{00000000-0011-0000-FFFF-FFFF00000000}">
      <tableStyleElement type="headerRow" dxfId="41"/>
      <tableStyleElement type="firstRowStripe" dxfId="40"/>
      <tableStyleElement type="secondRowStripe" dxfId="39"/>
    </tableStyle>
    <tableStyle name="November 2017-style" pivot="0" count="3" xr9:uid="{00000000-0011-0000-FFFF-FFFF01000000}">
      <tableStyleElement type="headerRow" dxfId="38"/>
      <tableStyleElement type="firstRowStripe" dxfId="37"/>
      <tableStyleElement type="secondRowStripe" dxfId="36"/>
    </tableStyle>
    <tableStyle name="December 2017-style" pivot="0" count="3" xr9:uid="{00000000-0011-0000-FFFF-FFFF02000000}">
      <tableStyleElement type="headerRow" dxfId="35"/>
      <tableStyleElement type="firstRowStripe" dxfId="34"/>
      <tableStyleElement type="secondRowStripe" dxfId="33"/>
    </tableStyle>
    <tableStyle name="January 2018-style" pivot="0" count="3" xr9:uid="{00000000-0011-0000-FFFF-FFFF03000000}">
      <tableStyleElement type="headerRow" dxfId="32"/>
      <tableStyleElement type="firstRowStripe" dxfId="31"/>
      <tableStyleElement type="secondRowStripe" dxfId="30"/>
    </tableStyle>
    <tableStyle name="January 2018-style 2" pivot="0" count="2" xr9:uid="{00000000-0011-0000-FFFF-FFFF04000000}">
      <tableStyleElement type="firstRowStripe" dxfId="29"/>
      <tableStyleElement type="secondRowStripe" dxfId="28"/>
    </tableStyle>
    <tableStyle name="January 2018-style 3" pivot="0" count="2" xr9:uid="{00000000-0011-0000-FFFF-FFFF05000000}">
      <tableStyleElement type="firstRowStripe" dxfId="27"/>
      <tableStyleElement type="secondRowStripe" dxfId="26"/>
    </tableStyle>
    <tableStyle name="January 2018-style 4" pivot="0" count="2" xr9:uid="{00000000-0011-0000-FFFF-FFFF06000000}">
      <tableStyleElement type="firstRowStripe" dxfId="25"/>
      <tableStyleElement type="secondRowStripe" dxfId="24"/>
    </tableStyle>
    <tableStyle name="February 2018-style" pivot="0" count="3" xr9:uid="{00000000-0011-0000-FFFF-FFFF07000000}">
      <tableStyleElement type="headerRow" dxfId="23"/>
      <tableStyleElement type="firstRowStripe" dxfId="22"/>
      <tableStyleElement type="secondRowStripe" dxfId="21"/>
    </tableStyle>
    <tableStyle name="March 2018-style" pivot="0" count="3" xr9:uid="{00000000-0011-0000-FFFF-FFFF08000000}">
      <tableStyleElement type="header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P32" headerRowCount="0">
  <tableColumns count="42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</tableColumns>
  <tableStyleInfo name="April 2018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AE32" headerRowCount="0">
  <tableColumns count="31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  <tableColumn id="24" xr3:uid="{00000000-0010-0000-0100-000018000000}" name="Column24"/>
    <tableColumn id="25" xr3:uid="{00000000-0010-0000-0100-000019000000}" name="Column25"/>
    <tableColumn id="26" xr3:uid="{00000000-0010-0000-0100-00001A000000}" name="Column26"/>
    <tableColumn id="27" xr3:uid="{00000000-0010-0000-0100-00001B000000}" name="Column27"/>
    <tableColumn id="28" xr3:uid="{00000000-0010-0000-0100-00001C000000}" name="Column28"/>
    <tableColumn id="29" xr3:uid="{00000000-0010-0000-0100-00001D000000}" name="Column29"/>
    <tableColumn id="30" xr3:uid="{00000000-0010-0000-0100-00001E000000}" name="Column30"/>
    <tableColumn id="31" xr3:uid="{00000000-0010-0000-0100-00001F000000}" name="Column31"/>
  </tableColumns>
  <tableStyleInfo name="November 2017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AD32">
  <tableColumns count="30">
    <tableColumn id="1" xr3:uid="{00000000-0010-0000-0200-000001000000}" name="Date"/>
    <tableColumn id="2" xr3:uid="{00000000-0010-0000-0200-000002000000}" name="Sunset"/>
    <tableColumn id="3" xr3:uid="{00000000-0010-0000-0200-000003000000}" name="Civil _x000a_Twilight"/>
    <tableColumn id="4" xr3:uid="{00000000-0010-0000-0200-000004000000}" name="Captain"/>
    <tableColumn id="5" xr3:uid="{00000000-0010-0000-0200-000005000000}" name="Monitored (Y/N)"/>
    <tableColumn id="6" xr3:uid="{00000000-0010-0000-0200-000006000000}" name="Start time_x000a_HH:MM"/>
    <tableColumn id="7" xr3:uid="{00000000-0010-0000-0200-000007000000}" name="End time_x000a_HH:MM"/>
    <tableColumn id="8" xr3:uid="{00000000-0010-0000-0200-000008000000}" name="Hours_x000a_Monitored"/>
    <tableColumn id="9" xr3:uid="{00000000-0010-0000-0200-000009000000}" name="Team Hrs."/>
    <tableColumn id="10" xr3:uid="{00000000-0010-0000-0200-00000A000000}" name="Start Temp"/>
    <tableColumn id="11" xr3:uid="{00000000-0010-0000-0200-00000B000000}" name="End Temp"/>
    <tableColumn id="12" xr3:uid="{00000000-0010-0000-0200-00000C000000}" name="Weather"/>
    <tableColumn id="13" xr3:uid="{00000000-0010-0000-0200-00000D000000}" name="Females assisted down"/>
    <tableColumn id="14" xr3:uid="{00000000-0010-0000-0200-00000E000000}" name="Males assisted down"/>
    <tableColumn id="15" xr3:uid="{00000000-0010-0000-0200-00000F000000}" name="Females unassisted down"/>
    <tableColumn id="16" xr3:uid="{00000000-0010-0000-0200-000010000000}" name="Males unassisted down"/>
    <tableColumn id="17" xr3:uid="{00000000-0010-0000-0200-000011000000}" name="Females_x000a_assisted_x000a_up"/>
    <tableColumn id="18" xr3:uid="{00000000-0010-0000-0200-000012000000}" name="Males_x000a_ assisted_x000a_ up"/>
    <tableColumn id="19" xr3:uid="{00000000-0010-0000-0200-000013000000}" name="Females unassisted up"/>
    <tableColumn id="20" xr3:uid="{00000000-0010-0000-0200-000014000000}" name="Males unassisted up"/>
    <tableColumn id="21" xr3:uid="{00000000-0010-0000-0200-000015000000}" name="Juveniles"/>
    <tableColumn id="22" xr3:uid="{00000000-0010-0000-0200-000016000000}" name="Roadkills_x000a_female"/>
    <tableColumn id="23" xr3:uid="{00000000-0010-0000-0200-000017000000}" name="Roadkills_x000a_male"/>
    <tableColumn id="24" xr3:uid="{00000000-0010-0000-0200-000018000000}" name="Roadkills_x000a_unk"/>
    <tableColumn id="25" xr3:uid="{00000000-0010-0000-0200-000019000000}" name="Total Frogs down"/>
    <tableColumn id="26" xr3:uid="{00000000-0010-0000-0200-00001A000000}" name="Total Frogs up"/>
    <tableColumn id="27" xr3:uid="{00000000-0010-0000-0200-00001B000000}" name="Total Frogs Assisted Down"/>
    <tableColumn id="28" xr3:uid="{00000000-0010-0000-0200-00001C000000}" name="Total Frogs Assisted Up"/>
    <tableColumn id="29" xr3:uid="{00000000-0010-0000-0200-00001D000000}" name="% moon visible"/>
    <tableColumn id="30" xr3:uid="{00000000-0010-0000-0200-00001E000000}" name="Comments"/>
  </tableColumns>
  <tableStyleInfo name="December 2017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G1:H1" headerRowCount="0">
  <tableColumns count="2">
    <tableColumn id="1" xr3:uid="{00000000-0010-0000-0300-000001000000}" name="Column1"/>
    <tableColumn id="2" xr3:uid="{00000000-0010-0000-0300-000002000000}" name="Column2"/>
  </tableColumns>
  <tableStyleInfo name="January 2018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H2:I32" headerRowCount="0">
  <tableColumns count="2">
    <tableColumn id="1" xr3:uid="{00000000-0010-0000-0400-000001000000}" name="Column1"/>
    <tableColumn id="2" xr3:uid="{00000000-0010-0000-0400-000002000000}" name="Column2"/>
  </tableColumns>
  <tableStyleInfo name="January 2018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M2:X32" headerRowCount="0">
  <tableColumns count="12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</tableColumns>
  <tableStyleInfo name="January 2018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Y2:AD32" headerRowCount="0">
  <tableColumns count="6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</tableColumns>
  <tableStyleInfo name="January 2018-style 4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AD30" headerRowCount="0">
  <tableColumns count="30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0" xr3:uid="{00000000-0010-0000-0700-00000A000000}" name="Column10"/>
    <tableColumn id="11" xr3:uid="{00000000-0010-0000-0700-00000B000000}" name="Column11"/>
    <tableColumn id="12" xr3:uid="{00000000-0010-0000-0700-00000C000000}" name="Column12"/>
    <tableColumn id="13" xr3:uid="{00000000-0010-0000-0700-00000D000000}" name="Column13"/>
    <tableColumn id="14" xr3:uid="{00000000-0010-0000-0700-00000E000000}" name="Column14"/>
    <tableColumn id="15" xr3:uid="{00000000-0010-0000-0700-00000F000000}" name="Column15"/>
    <tableColumn id="16" xr3:uid="{00000000-0010-0000-0700-000010000000}" name="Column16"/>
    <tableColumn id="17" xr3:uid="{00000000-0010-0000-0700-000011000000}" name="Column17"/>
    <tableColumn id="18" xr3:uid="{00000000-0010-0000-0700-000012000000}" name="Column18"/>
    <tableColumn id="19" xr3:uid="{00000000-0010-0000-0700-000013000000}" name="Column19"/>
    <tableColumn id="20" xr3:uid="{00000000-0010-0000-0700-000014000000}" name="Column20"/>
    <tableColumn id="21" xr3:uid="{00000000-0010-0000-0700-000015000000}" name="Column21"/>
    <tableColumn id="22" xr3:uid="{00000000-0010-0000-0700-000016000000}" name="Column22"/>
    <tableColumn id="23" xr3:uid="{00000000-0010-0000-0700-000017000000}" name="Column23"/>
    <tableColumn id="24" xr3:uid="{00000000-0010-0000-0700-000018000000}" name="Column24"/>
    <tableColumn id="25" xr3:uid="{00000000-0010-0000-0700-000019000000}" name="Column25"/>
    <tableColumn id="26" xr3:uid="{00000000-0010-0000-0700-00001A000000}" name="Column26"/>
    <tableColumn id="27" xr3:uid="{00000000-0010-0000-0700-00001B000000}" name="Column27"/>
    <tableColumn id="28" xr3:uid="{00000000-0010-0000-0700-00001C000000}" name="Column28"/>
    <tableColumn id="29" xr3:uid="{00000000-0010-0000-0700-00001D000000}" name="Column29"/>
    <tableColumn id="30" xr3:uid="{00000000-0010-0000-0700-00001E000000}" name="Column30"/>
  </tableColumns>
  <tableStyleInfo name="February 2018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1:AP32" headerRowCount="0">
  <tableColumns count="42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  <tableColumn id="7" xr3:uid="{00000000-0010-0000-0800-000007000000}" name="Column7"/>
    <tableColumn id="8" xr3:uid="{00000000-0010-0000-0800-000008000000}" name="Column8"/>
    <tableColumn id="9" xr3:uid="{00000000-0010-0000-0800-000009000000}" name="Column9"/>
    <tableColumn id="10" xr3:uid="{00000000-0010-0000-0800-00000A000000}" name="Column10"/>
    <tableColumn id="11" xr3:uid="{00000000-0010-0000-0800-00000B000000}" name="Column11"/>
    <tableColumn id="12" xr3:uid="{00000000-0010-0000-0800-00000C000000}" name="Column12"/>
    <tableColumn id="13" xr3:uid="{00000000-0010-0000-0800-00000D000000}" name="Column13"/>
    <tableColumn id="14" xr3:uid="{00000000-0010-0000-0800-00000E000000}" name="Column14"/>
    <tableColumn id="15" xr3:uid="{00000000-0010-0000-0800-00000F000000}" name="Column15"/>
    <tableColumn id="16" xr3:uid="{00000000-0010-0000-0800-000010000000}" name="Column16"/>
    <tableColumn id="17" xr3:uid="{00000000-0010-0000-0800-000011000000}" name="Column17"/>
    <tableColumn id="18" xr3:uid="{00000000-0010-0000-0800-000012000000}" name="Column18"/>
    <tableColumn id="19" xr3:uid="{00000000-0010-0000-0800-000013000000}" name="Column19"/>
    <tableColumn id="20" xr3:uid="{00000000-0010-0000-0800-000014000000}" name="Column20"/>
    <tableColumn id="21" xr3:uid="{00000000-0010-0000-0800-000015000000}" name="Column21"/>
    <tableColumn id="22" xr3:uid="{00000000-0010-0000-0800-000016000000}" name="Column22"/>
    <tableColumn id="23" xr3:uid="{00000000-0010-0000-0800-000017000000}" name="Column23"/>
    <tableColumn id="24" xr3:uid="{00000000-0010-0000-0800-000018000000}" name="Column24"/>
    <tableColumn id="25" xr3:uid="{00000000-0010-0000-0800-000019000000}" name="Column25"/>
    <tableColumn id="26" xr3:uid="{00000000-0010-0000-0800-00001A000000}" name="Column26"/>
    <tableColumn id="27" xr3:uid="{00000000-0010-0000-0800-00001B000000}" name="Column27"/>
    <tableColumn id="28" xr3:uid="{00000000-0010-0000-0800-00001C000000}" name="Column28"/>
    <tableColumn id="29" xr3:uid="{00000000-0010-0000-0800-00001D000000}" name="Column29"/>
    <tableColumn id="30" xr3:uid="{00000000-0010-0000-0800-00001E000000}" name="Column30"/>
    <tableColumn id="31" xr3:uid="{00000000-0010-0000-0800-00001F000000}" name="Column31"/>
    <tableColumn id="32" xr3:uid="{00000000-0010-0000-0800-000020000000}" name="Column32"/>
    <tableColumn id="33" xr3:uid="{00000000-0010-0000-0800-000021000000}" name="Column33"/>
    <tableColumn id="34" xr3:uid="{00000000-0010-0000-0800-000022000000}" name="Column34"/>
    <tableColumn id="35" xr3:uid="{00000000-0010-0000-0800-000023000000}" name="Column35"/>
    <tableColumn id="36" xr3:uid="{00000000-0010-0000-0800-000024000000}" name="Column36"/>
    <tableColumn id="37" xr3:uid="{00000000-0010-0000-0800-000025000000}" name="Column37"/>
    <tableColumn id="38" xr3:uid="{00000000-0010-0000-0800-000026000000}" name="Column38"/>
    <tableColumn id="39" xr3:uid="{00000000-0010-0000-0800-000027000000}" name="Column39"/>
    <tableColumn id="40" xr3:uid="{00000000-0010-0000-0800-000028000000}" name="Column40"/>
    <tableColumn id="41" xr3:uid="{00000000-0010-0000-0800-000029000000}" name="Column41"/>
    <tableColumn id="42" xr3:uid="{00000000-0010-0000-0800-00002A000000}" name="Column42"/>
  </tableColumns>
  <tableStyleInfo name="March 2018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M100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min="1" max="1" width="8.1640625" customWidth="1"/>
    <col min="2" max="2" width="6.1640625" customWidth="1"/>
    <col min="3" max="3" width="6.6640625" customWidth="1"/>
    <col min="4" max="4" width="13.1640625" customWidth="1"/>
    <col min="5" max="5" width="9" customWidth="1"/>
    <col min="6" max="6" width="9.1640625" customWidth="1"/>
    <col min="7" max="7" width="8.83203125" customWidth="1"/>
    <col min="8" max="8" width="8.6640625" customWidth="1"/>
    <col min="9" max="9" width="5.6640625" customWidth="1"/>
    <col min="10" max="11" width="6.1640625" customWidth="1"/>
    <col min="12" max="12" width="20.33203125" customWidth="1"/>
    <col min="13" max="13" width="7.83203125" customWidth="1"/>
    <col min="14" max="14" width="8" customWidth="1"/>
    <col min="15" max="15" width="8.6640625" customWidth="1"/>
    <col min="16" max="16" width="8.5" customWidth="1"/>
    <col min="17" max="17" width="7.83203125" customWidth="1"/>
    <col min="18" max="18" width="8.83203125" customWidth="1"/>
    <col min="19" max="19" width="9.1640625" customWidth="1"/>
    <col min="20" max="20" width="8.6640625" customWidth="1"/>
    <col min="21" max="21" width="9" customWidth="1"/>
    <col min="22" max="22" width="7.83203125" customWidth="1"/>
    <col min="23" max="23" width="7.5" customWidth="1"/>
    <col min="24" max="24" width="6.6640625" customWidth="1"/>
    <col min="25" max="26" width="5.6640625" customWidth="1"/>
    <col min="27" max="27" width="12.1640625" customWidth="1"/>
    <col min="28" max="28" width="14.6640625" customWidth="1"/>
    <col min="29" max="29" width="6.33203125" hidden="1" customWidth="1"/>
    <col min="30" max="30" width="50.33203125" customWidth="1"/>
  </cols>
  <sheetData>
    <row r="1" spans="1:65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2" t="s">
        <v>29</v>
      </c>
      <c r="AE1" s="4"/>
      <c r="AF1" s="4"/>
      <c r="AG1" s="4"/>
      <c r="AH1" s="4"/>
      <c r="AI1" s="4"/>
      <c r="AJ1" s="4"/>
      <c r="AK1" s="5"/>
      <c r="AL1" s="5"/>
      <c r="AM1" s="5"/>
      <c r="AN1" s="5"/>
      <c r="AO1" s="5"/>
      <c r="AP1" s="5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</row>
    <row r="2" spans="1:65" ht="15.75" customHeight="1">
      <c r="A2" s="7">
        <v>43191</v>
      </c>
      <c r="B2">
        <v>1939</v>
      </c>
      <c r="C2">
        <v>2009</v>
      </c>
      <c r="D2" s="8" t="str">
        <f t="shared" ref="D2:D3" si="0">CHOOSE(WEEKDAY(A2),"Fred/Anne", "Jane", "Phil","Sue/Panos","Shawn/Owens","Jeff", "Rob")</f>
        <v>Fred/Anne</v>
      </c>
      <c r="E2" s="9" t="s">
        <v>30</v>
      </c>
      <c r="F2" s="10">
        <v>0.80208333333333337</v>
      </c>
      <c r="G2" s="10">
        <v>0.87847222222222221</v>
      </c>
      <c r="H2" s="11">
        <f t="shared" ref="H2:H32" si="1">G2-F2</f>
        <v>7.638888888888884E-2</v>
      </c>
      <c r="I2" s="9">
        <v>9</v>
      </c>
      <c r="J2" s="9">
        <v>44</v>
      </c>
      <c r="K2" s="9">
        <v>39</v>
      </c>
      <c r="L2" s="9" t="s">
        <v>31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1</v>
      </c>
      <c r="Y2" s="12">
        <f t="shared" ref="Y2:Y31" si="2">SUM(M2:P2)</f>
        <v>0</v>
      </c>
      <c r="Z2" s="12">
        <f t="shared" ref="Z2:Z31" si="3">SUM(Q2:U2)</f>
        <v>0</v>
      </c>
      <c r="AA2" s="13">
        <f t="shared" ref="AA2:AA31" si="4">SUM(M2:N2)</f>
        <v>0</v>
      </c>
      <c r="AB2" s="13">
        <f t="shared" ref="AB2:AB31" si="5">SUM(Q2:R2,U2)</f>
        <v>0</v>
      </c>
      <c r="AC2" s="14">
        <v>0.99</v>
      </c>
      <c r="AD2" s="15" t="s">
        <v>32</v>
      </c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</row>
    <row r="3" spans="1:65" ht="15.75" customHeight="1">
      <c r="A3" s="18">
        <v>43192</v>
      </c>
      <c r="B3" s="19">
        <v>1940</v>
      </c>
      <c r="C3" s="19">
        <v>2010</v>
      </c>
      <c r="D3" s="20" t="str">
        <f t="shared" si="0"/>
        <v>Jane</v>
      </c>
      <c r="E3" s="20" t="s">
        <v>33</v>
      </c>
      <c r="F3" s="21"/>
      <c r="G3" s="21"/>
      <c r="H3" s="11">
        <f t="shared" si="1"/>
        <v>0</v>
      </c>
      <c r="I3" s="20"/>
      <c r="J3" s="20">
        <v>45</v>
      </c>
      <c r="K3" s="20"/>
      <c r="L3" s="20" t="s">
        <v>34</v>
      </c>
      <c r="M3" s="20">
        <v>0</v>
      </c>
      <c r="N3" s="20">
        <v>0</v>
      </c>
      <c r="O3" s="20">
        <v>0</v>
      </c>
      <c r="P3" s="20">
        <v>0</v>
      </c>
      <c r="Q3" s="20">
        <v>0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12">
        <f t="shared" si="2"/>
        <v>0</v>
      </c>
      <c r="Z3" s="12">
        <f t="shared" si="3"/>
        <v>0</v>
      </c>
      <c r="AA3" s="13">
        <f t="shared" si="4"/>
        <v>0</v>
      </c>
      <c r="AB3" s="13">
        <f t="shared" si="5"/>
        <v>0</v>
      </c>
      <c r="AC3" s="14">
        <v>0.96</v>
      </c>
      <c r="AD3" s="22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</row>
    <row r="4" spans="1:65" ht="15.75" customHeight="1">
      <c r="A4" s="18">
        <v>43193</v>
      </c>
      <c r="B4">
        <v>1942</v>
      </c>
      <c r="C4">
        <v>2012</v>
      </c>
      <c r="D4" s="9" t="str">
        <f>CHOOSE(WEEKDAY(A4),"Fred/Anne", "Jane", "Phil/Tom","Sue/Panos","Shawn/Owens","Jeff", "Rob")</f>
        <v>Phil/Tom</v>
      </c>
      <c r="E4" s="9" t="s">
        <v>33</v>
      </c>
      <c r="F4" s="10"/>
      <c r="G4" s="10"/>
      <c r="H4" s="11">
        <f t="shared" si="1"/>
        <v>0</v>
      </c>
      <c r="I4" s="9"/>
      <c r="J4" s="9">
        <v>52</v>
      </c>
      <c r="K4" s="9">
        <v>52</v>
      </c>
      <c r="L4" s="9" t="s">
        <v>34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12">
        <f t="shared" si="2"/>
        <v>0</v>
      </c>
      <c r="Z4" s="12">
        <f t="shared" si="3"/>
        <v>0</v>
      </c>
      <c r="AA4" s="13">
        <f t="shared" si="4"/>
        <v>0</v>
      </c>
      <c r="AB4" s="13">
        <f t="shared" si="5"/>
        <v>0</v>
      </c>
      <c r="AC4" s="14">
        <v>0.91</v>
      </c>
      <c r="AD4" s="15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</row>
    <row r="5" spans="1:65" ht="15.75" customHeight="1">
      <c r="A5" s="18">
        <v>43194</v>
      </c>
      <c r="B5" s="19">
        <v>1943</v>
      </c>
      <c r="C5" s="19">
        <v>2013</v>
      </c>
      <c r="D5" s="20" t="str">
        <f t="shared" ref="D5:D10" si="6">CHOOSE(WEEKDAY(A5),"Fred/Anne", "Jane", "Phil","Sue/Panos","Shawn/Owens","Jeff", "Rob")</f>
        <v>Sue/Panos</v>
      </c>
      <c r="E5" s="20" t="s">
        <v>33</v>
      </c>
      <c r="F5" s="21">
        <v>0.83333333333333337</v>
      </c>
      <c r="G5" s="21">
        <v>0.83333333333333337</v>
      </c>
      <c r="H5" s="11">
        <f t="shared" si="1"/>
        <v>0</v>
      </c>
      <c r="I5" s="20"/>
      <c r="J5" s="20">
        <v>52</v>
      </c>
      <c r="K5" s="20"/>
      <c r="L5" s="20" t="s">
        <v>35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12">
        <f t="shared" si="2"/>
        <v>0</v>
      </c>
      <c r="Z5" s="12">
        <f t="shared" si="3"/>
        <v>0</v>
      </c>
      <c r="AA5" s="13">
        <f t="shared" si="4"/>
        <v>0</v>
      </c>
      <c r="AB5" s="13">
        <f t="shared" si="5"/>
        <v>0</v>
      </c>
      <c r="AC5" s="14">
        <v>0.85</v>
      </c>
      <c r="AD5" s="22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</row>
    <row r="6" spans="1:65" ht="15.75" customHeight="1">
      <c r="A6" s="18">
        <v>43195</v>
      </c>
      <c r="B6">
        <v>1944</v>
      </c>
      <c r="C6">
        <v>2014</v>
      </c>
      <c r="D6" s="8" t="str">
        <f t="shared" si="6"/>
        <v>Shawn/Owens</v>
      </c>
      <c r="E6" s="9" t="s">
        <v>30</v>
      </c>
      <c r="F6" s="10">
        <v>0.83333333333333337</v>
      </c>
      <c r="G6" s="24">
        <v>1</v>
      </c>
      <c r="H6" s="11">
        <f t="shared" si="1"/>
        <v>0.16666666666666663</v>
      </c>
      <c r="I6" s="9">
        <v>24.5</v>
      </c>
      <c r="J6" s="9">
        <v>55</v>
      </c>
      <c r="K6" s="9">
        <v>53</v>
      </c>
      <c r="L6" s="15" t="s">
        <v>36</v>
      </c>
      <c r="M6" s="9">
        <v>0</v>
      </c>
      <c r="N6" s="9">
        <v>0</v>
      </c>
      <c r="O6" s="9">
        <v>0</v>
      </c>
      <c r="P6" s="9">
        <v>1</v>
      </c>
      <c r="Q6" s="9">
        <v>11</v>
      </c>
      <c r="R6" s="9">
        <v>21</v>
      </c>
      <c r="S6" s="9">
        <v>0</v>
      </c>
      <c r="T6" s="9">
        <v>1</v>
      </c>
      <c r="U6" s="9">
        <v>4</v>
      </c>
      <c r="V6" s="9">
        <v>0</v>
      </c>
      <c r="W6" s="9">
        <v>0</v>
      </c>
      <c r="X6" s="9">
        <v>0</v>
      </c>
      <c r="Y6" s="12">
        <f t="shared" si="2"/>
        <v>1</v>
      </c>
      <c r="Z6" s="12">
        <f t="shared" si="3"/>
        <v>37</v>
      </c>
      <c r="AA6" s="13">
        <f t="shared" si="4"/>
        <v>0</v>
      </c>
      <c r="AB6" s="13">
        <f t="shared" si="5"/>
        <v>36</v>
      </c>
      <c r="AC6" s="14">
        <v>0.77</v>
      </c>
      <c r="AD6" s="15" t="s">
        <v>37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</row>
    <row r="7" spans="1:65" ht="15.75" customHeight="1">
      <c r="A7" s="25">
        <v>43196</v>
      </c>
      <c r="B7" s="19">
        <v>1945</v>
      </c>
      <c r="C7" s="19">
        <v>2016</v>
      </c>
      <c r="D7" s="20" t="str">
        <f t="shared" si="6"/>
        <v>Jeff</v>
      </c>
      <c r="E7" s="20" t="s">
        <v>30</v>
      </c>
      <c r="F7" s="21">
        <v>0.96527777777777779</v>
      </c>
      <c r="G7" s="21">
        <v>0.99305555555555558</v>
      </c>
      <c r="H7" s="11">
        <f t="shared" si="1"/>
        <v>2.777777777777779E-2</v>
      </c>
      <c r="I7" s="20">
        <v>0.6</v>
      </c>
      <c r="J7" s="20">
        <v>61</v>
      </c>
      <c r="K7" s="20">
        <v>59</v>
      </c>
      <c r="L7" s="22" t="s">
        <v>38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12">
        <f t="shared" si="2"/>
        <v>0</v>
      </c>
      <c r="Z7" s="12">
        <f t="shared" si="3"/>
        <v>0</v>
      </c>
      <c r="AA7" s="13">
        <f t="shared" si="4"/>
        <v>0</v>
      </c>
      <c r="AB7" s="13">
        <f t="shared" si="5"/>
        <v>0</v>
      </c>
      <c r="AC7" s="14">
        <v>0.68</v>
      </c>
      <c r="AD7" s="22" t="s">
        <v>39</v>
      </c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</row>
    <row r="8" spans="1:65" ht="15.75" customHeight="1">
      <c r="A8" s="25">
        <v>43197</v>
      </c>
      <c r="B8">
        <v>1947</v>
      </c>
      <c r="C8">
        <v>2017</v>
      </c>
      <c r="D8" s="8" t="str">
        <f t="shared" si="6"/>
        <v>Rob</v>
      </c>
      <c r="E8" s="9" t="s">
        <v>40</v>
      </c>
      <c r="F8" s="10">
        <v>0.8125</v>
      </c>
      <c r="G8" s="10">
        <v>0.89583333333333337</v>
      </c>
      <c r="H8" s="11">
        <f t="shared" si="1"/>
        <v>8.333333333333337E-2</v>
      </c>
      <c r="I8" s="9">
        <v>8</v>
      </c>
      <c r="J8" s="9">
        <v>47</v>
      </c>
      <c r="K8" s="9">
        <v>47</v>
      </c>
      <c r="L8" s="15" t="s">
        <v>41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12">
        <f t="shared" si="2"/>
        <v>0</v>
      </c>
      <c r="Z8" s="12">
        <f t="shared" si="3"/>
        <v>0</v>
      </c>
      <c r="AA8" s="13">
        <f t="shared" si="4"/>
        <v>0</v>
      </c>
      <c r="AB8" s="13">
        <f t="shared" si="5"/>
        <v>0</v>
      </c>
      <c r="AC8" s="14">
        <v>0.59</v>
      </c>
      <c r="AD8" s="15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</row>
    <row r="9" spans="1:65" ht="15.75" customHeight="1">
      <c r="A9" s="25">
        <v>43198</v>
      </c>
      <c r="B9" s="19">
        <v>1948</v>
      </c>
      <c r="C9" s="19">
        <v>2019</v>
      </c>
      <c r="D9" s="20" t="str">
        <f t="shared" si="6"/>
        <v>Fred/Anne</v>
      </c>
      <c r="E9" s="20" t="s">
        <v>40</v>
      </c>
      <c r="F9" s="21">
        <v>0.84375</v>
      </c>
      <c r="G9" s="21">
        <v>0.88541666666666663</v>
      </c>
      <c r="H9" s="11">
        <f t="shared" si="1"/>
        <v>4.166666666666663E-2</v>
      </c>
      <c r="I9" s="20">
        <v>2</v>
      </c>
      <c r="J9" s="20">
        <v>43</v>
      </c>
      <c r="K9" s="20">
        <v>42</v>
      </c>
      <c r="L9" s="22" t="s">
        <v>42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12">
        <f t="shared" si="2"/>
        <v>0</v>
      </c>
      <c r="Z9" s="12">
        <f t="shared" si="3"/>
        <v>0</v>
      </c>
      <c r="AA9" s="13">
        <f t="shared" si="4"/>
        <v>0</v>
      </c>
      <c r="AB9" s="13">
        <f t="shared" si="5"/>
        <v>0</v>
      </c>
      <c r="AC9" s="14">
        <v>0.5</v>
      </c>
      <c r="AD9" s="22" t="s">
        <v>43</v>
      </c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</row>
    <row r="10" spans="1:65" ht="15.75" customHeight="1">
      <c r="A10" s="25">
        <v>43199</v>
      </c>
      <c r="B10">
        <v>1949</v>
      </c>
      <c r="C10">
        <v>2020</v>
      </c>
      <c r="D10" s="8" t="str">
        <f t="shared" si="6"/>
        <v>Jane</v>
      </c>
      <c r="E10" s="9" t="s">
        <v>30</v>
      </c>
      <c r="F10" s="26">
        <v>0.86458333333333337</v>
      </c>
      <c r="G10" s="10">
        <v>0.875</v>
      </c>
      <c r="H10" s="11">
        <f t="shared" si="1"/>
        <v>1.041666666666663E-2</v>
      </c>
      <c r="I10" s="9">
        <v>0.25</v>
      </c>
      <c r="J10" s="9">
        <v>55</v>
      </c>
      <c r="K10" s="9">
        <v>55</v>
      </c>
      <c r="L10" s="15" t="s">
        <v>35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12">
        <f t="shared" si="2"/>
        <v>0</v>
      </c>
      <c r="Z10" s="12">
        <f t="shared" si="3"/>
        <v>0</v>
      </c>
      <c r="AA10" s="13">
        <f t="shared" si="4"/>
        <v>0</v>
      </c>
      <c r="AB10" s="13">
        <f t="shared" si="5"/>
        <v>0</v>
      </c>
      <c r="AC10" s="14">
        <v>0.4</v>
      </c>
      <c r="AD10" s="15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</row>
    <row r="11" spans="1:65" ht="15.75" customHeight="1">
      <c r="A11" s="25">
        <v>43200</v>
      </c>
      <c r="B11" s="19">
        <v>1951</v>
      </c>
      <c r="C11" s="19">
        <v>2021</v>
      </c>
      <c r="D11" s="20" t="str">
        <f>CHOOSE(WEEKDAY(A11),"Fred/Anne", "Jane", "Phil/Tom","Sue/Panos","Shawn/Owens","Jeff", "Rob")</f>
        <v>Phil/Tom</v>
      </c>
      <c r="E11" s="27" t="s">
        <v>30</v>
      </c>
      <c r="F11" s="28">
        <v>0.84375</v>
      </c>
      <c r="G11" s="28">
        <v>0.85416666666666663</v>
      </c>
      <c r="H11" s="11">
        <f t="shared" si="1"/>
        <v>1.041666666666663E-2</v>
      </c>
      <c r="I11" s="29">
        <v>0.25</v>
      </c>
      <c r="J11" s="29">
        <v>53</v>
      </c>
      <c r="K11" s="29">
        <v>52</v>
      </c>
      <c r="L11" s="30" t="s">
        <v>35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12">
        <f t="shared" si="2"/>
        <v>0</v>
      </c>
      <c r="Z11" s="12">
        <f t="shared" si="3"/>
        <v>0</v>
      </c>
      <c r="AA11" s="13">
        <f t="shared" si="4"/>
        <v>0</v>
      </c>
      <c r="AB11" s="13">
        <f t="shared" si="5"/>
        <v>0</v>
      </c>
      <c r="AC11" s="14">
        <v>0.31</v>
      </c>
      <c r="AD11" s="30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</row>
    <row r="12" spans="1:65" ht="15.75" customHeight="1">
      <c r="A12" s="25">
        <v>43201</v>
      </c>
      <c r="B12">
        <v>1952</v>
      </c>
      <c r="C12">
        <v>2023</v>
      </c>
      <c r="D12" s="8" t="str">
        <f t="shared" ref="D12:D17" si="7">CHOOSE(WEEKDAY(A12),"Fred/Anne", "Jane", "Phil","Sue/Panos","Shawn/Owens","Jeff", "Rob")</f>
        <v>Sue/Panos</v>
      </c>
      <c r="E12" s="9" t="s">
        <v>30</v>
      </c>
      <c r="F12" s="10">
        <v>0.83333333333333337</v>
      </c>
      <c r="G12" s="10">
        <v>0.88541666666666663</v>
      </c>
      <c r="H12" s="11">
        <f t="shared" si="1"/>
        <v>5.2083333333333259E-2</v>
      </c>
      <c r="I12" s="9">
        <v>3</v>
      </c>
      <c r="J12" s="9">
        <v>48</v>
      </c>
      <c r="K12" s="9">
        <v>44</v>
      </c>
      <c r="L12" s="15" t="s">
        <v>31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12">
        <f t="shared" si="2"/>
        <v>0</v>
      </c>
      <c r="Z12" s="12">
        <f t="shared" si="3"/>
        <v>0</v>
      </c>
      <c r="AA12" s="13">
        <f t="shared" si="4"/>
        <v>0</v>
      </c>
      <c r="AB12" s="13">
        <f t="shared" si="5"/>
        <v>0</v>
      </c>
      <c r="AC12" s="14">
        <v>0.23</v>
      </c>
      <c r="AD12" s="15" t="s">
        <v>44</v>
      </c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</row>
    <row r="13" spans="1:65" ht="15.75" customHeight="1">
      <c r="A13" s="33">
        <v>43202</v>
      </c>
      <c r="B13" s="19">
        <v>1953</v>
      </c>
      <c r="C13" s="19">
        <v>2024</v>
      </c>
      <c r="D13" s="20" t="str">
        <f t="shared" si="7"/>
        <v>Shawn/Owens</v>
      </c>
      <c r="E13" s="20" t="s">
        <v>30</v>
      </c>
      <c r="F13" s="21">
        <v>0.84375</v>
      </c>
      <c r="G13" s="21">
        <v>0.86458333333333337</v>
      </c>
      <c r="H13" s="11">
        <f t="shared" si="1"/>
        <v>2.083333333333337E-2</v>
      </c>
      <c r="I13" s="20">
        <v>0.5</v>
      </c>
      <c r="J13" s="20">
        <v>46</v>
      </c>
      <c r="K13" s="20">
        <v>45</v>
      </c>
      <c r="L13" s="22" t="s">
        <v>45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12">
        <f t="shared" si="2"/>
        <v>0</v>
      </c>
      <c r="Z13" s="12">
        <f t="shared" si="3"/>
        <v>0</v>
      </c>
      <c r="AA13" s="13">
        <f t="shared" si="4"/>
        <v>0</v>
      </c>
      <c r="AB13" s="13">
        <f t="shared" si="5"/>
        <v>0</v>
      </c>
      <c r="AC13" s="14">
        <v>0.15</v>
      </c>
      <c r="AD13" s="22" t="s">
        <v>46</v>
      </c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</row>
    <row r="14" spans="1:65" ht="15.75" customHeight="1">
      <c r="A14" s="33">
        <v>43203</v>
      </c>
      <c r="B14">
        <v>1954</v>
      </c>
      <c r="C14">
        <v>2025</v>
      </c>
      <c r="D14" s="8" t="str">
        <f t="shared" si="7"/>
        <v>Jeff</v>
      </c>
      <c r="E14" s="9" t="s">
        <v>30</v>
      </c>
      <c r="F14" s="10">
        <v>0.85069444444444442</v>
      </c>
      <c r="G14" s="10">
        <v>0.875</v>
      </c>
      <c r="H14" s="11">
        <f t="shared" si="1"/>
        <v>2.430555555555558E-2</v>
      </c>
      <c r="I14" s="9">
        <v>0.6</v>
      </c>
      <c r="J14" s="9">
        <v>51</v>
      </c>
      <c r="K14" s="9">
        <v>50</v>
      </c>
      <c r="L14" s="15" t="s">
        <v>47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12">
        <f t="shared" si="2"/>
        <v>0</v>
      </c>
      <c r="Z14" s="12">
        <f t="shared" si="3"/>
        <v>0</v>
      </c>
      <c r="AA14" s="13">
        <f t="shared" si="4"/>
        <v>0</v>
      </c>
      <c r="AB14" s="13">
        <f t="shared" si="5"/>
        <v>0</v>
      </c>
      <c r="AC14" s="14">
        <v>0.09</v>
      </c>
      <c r="AD14" s="15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</row>
    <row r="15" spans="1:65" ht="15.75" customHeight="1">
      <c r="A15" s="33">
        <v>43204</v>
      </c>
      <c r="B15" s="19">
        <v>1956</v>
      </c>
      <c r="C15" s="19">
        <v>2027</v>
      </c>
      <c r="D15" s="20" t="str">
        <f t="shared" si="7"/>
        <v>Rob</v>
      </c>
      <c r="E15" s="20"/>
      <c r="F15" s="21"/>
      <c r="G15" s="21"/>
      <c r="H15" s="11">
        <f t="shared" si="1"/>
        <v>0</v>
      </c>
      <c r="I15" s="20"/>
      <c r="J15" s="20"/>
      <c r="K15" s="20"/>
      <c r="L15" s="22"/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12">
        <f t="shared" si="2"/>
        <v>0</v>
      </c>
      <c r="Z15" s="12">
        <f t="shared" si="3"/>
        <v>0</v>
      </c>
      <c r="AA15" s="13">
        <f t="shared" si="4"/>
        <v>0</v>
      </c>
      <c r="AB15" s="13">
        <f t="shared" si="5"/>
        <v>0</v>
      </c>
      <c r="AC15" s="14">
        <v>0.04</v>
      </c>
      <c r="AD15" s="22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</row>
    <row r="16" spans="1:65" ht="15.75" customHeight="1">
      <c r="A16" s="34">
        <v>43205</v>
      </c>
      <c r="B16">
        <v>1957</v>
      </c>
      <c r="C16">
        <v>2028</v>
      </c>
      <c r="D16" s="8" t="str">
        <f t="shared" si="7"/>
        <v>Fred/Anne</v>
      </c>
      <c r="E16" s="9" t="s">
        <v>30</v>
      </c>
      <c r="F16" s="10">
        <v>0.83680555555555558</v>
      </c>
      <c r="G16" s="10">
        <v>0.87152777777777779</v>
      </c>
      <c r="H16" s="11">
        <f t="shared" si="1"/>
        <v>3.472222222222221E-2</v>
      </c>
      <c r="I16" s="9">
        <v>3.3</v>
      </c>
      <c r="J16" s="9">
        <v>48</v>
      </c>
      <c r="K16" s="9">
        <v>46</v>
      </c>
      <c r="L16" s="15" t="s">
        <v>48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12">
        <f t="shared" si="2"/>
        <v>0</v>
      </c>
      <c r="Z16" s="12">
        <f t="shared" si="3"/>
        <v>0</v>
      </c>
      <c r="AA16" s="13">
        <f t="shared" si="4"/>
        <v>0</v>
      </c>
      <c r="AB16" s="13">
        <f t="shared" si="5"/>
        <v>0</v>
      </c>
      <c r="AC16" s="14">
        <v>0.01</v>
      </c>
      <c r="AD16" s="1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</row>
    <row r="17" spans="1:65" ht="15.75" customHeight="1">
      <c r="A17" s="34">
        <v>43206</v>
      </c>
      <c r="B17" s="19">
        <v>1958</v>
      </c>
      <c r="C17" s="19">
        <v>2030</v>
      </c>
      <c r="D17" s="20" t="str">
        <f t="shared" si="7"/>
        <v>Jane</v>
      </c>
      <c r="E17" s="20"/>
      <c r="F17" s="21"/>
      <c r="G17" s="21"/>
      <c r="H17" s="11">
        <f t="shared" si="1"/>
        <v>0</v>
      </c>
      <c r="I17" s="20"/>
      <c r="J17" s="20"/>
      <c r="K17" s="20"/>
      <c r="L17" s="22"/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12">
        <f t="shared" si="2"/>
        <v>0</v>
      </c>
      <c r="Z17" s="12">
        <f t="shared" si="3"/>
        <v>0</v>
      </c>
      <c r="AA17" s="13">
        <f t="shared" si="4"/>
        <v>0</v>
      </c>
      <c r="AB17" s="13">
        <f t="shared" si="5"/>
        <v>0</v>
      </c>
      <c r="AC17" s="14">
        <v>0</v>
      </c>
      <c r="AD17" s="22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</row>
    <row r="18" spans="1:65" ht="15.75" customHeight="1">
      <c r="A18" s="34">
        <v>43207</v>
      </c>
      <c r="B18">
        <v>2000</v>
      </c>
      <c r="C18">
        <v>2031</v>
      </c>
      <c r="D18" s="9" t="str">
        <f>CHOOSE(WEEKDAY(A18),"Fred/Anne", "Jane", "Phil/Tom","Sue/Panos","Shawn/Owens","Jeff", "Rob")</f>
        <v>Phil/Tom</v>
      </c>
      <c r="E18" s="9"/>
      <c r="F18" s="10"/>
      <c r="G18" s="10"/>
      <c r="H18" s="11">
        <f t="shared" si="1"/>
        <v>0</v>
      </c>
      <c r="I18" s="9"/>
      <c r="J18" s="9"/>
      <c r="K18" s="9"/>
      <c r="L18" s="15"/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12">
        <f t="shared" si="2"/>
        <v>0</v>
      </c>
      <c r="Z18" s="12">
        <f t="shared" si="3"/>
        <v>0</v>
      </c>
      <c r="AA18" s="13">
        <f t="shared" si="4"/>
        <v>0</v>
      </c>
      <c r="AB18" s="13">
        <f t="shared" si="5"/>
        <v>0</v>
      </c>
      <c r="AC18" s="14">
        <v>0.02</v>
      </c>
      <c r="AD18" s="15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</row>
    <row r="19" spans="1:65" ht="15.75" customHeight="1">
      <c r="A19" s="36">
        <v>43208</v>
      </c>
      <c r="B19" s="19">
        <v>2001</v>
      </c>
      <c r="C19" s="19">
        <v>2032</v>
      </c>
      <c r="D19" s="20" t="str">
        <f t="shared" ref="D19:D24" si="8">CHOOSE(WEEKDAY(A19),"Fred/Anne", "Jane", "Phil","Sue/Panos","Shawn/Owens","Jeff", "Rob")</f>
        <v>Sue/Panos</v>
      </c>
      <c r="E19" s="20"/>
      <c r="F19" s="21"/>
      <c r="G19" s="21"/>
      <c r="H19" s="11">
        <f t="shared" si="1"/>
        <v>0</v>
      </c>
      <c r="I19" s="20"/>
      <c r="J19" s="20"/>
      <c r="K19" s="20"/>
      <c r="L19" s="22"/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12">
        <f t="shared" si="2"/>
        <v>0</v>
      </c>
      <c r="Z19" s="12">
        <f t="shared" si="3"/>
        <v>0</v>
      </c>
      <c r="AA19" s="13">
        <f t="shared" si="4"/>
        <v>0</v>
      </c>
      <c r="AB19" s="13">
        <f t="shared" si="5"/>
        <v>0</v>
      </c>
      <c r="AC19" s="14">
        <v>7.0000000000000007E-2</v>
      </c>
      <c r="AD19" s="22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</row>
    <row r="20" spans="1:65" ht="15.75" customHeight="1">
      <c r="A20" s="36">
        <v>43209</v>
      </c>
      <c r="B20">
        <v>2002</v>
      </c>
      <c r="C20">
        <v>2034</v>
      </c>
      <c r="D20" s="8" t="str">
        <f t="shared" si="8"/>
        <v>Shawn/Owens</v>
      </c>
      <c r="E20" s="9"/>
      <c r="F20" s="10"/>
      <c r="G20" s="37"/>
      <c r="H20" s="11">
        <f t="shared" si="1"/>
        <v>0</v>
      </c>
      <c r="I20" s="9"/>
      <c r="J20" s="9"/>
      <c r="K20" s="9"/>
      <c r="L20" s="15"/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12">
        <f t="shared" si="2"/>
        <v>0</v>
      </c>
      <c r="Z20" s="12">
        <f t="shared" si="3"/>
        <v>0</v>
      </c>
      <c r="AA20" s="13">
        <f t="shared" si="4"/>
        <v>0</v>
      </c>
      <c r="AB20" s="13">
        <f t="shared" si="5"/>
        <v>0</v>
      </c>
      <c r="AC20" s="14">
        <v>0.13</v>
      </c>
      <c r="AD20" s="15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</row>
    <row r="21" spans="1:65" ht="15.75" customHeight="1">
      <c r="A21" s="36">
        <v>43210</v>
      </c>
      <c r="B21" s="19">
        <v>2004</v>
      </c>
      <c r="C21" s="19">
        <v>2035</v>
      </c>
      <c r="D21" s="20" t="str">
        <f t="shared" si="8"/>
        <v>Jeff</v>
      </c>
      <c r="E21" s="20"/>
      <c r="F21" s="21"/>
      <c r="G21" s="21"/>
      <c r="H21" s="11">
        <f t="shared" si="1"/>
        <v>0</v>
      </c>
      <c r="I21" s="20"/>
      <c r="J21" s="20"/>
      <c r="K21" s="20"/>
      <c r="L21" s="22"/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12">
        <f t="shared" si="2"/>
        <v>0</v>
      </c>
      <c r="Z21" s="12">
        <f t="shared" si="3"/>
        <v>0</v>
      </c>
      <c r="AA21" s="13">
        <f t="shared" si="4"/>
        <v>0</v>
      </c>
      <c r="AB21" s="13">
        <f t="shared" si="5"/>
        <v>0</v>
      </c>
      <c r="AC21" s="14">
        <v>0.22</v>
      </c>
      <c r="AD21" s="22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</row>
    <row r="22" spans="1:65" ht="15.75" customHeight="1">
      <c r="A22" s="38">
        <v>43211</v>
      </c>
      <c r="B22">
        <v>2005</v>
      </c>
      <c r="C22">
        <v>2037</v>
      </c>
      <c r="D22" s="8" t="str">
        <f t="shared" si="8"/>
        <v>Rob</v>
      </c>
      <c r="E22" s="9"/>
      <c r="F22" s="10"/>
      <c r="G22" s="10"/>
      <c r="H22" s="11">
        <f t="shared" si="1"/>
        <v>0</v>
      </c>
      <c r="I22" s="9"/>
      <c r="J22" s="9"/>
      <c r="K22" s="9"/>
      <c r="L22" s="15"/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12">
        <f t="shared" si="2"/>
        <v>0</v>
      </c>
      <c r="Z22" s="12">
        <f t="shared" si="3"/>
        <v>0</v>
      </c>
      <c r="AA22" s="13">
        <f t="shared" si="4"/>
        <v>0</v>
      </c>
      <c r="AB22" s="13">
        <f t="shared" si="5"/>
        <v>0</v>
      </c>
      <c r="AC22" s="14">
        <v>0.32</v>
      </c>
      <c r="AD22" s="15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</row>
    <row r="23" spans="1:65" ht="15.75" customHeight="1">
      <c r="A23" s="38">
        <v>43212</v>
      </c>
      <c r="B23" s="19">
        <v>2006</v>
      </c>
      <c r="C23" s="19">
        <v>2038</v>
      </c>
      <c r="D23" s="20" t="str">
        <f t="shared" si="8"/>
        <v>Fred/Anne</v>
      </c>
      <c r="E23" s="20"/>
      <c r="F23" s="21"/>
      <c r="G23" s="21"/>
      <c r="H23" s="11">
        <f t="shared" si="1"/>
        <v>0</v>
      </c>
      <c r="I23" s="20"/>
      <c r="J23" s="20"/>
      <c r="K23" s="20"/>
      <c r="L23" s="22"/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12">
        <f t="shared" si="2"/>
        <v>0</v>
      </c>
      <c r="Z23" s="12">
        <f t="shared" si="3"/>
        <v>0</v>
      </c>
      <c r="AA23" s="13">
        <f t="shared" si="4"/>
        <v>0</v>
      </c>
      <c r="AB23" s="13">
        <f t="shared" si="5"/>
        <v>0</v>
      </c>
      <c r="AC23" s="14">
        <v>0.44</v>
      </c>
      <c r="AD23" s="22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</row>
    <row r="24" spans="1:65" ht="15.75" customHeight="1">
      <c r="A24" s="38">
        <v>43213</v>
      </c>
      <c r="B24">
        <v>2007</v>
      </c>
      <c r="C24">
        <v>2039</v>
      </c>
      <c r="D24" s="8" t="str">
        <f t="shared" si="8"/>
        <v>Jane</v>
      </c>
      <c r="E24" s="9"/>
      <c r="F24" s="10"/>
      <c r="G24" s="10"/>
      <c r="H24" s="11">
        <f t="shared" si="1"/>
        <v>0</v>
      </c>
      <c r="I24" s="9"/>
      <c r="J24" s="9"/>
      <c r="K24" s="9"/>
      <c r="L24" s="15"/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12">
        <f t="shared" si="2"/>
        <v>0</v>
      </c>
      <c r="Z24" s="12">
        <f t="shared" si="3"/>
        <v>0</v>
      </c>
      <c r="AA24" s="13">
        <f t="shared" si="4"/>
        <v>0</v>
      </c>
      <c r="AB24" s="13">
        <f t="shared" si="5"/>
        <v>0</v>
      </c>
      <c r="AC24" s="14">
        <v>0.55000000000000004</v>
      </c>
      <c r="AD24" s="15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</row>
    <row r="25" spans="1:65" ht="15.75" customHeight="1">
      <c r="A25" s="38">
        <v>43214</v>
      </c>
      <c r="B25" s="19">
        <v>2009</v>
      </c>
      <c r="C25" s="19">
        <v>2041</v>
      </c>
      <c r="D25" s="20" t="str">
        <f>CHOOSE(WEEKDAY(A25),"Fred/Anne", "Jane", "Phil/Tom","Sue/Panos","Shawn/Owens","Jeff", "Rob")</f>
        <v>Phil/Tom</v>
      </c>
      <c r="E25" s="20"/>
      <c r="F25" s="21"/>
      <c r="G25" s="21"/>
      <c r="H25" s="11">
        <f t="shared" si="1"/>
        <v>0</v>
      </c>
      <c r="I25" s="20"/>
      <c r="J25" s="20"/>
      <c r="K25" s="20"/>
      <c r="L25" s="22"/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12">
        <f t="shared" si="2"/>
        <v>0</v>
      </c>
      <c r="Z25" s="12">
        <f t="shared" si="3"/>
        <v>0</v>
      </c>
      <c r="AA25" s="13">
        <f t="shared" si="4"/>
        <v>0</v>
      </c>
      <c r="AB25" s="13">
        <f t="shared" si="5"/>
        <v>0</v>
      </c>
      <c r="AC25" s="14">
        <v>0.66</v>
      </c>
      <c r="AD25" s="22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</row>
    <row r="26" spans="1:65" ht="15.75" customHeight="1">
      <c r="A26" s="39">
        <v>43215</v>
      </c>
      <c r="B26">
        <v>2010</v>
      </c>
      <c r="C26">
        <v>2042</v>
      </c>
      <c r="D26" s="8" t="str">
        <f t="shared" ref="D26:D31" si="9">CHOOSE(WEEKDAY(A26),"Fred/Anne", "Jane", "Phil","Sue/Panos","Shawn/Owens","Jeff", "Rob")</f>
        <v>Sue/Panos</v>
      </c>
      <c r="E26" s="9"/>
      <c r="F26" s="10"/>
      <c r="G26" s="10"/>
      <c r="H26" s="11">
        <f t="shared" si="1"/>
        <v>0</v>
      </c>
      <c r="I26" s="9"/>
      <c r="J26" s="9"/>
      <c r="K26" s="9"/>
      <c r="L26" s="15"/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12">
        <f t="shared" si="2"/>
        <v>0</v>
      </c>
      <c r="Z26" s="12">
        <f t="shared" si="3"/>
        <v>0</v>
      </c>
      <c r="AA26" s="13">
        <f t="shared" si="4"/>
        <v>0</v>
      </c>
      <c r="AB26" s="13">
        <f t="shared" si="5"/>
        <v>0</v>
      </c>
      <c r="AC26" s="14">
        <v>0.76</v>
      </c>
      <c r="AD26" s="40"/>
      <c r="AE26" s="40"/>
      <c r="AF26" s="40"/>
      <c r="AG26" s="40"/>
      <c r="AH26" s="40"/>
      <c r="AI26" s="40"/>
      <c r="AJ26" s="40"/>
      <c r="AK26" s="40"/>
      <c r="AL26" s="40"/>
      <c r="AM26" s="41"/>
      <c r="AN26" s="41"/>
      <c r="AO26" s="41"/>
      <c r="AP26" s="41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</row>
    <row r="27" spans="1:65" ht="15.75" customHeight="1">
      <c r="A27" s="39">
        <v>43216</v>
      </c>
      <c r="B27" s="19">
        <v>2011</v>
      </c>
      <c r="C27" s="19">
        <v>2044</v>
      </c>
      <c r="D27" s="20" t="str">
        <f t="shared" si="9"/>
        <v>Shawn/Owens</v>
      </c>
      <c r="E27" s="20"/>
      <c r="F27" s="21"/>
      <c r="G27" s="21"/>
      <c r="H27" s="11">
        <f t="shared" si="1"/>
        <v>0</v>
      </c>
      <c r="I27" s="20"/>
      <c r="J27" s="20"/>
      <c r="K27" s="20"/>
      <c r="L27" s="22"/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12">
        <f t="shared" si="2"/>
        <v>0</v>
      </c>
      <c r="Z27" s="12">
        <f t="shared" si="3"/>
        <v>0</v>
      </c>
      <c r="AA27" s="13">
        <f t="shared" si="4"/>
        <v>0</v>
      </c>
      <c r="AB27" s="13">
        <f t="shared" si="5"/>
        <v>0</v>
      </c>
      <c r="AC27" s="14">
        <v>0.85</v>
      </c>
      <c r="AD27" s="22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2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</row>
    <row r="28" spans="1:65" ht="15.75" customHeight="1">
      <c r="A28" s="39">
        <v>43217</v>
      </c>
      <c r="B28">
        <v>2013</v>
      </c>
      <c r="C28">
        <v>2045</v>
      </c>
      <c r="D28" s="8" t="str">
        <f t="shared" si="9"/>
        <v>Jeff</v>
      </c>
      <c r="E28" s="9"/>
      <c r="F28" s="10"/>
      <c r="G28" s="10"/>
      <c r="H28" s="11">
        <f t="shared" si="1"/>
        <v>0</v>
      </c>
      <c r="I28" s="9"/>
      <c r="J28" s="9"/>
      <c r="K28" s="9"/>
      <c r="L28" s="15"/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12">
        <f t="shared" si="2"/>
        <v>0</v>
      </c>
      <c r="Z28" s="12">
        <f t="shared" si="3"/>
        <v>0</v>
      </c>
      <c r="AA28" s="13">
        <f t="shared" si="4"/>
        <v>0</v>
      </c>
      <c r="AB28" s="13">
        <f t="shared" si="5"/>
        <v>0</v>
      </c>
      <c r="AC28" s="14">
        <v>0.92</v>
      </c>
      <c r="AD28" s="15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15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</row>
    <row r="29" spans="1:65" ht="15.75" customHeight="1">
      <c r="A29" s="39">
        <v>43218</v>
      </c>
      <c r="B29" s="19">
        <v>2014</v>
      </c>
      <c r="C29" s="19">
        <v>2046</v>
      </c>
      <c r="D29" s="20" t="str">
        <f t="shared" si="9"/>
        <v>Rob</v>
      </c>
      <c r="E29" s="20"/>
      <c r="F29" s="42"/>
      <c r="G29" s="42"/>
      <c r="H29" s="11">
        <f t="shared" si="1"/>
        <v>0</v>
      </c>
      <c r="I29" s="43"/>
      <c r="J29" s="20"/>
      <c r="K29" s="20"/>
      <c r="L29" s="22"/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12">
        <f t="shared" si="2"/>
        <v>0</v>
      </c>
      <c r="Z29" s="12">
        <f t="shared" si="3"/>
        <v>0</v>
      </c>
      <c r="AA29" s="13">
        <f t="shared" si="4"/>
        <v>0</v>
      </c>
      <c r="AB29" s="13">
        <f t="shared" si="5"/>
        <v>0</v>
      </c>
      <c r="AC29" s="14">
        <v>0.97</v>
      </c>
      <c r="AD29" s="22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2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</row>
    <row r="30" spans="1:65" ht="15.75" customHeight="1">
      <c r="A30" s="7">
        <v>43219</v>
      </c>
      <c r="B30">
        <v>2015</v>
      </c>
      <c r="C30">
        <v>2048</v>
      </c>
      <c r="D30" s="8" t="str">
        <f t="shared" si="9"/>
        <v>Fred/Anne</v>
      </c>
      <c r="E30" s="9"/>
      <c r="F30" s="10"/>
      <c r="G30" s="10"/>
      <c r="H30" s="11">
        <f t="shared" si="1"/>
        <v>0</v>
      </c>
      <c r="I30" s="44"/>
      <c r="J30" s="9"/>
      <c r="K30" s="9"/>
      <c r="L30" s="15"/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12">
        <f t="shared" si="2"/>
        <v>0</v>
      </c>
      <c r="Z30" s="12">
        <f t="shared" si="3"/>
        <v>0</v>
      </c>
      <c r="AA30" s="13">
        <f t="shared" si="4"/>
        <v>0</v>
      </c>
      <c r="AB30" s="13">
        <f t="shared" si="5"/>
        <v>0</v>
      </c>
      <c r="AC30" s="14">
        <v>0.99</v>
      </c>
      <c r="AD30" s="15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15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</row>
    <row r="31" spans="1:65" ht="15.75" customHeight="1">
      <c r="A31" s="7">
        <v>43220</v>
      </c>
      <c r="B31" s="19">
        <v>2016</v>
      </c>
      <c r="C31" s="19">
        <v>2049</v>
      </c>
      <c r="D31" s="20" t="str">
        <f t="shared" si="9"/>
        <v>Jane</v>
      </c>
      <c r="E31" s="20"/>
      <c r="F31" s="21"/>
      <c r="G31" s="21"/>
      <c r="H31" s="11">
        <f t="shared" si="1"/>
        <v>0</v>
      </c>
      <c r="I31" s="43"/>
      <c r="J31" s="20"/>
      <c r="K31" s="20"/>
      <c r="L31" s="22"/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12">
        <f t="shared" si="2"/>
        <v>0</v>
      </c>
      <c r="Z31" s="12">
        <f t="shared" si="3"/>
        <v>0</v>
      </c>
      <c r="AA31" s="13">
        <f t="shared" si="4"/>
        <v>0</v>
      </c>
      <c r="AB31" s="13">
        <f t="shared" si="5"/>
        <v>0</v>
      </c>
      <c r="AC31" s="14">
        <v>1</v>
      </c>
      <c r="AD31" s="22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2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</row>
    <row r="32" spans="1:65" ht="15.75" customHeight="1">
      <c r="A32" s="45" t="s">
        <v>49</v>
      </c>
      <c r="B32" s="46" t="s">
        <v>50</v>
      </c>
      <c r="C32" s="46" t="s">
        <v>50</v>
      </c>
      <c r="D32" s="8"/>
      <c r="E32" s="8"/>
      <c r="F32" s="47"/>
      <c r="G32" s="47"/>
      <c r="H32" s="11">
        <f t="shared" si="1"/>
        <v>0</v>
      </c>
      <c r="I32" s="48"/>
      <c r="J32" s="8"/>
      <c r="K32" s="8"/>
      <c r="L32" s="49"/>
      <c r="M32" s="46" t="s">
        <v>50</v>
      </c>
      <c r="N32" s="46" t="s">
        <v>50</v>
      </c>
      <c r="O32" s="46" t="s">
        <v>50</v>
      </c>
      <c r="P32" s="46" t="s">
        <v>50</v>
      </c>
      <c r="Q32" s="46" t="s">
        <v>50</v>
      </c>
      <c r="R32" s="46" t="s">
        <v>50</v>
      </c>
      <c r="S32" s="46" t="s">
        <v>50</v>
      </c>
      <c r="T32" s="46" t="s">
        <v>50</v>
      </c>
      <c r="U32" s="46" t="s">
        <v>50</v>
      </c>
      <c r="V32" s="46" t="s">
        <v>50</v>
      </c>
      <c r="W32" s="46" t="s">
        <v>50</v>
      </c>
      <c r="X32" s="46" t="s">
        <v>50</v>
      </c>
      <c r="Y32" s="12" t="s">
        <v>50</v>
      </c>
      <c r="Z32" s="12" t="s">
        <v>50</v>
      </c>
      <c r="AA32" s="12" t="s">
        <v>50</v>
      </c>
      <c r="AB32" s="12" t="s">
        <v>50</v>
      </c>
      <c r="AC32" s="14" t="s">
        <v>51</v>
      </c>
      <c r="AD32" s="49"/>
      <c r="AE32" s="9"/>
      <c r="AF32" s="9"/>
      <c r="AG32" s="9"/>
      <c r="AH32" s="9"/>
      <c r="AI32" s="9"/>
      <c r="AJ32" s="9"/>
      <c r="AK32" s="8"/>
      <c r="AL32" s="8"/>
      <c r="AM32" s="20"/>
      <c r="AN32" s="20"/>
      <c r="AO32" s="20"/>
      <c r="AP32" s="49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</row>
    <row r="33" spans="1:65" ht="15.75" customHeight="1">
      <c r="A33" s="50"/>
      <c r="B33" s="50"/>
      <c r="C33" s="51"/>
      <c r="D33" s="51"/>
      <c r="E33" s="52" t="s">
        <v>52</v>
      </c>
      <c r="F33" s="51"/>
      <c r="G33" s="51"/>
      <c r="H33" s="53">
        <f>SUM(H3:H32)</f>
        <v>0.4722222222222221</v>
      </c>
      <c r="I33" s="54">
        <f>SUM(I2:I32)</f>
        <v>52</v>
      </c>
      <c r="J33" s="51"/>
      <c r="K33" s="51"/>
      <c r="L33" s="35"/>
      <c r="M33" s="13">
        <f t="shared" ref="M33:X33" si="10">SUM(M2:M32)</f>
        <v>0</v>
      </c>
      <c r="N33" s="13">
        <f t="shared" si="10"/>
        <v>0</v>
      </c>
      <c r="O33" s="13">
        <f t="shared" si="10"/>
        <v>0</v>
      </c>
      <c r="P33" s="12">
        <f t="shared" si="10"/>
        <v>1</v>
      </c>
      <c r="Q33" s="12">
        <f t="shared" si="10"/>
        <v>11</v>
      </c>
      <c r="R33" s="55">
        <f t="shared" si="10"/>
        <v>21</v>
      </c>
      <c r="S33" s="55">
        <f t="shared" si="10"/>
        <v>0</v>
      </c>
      <c r="T33" s="55">
        <f t="shared" si="10"/>
        <v>1</v>
      </c>
      <c r="U33" s="55">
        <f t="shared" si="10"/>
        <v>4</v>
      </c>
      <c r="V33" s="12">
        <f t="shared" si="10"/>
        <v>0</v>
      </c>
      <c r="W33" s="12">
        <f t="shared" si="10"/>
        <v>0</v>
      </c>
      <c r="X33" s="56">
        <f t="shared" si="10"/>
        <v>1</v>
      </c>
      <c r="Y33" s="12">
        <f t="shared" ref="Y33:Z33" si="11">SUM(Y2:Y32)</f>
        <v>1</v>
      </c>
      <c r="Z33" s="12">
        <f t="shared" si="11"/>
        <v>37</v>
      </c>
      <c r="AA33" s="57">
        <f t="shared" ref="AA33:AB33" si="12">SUM(AA2:AA32)</f>
        <v>0</v>
      </c>
      <c r="AB33" s="57">
        <f t="shared" si="12"/>
        <v>36</v>
      </c>
      <c r="AC33" s="15"/>
      <c r="AD33" s="15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15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</row>
    <row r="34" spans="1:65" ht="15.75" customHeight="1">
      <c r="A34" s="17"/>
      <c r="B34" s="51"/>
      <c r="C34" s="51"/>
      <c r="D34" s="51"/>
      <c r="E34" s="58" t="s">
        <v>53</v>
      </c>
      <c r="F34" s="59"/>
      <c r="H34" s="60">
        <f>'November 2017'!H$33+'December 2017'!H$33+'January 2018'!H$33+'February 2018'!H$33+'March 2018'!H$33+'April 2018'!H$33</f>
        <v>5.1930555555555555</v>
      </c>
      <c r="I34" s="61">
        <f>'November 2017'!I$33+'December 2017'!I$33+'January 2018'!I$33+'February 2018'!I$33+'March 2018'!I$33+'April 2018'!I$33</f>
        <v>486.30986111111122</v>
      </c>
      <c r="J34" s="51"/>
      <c r="K34" s="51"/>
      <c r="L34" s="51"/>
      <c r="M34" s="62">
        <f>'November 2017'!M$33+'December 2017'!M$33+'January 2018'!M$33+'February 2018'!M$33+'March 2018'!M$33+'April 2018'!M$33</f>
        <v>135</v>
      </c>
      <c r="N34" s="62">
        <f>'November 2017'!N$33+'December 2017'!N$33+'January 2018'!N$33+'February 2018'!N$33+'March 2018'!N$33+'April 2018'!N$33</f>
        <v>281</v>
      </c>
      <c r="O34" s="62">
        <f>'November 2017'!O$33+'December 2017'!O$33+'January 2018'!O$33+'February 2018'!O$33+'March 2018'!O$33+'April 2018'!O$33</f>
        <v>7</v>
      </c>
      <c r="P34" s="62">
        <f>'November 2017'!P$33+'December 2017'!P$33+'January 2018'!P$33+'February 2018'!P$33+'March 2018'!P$33+'April 2018'!P$33</f>
        <v>10</v>
      </c>
      <c r="Q34" s="62">
        <f>'November 2017'!Q$33+'December 2017'!Q$33+'January 2018'!Q$33+'February 2018'!Q$33+'March 2018'!Q$33+'April 2018'!Q$33</f>
        <v>104</v>
      </c>
      <c r="R34" s="62">
        <f>'November 2017'!R$33+'December 2017'!R$33+'January 2018'!R$33+'February 2018'!R$33+'March 2018'!R$33+'April 2018'!R$33</f>
        <v>165</v>
      </c>
      <c r="S34" s="62">
        <f>'November 2017'!S$33+'December 2017'!S$33+'January 2018'!S$33+'February 2018'!S$33+'March 2018'!S$33+'April 2018'!S$33</f>
        <v>9</v>
      </c>
      <c r="T34" s="62">
        <f>'November 2017'!T$33+'December 2017'!T$33+'January 2018'!T$33+'February 2018'!T$33+'March 2018'!T$33+'April 2018'!T$33</f>
        <v>7</v>
      </c>
      <c r="U34" s="62">
        <f>'November 2017'!U$33+'December 2017'!U$33+'January 2018'!U$33+'February 2018'!U$33+'March 2018'!U$33+'April 2018'!U$33</f>
        <v>12</v>
      </c>
      <c r="V34" s="62">
        <f>'November 2017'!V$33+'December 2017'!V$33+'January 2018'!V$33+'February 2018'!V$33+'March 2018'!V$33+'April 2018'!V$33</f>
        <v>8</v>
      </c>
      <c r="W34" s="62">
        <f>'November 2017'!W$33+'December 2017'!W$33+'January 2018'!W$33+'February 2018'!W$33+'March 2018'!W$33+'April 2018'!W$33</f>
        <v>17</v>
      </c>
      <c r="X34" s="62">
        <f>'November 2017'!X$33+'December 2017'!X$33+'January 2018'!X$33+'February 2018'!X$33+'March 2018'!X$33+'April 2018'!X$33</f>
        <v>14</v>
      </c>
      <c r="Y34" s="62">
        <f>'November 2017'!Y$33+'December 2017'!Y$33+'January 2018'!Y$33+'February 2018'!Y$33+'March 2018'!Y$33+'April 2018'!Y$33</f>
        <v>433</v>
      </c>
      <c r="Z34" s="62">
        <f>'November 2017'!Z$33+'December 2017'!Z$33+'January 2018'!Z$33+'February 2018'!Z$33+'March 2018'!Z$33+'April 2018'!Z$33</f>
        <v>297</v>
      </c>
      <c r="AA34" s="63">
        <f>'November 2017'!AA33+'December 2017'!AA33+'January 2018'!AA33+'February 2018'!AA33+'March 2018'!AA33+'April 2018'!AA33</f>
        <v>416</v>
      </c>
      <c r="AB34" s="63">
        <f>'November 2017'!AB33+'December 2017'!AB33+'January 2018'!AB33+'February 2018'!AB33+'March 2018'!AB33+'April 2018'!AB33</f>
        <v>282</v>
      </c>
      <c r="AC34" s="15"/>
      <c r="AD34" s="15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15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</row>
    <row r="35" spans="1:65" ht="15.75" customHeight="1">
      <c r="A35" s="17"/>
      <c r="B35" s="17"/>
      <c r="C35" s="17"/>
      <c r="D35" s="17"/>
      <c r="E35" s="58" t="s">
        <v>54</v>
      </c>
      <c r="F35" s="59"/>
      <c r="H35" s="60">
        <f>'November 2017'!H$33+'December 2017'!H$33+'January 2018'!H$33+'February 2018'!H$33+'March 2018'!H$33+'April 2018'!H$33</f>
        <v>5.1930555555555555</v>
      </c>
      <c r="I35" s="61">
        <f>'November 2017'!I33+'December 2017'!I33+'January 2018'!I33+'February 2018'!I33+'March 2018'!I33+'April 2018'!I33</f>
        <v>486.30986111111122</v>
      </c>
      <c r="J35" s="51"/>
      <c r="K35" s="51"/>
      <c r="L35" s="51"/>
      <c r="M35" s="62">
        <f>'November 2017'!M33+'December 2017'!M33+'January 2018'!M33+'February 2018'!M33+'March 2018'!M33+'April 2018'!M33</f>
        <v>135</v>
      </c>
      <c r="N35" s="62">
        <f>'November 2017'!N33+'December 2017'!N33+'January 2018'!N33+'February 2018'!N33+'March 2018'!N33+'April 2018'!N33</f>
        <v>281</v>
      </c>
      <c r="O35" s="62">
        <f>'November 2017'!O33+'December 2017'!O33+'January 2018'!O33+'February 2018'!O33+'March 2018'!O33+'April 2018'!O33</f>
        <v>7</v>
      </c>
      <c r="P35" s="62">
        <f>'November 2017'!P33+'December 2017'!P33+'January 2018'!P33+'February 2018'!P33+'March 2018'!P33+'April 2018'!P33</f>
        <v>10</v>
      </c>
      <c r="Q35" s="62">
        <f>'November 2017'!Q33+'December 2017'!Q33+'January 2018'!Q33+'February 2018'!Q33+'March 2018'!Q33+'April 2018'!Q33</f>
        <v>104</v>
      </c>
      <c r="R35" s="62">
        <f>'November 2017'!R33+'December 2017'!R33+'January 2018'!R33+'February 2018'!R33+'March 2018'!R33+'April 2018'!R33</f>
        <v>165</v>
      </c>
      <c r="S35" s="62">
        <f>'November 2017'!S33+'December 2017'!S33+'January 2018'!S33+'February 2018'!S33+'March 2018'!S33+'April 2018'!S33</f>
        <v>9</v>
      </c>
      <c r="T35" s="62">
        <f>'November 2017'!T33+'December 2017'!T33+'January 2018'!T33+'February 2018'!T33+'March 2018'!T33+'April 2018'!T33</f>
        <v>7</v>
      </c>
      <c r="U35" s="62">
        <f>'November 2017'!U33+'December 2017'!U33+'January 2018'!U33+'February 2018'!U33+'March 2018'!U33+'April 2018'!U33</f>
        <v>12</v>
      </c>
      <c r="V35" s="62">
        <f>'November 2017'!V33+'December 2017'!V33+'January 2018'!V33+'February 2018'!V33+'March 2018'!V33+'April 2018'!V33</f>
        <v>8</v>
      </c>
      <c r="W35" s="62">
        <f>'November 2017'!W33+'December 2017'!W33+'January 2018'!W33+'February 2018'!W33+'March 2018'!W33+'April 2018'!W33</f>
        <v>17</v>
      </c>
      <c r="X35" s="62">
        <f>'November 2017'!X33+'December 2017'!X33+'January 2018'!X33+'February 2018'!X33+'March 2018'!X33+'April 2018'!X33</f>
        <v>14</v>
      </c>
      <c r="Y35" s="62">
        <f>'November 2017'!Y33+'December 2017'!Y33+'January 2018'!Y33+'February 2018'!Y33+'March 2018'!Y33+'April 2018'!Y33</f>
        <v>433</v>
      </c>
      <c r="Z35" s="62">
        <f>'November 2017'!Z33+'December 2017'!Z33+'January 2018'!Z33+'February 2018'!Z33+'March 2018'!Z33+'April 2018'!Z33</f>
        <v>297</v>
      </c>
      <c r="AA35" s="62">
        <f>'November 2017'!AA33+'December 2017'!AA33+'January 2018'!AA33+'February 2018'!AA33+'March 2018'!AA33+'April 2018'!AA33</f>
        <v>416</v>
      </c>
      <c r="AB35" s="62">
        <f>'November 2017'!AB33+'December 2017'!AB33+'January 2018'!AB33+'February 2018'!AB33+'March 2018'!AB33+'April 2018'!AB33</f>
        <v>282</v>
      </c>
      <c r="AC35" s="64"/>
      <c r="AD35" s="64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4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</row>
    <row r="36" spans="1:65" ht="15.75" customHeight="1">
      <c r="A36" s="51"/>
      <c r="B36" s="51"/>
      <c r="C36" s="51"/>
      <c r="D36" s="51"/>
      <c r="E36" s="52" t="s">
        <v>55</v>
      </c>
      <c r="F36" s="51"/>
      <c r="G36" s="51"/>
      <c r="H36" s="51"/>
      <c r="I36" s="51"/>
      <c r="J36" s="51"/>
      <c r="K36" s="51"/>
      <c r="L36" s="51"/>
      <c r="M36" s="66"/>
      <c r="N36" s="67"/>
      <c r="O36" s="67"/>
      <c r="P36" s="68"/>
      <c r="Q36" s="68"/>
      <c r="R36" s="68"/>
      <c r="S36" s="68"/>
      <c r="T36" s="69"/>
      <c r="U36" s="70"/>
      <c r="V36" s="69"/>
      <c r="W36" s="69"/>
      <c r="X36" s="71"/>
      <c r="Y36" s="68">
        <v>834</v>
      </c>
      <c r="Z36" s="68">
        <v>751</v>
      </c>
      <c r="AA36" s="68"/>
      <c r="AB36" s="71"/>
      <c r="AC36" s="71"/>
      <c r="AD36" s="71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7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17"/>
      <c r="BL36" s="17"/>
      <c r="BM36" s="17"/>
    </row>
    <row r="37" spans="1:65" ht="15.75" customHeight="1">
      <c r="A37" s="51"/>
      <c r="B37" s="51"/>
      <c r="C37" s="51"/>
      <c r="D37" s="51"/>
      <c r="E37" s="52" t="s">
        <v>56</v>
      </c>
      <c r="F37" s="51"/>
      <c r="G37" s="51"/>
      <c r="H37" s="51"/>
      <c r="I37" s="51"/>
      <c r="J37" s="51"/>
      <c r="K37" s="51"/>
      <c r="L37" s="51"/>
      <c r="M37" s="66"/>
      <c r="N37" s="67"/>
      <c r="O37" s="67"/>
      <c r="P37" s="68"/>
      <c r="Q37" s="68"/>
      <c r="R37" s="68"/>
      <c r="S37" s="68"/>
      <c r="T37" s="69"/>
      <c r="U37" s="70"/>
      <c r="V37" s="69"/>
      <c r="W37" s="69"/>
      <c r="X37" s="71"/>
      <c r="Y37" s="68">
        <v>688</v>
      </c>
      <c r="Z37" s="68">
        <v>1040</v>
      </c>
      <c r="AA37" s="68"/>
      <c r="AB37" s="71"/>
      <c r="AC37" s="71"/>
      <c r="AD37" s="71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7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17"/>
      <c r="BL37" s="17"/>
      <c r="BM37" s="17"/>
    </row>
    <row r="38" spans="1:65" ht="15.75" customHeight="1">
      <c r="A38" s="51"/>
      <c r="B38" s="51"/>
      <c r="C38" s="51"/>
      <c r="D38" s="72"/>
      <c r="E38" s="52" t="s">
        <v>57</v>
      </c>
      <c r="F38" s="51"/>
      <c r="G38" s="51"/>
      <c r="H38" s="51"/>
      <c r="I38" s="51"/>
      <c r="J38" s="51"/>
      <c r="K38" s="51"/>
      <c r="L38" s="72"/>
      <c r="M38" s="73"/>
      <c r="N38" s="74"/>
      <c r="O38" s="74"/>
      <c r="P38" s="75"/>
      <c r="Q38" s="75"/>
      <c r="R38" s="76"/>
      <c r="S38" s="76"/>
      <c r="T38" s="77"/>
      <c r="U38" s="78"/>
      <c r="V38" s="75"/>
      <c r="W38" s="75"/>
      <c r="X38" s="79"/>
      <c r="Y38" s="75">
        <v>695</v>
      </c>
      <c r="Z38" s="75">
        <v>750</v>
      </c>
      <c r="AA38" s="75"/>
      <c r="AB38" s="79"/>
      <c r="AC38" s="79"/>
      <c r="AD38" s="79"/>
      <c r="AE38" s="52"/>
      <c r="AF38" s="52"/>
      <c r="AG38" s="52"/>
      <c r="AH38" s="52"/>
      <c r="AI38" s="52"/>
      <c r="AJ38" s="52"/>
      <c r="AK38" s="75"/>
      <c r="AL38" s="75"/>
      <c r="AM38" s="80"/>
      <c r="AN38" s="80"/>
      <c r="AO38" s="80"/>
      <c r="AP38" s="79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17"/>
      <c r="BL38" s="17"/>
      <c r="BM38" s="17"/>
    </row>
    <row r="39" spans="1:65" ht="15.75" customHeight="1">
      <c r="A39" s="51"/>
      <c r="B39" s="51"/>
      <c r="C39" s="51"/>
      <c r="D39" s="72"/>
      <c r="E39" s="52" t="s">
        <v>58</v>
      </c>
      <c r="F39" s="51"/>
      <c r="G39" s="51"/>
      <c r="H39" s="51"/>
      <c r="I39" s="51"/>
      <c r="J39" s="51"/>
      <c r="K39" s="51"/>
      <c r="L39" s="72"/>
      <c r="M39" s="81">
        <v>135</v>
      </c>
      <c r="N39" s="82">
        <v>281</v>
      </c>
      <c r="O39" s="82">
        <v>7</v>
      </c>
      <c r="P39" s="81">
        <v>10</v>
      </c>
      <c r="Q39" s="81">
        <v>104</v>
      </c>
      <c r="R39" s="81">
        <v>165</v>
      </c>
      <c r="S39" s="81">
        <v>9</v>
      </c>
      <c r="T39" s="75">
        <v>7</v>
      </c>
      <c r="U39" s="78"/>
      <c r="V39" s="75"/>
      <c r="W39" s="75"/>
      <c r="X39" s="79"/>
      <c r="Y39" s="75">
        <v>580</v>
      </c>
      <c r="Z39" s="75">
        <v>572</v>
      </c>
      <c r="AA39" s="75"/>
      <c r="AB39" s="79"/>
      <c r="AC39" s="79"/>
      <c r="AD39" s="79"/>
      <c r="AE39" s="52"/>
      <c r="AF39" s="52"/>
      <c r="AG39" s="52"/>
      <c r="AH39" s="52"/>
      <c r="AI39" s="52"/>
      <c r="AJ39" s="52"/>
      <c r="AK39" s="75"/>
      <c r="AL39" s="75"/>
      <c r="AM39" s="80"/>
      <c r="AN39" s="80"/>
      <c r="AO39" s="80"/>
      <c r="AP39" s="79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17"/>
      <c r="BL39" s="17"/>
      <c r="BM39" s="17"/>
    </row>
    <row r="40" spans="1:65" ht="15.75" customHeight="1">
      <c r="A40" s="17"/>
      <c r="B40" s="51"/>
      <c r="C40" s="51"/>
      <c r="D40" s="72"/>
      <c r="E40" s="17"/>
      <c r="F40" s="17"/>
      <c r="G40" s="17"/>
      <c r="H40" s="17"/>
      <c r="I40" s="17"/>
      <c r="J40" s="17"/>
      <c r="K40" s="51"/>
      <c r="L40" s="72"/>
      <c r="M40" s="83"/>
      <c r="N40" s="84"/>
      <c r="O40" s="84"/>
      <c r="P40" s="8"/>
      <c r="Q40" s="8"/>
      <c r="R40" s="85"/>
      <c r="S40" s="85"/>
      <c r="T40" s="86"/>
      <c r="U40" s="48"/>
      <c r="V40" s="8"/>
      <c r="W40" s="8"/>
      <c r="X40" s="49"/>
      <c r="Y40" s="8"/>
      <c r="Z40" s="8"/>
      <c r="AA40" s="8"/>
      <c r="AB40" s="49"/>
      <c r="AC40" s="49"/>
      <c r="AD40" s="49"/>
      <c r="AE40" s="9"/>
      <c r="AF40" s="9"/>
      <c r="AG40" s="9"/>
      <c r="AH40" s="9"/>
      <c r="AI40" s="9"/>
      <c r="AJ40" s="9"/>
      <c r="AK40" s="8"/>
      <c r="AL40" s="8"/>
      <c r="AM40" s="20"/>
      <c r="AN40" s="20"/>
      <c r="AO40" s="20"/>
      <c r="AP40" s="49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</row>
    <row r="41" spans="1:65" ht="15.75" customHeight="1">
      <c r="A41" s="17"/>
      <c r="B41" s="51"/>
      <c r="C41" s="51"/>
      <c r="D41" s="72"/>
      <c r="E41" s="17"/>
      <c r="F41" s="17"/>
      <c r="G41" s="17"/>
      <c r="H41" s="17"/>
      <c r="I41" s="17"/>
      <c r="J41" s="17"/>
      <c r="K41" s="51"/>
      <c r="L41" s="72"/>
      <c r="M41" s="83"/>
      <c r="N41" s="84"/>
      <c r="O41" s="84"/>
      <c r="P41" s="8"/>
      <c r="Q41" s="8"/>
      <c r="R41" s="85"/>
      <c r="S41" s="85"/>
      <c r="T41" s="86"/>
      <c r="U41" s="48"/>
      <c r="V41" s="8"/>
      <c r="W41" s="8"/>
      <c r="X41" s="49"/>
      <c r="Y41" s="8"/>
      <c r="Z41" s="8"/>
      <c r="AA41" s="8"/>
      <c r="AB41" s="49"/>
      <c r="AC41" s="49"/>
      <c r="AD41" s="49"/>
      <c r="AE41" s="9"/>
      <c r="AF41" s="9"/>
      <c r="AG41" s="9"/>
      <c r="AH41" s="9"/>
      <c r="AI41" s="9"/>
      <c r="AJ41" s="9"/>
      <c r="AK41" s="8"/>
      <c r="AL41" s="8"/>
      <c r="AM41" s="20"/>
      <c r="AN41" s="20"/>
      <c r="AO41" s="20"/>
      <c r="AP41" s="49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</row>
    <row r="42" spans="1:65" ht="15.75" customHeight="1">
      <c r="A42" s="17"/>
      <c r="B42" s="51"/>
      <c r="C42" s="51"/>
      <c r="D42" s="72"/>
      <c r="E42" s="17"/>
      <c r="F42" s="17"/>
      <c r="G42" s="17"/>
      <c r="H42" s="17"/>
      <c r="I42" s="17"/>
      <c r="J42" s="17"/>
      <c r="K42" s="51"/>
      <c r="L42" s="72"/>
      <c r="M42" s="83"/>
      <c r="N42" s="84"/>
      <c r="O42" s="84"/>
      <c r="P42" s="8"/>
      <c r="Q42" s="8"/>
      <c r="R42" s="85"/>
      <c r="S42" s="85"/>
      <c r="T42" s="86"/>
      <c r="U42" s="48"/>
      <c r="V42" s="8"/>
      <c r="W42" s="8"/>
      <c r="X42" s="49"/>
      <c r="Y42" s="8"/>
      <c r="Z42" s="8"/>
      <c r="AA42" s="8"/>
      <c r="AB42" s="49"/>
      <c r="AC42" s="49"/>
      <c r="AD42" s="49"/>
      <c r="AE42" s="9"/>
      <c r="AF42" s="9"/>
      <c r="AG42" s="9"/>
      <c r="AH42" s="9"/>
      <c r="AI42" s="9"/>
      <c r="AJ42" s="9"/>
      <c r="AK42" s="8"/>
      <c r="AL42" s="8"/>
      <c r="AM42" s="20"/>
      <c r="AN42" s="20"/>
      <c r="AO42" s="20"/>
      <c r="AP42" s="49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</row>
    <row r="43" spans="1:65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83"/>
      <c r="N43" s="84"/>
      <c r="O43" s="84"/>
      <c r="P43" s="8"/>
      <c r="Q43" s="8"/>
      <c r="R43" s="85"/>
      <c r="S43" s="85"/>
      <c r="T43" s="8"/>
      <c r="U43" s="48"/>
      <c r="V43" s="8"/>
      <c r="W43" s="8"/>
      <c r="X43" s="49"/>
      <c r="Y43" s="8"/>
      <c r="Z43" s="8"/>
      <c r="AA43" s="8"/>
      <c r="AB43" s="49"/>
      <c r="AC43" s="49"/>
      <c r="AD43" s="49"/>
      <c r="AE43" s="9"/>
      <c r="AF43" s="9"/>
      <c r="AG43" s="9"/>
      <c r="AH43" s="9"/>
      <c r="AI43" s="9"/>
      <c r="AJ43" s="9"/>
      <c r="AK43" s="8"/>
      <c r="AL43" s="8"/>
      <c r="AM43" s="20"/>
      <c r="AN43" s="20"/>
      <c r="AO43" s="20"/>
      <c r="AP43" s="49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</row>
    <row r="44" spans="1:65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83"/>
      <c r="N44" s="84"/>
      <c r="O44" s="84"/>
      <c r="P44" s="8"/>
      <c r="Q44" s="8"/>
      <c r="R44" s="85"/>
      <c r="S44" s="85"/>
      <c r="T44" s="8"/>
      <c r="U44" s="8"/>
      <c r="V44" s="8"/>
      <c r="W44" s="8"/>
      <c r="X44" s="49"/>
      <c r="Y44" s="8"/>
      <c r="Z44" s="8"/>
      <c r="AA44" s="8"/>
      <c r="AB44" s="49"/>
      <c r="AC44" s="49"/>
      <c r="AD44" s="49"/>
      <c r="AE44" s="9"/>
      <c r="AF44" s="9"/>
      <c r="AG44" s="9"/>
      <c r="AH44" s="9"/>
      <c r="AI44" s="9"/>
      <c r="AJ44" s="9"/>
      <c r="AK44" s="8"/>
      <c r="AL44" s="8"/>
      <c r="AM44" s="20"/>
      <c r="AN44" s="20"/>
      <c r="AO44" s="20"/>
      <c r="AP44" s="49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</row>
    <row r="45" spans="1:6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83"/>
      <c r="N45" s="84"/>
      <c r="O45" s="84"/>
      <c r="P45" s="8"/>
      <c r="Q45" s="8"/>
      <c r="R45" s="85"/>
      <c r="T45" s="86"/>
      <c r="U45" s="48"/>
      <c r="V45" s="8"/>
      <c r="W45" s="8"/>
      <c r="X45" s="49"/>
      <c r="Y45" s="8"/>
      <c r="Z45" s="8"/>
      <c r="AA45" s="8"/>
      <c r="AB45" s="49"/>
      <c r="AC45" s="49"/>
      <c r="AD45" s="49"/>
      <c r="AE45" s="9"/>
      <c r="AF45" s="9"/>
      <c r="AG45" s="9"/>
      <c r="AH45" s="9"/>
      <c r="AI45" s="9"/>
      <c r="AJ45" s="9"/>
      <c r="AK45" s="8"/>
      <c r="AL45" s="8"/>
      <c r="AM45" s="20"/>
      <c r="AN45" s="20"/>
      <c r="AO45" s="20"/>
      <c r="AP45" s="49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</row>
    <row r="46" spans="1:65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83"/>
      <c r="N46" s="84"/>
      <c r="O46" s="84"/>
      <c r="P46" s="8"/>
      <c r="Q46" s="8"/>
      <c r="R46" s="85"/>
      <c r="S46" s="85"/>
      <c r="T46" s="8"/>
      <c r="U46" s="48"/>
      <c r="V46" s="8"/>
      <c r="W46" s="8"/>
      <c r="X46" s="49"/>
      <c r="Y46" s="8"/>
      <c r="Z46" s="8"/>
      <c r="AA46" s="8"/>
      <c r="AB46" s="49"/>
      <c r="AC46" s="49"/>
      <c r="AD46" s="49"/>
      <c r="AE46" s="9"/>
      <c r="AF46" s="9"/>
      <c r="AG46" s="9"/>
      <c r="AH46" s="9"/>
      <c r="AI46" s="9"/>
      <c r="AJ46" s="9"/>
      <c r="AK46" s="8"/>
      <c r="AL46" s="8"/>
      <c r="AM46" s="20"/>
      <c r="AN46" s="20"/>
      <c r="AO46" s="20"/>
      <c r="AP46" s="49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</row>
    <row r="47" spans="1:65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83"/>
      <c r="N47" s="84"/>
      <c r="O47" s="84"/>
      <c r="P47" s="8"/>
      <c r="Q47" s="8"/>
      <c r="R47" s="85"/>
      <c r="S47" s="85"/>
      <c r="T47" s="8"/>
      <c r="U47" s="48"/>
      <c r="V47" s="8"/>
      <c r="W47" s="8"/>
      <c r="X47" s="49"/>
      <c r="Y47" s="8"/>
      <c r="Z47" s="8"/>
      <c r="AA47" s="8"/>
      <c r="AB47" s="49"/>
      <c r="AC47" s="49"/>
      <c r="AD47" s="49"/>
      <c r="AE47" s="9"/>
      <c r="AF47" s="9"/>
      <c r="AG47" s="9"/>
      <c r="AH47" s="9"/>
      <c r="AI47" s="9"/>
      <c r="AJ47" s="9"/>
      <c r="AK47" s="8"/>
      <c r="AL47" s="8"/>
      <c r="AM47" s="20"/>
      <c r="AN47" s="20"/>
      <c r="AO47" s="20"/>
      <c r="AP47" s="49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</row>
    <row r="48" spans="1:65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83"/>
      <c r="N48" s="84"/>
      <c r="O48" s="84"/>
      <c r="P48" s="8"/>
      <c r="Q48" s="8"/>
      <c r="R48" s="85"/>
      <c r="S48" s="85"/>
      <c r="T48" s="86"/>
      <c r="U48" s="48"/>
      <c r="V48" s="8"/>
      <c r="W48" s="8"/>
      <c r="X48" s="49"/>
      <c r="Y48" s="8"/>
      <c r="Z48" s="8"/>
      <c r="AA48" s="8"/>
      <c r="AB48" s="49"/>
      <c r="AC48" s="49"/>
      <c r="AD48" s="49"/>
      <c r="AE48" s="9"/>
      <c r="AF48" s="9"/>
      <c r="AG48" s="9"/>
      <c r="AH48" s="9"/>
      <c r="AI48" s="9"/>
      <c r="AJ48" s="9"/>
      <c r="AK48" s="8"/>
      <c r="AL48" s="8"/>
      <c r="AM48" s="20"/>
      <c r="AN48" s="20"/>
      <c r="AO48" s="20"/>
      <c r="AP48" s="49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</row>
    <row r="49" spans="1:65" ht="15.75" customHeight="1">
      <c r="A49" s="17"/>
      <c r="B49" s="17"/>
      <c r="C49" s="17"/>
      <c r="D49" s="17"/>
      <c r="I49" s="17"/>
      <c r="J49" s="17"/>
      <c r="K49" s="17"/>
      <c r="L49" s="17"/>
      <c r="M49" s="83"/>
      <c r="N49" s="84"/>
      <c r="O49" s="84"/>
      <c r="P49" s="8"/>
      <c r="Q49" s="8"/>
      <c r="R49" s="85"/>
      <c r="S49" s="87"/>
      <c r="T49" s="8"/>
      <c r="U49" s="48"/>
      <c r="V49" s="8"/>
      <c r="W49" s="8"/>
      <c r="X49" s="49"/>
      <c r="Y49" s="8"/>
      <c r="Z49" s="8"/>
      <c r="AA49" s="8"/>
      <c r="AB49" s="49"/>
      <c r="AC49" s="49"/>
      <c r="AD49" s="49"/>
      <c r="AE49" s="9"/>
      <c r="AF49" s="9"/>
      <c r="AG49" s="9"/>
      <c r="AH49" s="9"/>
      <c r="AI49" s="9"/>
      <c r="AJ49" s="9"/>
      <c r="AK49" s="8"/>
      <c r="AL49" s="8"/>
      <c r="AM49" s="20"/>
      <c r="AN49" s="20"/>
      <c r="AO49" s="20"/>
      <c r="AP49" s="49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</row>
    <row r="50" spans="1:65" ht="15.75" customHeight="1">
      <c r="A50" s="17"/>
      <c r="B50" s="17"/>
      <c r="C50" s="17"/>
      <c r="D50" s="17"/>
      <c r="I50" s="17"/>
      <c r="J50" s="17"/>
      <c r="K50" s="17"/>
      <c r="L50" s="17"/>
      <c r="M50" s="83"/>
      <c r="N50" s="84"/>
      <c r="O50" s="84"/>
      <c r="P50" s="8"/>
      <c r="Q50" s="8"/>
      <c r="R50" s="85"/>
      <c r="S50" s="85"/>
      <c r="T50" s="86"/>
      <c r="U50" s="48"/>
      <c r="V50" s="8"/>
      <c r="W50" s="8"/>
      <c r="X50" s="49"/>
      <c r="Y50" s="8"/>
      <c r="Z50" s="8"/>
      <c r="AA50" s="8"/>
      <c r="AB50" s="49"/>
      <c r="AC50" s="49"/>
      <c r="AD50" s="49"/>
      <c r="AE50" s="9"/>
      <c r="AF50" s="9"/>
      <c r="AG50" s="9"/>
      <c r="AH50" s="9"/>
      <c r="AI50" s="9"/>
      <c r="AJ50" s="9"/>
      <c r="AK50" s="8"/>
      <c r="AL50" s="8"/>
      <c r="AM50" s="20"/>
      <c r="AN50" s="20"/>
      <c r="AO50" s="20"/>
      <c r="AP50" s="49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</row>
    <row r="51" spans="1:65" ht="15.75" customHeight="1">
      <c r="A51" s="17"/>
      <c r="B51" s="17"/>
      <c r="C51" s="17"/>
      <c r="D51" s="17"/>
      <c r="I51" s="17"/>
      <c r="J51" s="17"/>
      <c r="K51" s="17"/>
      <c r="L51" s="17"/>
      <c r="M51" s="83"/>
      <c r="N51" s="84"/>
      <c r="O51" s="84"/>
      <c r="P51" s="8"/>
      <c r="Q51" s="8"/>
      <c r="R51" s="85"/>
      <c r="S51" s="85"/>
      <c r="T51" s="86"/>
      <c r="U51" s="48"/>
      <c r="V51" s="8"/>
      <c r="W51" s="8"/>
      <c r="X51" s="49"/>
      <c r="Y51" s="8"/>
      <c r="Z51" s="8"/>
      <c r="AA51" s="8"/>
      <c r="AB51" s="49"/>
      <c r="AC51" s="49"/>
      <c r="AD51" s="49"/>
      <c r="AE51" s="9"/>
      <c r="AF51" s="9"/>
      <c r="AG51" s="9"/>
      <c r="AH51" s="9"/>
      <c r="AI51" s="9"/>
      <c r="AJ51" s="9"/>
      <c r="AK51" s="8"/>
      <c r="AL51" s="8"/>
      <c r="AM51" s="20"/>
      <c r="AN51" s="20"/>
      <c r="AO51" s="20"/>
      <c r="AP51" s="88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</row>
    <row r="52" spans="1:65" ht="15.75" customHeight="1">
      <c r="A52" s="17"/>
      <c r="B52" s="17"/>
      <c r="C52" s="17"/>
      <c r="D52" s="17"/>
      <c r="I52" s="17"/>
      <c r="J52" s="17"/>
      <c r="K52" s="17"/>
      <c r="L52" s="17"/>
      <c r="M52" s="83"/>
      <c r="N52" s="84"/>
      <c r="O52" s="84"/>
      <c r="P52" s="8"/>
      <c r="Q52" s="8"/>
      <c r="R52" s="85"/>
      <c r="S52" s="85"/>
      <c r="T52" s="86"/>
      <c r="U52" s="48"/>
      <c r="V52" s="8"/>
      <c r="W52" s="8"/>
      <c r="X52" s="49"/>
      <c r="Y52" s="8"/>
      <c r="Z52" s="8"/>
      <c r="AA52" s="8"/>
      <c r="AB52" s="49"/>
      <c r="AC52" s="49"/>
      <c r="AD52" s="49"/>
      <c r="AE52" s="9"/>
      <c r="AF52" s="9"/>
      <c r="AG52" s="9"/>
      <c r="AH52" s="9"/>
      <c r="AI52" s="9"/>
      <c r="AJ52" s="9"/>
      <c r="AK52" s="8"/>
      <c r="AL52" s="8"/>
      <c r="AM52" s="20"/>
      <c r="AN52" s="20"/>
      <c r="AO52" s="20"/>
      <c r="AP52" s="49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</row>
    <row r="53" spans="1:65" ht="15.75" customHeight="1">
      <c r="A53" s="17"/>
      <c r="B53" s="17"/>
      <c r="C53" s="17"/>
      <c r="D53" s="17"/>
      <c r="I53" s="17"/>
      <c r="J53" s="17"/>
      <c r="K53" s="17"/>
      <c r="L53" s="17"/>
      <c r="M53" s="83"/>
      <c r="N53" s="84"/>
      <c r="O53" s="84"/>
      <c r="P53" s="8"/>
      <c r="Q53" s="8"/>
      <c r="R53" s="85"/>
      <c r="S53" s="85"/>
      <c r="T53" s="86"/>
      <c r="U53" s="48"/>
      <c r="V53" s="8"/>
      <c r="W53" s="8"/>
      <c r="X53" s="49"/>
      <c r="Y53" s="8"/>
      <c r="Z53" s="8"/>
      <c r="AA53" s="8"/>
      <c r="AB53" s="49"/>
      <c r="AC53" s="49"/>
      <c r="AD53" s="49"/>
      <c r="AE53" s="9"/>
      <c r="AF53" s="9"/>
      <c r="AG53" s="9"/>
      <c r="AH53" s="9"/>
      <c r="AI53" s="9"/>
      <c r="AJ53" s="9"/>
      <c r="AK53" s="8"/>
      <c r="AL53" s="8"/>
      <c r="AM53" s="20"/>
      <c r="AN53" s="20"/>
      <c r="AO53" s="20"/>
      <c r="AP53" s="49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</row>
    <row r="54" spans="1:65" ht="13">
      <c r="A54" s="17"/>
      <c r="B54" s="17"/>
      <c r="C54" s="17"/>
      <c r="D54" s="17"/>
      <c r="I54" s="17"/>
      <c r="J54" s="17"/>
      <c r="K54" s="17"/>
      <c r="L54" s="17"/>
      <c r="M54" s="83"/>
      <c r="N54" s="84"/>
      <c r="O54" s="84"/>
      <c r="P54" s="8"/>
      <c r="Q54" s="8"/>
      <c r="T54" s="86"/>
      <c r="U54" s="48"/>
      <c r="V54" s="8"/>
      <c r="W54" s="8"/>
      <c r="X54" s="49"/>
      <c r="Y54" s="8"/>
      <c r="Z54" s="8"/>
      <c r="AA54" s="8"/>
      <c r="AB54" s="49"/>
      <c r="AC54" s="49"/>
      <c r="AD54" s="49"/>
      <c r="AE54" s="9"/>
      <c r="AF54" s="9"/>
      <c r="AG54" s="9"/>
      <c r="AH54" s="9"/>
      <c r="AI54" s="9"/>
      <c r="AJ54" s="9"/>
      <c r="AK54" s="8"/>
      <c r="AL54" s="8"/>
      <c r="AM54" s="20"/>
      <c r="AN54" s="20"/>
      <c r="AO54" s="20"/>
      <c r="AP54" s="88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</row>
    <row r="55" spans="1:65" ht="13">
      <c r="A55" s="17"/>
      <c r="B55" s="17"/>
      <c r="C55" s="17"/>
      <c r="D55" s="17"/>
      <c r="I55" s="17"/>
      <c r="J55" s="17"/>
      <c r="K55" s="17"/>
      <c r="L55" s="17"/>
      <c r="M55" s="83"/>
      <c r="N55" s="84"/>
      <c r="O55" s="84"/>
      <c r="P55" s="8"/>
      <c r="Q55" s="8"/>
      <c r="T55" s="86"/>
      <c r="U55" s="48"/>
      <c r="V55" s="8"/>
      <c r="W55" s="8"/>
      <c r="X55" s="49"/>
      <c r="Y55" s="8"/>
      <c r="Z55" s="8"/>
      <c r="AA55" s="8"/>
      <c r="AB55" s="49"/>
      <c r="AC55" s="49"/>
      <c r="AD55" s="49"/>
      <c r="AE55" s="9"/>
      <c r="AF55" s="9"/>
      <c r="AG55" s="9"/>
      <c r="AH55" s="9"/>
      <c r="AI55" s="9"/>
      <c r="AJ55" s="9"/>
      <c r="AK55" s="8"/>
      <c r="AL55" s="8"/>
      <c r="AM55" s="20"/>
      <c r="AN55" s="20"/>
      <c r="AO55" s="20"/>
      <c r="AP55" s="88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</row>
    <row r="56" spans="1:65" ht="13">
      <c r="A56" s="17"/>
      <c r="B56" s="17"/>
      <c r="C56" s="17"/>
      <c r="D56" s="17"/>
      <c r="I56" s="17"/>
      <c r="J56" s="17"/>
      <c r="K56" s="17"/>
      <c r="L56" s="17"/>
      <c r="M56" s="83"/>
      <c r="N56" s="84"/>
      <c r="O56" s="84"/>
      <c r="P56" s="8"/>
      <c r="Q56" s="8"/>
      <c r="T56" s="86"/>
      <c r="U56" s="48"/>
      <c r="V56" s="8"/>
      <c r="W56" s="8"/>
      <c r="X56" s="88"/>
      <c r="Y56" s="8"/>
      <c r="Z56" s="8"/>
      <c r="AA56" s="8"/>
      <c r="AB56" s="49"/>
      <c r="AC56" s="49"/>
      <c r="AD56" s="49"/>
      <c r="AE56" s="9"/>
      <c r="AF56" s="9"/>
      <c r="AG56" s="9"/>
      <c r="AH56" s="9"/>
      <c r="AI56" s="9"/>
      <c r="AJ56" s="9"/>
      <c r="AK56" s="8"/>
      <c r="AL56" s="8"/>
      <c r="AM56" s="20"/>
      <c r="AN56" s="20"/>
      <c r="AO56" s="20"/>
      <c r="AP56" s="88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</row>
    <row r="57" spans="1:65" ht="13">
      <c r="A57" s="17"/>
      <c r="B57" s="17"/>
      <c r="C57" s="17"/>
      <c r="D57" s="17"/>
      <c r="I57" s="17"/>
      <c r="J57" s="17"/>
      <c r="K57" s="17"/>
      <c r="L57" s="17"/>
      <c r="M57" s="83"/>
      <c r="N57" s="89"/>
      <c r="O57" s="89"/>
      <c r="P57" s="8"/>
      <c r="T57" s="86"/>
      <c r="U57" s="48"/>
      <c r="V57" s="8"/>
      <c r="W57" s="8"/>
      <c r="X57" s="88"/>
      <c r="Y57" s="8"/>
      <c r="Z57" s="8"/>
      <c r="AA57" s="8"/>
      <c r="AB57" s="49"/>
      <c r="AC57" s="49"/>
      <c r="AD57" s="49"/>
      <c r="AE57" s="9"/>
      <c r="AF57" s="9"/>
      <c r="AG57" s="9"/>
      <c r="AH57" s="9"/>
      <c r="AI57" s="9"/>
      <c r="AJ57" s="9"/>
      <c r="AK57" s="8"/>
      <c r="AL57" s="8"/>
      <c r="AM57" s="20"/>
      <c r="AN57" s="20"/>
      <c r="AO57" s="20"/>
      <c r="AP57" s="88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</row>
    <row r="58" spans="1:65" ht="13">
      <c r="A58" s="17"/>
      <c r="B58" s="17"/>
      <c r="C58" s="17"/>
      <c r="D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35"/>
      <c r="Y58" s="17"/>
      <c r="Z58" s="17"/>
      <c r="AA58" s="17"/>
      <c r="AB58" s="35"/>
      <c r="AC58" s="35"/>
      <c r="AD58" s="35"/>
      <c r="AE58" s="17"/>
      <c r="AF58" s="17"/>
      <c r="AG58" s="17"/>
      <c r="AH58" s="17"/>
      <c r="AI58" s="17"/>
      <c r="AJ58" s="17"/>
      <c r="AK58" s="17"/>
      <c r="AL58" s="90"/>
      <c r="AM58" s="17"/>
      <c r="AN58" s="17"/>
      <c r="AO58" s="51"/>
      <c r="AP58" s="35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</row>
    <row r="59" spans="1:65" ht="13">
      <c r="A59" s="17"/>
      <c r="B59" s="17"/>
      <c r="C59" s="17"/>
      <c r="D59" s="17"/>
      <c r="I59" s="17"/>
      <c r="J59" s="17"/>
      <c r="K59" s="17"/>
      <c r="L59" s="17"/>
      <c r="M59" s="50"/>
      <c r="N59" s="50"/>
      <c r="O59" s="51"/>
      <c r="P59" s="51"/>
      <c r="Q59" s="52"/>
      <c r="R59" s="51"/>
      <c r="S59" s="51"/>
      <c r="T59" s="91"/>
      <c r="U59" s="92"/>
      <c r="V59" s="51"/>
      <c r="W59" s="51"/>
      <c r="X59" s="35"/>
      <c r="Y59" s="93"/>
      <c r="Z59" s="93"/>
      <c r="AA59" s="93"/>
      <c r="AB59" s="94"/>
      <c r="AC59" s="94"/>
      <c r="AD59" s="94"/>
      <c r="AE59" s="95"/>
      <c r="AF59" s="95"/>
      <c r="AG59" s="95"/>
      <c r="AH59" s="95"/>
      <c r="AI59" s="95"/>
      <c r="AJ59" s="95"/>
      <c r="AK59" s="93"/>
      <c r="AL59" s="93"/>
      <c r="AM59" s="51"/>
      <c r="AN59" s="51"/>
      <c r="AO59" s="51"/>
      <c r="AP59" s="35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</row>
    <row r="60" spans="1:65" ht="13">
      <c r="A60" s="17"/>
      <c r="B60" s="17"/>
      <c r="C60" s="17"/>
      <c r="D60" s="17"/>
      <c r="I60" s="17"/>
      <c r="J60" s="17"/>
      <c r="K60" s="17"/>
      <c r="L60" s="17"/>
      <c r="M60" s="17"/>
      <c r="N60" s="51"/>
      <c r="O60" s="51"/>
      <c r="P60" s="51"/>
      <c r="Q60" s="52"/>
      <c r="R60" s="51"/>
      <c r="S60" s="51"/>
      <c r="T60" s="51"/>
      <c r="U60" s="92"/>
      <c r="V60" s="51"/>
      <c r="W60" s="51"/>
      <c r="X60" s="17"/>
      <c r="Y60" s="17"/>
      <c r="Z60" s="17"/>
      <c r="AA60" s="51"/>
      <c r="AB60" s="96"/>
      <c r="AC60" s="96"/>
      <c r="AD60" s="96"/>
      <c r="AE60" s="51"/>
      <c r="AF60" s="51"/>
      <c r="AG60" s="51"/>
      <c r="AH60" s="51"/>
      <c r="AI60" s="52"/>
      <c r="AJ60" s="51"/>
      <c r="AK60" s="51"/>
      <c r="AL60" s="90"/>
      <c r="AM60" s="95"/>
      <c r="AN60" s="82"/>
      <c r="AO60" s="95"/>
      <c r="AP60" s="35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</row>
    <row r="61" spans="1:65" ht="13">
      <c r="A61" s="17"/>
      <c r="B61" s="17"/>
      <c r="C61" s="17"/>
      <c r="D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35"/>
      <c r="Y61" s="17"/>
      <c r="Z61" s="17"/>
      <c r="AA61" s="17"/>
      <c r="AB61" s="35"/>
      <c r="AC61" s="35"/>
      <c r="AD61" s="35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</row>
    <row r="62" spans="1:65" ht="13">
      <c r="A62" s="17"/>
      <c r="B62" s="17"/>
      <c r="C62" s="17"/>
      <c r="D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35"/>
      <c r="Y62" s="17"/>
      <c r="Z62" s="17"/>
      <c r="AA62" s="17"/>
      <c r="AB62" s="35"/>
      <c r="AC62" s="35"/>
      <c r="AD62" s="35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</row>
    <row r="63" spans="1:65" ht="13">
      <c r="A63" s="17"/>
      <c r="B63" s="17"/>
      <c r="C63" s="17"/>
      <c r="D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35"/>
      <c r="Y63" s="17"/>
      <c r="Z63" s="17"/>
      <c r="AA63" s="17"/>
      <c r="AB63" s="35"/>
      <c r="AC63" s="35"/>
      <c r="AD63" s="35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</row>
    <row r="64" spans="1:65" ht="13">
      <c r="A64" s="17"/>
      <c r="B64" s="17"/>
      <c r="C64" s="17"/>
      <c r="D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35"/>
      <c r="Y64" s="17"/>
      <c r="Z64" s="17"/>
      <c r="AA64" s="17"/>
      <c r="AB64" s="35"/>
      <c r="AC64" s="35"/>
      <c r="AD64" s="35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</row>
    <row r="65" spans="1:65" ht="13">
      <c r="A65" s="17"/>
      <c r="B65" s="17"/>
      <c r="C65" s="17"/>
      <c r="D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35"/>
      <c r="Y65" s="17"/>
      <c r="Z65" s="17"/>
      <c r="AA65" s="17"/>
      <c r="AB65" s="35"/>
      <c r="AC65" s="35"/>
      <c r="AD65" s="35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</row>
    <row r="66" spans="1:65" ht="13">
      <c r="A66" s="17"/>
      <c r="B66" s="17"/>
      <c r="C66" s="17"/>
      <c r="D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35"/>
      <c r="Y66" s="17"/>
      <c r="Z66" s="17"/>
      <c r="AA66" s="17"/>
      <c r="AB66" s="35"/>
      <c r="AC66" s="35"/>
      <c r="AD66" s="35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</row>
    <row r="67" spans="1:65" ht="13">
      <c r="A67" s="17"/>
      <c r="B67" s="17"/>
      <c r="C67" s="17"/>
      <c r="D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35"/>
      <c r="Y67" s="17"/>
      <c r="Z67" s="17"/>
      <c r="AA67" s="17"/>
      <c r="AB67" s="35"/>
      <c r="AC67" s="35"/>
      <c r="AD67" s="35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</row>
    <row r="68" spans="1:65" ht="13">
      <c r="A68" s="17"/>
      <c r="B68" s="17"/>
      <c r="C68" s="17"/>
      <c r="D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35"/>
      <c r="Y68" s="17"/>
      <c r="Z68" s="17"/>
      <c r="AA68" s="17"/>
      <c r="AB68" s="35"/>
      <c r="AC68" s="35"/>
      <c r="AD68" s="35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</row>
    <row r="69" spans="1:65" ht="13">
      <c r="A69" s="17"/>
      <c r="B69" s="17"/>
      <c r="C69" s="17"/>
      <c r="D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35"/>
      <c r="Y69" s="17"/>
      <c r="Z69" s="17"/>
      <c r="AA69" s="17"/>
      <c r="AB69" s="35"/>
      <c r="AC69" s="35"/>
      <c r="AD69" s="35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</row>
    <row r="70" spans="1:65" ht="13">
      <c r="A70" s="17"/>
      <c r="B70" s="17"/>
      <c r="C70" s="17"/>
      <c r="D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35"/>
      <c r="Y70" s="17"/>
      <c r="Z70" s="17"/>
      <c r="AA70" s="17"/>
      <c r="AB70" s="35"/>
      <c r="AC70" s="35"/>
      <c r="AD70" s="35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</row>
    <row r="71" spans="1:65" ht="13">
      <c r="A71" s="17"/>
      <c r="B71" s="17"/>
      <c r="C71" s="17"/>
      <c r="D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35"/>
      <c r="Y71" s="17"/>
      <c r="Z71" s="17"/>
      <c r="AA71" s="17"/>
      <c r="AB71" s="35"/>
      <c r="AC71" s="35"/>
      <c r="AD71" s="35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</row>
    <row r="72" spans="1:65" ht="13">
      <c r="A72" s="17"/>
      <c r="B72" s="17"/>
      <c r="C72" s="17"/>
      <c r="D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35"/>
      <c r="Y72" s="17"/>
      <c r="Z72" s="17"/>
      <c r="AA72" s="17"/>
      <c r="AB72" s="35"/>
      <c r="AC72" s="35"/>
      <c r="AD72" s="35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</row>
    <row r="73" spans="1:65" ht="13">
      <c r="A73" s="17"/>
      <c r="B73" s="17"/>
      <c r="C73" s="17"/>
      <c r="D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35"/>
      <c r="Y73" s="17"/>
      <c r="Z73" s="17"/>
      <c r="AA73" s="17"/>
      <c r="AB73" s="35"/>
      <c r="AC73" s="35"/>
      <c r="AD73" s="35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</row>
    <row r="74" spans="1:65" ht="13">
      <c r="A74" s="17"/>
      <c r="B74" s="17"/>
      <c r="C74" s="17"/>
      <c r="D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35"/>
      <c r="Y74" s="17"/>
      <c r="Z74" s="17"/>
      <c r="AA74" s="17"/>
      <c r="AB74" s="35"/>
      <c r="AC74" s="35"/>
      <c r="AD74" s="35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</row>
    <row r="75" spans="1:65" ht="13">
      <c r="A75" s="17"/>
      <c r="B75" s="17"/>
      <c r="C75" s="17"/>
      <c r="D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35"/>
      <c r="Y75" s="17"/>
      <c r="Z75" s="17"/>
      <c r="AA75" s="17"/>
      <c r="AB75" s="35"/>
      <c r="AC75" s="35"/>
      <c r="AD75" s="35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</row>
    <row r="76" spans="1:65" ht="13">
      <c r="A76" s="17"/>
      <c r="B76" s="17"/>
      <c r="C76" s="17"/>
      <c r="D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35"/>
      <c r="Y76" s="17"/>
      <c r="Z76" s="17"/>
      <c r="AA76" s="17"/>
      <c r="AB76" s="35"/>
      <c r="AC76" s="35"/>
      <c r="AD76" s="35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</row>
    <row r="77" spans="1:65" ht="13">
      <c r="A77" s="17"/>
      <c r="B77" s="17"/>
      <c r="C77" s="17"/>
      <c r="D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35"/>
      <c r="Y77" s="17"/>
      <c r="Z77" s="17"/>
      <c r="AA77" s="17"/>
      <c r="AB77" s="35"/>
      <c r="AC77" s="35"/>
      <c r="AD77" s="35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</row>
    <row r="78" spans="1:65" ht="13">
      <c r="A78" s="17"/>
      <c r="B78" s="17"/>
      <c r="C78" s="17"/>
      <c r="D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35"/>
      <c r="Y78" s="17"/>
      <c r="Z78" s="17"/>
      <c r="AA78" s="17"/>
      <c r="AB78" s="35"/>
      <c r="AC78" s="35"/>
      <c r="AD78" s="35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</row>
    <row r="79" spans="1:65" ht="13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35"/>
      <c r="Y79" s="17"/>
      <c r="Z79" s="17"/>
      <c r="AA79" s="17"/>
      <c r="AB79" s="35"/>
      <c r="AC79" s="35"/>
      <c r="AD79" s="35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</row>
    <row r="80" spans="1:65" ht="13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35"/>
      <c r="Y80" s="17"/>
      <c r="Z80" s="17"/>
      <c r="AA80" s="17"/>
      <c r="AB80" s="35"/>
      <c r="AC80" s="35"/>
      <c r="AD80" s="35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</row>
    <row r="81" spans="1:65" ht="13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35"/>
      <c r="Y81" s="17"/>
      <c r="Z81" s="17"/>
      <c r="AA81" s="17"/>
      <c r="AB81" s="35"/>
      <c r="AC81" s="35"/>
      <c r="AD81" s="35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</row>
    <row r="82" spans="1:65" ht="13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35"/>
      <c r="Y82" s="17"/>
      <c r="Z82" s="17"/>
      <c r="AA82" s="17"/>
      <c r="AB82" s="35"/>
      <c r="AC82" s="35"/>
      <c r="AD82" s="35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</row>
    <row r="83" spans="1:65" ht="1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35"/>
      <c r="Y83" s="17"/>
      <c r="Z83" s="17"/>
      <c r="AA83" s="17"/>
      <c r="AB83" s="35"/>
      <c r="AC83" s="35"/>
      <c r="AD83" s="35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</row>
    <row r="84" spans="1:65" ht="13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35"/>
      <c r="Y84" s="17"/>
      <c r="Z84" s="17"/>
      <c r="AA84" s="17"/>
      <c r="AB84" s="35"/>
      <c r="AC84" s="35"/>
      <c r="AD84" s="35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</row>
    <row r="85" spans="1:65" ht="13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35"/>
      <c r="Y85" s="17"/>
      <c r="Z85" s="17"/>
      <c r="AA85" s="17"/>
      <c r="AB85" s="35"/>
      <c r="AC85" s="35"/>
      <c r="AD85" s="35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</row>
    <row r="86" spans="1:65" ht="1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35"/>
      <c r="Y86" s="17"/>
      <c r="Z86" s="17"/>
      <c r="AA86" s="17"/>
      <c r="AB86" s="35"/>
      <c r="AC86" s="35"/>
      <c r="AD86" s="35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</row>
    <row r="87" spans="1:65" ht="1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35"/>
      <c r="Y87" s="17"/>
      <c r="Z87" s="17"/>
      <c r="AA87" s="17"/>
      <c r="AB87" s="35"/>
      <c r="AC87" s="35"/>
      <c r="AD87" s="35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</row>
    <row r="88" spans="1:65" ht="13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35"/>
      <c r="Y88" s="17"/>
      <c r="Z88" s="17"/>
      <c r="AA88" s="17"/>
      <c r="AB88" s="35"/>
      <c r="AC88" s="35"/>
      <c r="AD88" s="35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</row>
    <row r="89" spans="1:65" ht="13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35"/>
      <c r="Y89" s="17"/>
      <c r="Z89" s="17"/>
      <c r="AA89" s="17"/>
      <c r="AB89" s="35"/>
      <c r="AC89" s="35"/>
      <c r="AD89" s="35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</row>
    <row r="90" spans="1:65" ht="13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35"/>
      <c r="Y90" s="17"/>
      <c r="Z90" s="17"/>
      <c r="AA90" s="17"/>
      <c r="AB90" s="35"/>
      <c r="AC90" s="35"/>
      <c r="AD90" s="35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</row>
    <row r="91" spans="1:65" ht="13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35"/>
      <c r="Y91" s="17"/>
      <c r="Z91" s="17"/>
      <c r="AA91" s="17"/>
      <c r="AB91" s="35"/>
      <c r="AC91" s="35"/>
      <c r="AD91" s="35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</row>
    <row r="92" spans="1:65" ht="13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35"/>
      <c r="Y92" s="17"/>
      <c r="Z92" s="17"/>
      <c r="AA92" s="17"/>
      <c r="AB92" s="35"/>
      <c r="AC92" s="35"/>
      <c r="AD92" s="35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</row>
    <row r="93" spans="1:65" ht="1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35"/>
      <c r="Y93" s="17"/>
      <c r="Z93" s="17"/>
      <c r="AA93" s="17"/>
      <c r="AB93" s="35"/>
      <c r="AC93" s="35"/>
      <c r="AD93" s="35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</row>
    <row r="94" spans="1:65" ht="13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35"/>
      <c r="Y94" s="17"/>
      <c r="Z94" s="17"/>
      <c r="AA94" s="17"/>
      <c r="AB94" s="35"/>
      <c r="AC94" s="35"/>
      <c r="AD94" s="35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</row>
    <row r="95" spans="1:65" ht="13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35"/>
      <c r="Y95" s="17"/>
      <c r="Z95" s="17"/>
      <c r="AA95" s="17"/>
      <c r="AB95" s="35"/>
      <c r="AC95" s="35"/>
      <c r="AD95" s="35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</row>
    <row r="96" spans="1:65" ht="13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35"/>
      <c r="Y96" s="17"/>
      <c r="Z96" s="17"/>
      <c r="AA96" s="17"/>
      <c r="AB96" s="35"/>
      <c r="AC96" s="35"/>
      <c r="AD96" s="35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</row>
    <row r="97" spans="1:65" ht="13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35"/>
      <c r="Y97" s="17"/>
      <c r="Z97" s="17"/>
      <c r="AA97" s="17"/>
      <c r="AB97" s="35"/>
      <c r="AC97" s="35"/>
      <c r="AD97" s="35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</row>
    <row r="98" spans="1:65" ht="13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35"/>
      <c r="Y98" s="17"/>
      <c r="Z98" s="17"/>
      <c r="AA98" s="17"/>
      <c r="AB98" s="35"/>
      <c r="AC98" s="35"/>
      <c r="AD98" s="35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</row>
    <row r="99" spans="1:65" ht="13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35"/>
      <c r="Y99" s="17"/>
      <c r="Z99" s="17"/>
      <c r="AA99" s="17"/>
      <c r="AB99" s="35"/>
      <c r="AC99" s="35"/>
      <c r="AD99" s="35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</row>
    <row r="100" spans="1:65" ht="13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35"/>
      <c r="Y100" s="17"/>
      <c r="Z100" s="17"/>
      <c r="AA100" s="17"/>
      <c r="AB100" s="35"/>
      <c r="AC100" s="35"/>
      <c r="AD100" s="35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</row>
    <row r="101" spans="1:65" ht="13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35"/>
      <c r="Y101" s="17"/>
      <c r="Z101" s="17"/>
      <c r="AA101" s="17"/>
      <c r="AB101" s="35"/>
      <c r="AC101" s="35"/>
      <c r="AD101" s="35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</row>
    <row r="102" spans="1:65" ht="13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35"/>
      <c r="Y102" s="17"/>
      <c r="Z102" s="17"/>
      <c r="AA102" s="17"/>
      <c r="AB102" s="35"/>
      <c r="AC102" s="35"/>
      <c r="AD102" s="35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</row>
    <row r="103" spans="1:65" ht="1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35"/>
      <c r="Y103" s="17"/>
      <c r="Z103" s="17"/>
      <c r="AA103" s="17"/>
      <c r="AB103" s="35"/>
      <c r="AC103" s="35"/>
      <c r="AD103" s="35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</row>
    <row r="104" spans="1:65" ht="13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35"/>
      <c r="Y104" s="17"/>
      <c r="Z104" s="17"/>
      <c r="AA104" s="17"/>
      <c r="AB104" s="35"/>
      <c r="AC104" s="35"/>
      <c r="AD104" s="35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</row>
    <row r="105" spans="1:65" ht="13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35"/>
      <c r="Y105" s="17"/>
      <c r="Z105" s="17"/>
      <c r="AA105" s="17"/>
      <c r="AB105" s="35"/>
      <c r="AC105" s="35"/>
      <c r="AD105" s="35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</row>
    <row r="106" spans="1:65" ht="13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35"/>
      <c r="Y106" s="17"/>
      <c r="Z106" s="17"/>
      <c r="AA106" s="17"/>
      <c r="AB106" s="35"/>
      <c r="AC106" s="35"/>
      <c r="AD106" s="35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</row>
    <row r="107" spans="1:65" ht="13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35"/>
      <c r="Y107" s="17"/>
      <c r="Z107" s="17"/>
      <c r="AA107" s="17"/>
      <c r="AB107" s="35"/>
      <c r="AC107" s="35"/>
      <c r="AD107" s="35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</row>
    <row r="108" spans="1:65" ht="13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35"/>
      <c r="Y108" s="17"/>
      <c r="Z108" s="17"/>
      <c r="AA108" s="17"/>
      <c r="AB108" s="35"/>
      <c r="AC108" s="35"/>
      <c r="AD108" s="35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</row>
    <row r="109" spans="1:65" ht="13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35"/>
      <c r="Y109" s="17"/>
      <c r="Z109" s="17"/>
      <c r="AA109" s="17"/>
      <c r="AB109" s="35"/>
      <c r="AC109" s="35"/>
      <c r="AD109" s="35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</row>
    <row r="110" spans="1:65" ht="13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35"/>
      <c r="Y110" s="17"/>
      <c r="Z110" s="17"/>
      <c r="AA110" s="17"/>
      <c r="AB110" s="35"/>
      <c r="AC110" s="35"/>
      <c r="AD110" s="35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</row>
    <row r="111" spans="1:65" ht="13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35"/>
      <c r="Y111" s="17"/>
      <c r="Z111" s="17"/>
      <c r="AA111" s="17"/>
      <c r="AB111" s="35"/>
      <c r="AC111" s="35"/>
      <c r="AD111" s="35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</row>
    <row r="112" spans="1:65" ht="13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35"/>
      <c r="Y112" s="17"/>
      <c r="Z112" s="17"/>
      <c r="AA112" s="17"/>
      <c r="AB112" s="35"/>
      <c r="AC112" s="35"/>
      <c r="AD112" s="35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</row>
    <row r="113" spans="1:65" ht="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35"/>
      <c r="Y113" s="17"/>
      <c r="Z113" s="17"/>
      <c r="AA113" s="17"/>
      <c r="AB113" s="35"/>
      <c r="AC113" s="35"/>
      <c r="AD113" s="35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</row>
    <row r="114" spans="1:65" ht="13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35"/>
      <c r="Y114" s="17"/>
      <c r="Z114" s="17"/>
      <c r="AA114" s="17"/>
      <c r="AB114" s="35"/>
      <c r="AC114" s="35"/>
      <c r="AD114" s="35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</row>
    <row r="115" spans="1:65" ht="13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35"/>
      <c r="Y115" s="17"/>
      <c r="Z115" s="17"/>
      <c r="AA115" s="17"/>
      <c r="AB115" s="35"/>
      <c r="AC115" s="35"/>
      <c r="AD115" s="35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</row>
    <row r="116" spans="1:65" ht="13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35"/>
      <c r="Y116" s="17"/>
      <c r="Z116" s="17"/>
      <c r="AA116" s="17"/>
      <c r="AB116" s="35"/>
      <c r="AC116" s="35"/>
      <c r="AD116" s="35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</row>
    <row r="117" spans="1:65" ht="13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35"/>
      <c r="Y117" s="17"/>
      <c r="Z117" s="17"/>
      <c r="AA117" s="17"/>
      <c r="AB117" s="35"/>
      <c r="AC117" s="35"/>
      <c r="AD117" s="35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</row>
    <row r="118" spans="1:65" ht="13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35"/>
      <c r="Y118" s="17"/>
      <c r="Z118" s="17"/>
      <c r="AA118" s="17"/>
      <c r="AB118" s="35"/>
      <c r="AC118" s="35"/>
      <c r="AD118" s="35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</row>
    <row r="119" spans="1:65" ht="13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35"/>
      <c r="Y119" s="17"/>
      <c r="Z119" s="17"/>
      <c r="AA119" s="17"/>
      <c r="AB119" s="35"/>
      <c r="AC119" s="35"/>
      <c r="AD119" s="35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</row>
    <row r="120" spans="1:65" ht="13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35"/>
      <c r="Y120" s="17"/>
      <c r="Z120" s="17"/>
      <c r="AA120" s="17"/>
      <c r="AB120" s="35"/>
      <c r="AC120" s="35"/>
      <c r="AD120" s="35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</row>
    <row r="121" spans="1:65" ht="13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35"/>
      <c r="Y121" s="17"/>
      <c r="Z121" s="17"/>
      <c r="AA121" s="17"/>
      <c r="AB121" s="35"/>
      <c r="AC121" s="35"/>
      <c r="AD121" s="35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</row>
    <row r="122" spans="1:65" ht="13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35"/>
      <c r="Y122" s="17"/>
      <c r="Z122" s="17"/>
      <c r="AA122" s="17"/>
      <c r="AB122" s="35"/>
      <c r="AC122" s="35"/>
      <c r="AD122" s="35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</row>
    <row r="123" spans="1:65" ht="1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35"/>
      <c r="Y123" s="17"/>
      <c r="Z123" s="17"/>
      <c r="AA123" s="17"/>
      <c r="AB123" s="35"/>
      <c r="AC123" s="35"/>
      <c r="AD123" s="35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</row>
    <row r="124" spans="1:65" ht="13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35"/>
      <c r="Y124" s="17"/>
      <c r="Z124" s="17"/>
      <c r="AA124" s="17"/>
      <c r="AB124" s="35"/>
      <c r="AC124" s="35"/>
      <c r="AD124" s="35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</row>
    <row r="125" spans="1:65" ht="13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35"/>
      <c r="Y125" s="17"/>
      <c r="Z125" s="17"/>
      <c r="AA125" s="17"/>
      <c r="AB125" s="35"/>
      <c r="AC125" s="35"/>
      <c r="AD125" s="35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</row>
    <row r="126" spans="1:65" ht="13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35"/>
      <c r="Y126" s="17"/>
      <c r="Z126" s="17"/>
      <c r="AA126" s="17"/>
      <c r="AB126" s="35"/>
      <c r="AC126" s="35"/>
      <c r="AD126" s="35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</row>
    <row r="127" spans="1:65" ht="13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35"/>
      <c r="Y127" s="17"/>
      <c r="Z127" s="17"/>
      <c r="AA127" s="17"/>
      <c r="AB127" s="35"/>
      <c r="AC127" s="35"/>
      <c r="AD127" s="35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</row>
    <row r="128" spans="1:65" ht="13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35"/>
      <c r="Y128" s="17"/>
      <c r="Z128" s="17"/>
      <c r="AA128" s="17"/>
      <c r="AB128" s="35"/>
      <c r="AC128" s="35"/>
      <c r="AD128" s="35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</row>
    <row r="129" spans="1:65" ht="13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35"/>
      <c r="Y129" s="17"/>
      <c r="Z129" s="17"/>
      <c r="AA129" s="17"/>
      <c r="AB129" s="35"/>
      <c r="AC129" s="35"/>
      <c r="AD129" s="35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</row>
    <row r="130" spans="1:65" ht="13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35"/>
      <c r="Y130" s="17"/>
      <c r="Z130" s="17"/>
      <c r="AA130" s="17"/>
      <c r="AB130" s="35"/>
      <c r="AC130" s="35"/>
      <c r="AD130" s="35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</row>
    <row r="131" spans="1:65" ht="13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35"/>
      <c r="Y131" s="17"/>
      <c r="Z131" s="17"/>
      <c r="AA131" s="17"/>
      <c r="AB131" s="35"/>
      <c r="AC131" s="35"/>
      <c r="AD131" s="35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</row>
    <row r="132" spans="1:65" ht="13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35"/>
      <c r="Y132" s="17"/>
      <c r="Z132" s="17"/>
      <c r="AA132" s="17"/>
      <c r="AB132" s="35"/>
      <c r="AC132" s="35"/>
      <c r="AD132" s="35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</row>
    <row r="133" spans="1:65" ht="1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35"/>
      <c r="Y133" s="17"/>
      <c r="Z133" s="17"/>
      <c r="AA133" s="17"/>
      <c r="AB133" s="35"/>
      <c r="AC133" s="35"/>
      <c r="AD133" s="35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</row>
    <row r="134" spans="1:65" ht="13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35"/>
      <c r="Y134" s="17"/>
      <c r="Z134" s="17"/>
      <c r="AA134" s="17"/>
      <c r="AB134" s="35"/>
      <c r="AC134" s="35"/>
      <c r="AD134" s="35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</row>
    <row r="135" spans="1:65" ht="13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35"/>
      <c r="Y135" s="17"/>
      <c r="Z135" s="17"/>
      <c r="AA135" s="17"/>
      <c r="AB135" s="35"/>
      <c r="AC135" s="35"/>
      <c r="AD135" s="35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</row>
    <row r="136" spans="1:65" ht="13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35"/>
      <c r="Y136" s="17"/>
      <c r="Z136" s="17"/>
      <c r="AA136" s="17"/>
      <c r="AB136" s="35"/>
      <c r="AC136" s="35"/>
      <c r="AD136" s="35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</row>
    <row r="137" spans="1:65" ht="13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35"/>
      <c r="Y137" s="17"/>
      <c r="Z137" s="17"/>
      <c r="AA137" s="17"/>
      <c r="AB137" s="35"/>
      <c r="AC137" s="35"/>
      <c r="AD137" s="35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</row>
    <row r="138" spans="1:65" ht="13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35"/>
      <c r="Y138" s="17"/>
      <c r="Z138" s="17"/>
      <c r="AA138" s="17"/>
      <c r="AB138" s="35"/>
      <c r="AC138" s="35"/>
      <c r="AD138" s="35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</row>
    <row r="139" spans="1:65" ht="13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35"/>
      <c r="Y139" s="17"/>
      <c r="Z139" s="17"/>
      <c r="AA139" s="17"/>
      <c r="AB139" s="35"/>
      <c r="AC139" s="35"/>
      <c r="AD139" s="35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</row>
    <row r="140" spans="1:65" ht="13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35"/>
      <c r="Y140" s="17"/>
      <c r="Z140" s="17"/>
      <c r="AA140" s="17"/>
      <c r="AB140" s="35"/>
      <c r="AC140" s="35"/>
      <c r="AD140" s="35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</row>
    <row r="141" spans="1:65" ht="13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35"/>
      <c r="Y141" s="17"/>
      <c r="Z141" s="17"/>
      <c r="AA141" s="17"/>
      <c r="AB141" s="35"/>
      <c r="AC141" s="35"/>
      <c r="AD141" s="35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</row>
    <row r="142" spans="1:65" ht="13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35"/>
      <c r="Y142" s="17"/>
      <c r="Z142" s="17"/>
      <c r="AA142" s="17"/>
      <c r="AB142" s="35"/>
      <c r="AC142" s="35"/>
      <c r="AD142" s="35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</row>
    <row r="143" spans="1:65" ht="1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35"/>
      <c r="Y143" s="17"/>
      <c r="Z143" s="17"/>
      <c r="AA143" s="17"/>
      <c r="AB143" s="35"/>
      <c r="AC143" s="35"/>
      <c r="AD143" s="35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</row>
    <row r="144" spans="1:65" ht="13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35"/>
      <c r="Y144" s="17"/>
      <c r="Z144" s="17"/>
      <c r="AA144" s="17"/>
      <c r="AB144" s="35"/>
      <c r="AC144" s="35"/>
      <c r="AD144" s="35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</row>
    <row r="145" spans="1:65" ht="13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35"/>
      <c r="Y145" s="17"/>
      <c r="Z145" s="17"/>
      <c r="AA145" s="17"/>
      <c r="AB145" s="35"/>
      <c r="AC145" s="35"/>
      <c r="AD145" s="35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</row>
    <row r="146" spans="1:65" ht="13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35"/>
      <c r="Y146" s="17"/>
      <c r="Z146" s="17"/>
      <c r="AA146" s="17"/>
      <c r="AB146" s="35"/>
      <c r="AC146" s="35"/>
      <c r="AD146" s="35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</row>
    <row r="147" spans="1:65" ht="13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35"/>
      <c r="Y147" s="17"/>
      <c r="Z147" s="17"/>
      <c r="AA147" s="17"/>
      <c r="AB147" s="35"/>
      <c r="AC147" s="35"/>
      <c r="AD147" s="35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</row>
    <row r="148" spans="1:65" ht="13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35"/>
      <c r="Y148" s="17"/>
      <c r="Z148" s="17"/>
      <c r="AA148" s="17"/>
      <c r="AB148" s="35"/>
      <c r="AC148" s="35"/>
      <c r="AD148" s="35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</row>
    <row r="149" spans="1:65" ht="13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35"/>
      <c r="Y149" s="17"/>
      <c r="Z149" s="17"/>
      <c r="AA149" s="17"/>
      <c r="AB149" s="35"/>
      <c r="AC149" s="35"/>
      <c r="AD149" s="35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</row>
    <row r="150" spans="1:65" ht="13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35"/>
      <c r="Y150" s="17"/>
      <c r="Z150" s="17"/>
      <c r="AA150" s="17"/>
      <c r="AB150" s="35"/>
      <c r="AC150" s="35"/>
      <c r="AD150" s="35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</row>
    <row r="151" spans="1:65" ht="13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35"/>
      <c r="Y151" s="17"/>
      <c r="Z151" s="17"/>
      <c r="AA151" s="17"/>
      <c r="AB151" s="35"/>
      <c r="AC151" s="35"/>
      <c r="AD151" s="35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</row>
    <row r="152" spans="1:65" ht="13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35"/>
      <c r="Y152" s="17"/>
      <c r="Z152" s="17"/>
      <c r="AA152" s="17"/>
      <c r="AB152" s="35"/>
      <c r="AC152" s="35"/>
      <c r="AD152" s="35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</row>
    <row r="153" spans="1:65" ht="1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35"/>
      <c r="Y153" s="17"/>
      <c r="Z153" s="17"/>
      <c r="AA153" s="17"/>
      <c r="AB153" s="35"/>
      <c r="AC153" s="35"/>
      <c r="AD153" s="35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</row>
    <row r="154" spans="1:65" ht="13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35"/>
      <c r="Y154" s="17"/>
      <c r="Z154" s="17"/>
      <c r="AA154" s="17"/>
      <c r="AB154" s="35"/>
      <c r="AC154" s="35"/>
      <c r="AD154" s="35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</row>
    <row r="155" spans="1:65" ht="13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35"/>
      <c r="Y155" s="17"/>
      <c r="Z155" s="17"/>
      <c r="AA155" s="17"/>
      <c r="AB155" s="35"/>
      <c r="AC155" s="35"/>
      <c r="AD155" s="35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</row>
    <row r="156" spans="1:65" ht="13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35"/>
      <c r="Y156" s="17"/>
      <c r="Z156" s="17"/>
      <c r="AA156" s="17"/>
      <c r="AB156" s="35"/>
      <c r="AC156" s="35"/>
      <c r="AD156" s="35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</row>
    <row r="157" spans="1:65" ht="13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35"/>
      <c r="Y157" s="17"/>
      <c r="Z157" s="17"/>
      <c r="AA157" s="17"/>
      <c r="AB157" s="35"/>
      <c r="AC157" s="35"/>
      <c r="AD157" s="35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</row>
    <row r="158" spans="1:65" ht="13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35"/>
      <c r="Y158" s="17"/>
      <c r="Z158" s="17"/>
      <c r="AA158" s="17"/>
      <c r="AB158" s="35"/>
      <c r="AC158" s="35"/>
      <c r="AD158" s="35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</row>
    <row r="159" spans="1:65" ht="13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35"/>
      <c r="Y159" s="17"/>
      <c r="Z159" s="17"/>
      <c r="AA159" s="17"/>
      <c r="AB159" s="35"/>
      <c r="AC159" s="35"/>
      <c r="AD159" s="35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</row>
    <row r="160" spans="1:65" ht="13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35"/>
      <c r="Y160" s="17"/>
      <c r="Z160" s="17"/>
      <c r="AA160" s="17"/>
      <c r="AB160" s="35"/>
      <c r="AC160" s="35"/>
      <c r="AD160" s="35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</row>
    <row r="161" spans="1:65" ht="13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35"/>
      <c r="Y161" s="17"/>
      <c r="Z161" s="17"/>
      <c r="AA161" s="17"/>
      <c r="AB161" s="35"/>
      <c r="AC161" s="35"/>
      <c r="AD161" s="35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</row>
    <row r="162" spans="1:65" ht="13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35"/>
      <c r="Y162" s="17"/>
      <c r="Z162" s="17"/>
      <c r="AA162" s="17"/>
      <c r="AB162" s="35"/>
      <c r="AC162" s="35"/>
      <c r="AD162" s="35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</row>
    <row r="163" spans="1:65" ht="1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35"/>
      <c r="Y163" s="17"/>
      <c r="Z163" s="17"/>
      <c r="AA163" s="17"/>
      <c r="AB163" s="35"/>
      <c r="AC163" s="35"/>
      <c r="AD163" s="35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</row>
    <row r="164" spans="1:65" ht="13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35"/>
      <c r="Y164" s="17"/>
      <c r="Z164" s="17"/>
      <c r="AA164" s="17"/>
      <c r="AB164" s="35"/>
      <c r="AC164" s="35"/>
      <c r="AD164" s="35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</row>
    <row r="165" spans="1:65" ht="13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35"/>
      <c r="Y165" s="17"/>
      <c r="Z165" s="17"/>
      <c r="AA165" s="17"/>
      <c r="AB165" s="35"/>
      <c r="AC165" s="35"/>
      <c r="AD165" s="35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</row>
    <row r="166" spans="1:65" ht="13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35"/>
      <c r="Y166" s="17"/>
      <c r="Z166" s="17"/>
      <c r="AA166" s="17"/>
      <c r="AB166" s="35"/>
      <c r="AC166" s="35"/>
      <c r="AD166" s="35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</row>
    <row r="167" spans="1:65" ht="13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35"/>
      <c r="Y167" s="17"/>
      <c r="Z167" s="17"/>
      <c r="AA167" s="17"/>
      <c r="AB167" s="35"/>
      <c r="AC167" s="35"/>
      <c r="AD167" s="35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</row>
    <row r="168" spans="1:65" ht="13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35"/>
      <c r="Y168" s="17"/>
      <c r="Z168" s="17"/>
      <c r="AA168" s="17"/>
      <c r="AB168" s="35"/>
      <c r="AC168" s="35"/>
      <c r="AD168" s="35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</row>
    <row r="169" spans="1:65" ht="13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35"/>
      <c r="Y169" s="17"/>
      <c r="Z169" s="17"/>
      <c r="AA169" s="17"/>
      <c r="AB169" s="35"/>
      <c r="AC169" s="35"/>
      <c r="AD169" s="35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</row>
    <row r="170" spans="1:65" ht="13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35"/>
      <c r="Y170" s="17"/>
      <c r="Z170" s="17"/>
      <c r="AA170" s="17"/>
      <c r="AB170" s="35"/>
      <c r="AC170" s="35"/>
      <c r="AD170" s="35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</row>
    <row r="171" spans="1:65" ht="13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35"/>
      <c r="Y171" s="17"/>
      <c r="Z171" s="17"/>
      <c r="AA171" s="17"/>
      <c r="AB171" s="35"/>
      <c r="AC171" s="35"/>
      <c r="AD171" s="35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</row>
    <row r="172" spans="1:65" ht="13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35"/>
      <c r="Y172" s="17"/>
      <c r="Z172" s="17"/>
      <c r="AA172" s="17"/>
      <c r="AB172" s="35"/>
      <c r="AC172" s="35"/>
      <c r="AD172" s="35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</row>
    <row r="173" spans="1:65" ht="1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35"/>
      <c r="Y173" s="17"/>
      <c r="Z173" s="17"/>
      <c r="AA173" s="17"/>
      <c r="AB173" s="35"/>
      <c r="AC173" s="35"/>
      <c r="AD173" s="35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</row>
    <row r="174" spans="1:65" ht="13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35"/>
      <c r="Y174" s="17"/>
      <c r="Z174" s="17"/>
      <c r="AA174" s="17"/>
      <c r="AB174" s="35"/>
      <c r="AC174" s="35"/>
      <c r="AD174" s="35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</row>
    <row r="175" spans="1:65" ht="13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35"/>
      <c r="Y175" s="17"/>
      <c r="Z175" s="17"/>
      <c r="AA175" s="17"/>
      <c r="AB175" s="35"/>
      <c r="AC175" s="35"/>
      <c r="AD175" s="35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</row>
    <row r="176" spans="1:65" ht="13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35"/>
      <c r="Y176" s="17"/>
      <c r="Z176" s="17"/>
      <c r="AA176" s="17"/>
      <c r="AB176" s="35"/>
      <c r="AC176" s="35"/>
      <c r="AD176" s="35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</row>
    <row r="177" spans="1:65" ht="13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35"/>
      <c r="Y177" s="17"/>
      <c r="Z177" s="17"/>
      <c r="AA177" s="17"/>
      <c r="AB177" s="35"/>
      <c r="AC177" s="35"/>
      <c r="AD177" s="35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</row>
    <row r="178" spans="1:65" ht="13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35"/>
      <c r="Y178" s="17"/>
      <c r="Z178" s="17"/>
      <c r="AA178" s="17"/>
      <c r="AB178" s="35"/>
      <c r="AC178" s="35"/>
      <c r="AD178" s="35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</row>
    <row r="179" spans="1:65" ht="13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35"/>
      <c r="Y179" s="17"/>
      <c r="Z179" s="17"/>
      <c r="AA179" s="17"/>
      <c r="AB179" s="35"/>
      <c r="AC179" s="35"/>
      <c r="AD179" s="35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</row>
    <row r="180" spans="1:65" ht="13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35"/>
      <c r="Y180" s="17"/>
      <c r="Z180" s="17"/>
      <c r="AA180" s="17"/>
      <c r="AB180" s="35"/>
      <c r="AC180" s="35"/>
      <c r="AD180" s="35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</row>
    <row r="181" spans="1:65" ht="13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35"/>
      <c r="Y181" s="17"/>
      <c r="Z181" s="17"/>
      <c r="AA181" s="17"/>
      <c r="AB181" s="35"/>
      <c r="AC181" s="35"/>
      <c r="AD181" s="35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</row>
    <row r="182" spans="1:65" ht="13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35"/>
      <c r="Y182" s="17"/>
      <c r="Z182" s="17"/>
      <c r="AA182" s="17"/>
      <c r="AB182" s="35"/>
      <c r="AC182" s="35"/>
      <c r="AD182" s="35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</row>
    <row r="183" spans="1:65" ht="1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35"/>
      <c r="Y183" s="17"/>
      <c r="Z183" s="17"/>
      <c r="AA183" s="17"/>
      <c r="AB183" s="35"/>
      <c r="AC183" s="35"/>
      <c r="AD183" s="35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</row>
    <row r="184" spans="1:65" ht="13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35"/>
      <c r="Y184" s="17"/>
      <c r="Z184" s="17"/>
      <c r="AA184" s="17"/>
      <c r="AB184" s="35"/>
      <c r="AC184" s="35"/>
      <c r="AD184" s="35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</row>
    <row r="185" spans="1:65" ht="13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35"/>
      <c r="Y185" s="17"/>
      <c r="Z185" s="17"/>
      <c r="AA185" s="17"/>
      <c r="AB185" s="35"/>
      <c r="AC185" s="35"/>
      <c r="AD185" s="35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</row>
    <row r="186" spans="1:65" ht="13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35"/>
      <c r="Y186" s="17"/>
      <c r="Z186" s="17"/>
      <c r="AA186" s="17"/>
      <c r="AB186" s="35"/>
      <c r="AC186" s="35"/>
      <c r="AD186" s="35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</row>
    <row r="187" spans="1:65" ht="13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35"/>
      <c r="Y187" s="17"/>
      <c r="Z187" s="17"/>
      <c r="AA187" s="17"/>
      <c r="AB187" s="35"/>
      <c r="AC187" s="35"/>
      <c r="AD187" s="35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</row>
    <row r="188" spans="1:65" ht="13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35"/>
      <c r="Y188" s="17"/>
      <c r="Z188" s="17"/>
      <c r="AA188" s="17"/>
      <c r="AB188" s="35"/>
      <c r="AC188" s="35"/>
      <c r="AD188" s="35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</row>
    <row r="189" spans="1:65" ht="13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35"/>
      <c r="Y189" s="17"/>
      <c r="Z189" s="17"/>
      <c r="AA189" s="17"/>
      <c r="AB189" s="35"/>
      <c r="AC189" s="35"/>
      <c r="AD189" s="35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</row>
    <row r="190" spans="1:65" ht="13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35"/>
      <c r="Y190" s="17"/>
      <c r="Z190" s="17"/>
      <c r="AA190" s="17"/>
      <c r="AB190" s="35"/>
      <c r="AC190" s="35"/>
      <c r="AD190" s="35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</row>
    <row r="191" spans="1:65" ht="13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35"/>
      <c r="Y191" s="17"/>
      <c r="Z191" s="17"/>
      <c r="AA191" s="17"/>
      <c r="AB191" s="35"/>
      <c r="AC191" s="35"/>
      <c r="AD191" s="35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</row>
    <row r="192" spans="1:65" ht="13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35"/>
      <c r="Y192" s="17"/>
      <c r="Z192" s="17"/>
      <c r="AA192" s="17"/>
      <c r="AB192" s="35"/>
      <c r="AC192" s="35"/>
      <c r="AD192" s="35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</row>
    <row r="193" spans="1:65" ht="1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35"/>
      <c r="Y193" s="17"/>
      <c r="Z193" s="17"/>
      <c r="AA193" s="17"/>
      <c r="AB193" s="35"/>
      <c r="AC193" s="35"/>
      <c r="AD193" s="35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</row>
    <row r="194" spans="1:65" ht="13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35"/>
      <c r="Y194" s="17"/>
      <c r="Z194" s="17"/>
      <c r="AA194" s="17"/>
      <c r="AB194" s="35"/>
      <c r="AC194" s="35"/>
      <c r="AD194" s="35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</row>
    <row r="195" spans="1:65" ht="13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35"/>
      <c r="Y195" s="17"/>
      <c r="Z195" s="17"/>
      <c r="AA195" s="17"/>
      <c r="AB195" s="35"/>
      <c r="AC195" s="35"/>
      <c r="AD195" s="35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</row>
    <row r="196" spans="1:65" ht="13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35"/>
      <c r="Y196" s="17"/>
      <c r="Z196" s="17"/>
      <c r="AA196" s="17"/>
      <c r="AB196" s="35"/>
      <c r="AC196" s="35"/>
      <c r="AD196" s="35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</row>
    <row r="197" spans="1:65" ht="13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35"/>
      <c r="Y197" s="17"/>
      <c r="Z197" s="17"/>
      <c r="AA197" s="17"/>
      <c r="AB197" s="35"/>
      <c r="AC197" s="35"/>
      <c r="AD197" s="35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</row>
    <row r="198" spans="1:65" ht="13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35"/>
      <c r="Y198" s="17"/>
      <c r="Z198" s="17"/>
      <c r="AA198" s="17"/>
      <c r="AB198" s="35"/>
      <c r="AC198" s="35"/>
      <c r="AD198" s="35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</row>
    <row r="199" spans="1:65" ht="13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35"/>
      <c r="Y199" s="17"/>
      <c r="Z199" s="17"/>
      <c r="AA199" s="17"/>
      <c r="AB199" s="35"/>
      <c r="AC199" s="35"/>
      <c r="AD199" s="35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</row>
    <row r="200" spans="1:65" ht="13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35"/>
      <c r="Y200" s="17"/>
      <c r="Z200" s="17"/>
      <c r="AA200" s="17"/>
      <c r="AB200" s="35"/>
      <c r="AC200" s="35"/>
      <c r="AD200" s="35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</row>
    <row r="201" spans="1:65" ht="13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35"/>
      <c r="Y201" s="17"/>
      <c r="Z201" s="17"/>
      <c r="AA201" s="17"/>
      <c r="AB201" s="35"/>
      <c r="AC201" s="35"/>
      <c r="AD201" s="35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</row>
    <row r="202" spans="1:65" ht="13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35"/>
      <c r="Y202" s="17"/>
      <c r="Z202" s="17"/>
      <c r="AA202" s="17"/>
      <c r="AB202" s="35"/>
      <c r="AC202" s="35"/>
      <c r="AD202" s="35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</row>
    <row r="203" spans="1:65" ht="1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35"/>
      <c r="Y203" s="17"/>
      <c r="Z203" s="17"/>
      <c r="AA203" s="17"/>
      <c r="AB203" s="35"/>
      <c r="AC203" s="35"/>
      <c r="AD203" s="35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</row>
    <row r="204" spans="1:65" ht="13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35"/>
      <c r="Y204" s="17"/>
      <c r="Z204" s="17"/>
      <c r="AA204" s="17"/>
      <c r="AB204" s="35"/>
      <c r="AC204" s="35"/>
      <c r="AD204" s="35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</row>
    <row r="205" spans="1:65" ht="13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35"/>
      <c r="Y205" s="17"/>
      <c r="Z205" s="17"/>
      <c r="AA205" s="17"/>
      <c r="AB205" s="35"/>
      <c r="AC205" s="35"/>
      <c r="AD205" s="35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</row>
    <row r="206" spans="1:65" ht="13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35"/>
      <c r="Y206" s="17"/>
      <c r="Z206" s="17"/>
      <c r="AA206" s="17"/>
      <c r="AB206" s="35"/>
      <c r="AC206" s="35"/>
      <c r="AD206" s="35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</row>
    <row r="207" spans="1:65" ht="13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35"/>
      <c r="Y207" s="17"/>
      <c r="Z207" s="17"/>
      <c r="AA207" s="17"/>
      <c r="AB207" s="35"/>
      <c r="AC207" s="35"/>
      <c r="AD207" s="35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</row>
    <row r="208" spans="1:65" ht="13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35"/>
      <c r="Y208" s="17"/>
      <c r="Z208" s="17"/>
      <c r="AA208" s="17"/>
      <c r="AB208" s="35"/>
      <c r="AC208" s="35"/>
      <c r="AD208" s="35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</row>
    <row r="209" spans="1:65" ht="13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35"/>
      <c r="Y209" s="17"/>
      <c r="Z209" s="17"/>
      <c r="AA209" s="17"/>
      <c r="AB209" s="35"/>
      <c r="AC209" s="35"/>
      <c r="AD209" s="35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</row>
    <row r="210" spans="1:65" ht="13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35"/>
      <c r="Y210" s="17"/>
      <c r="Z210" s="17"/>
      <c r="AA210" s="17"/>
      <c r="AB210" s="35"/>
      <c r="AC210" s="35"/>
      <c r="AD210" s="35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</row>
    <row r="211" spans="1:65" ht="13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35"/>
      <c r="Y211" s="17"/>
      <c r="Z211" s="17"/>
      <c r="AA211" s="17"/>
      <c r="AB211" s="35"/>
      <c r="AC211" s="35"/>
      <c r="AD211" s="35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</row>
    <row r="212" spans="1:65" ht="13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35"/>
      <c r="Y212" s="17"/>
      <c r="Z212" s="17"/>
      <c r="AA212" s="17"/>
      <c r="AB212" s="35"/>
      <c r="AC212" s="35"/>
      <c r="AD212" s="35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</row>
    <row r="213" spans="1:65" ht="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35"/>
      <c r="Y213" s="17"/>
      <c r="Z213" s="17"/>
      <c r="AA213" s="17"/>
      <c r="AB213" s="35"/>
      <c r="AC213" s="35"/>
      <c r="AD213" s="35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</row>
    <row r="214" spans="1:65" ht="13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35"/>
      <c r="Y214" s="17"/>
      <c r="Z214" s="17"/>
      <c r="AA214" s="17"/>
      <c r="AB214" s="35"/>
      <c r="AC214" s="35"/>
      <c r="AD214" s="35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</row>
    <row r="215" spans="1:65" ht="13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35"/>
      <c r="Y215" s="17"/>
      <c r="Z215" s="17"/>
      <c r="AA215" s="17"/>
      <c r="AB215" s="35"/>
      <c r="AC215" s="35"/>
      <c r="AD215" s="35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</row>
    <row r="216" spans="1:65" ht="13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35"/>
      <c r="Y216" s="17"/>
      <c r="Z216" s="17"/>
      <c r="AA216" s="17"/>
      <c r="AB216" s="35"/>
      <c r="AC216" s="35"/>
      <c r="AD216" s="35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</row>
    <row r="217" spans="1:65" ht="13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35"/>
      <c r="Y217" s="17"/>
      <c r="Z217" s="17"/>
      <c r="AA217" s="17"/>
      <c r="AB217" s="35"/>
      <c r="AC217" s="35"/>
      <c r="AD217" s="35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</row>
    <row r="218" spans="1:65" ht="13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35"/>
      <c r="Y218" s="17"/>
      <c r="Z218" s="17"/>
      <c r="AA218" s="17"/>
      <c r="AB218" s="35"/>
      <c r="AC218" s="35"/>
      <c r="AD218" s="35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</row>
    <row r="219" spans="1:65" ht="13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35"/>
      <c r="Y219" s="17"/>
      <c r="Z219" s="17"/>
      <c r="AA219" s="17"/>
      <c r="AB219" s="35"/>
      <c r="AC219" s="35"/>
      <c r="AD219" s="35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</row>
    <row r="220" spans="1:65" ht="13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35"/>
      <c r="Y220" s="17"/>
      <c r="Z220" s="17"/>
      <c r="AA220" s="17"/>
      <c r="AB220" s="35"/>
      <c r="AC220" s="35"/>
      <c r="AD220" s="35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</row>
    <row r="221" spans="1:65" ht="13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35"/>
      <c r="Y221" s="17"/>
      <c r="Z221" s="17"/>
      <c r="AA221" s="17"/>
      <c r="AB221" s="35"/>
      <c r="AC221" s="35"/>
      <c r="AD221" s="35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</row>
    <row r="222" spans="1:65" ht="13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35"/>
      <c r="Y222" s="17"/>
      <c r="Z222" s="17"/>
      <c r="AA222" s="17"/>
      <c r="AB222" s="35"/>
      <c r="AC222" s="35"/>
      <c r="AD222" s="35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</row>
    <row r="223" spans="1:65" ht="1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35"/>
      <c r="Y223" s="17"/>
      <c r="Z223" s="17"/>
      <c r="AA223" s="17"/>
      <c r="AB223" s="35"/>
      <c r="AC223" s="35"/>
      <c r="AD223" s="35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</row>
    <row r="224" spans="1:65" ht="13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35"/>
      <c r="Y224" s="17"/>
      <c r="Z224" s="17"/>
      <c r="AA224" s="17"/>
      <c r="AB224" s="35"/>
      <c r="AC224" s="35"/>
      <c r="AD224" s="35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</row>
    <row r="225" spans="1:65" ht="13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35"/>
      <c r="Y225" s="17"/>
      <c r="Z225" s="17"/>
      <c r="AA225" s="17"/>
      <c r="AB225" s="35"/>
      <c r="AC225" s="35"/>
      <c r="AD225" s="35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</row>
    <row r="226" spans="1:65" ht="13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35"/>
      <c r="Y226" s="17"/>
      <c r="Z226" s="17"/>
      <c r="AA226" s="17"/>
      <c r="AB226" s="35"/>
      <c r="AC226" s="35"/>
      <c r="AD226" s="35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</row>
    <row r="227" spans="1:65" ht="13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35"/>
      <c r="Y227" s="17"/>
      <c r="Z227" s="17"/>
      <c r="AA227" s="17"/>
      <c r="AB227" s="35"/>
      <c r="AC227" s="35"/>
      <c r="AD227" s="35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</row>
    <row r="228" spans="1:65" ht="13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35"/>
      <c r="Y228" s="17"/>
      <c r="Z228" s="17"/>
      <c r="AA228" s="17"/>
      <c r="AB228" s="35"/>
      <c r="AC228" s="35"/>
      <c r="AD228" s="35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</row>
    <row r="229" spans="1:65" ht="13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35"/>
      <c r="Y229" s="17"/>
      <c r="Z229" s="17"/>
      <c r="AA229" s="17"/>
      <c r="AB229" s="35"/>
      <c r="AC229" s="35"/>
      <c r="AD229" s="35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</row>
    <row r="230" spans="1:65" ht="13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35"/>
      <c r="Y230" s="17"/>
      <c r="Z230" s="17"/>
      <c r="AA230" s="17"/>
      <c r="AB230" s="35"/>
      <c r="AC230" s="35"/>
      <c r="AD230" s="35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</row>
    <row r="231" spans="1:65" ht="13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35"/>
      <c r="Y231" s="17"/>
      <c r="Z231" s="17"/>
      <c r="AA231" s="17"/>
      <c r="AB231" s="35"/>
      <c r="AC231" s="35"/>
      <c r="AD231" s="35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</row>
    <row r="232" spans="1:65" ht="13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35"/>
      <c r="Y232" s="17"/>
      <c r="Z232" s="17"/>
      <c r="AA232" s="17"/>
      <c r="AB232" s="35"/>
      <c r="AC232" s="35"/>
      <c r="AD232" s="35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</row>
    <row r="233" spans="1:65" ht="1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35"/>
      <c r="Y233" s="17"/>
      <c r="Z233" s="17"/>
      <c r="AA233" s="17"/>
      <c r="AB233" s="35"/>
      <c r="AC233" s="35"/>
      <c r="AD233" s="35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</row>
    <row r="234" spans="1:65" ht="13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35"/>
      <c r="Y234" s="17"/>
      <c r="Z234" s="17"/>
      <c r="AA234" s="17"/>
      <c r="AB234" s="35"/>
      <c r="AC234" s="35"/>
      <c r="AD234" s="35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</row>
    <row r="235" spans="1:65" ht="13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35"/>
      <c r="Y235" s="17"/>
      <c r="Z235" s="17"/>
      <c r="AA235" s="17"/>
      <c r="AB235" s="35"/>
      <c r="AC235" s="35"/>
      <c r="AD235" s="35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</row>
    <row r="236" spans="1:65" ht="13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35"/>
      <c r="Y236" s="17"/>
      <c r="Z236" s="17"/>
      <c r="AA236" s="17"/>
      <c r="AB236" s="35"/>
      <c r="AC236" s="35"/>
      <c r="AD236" s="35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</row>
    <row r="237" spans="1:65" ht="13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35"/>
      <c r="Y237" s="17"/>
      <c r="Z237" s="17"/>
      <c r="AA237" s="17"/>
      <c r="AB237" s="35"/>
      <c r="AC237" s="35"/>
      <c r="AD237" s="35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</row>
    <row r="238" spans="1:65" ht="13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35"/>
      <c r="Y238" s="17"/>
      <c r="Z238" s="17"/>
      <c r="AA238" s="17"/>
      <c r="AB238" s="35"/>
      <c r="AC238" s="35"/>
      <c r="AD238" s="35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</row>
    <row r="239" spans="1:65" ht="13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35"/>
      <c r="Y239" s="17"/>
      <c r="Z239" s="17"/>
      <c r="AA239" s="17"/>
      <c r="AB239" s="35"/>
      <c r="AC239" s="35"/>
      <c r="AD239" s="35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</row>
    <row r="240" spans="1:65" ht="13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35"/>
      <c r="Y240" s="17"/>
      <c r="Z240" s="17"/>
      <c r="AA240" s="17"/>
      <c r="AB240" s="35"/>
      <c r="AC240" s="35"/>
      <c r="AD240" s="35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</row>
    <row r="241" spans="1:65" ht="13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35"/>
      <c r="Y241" s="17"/>
      <c r="Z241" s="17"/>
      <c r="AA241" s="17"/>
      <c r="AB241" s="35"/>
      <c r="AC241" s="35"/>
      <c r="AD241" s="35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</row>
    <row r="242" spans="1:65" ht="13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35"/>
      <c r="Y242" s="17"/>
      <c r="Z242" s="17"/>
      <c r="AA242" s="17"/>
      <c r="AB242" s="35"/>
      <c r="AC242" s="35"/>
      <c r="AD242" s="35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</row>
    <row r="243" spans="1:65" ht="1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35"/>
      <c r="Y243" s="17"/>
      <c r="Z243" s="17"/>
      <c r="AA243" s="17"/>
      <c r="AB243" s="35"/>
      <c r="AC243" s="35"/>
      <c r="AD243" s="35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</row>
    <row r="244" spans="1:65" ht="13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35"/>
      <c r="Y244" s="17"/>
      <c r="Z244" s="17"/>
      <c r="AA244" s="17"/>
      <c r="AB244" s="35"/>
      <c r="AC244" s="35"/>
      <c r="AD244" s="35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</row>
    <row r="245" spans="1:65" ht="13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35"/>
      <c r="Y245" s="17"/>
      <c r="Z245" s="17"/>
      <c r="AA245" s="17"/>
      <c r="AB245" s="35"/>
      <c r="AC245" s="35"/>
      <c r="AD245" s="35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</row>
    <row r="246" spans="1:65" ht="13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35"/>
      <c r="Y246" s="17"/>
      <c r="Z246" s="17"/>
      <c r="AA246" s="17"/>
      <c r="AB246" s="35"/>
      <c r="AC246" s="35"/>
      <c r="AD246" s="35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</row>
    <row r="247" spans="1:65" ht="13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35"/>
      <c r="Y247" s="17"/>
      <c r="Z247" s="17"/>
      <c r="AA247" s="17"/>
      <c r="AB247" s="35"/>
      <c r="AC247" s="35"/>
      <c r="AD247" s="35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</row>
    <row r="248" spans="1:65" ht="13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35"/>
      <c r="Y248" s="17"/>
      <c r="Z248" s="17"/>
      <c r="AA248" s="17"/>
      <c r="AB248" s="35"/>
      <c r="AC248" s="35"/>
      <c r="AD248" s="35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</row>
    <row r="249" spans="1:65" ht="13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35"/>
      <c r="Y249" s="17"/>
      <c r="Z249" s="17"/>
      <c r="AA249" s="17"/>
      <c r="AB249" s="35"/>
      <c r="AC249" s="35"/>
      <c r="AD249" s="35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</row>
    <row r="250" spans="1:65" ht="13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35"/>
      <c r="Y250" s="17"/>
      <c r="Z250" s="17"/>
      <c r="AA250" s="17"/>
      <c r="AB250" s="35"/>
      <c r="AC250" s="35"/>
      <c r="AD250" s="35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</row>
    <row r="251" spans="1:65" ht="13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35"/>
      <c r="Y251" s="17"/>
      <c r="Z251" s="17"/>
      <c r="AA251" s="17"/>
      <c r="AB251" s="35"/>
      <c r="AC251" s="35"/>
      <c r="AD251" s="35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</row>
    <row r="252" spans="1:65" ht="13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35"/>
      <c r="Y252" s="17"/>
      <c r="Z252" s="17"/>
      <c r="AA252" s="17"/>
      <c r="AB252" s="35"/>
      <c r="AC252" s="35"/>
      <c r="AD252" s="35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</row>
    <row r="253" spans="1:65" ht="1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35"/>
      <c r="Y253" s="17"/>
      <c r="Z253" s="17"/>
      <c r="AA253" s="17"/>
      <c r="AB253" s="35"/>
      <c r="AC253" s="35"/>
      <c r="AD253" s="35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</row>
    <row r="254" spans="1:65" ht="13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35"/>
      <c r="Y254" s="17"/>
      <c r="Z254" s="17"/>
      <c r="AA254" s="17"/>
      <c r="AB254" s="35"/>
      <c r="AC254" s="35"/>
      <c r="AD254" s="35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</row>
    <row r="255" spans="1:65" ht="13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35"/>
      <c r="Y255" s="17"/>
      <c r="Z255" s="17"/>
      <c r="AA255" s="17"/>
      <c r="AB255" s="35"/>
      <c r="AC255" s="35"/>
      <c r="AD255" s="35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</row>
    <row r="256" spans="1:65" ht="13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35"/>
      <c r="Y256" s="17"/>
      <c r="Z256" s="17"/>
      <c r="AA256" s="17"/>
      <c r="AB256" s="35"/>
      <c r="AC256" s="35"/>
      <c r="AD256" s="35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</row>
    <row r="257" spans="1:65" ht="13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35"/>
      <c r="Y257" s="17"/>
      <c r="Z257" s="17"/>
      <c r="AA257" s="17"/>
      <c r="AB257" s="35"/>
      <c r="AC257" s="35"/>
      <c r="AD257" s="35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</row>
    <row r="258" spans="1:65" ht="13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35"/>
      <c r="Y258" s="17"/>
      <c r="Z258" s="17"/>
      <c r="AA258" s="17"/>
      <c r="AB258" s="35"/>
      <c r="AC258" s="35"/>
      <c r="AD258" s="35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</row>
    <row r="259" spans="1:65" ht="1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35"/>
      <c r="Y259" s="17"/>
      <c r="Z259" s="17"/>
      <c r="AA259" s="17"/>
      <c r="AB259" s="35"/>
      <c r="AC259" s="35"/>
      <c r="AD259" s="35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</row>
    <row r="260" spans="1:65" ht="13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35"/>
      <c r="Y260" s="17"/>
      <c r="Z260" s="17"/>
      <c r="AA260" s="17"/>
      <c r="AB260" s="35"/>
      <c r="AC260" s="35"/>
      <c r="AD260" s="35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</row>
    <row r="261" spans="1:65" ht="13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35"/>
      <c r="Y261" s="17"/>
      <c r="Z261" s="17"/>
      <c r="AA261" s="17"/>
      <c r="AB261" s="35"/>
      <c r="AC261" s="35"/>
      <c r="AD261" s="35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</row>
    <row r="262" spans="1:65" ht="13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35"/>
      <c r="Y262" s="17"/>
      <c r="Z262" s="17"/>
      <c r="AA262" s="17"/>
      <c r="AB262" s="35"/>
      <c r="AC262" s="35"/>
      <c r="AD262" s="35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</row>
    <row r="263" spans="1:65" ht="1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35"/>
      <c r="Y263" s="17"/>
      <c r="Z263" s="17"/>
      <c r="AA263" s="17"/>
      <c r="AB263" s="35"/>
      <c r="AC263" s="35"/>
      <c r="AD263" s="35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</row>
    <row r="264" spans="1:65" ht="13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35"/>
      <c r="Y264" s="17"/>
      <c r="Z264" s="17"/>
      <c r="AA264" s="17"/>
      <c r="AB264" s="35"/>
      <c r="AC264" s="35"/>
      <c r="AD264" s="35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</row>
    <row r="265" spans="1:65" ht="13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35"/>
      <c r="Y265" s="17"/>
      <c r="Z265" s="17"/>
      <c r="AA265" s="17"/>
      <c r="AB265" s="35"/>
      <c r="AC265" s="35"/>
      <c r="AD265" s="35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</row>
    <row r="266" spans="1:65" ht="13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35"/>
      <c r="Y266" s="17"/>
      <c r="Z266" s="17"/>
      <c r="AA266" s="17"/>
      <c r="AB266" s="35"/>
      <c r="AC266" s="35"/>
      <c r="AD266" s="35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</row>
    <row r="267" spans="1:65" ht="13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35"/>
      <c r="Y267" s="17"/>
      <c r="Z267" s="17"/>
      <c r="AA267" s="17"/>
      <c r="AB267" s="35"/>
      <c r="AC267" s="35"/>
      <c r="AD267" s="35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</row>
    <row r="268" spans="1:65" ht="13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35"/>
      <c r="Y268" s="17"/>
      <c r="Z268" s="17"/>
      <c r="AA268" s="17"/>
      <c r="AB268" s="35"/>
      <c r="AC268" s="35"/>
      <c r="AD268" s="35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</row>
    <row r="269" spans="1:65" ht="13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35"/>
      <c r="Y269" s="17"/>
      <c r="Z269" s="17"/>
      <c r="AA269" s="17"/>
      <c r="AB269" s="35"/>
      <c r="AC269" s="35"/>
      <c r="AD269" s="35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</row>
    <row r="270" spans="1:65" ht="13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35"/>
      <c r="Y270" s="17"/>
      <c r="Z270" s="17"/>
      <c r="AA270" s="17"/>
      <c r="AB270" s="35"/>
      <c r="AC270" s="35"/>
      <c r="AD270" s="35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</row>
    <row r="271" spans="1:65" ht="13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35"/>
      <c r="Y271" s="17"/>
      <c r="Z271" s="17"/>
      <c r="AA271" s="17"/>
      <c r="AB271" s="35"/>
      <c r="AC271" s="35"/>
      <c r="AD271" s="35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</row>
    <row r="272" spans="1:65" ht="13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35"/>
      <c r="Y272" s="17"/>
      <c r="Z272" s="17"/>
      <c r="AA272" s="17"/>
      <c r="AB272" s="35"/>
      <c r="AC272" s="35"/>
      <c r="AD272" s="35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</row>
    <row r="273" spans="1:65" ht="1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35"/>
      <c r="Y273" s="17"/>
      <c r="Z273" s="17"/>
      <c r="AA273" s="17"/>
      <c r="AB273" s="35"/>
      <c r="AC273" s="35"/>
      <c r="AD273" s="35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</row>
    <row r="274" spans="1:65" ht="13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35"/>
      <c r="Y274" s="17"/>
      <c r="Z274" s="17"/>
      <c r="AA274" s="17"/>
      <c r="AB274" s="35"/>
      <c r="AC274" s="35"/>
      <c r="AD274" s="35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</row>
    <row r="275" spans="1:65" ht="13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35"/>
      <c r="Y275" s="17"/>
      <c r="Z275" s="17"/>
      <c r="AA275" s="17"/>
      <c r="AB275" s="35"/>
      <c r="AC275" s="35"/>
      <c r="AD275" s="35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</row>
    <row r="276" spans="1:65" ht="13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35"/>
      <c r="Y276" s="17"/>
      <c r="Z276" s="17"/>
      <c r="AA276" s="17"/>
      <c r="AB276" s="35"/>
      <c r="AC276" s="35"/>
      <c r="AD276" s="35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</row>
    <row r="277" spans="1:65" ht="13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35"/>
      <c r="Y277" s="17"/>
      <c r="Z277" s="17"/>
      <c r="AA277" s="17"/>
      <c r="AB277" s="35"/>
      <c r="AC277" s="35"/>
      <c r="AD277" s="35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</row>
    <row r="278" spans="1:65" ht="13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35"/>
      <c r="Y278" s="17"/>
      <c r="Z278" s="17"/>
      <c r="AA278" s="17"/>
      <c r="AB278" s="35"/>
      <c r="AC278" s="35"/>
      <c r="AD278" s="35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</row>
    <row r="279" spans="1:65" ht="13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35"/>
      <c r="Y279" s="17"/>
      <c r="Z279" s="17"/>
      <c r="AA279" s="17"/>
      <c r="AB279" s="35"/>
      <c r="AC279" s="35"/>
      <c r="AD279" s="35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</row>
    <row r="280" spans="1:65" ht="13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35"/>
      <c r="Y280" s="17"/>
      <c r="Z280" s="17"/>
      <c r="AA280" s="17"/>
      <c r="AB280" s="35"/>
      <c r="AC280" s="35"/>
      <c r="AD280" s="35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</row>
    <row r="281" spans="1:65" ht="13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35"/>
      <c r="Y281" s="17"/>
      <c r="Z281" s="17"/>
      <c r="AA281" s="17"/>
      <c r="AB281" s="35"/>
      <c r="AC281" s="35"/>
      <c r="AD281" s="35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</row>
    <row r="282" spans="1:65" ht="13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35"/>
      <c r="Y282" s="17"/>
      <c r="Z282" s="17"/>
      <c r="AA282" s="17"/>
      <c r="AB282" s="35"/>
      <c r="AC282" s="35"/>
      <c r="AD282" s="35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</row>
    <row r="283" spans="1:65" ht="1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35"/>
      <c r="Y283" s="17"/>
      <c r="Z283" s="17"/>
      <c r="AA283" s="17"/>
      <c r="AB283" s="35"/>
      <c r="AC283" s="35"/>
      <c r="AD283" s="35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</row>
    <row r="284" spans="1:65" ht="13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35"/>
      <c r="Y284" s="17"/>
      <c r="Z284" s="17"/>
      <c r="AA284" s="17"/>
      <c r="AB284" s="35"/>
      <c r="AC284" s="35"/>
      <c r="AD284" s="35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</row>
    <row r="285" spans="1:65" ht="13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35"/>
      <c r="Y285" s="17"/>
      <c r="Z285" s="17"/>
      <c r="AA285" s="17"/>
      <c r="AB285" s="35"/>
      <c r="AC285" s="35"/>
      <c r="AD285" s="35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</row>
    <row r="286" spans="1:65" ht="13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35"/>
      <c r="Y286" s="17"/>
      <c r="Z286" s="17"/>
      <c r="AA286" s="17"/>
      <c r="AB286" s="35"/>
      <c r="AC286" s="35"/>
      <c r="AD286" s="35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</row>
    <row r="287" spans="1:65" ht="13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35"/>
      <c r="Y287" s="17"/>
      <c r="Z287" s="17"/>
      <c r="AA287" s="17"/>
      <c r="AB287" s="35"/>
      <c r="AC287" s="35"/>
      <c r="AD287" s="35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</row>
    <row r="288" spans="1:65" ht="13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35"/>
      <c r="Y288" s="17"/>
      <c r="Z288" s="17"/>
      <c r="AA288" s="17"/>
      <c r="AB288" s="35"/>
      <c r="AC288" s="35"/>
      <c r="AD288" s="35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</row>
    <row r="289" spans="1:65" ht="13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35"/>
      <c r="Y289" s="17"/>
      <c r="Z289" s="17"/>
      <c r="AA289" s="17"/>
      <c r="AB289" s="35"/>
      <c r="AC289" s="35"/>
      <c r="AD289" s="35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</row>
    <row r="290" spans="1:65" ht="13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35"/>
      <c r="Y290" s="17"/>
      <c r="Z290" s="17"/>
      <c r="AA290" s="17"/>
      <c r="AB290" s="35"/>
      <c r="AC290" s="35"/>
      <c r="AD290" s="35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</row>
    <row r="291" spans="1:65" ht="1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35"/>
      <c r="Y291" s="17"/>
      <c r="Z291" s="17"/>
      <c r="AA291" s="17"/>
      <c r="AB291" s="35"/>
      <c r="AC291" s="35"/>
      <c r="AD291" s="35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</row>
    <row r="292" spans="1:65" ht="13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35"/>
      <c r="Y292" s="17"/>
      <c r="Z292" s="17"/>
      <c r="AA292" s="17"/>
      <c r="AB292" s="35"/>
      <c r="AC292" s="35"/>
      <c r="AD292" s="35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</row>
    <row r="293" spans="1:65" ht="1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35"/>
      <c r="Y293" s="17"/>
      <c r="Z293" s="17"/>
      <c r="AA293" s="17"/>
      <c r="AB293" s="35"/>
      <c r="AC293" s="35"/>
      <c r="AD293" s="35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</row>
    <row r="294" spans="1:65" ht="13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35"/>
      <c r="Y294" s="17"/>
      <c r="Z294" s="17"/>
      <c r="AA294" s="17"/>
      <c r="AB294" s="35"/>
      <c r="AC294" s="35"/>
      <c r="AD294" s="35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</row>
    <row r="295" spans="1:65" ht="1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35"/>
      <c r="Y295" s="17"/>
      <c r="Z295" s="17"/>
      <c r="AA295" s="17"/>
      <c r="AB295" s="35"/>
      <c r="AC295" s="35"/>
      <c r="AD295" s="35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</row>
    <row r="296" spans="1:65" ht="13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35"/>
      <c r="Y296" s="17"/>
      <c r="Z296" s="17"/>
      <c r="AA296" s="17"/>
      <c r="AB296" s="35"/>
      <c r="AC296" s="35"/>
      <c r="AD296" s="35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</row>
    <row r="297" spans="1:65" ht="1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35"/>
      <c r="Y297" s="17"/>
      <c r="Z297" s="17"/>
      <c r="AA297" s="17"/>
      <c r="AB297" s="35"/>
      <c r="AC297" s="35"/>
      <c r="AD297" s="35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</row>
    <row r="298" spans="1:65" ht="13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35"/>
      <c r="Y298" s="17"/>
      <c r="Z298" s="17"/>
      <c r="AA298" s="17"/>
      <c r="AB298" s="35"/>
      <c r="AC298" s="35"/>
      <c r="AD298" s="35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</row>
    <row r="299" spans="1:65" ht="1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35"/>
      <c r="Y299" s="17"/>
      <c r="Z299" s="17"/>
      <c r="AA299" s="17"/>
      <c r="AB299" s="35"/>
      <c r="AC299" s="35"/>
      <c r="AD299" s="35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</row>
    <row r="300" spans="1:65" ht="13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35"/>
      <c r="Y300" s="17"/>
      <c r="Z300" s="17"/>
      <c r="AA300" s="17"/>
      <c r="AB300" s="35"/>
      <c r="AC300" s="35"/>
      <c r="AD300" s="35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</row>
    <row r="301" spans="1:65" ht="1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35"/>
      <c r="Y301" s="17"/>
      <c r="Z301" s="17"/>
      <c r="AA301" s="17"/>
      <c r="AB301" s="35"/>
      <c r="AC301" s="35"/>
      <c r="AD301" s="35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</row>
    <row r="302" spans="1:65" ht="13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35"/>
      <c r="Y302" s="17"/>
      <c r="Z302" s="17"/>
      <c r="AA302" s="17"/>
      <c r="AB302" s="35"/>
      <c r="AC302" s="35"/>
      <c r="AD302" s="35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</row>
    <row r="303" spans="1:65" ht="1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35"/>
      <c r="Y303" s="17"/>
      <c r="Z303" s="17"/>
      <c r="AA303" s="17"/>
      <c r="AB303" s="35"/>
      <c r="AC303" s="35"/>
      <c r="AD303" s="35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</row>
    <row r="304" spans="1:65" ht="13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35"/>
      <c r="Y304" s="17"/>
      <c r="Z304" s="17"/>
      <c r="AA304" s="17"/>
      <c r="AB304" s="35"/>
      <c r="AC304" s="35"/>
      <c r="AD304" s="35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</row>
    <row r="305" spans="1:65" ht="1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35"/>
      <c r="Y305" s="17"/>
      <c r="Z305" s="17"/>
      <c r="AA305" s="17"/>
      <c r="AB305" s="35"/>
      <c r="AC305" s="35"/>
      <c r="AD305" s="35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</row>
    <row r="306" spans="1:65" ht="13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35"/>
      <c r="Y306" s="17"/>
      <c r="Z306" s="17"/>
      <c r="AA306" s="17"/>
      <c r="AB306" s="35"/>
      <c r="AC306" s="35"/>
      <c r="AD306" s="35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</row>
    <row r="307" spans="1:65" ht="1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35"/>
      <c r="Y307" s="17"/>
      <c r="Z307" s="17"/>
      <c r="AA307" s="17"/>
      <c r="AB307" s="35"/>
      <c r="AC307" s="35"/>
      <c r="AD307" s="35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</row>
    <row r="308" spans="1:65" ht="13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35"/>
      <c r="Y308" s="17"/>
      <c r="Z308" s="17"/>
      <c r="AA308" s="17"/>
      <c r="AB308" s="35"/>
      <c r="AC308" s="35"/>
      <c r="AD308" s="35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</row>
    <row r="309" spans="1:65" ht="1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35"/>
      <c r="Y309" s="17"/>
      <c r="Z309" s="17"/>
      <c r="AA309" s="17"/>
      <c r="AB309" s="35"/>
      <c r="AC309" s="35"/>
      <c r="AD309" s="35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</row>
    <row r="310" spans="1:65" ht="13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35"/>
      <c r="Y310" s="17"/>
      <c r="Z310" s="17"/>
      <c r="AA310" s="17"/>
      <c r="AB310" s="35"/>
      <c r="AC310" s="35"/>
      <c r="AD310" s="35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</row>
    <row r="311" spans="1:65" ht="1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35"/>
      <c r="Y311" s="17"/>
      <c r="Z311" s="17"/>
      <c r="AA311" s="17"/>
      <c r="AB311" s="35"/>
      <c r="AC311" s="35"/>
      <c r="AD311" s="35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</row>
    <row r="312" spans="1:65" ht="13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35"/>
      <c r="Y312" s="17"/>
      <c r="Z312" s="17"/>
      <c r="AA312" s="17"/>
      <c r="AB312" s="35"/>
      <c r="AC312" s="35"/>
      <c r="AD312" s="35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</row>
    <row r="313" spans="1:65" ht="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35"/>
      <c r="Y313" s="17"/>
      <c r="Z313" s="17"/>
      <c r="AA313" s="17"/>
      <c r="AB313" s="35"/>
      <c r="AC313" s="35"/>
      <c r="AD313" s="35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</row>
    <row r="314" spans="1:65" ht="13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35"/>
      <c r="Y314" s="17"/>
      <c r="Z314" s="17"/>
      <c r="AA314" s="17"/>
      <c r="AB314" s="35"/>
      <c r="AC314" s="35"/>
      <c r="AD314" s="35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</row>
    <row r="315" spans="1:65" ht="1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35"/>
      <c r="Y315" s="17"/>
      <c r="Z315" s="17"/>
      <c r="AA315" s="17"/>
      <c r="AB315" s="35"/>
      <c r="AC315" s="35"/>
      <c r="AD315" s="35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</row>
    <row r="316" spans="1:65" ht="13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35"/>
      <c r="Y316" s="17"/>
      <c r="Z316" s="17"/>
      <c r="AA316" s="17"/>
      <c r="AB316" s="35"/>
      <c r="AC316" s="35"/>
      <c r="AD316" s="35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</row>
    <row r="317" spans="1:65" ht="1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35"/>
      <c r="Y317" s="17"/>
      <c r="Z317" s="17"/>
      <c r="AA317" s="17"/>
      <c r="AB317" s="35"/>
      <c r="AC317" s="35"/>
      <c r="AD317" s="35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</row>
    <row r="318" spans="1:65" ht="13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35"/>
      <c r="Y318" s="17"/>
      <c r="Z318" s="17"/>
      <c r="AA318" s="17"/>
      <c r="AB318" s="35"/>
      <c r="AC318" s="35"/>
      <c r="AD318" s="35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</row>
    <row r="319" spans="1:65" ht="1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35"/>
      <c r="Y319" s="17"/>
      <c r="Z319" s="17"/>
      <c r="AA319" s="17"/>
      <c r="AB319" s="35"/>
      <c r="AC319" s="35"/>
      <c r="AD319" s="35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</row>
    <row r="320" spans="1:65" ht="13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35"/>
      <c r="Y320" s="17"/>
      <c r="Z320" s="17"/>
      <c r="AA320" s="17"/>
      <c r="AB320" s="35"/>
      <c r="AC320" s="35"/>
      <c r="AD320" s="35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</row>
    <row r="321" spans="1:65" ht="1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35"/>
      <c r="Y321" s="17"/>
      <c r="Z321" s="17"/>
      <c r="AA321" s="17"/>
      <c r="AB321" s="35"/>
      <c r="AC321" s="35"/>
      <c r="AD321" s="35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</row>
    <row r="322" spans="1:65" ht="13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35"/>
      <c r="Y322" s="17"/>
      <c r="Z322" s="17"/>
      <c r="AA322" s="17"/>
      <c r="AB322" s="35"/>
      <c r="AC322" s="35"/>
      <c r="AD322" s="35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</row>
    <row r="323" spans="1:65" ht="1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35"/>
      <c r="Y323" s="17"/>
      <c r="Z323" s="17"/>
      <c r="AA323" s="17"/>
      <c r="AB323" s="35"/>
      <c r="AC323" s="35"/>
      <c r="AD323" s="35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</row>
    <row r="324" spans="1:65" ht="13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35"/>
      <c r="Y324" s="17"/>
      <c r="Z324" s="17"/>
      <c r="AA324" s="17"/>
      <c r="AB324" s="35"/>
      <c r="AC324" s="35"/>
      <c r="AD324" s="35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</row>
    <row r="325" spans="1:65" ht="1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35"/>
      <c r="Y325" s="17"/>
      <c r="Z325" s="17"/>
      <c r="AA325" s="17"/>
      <c r="AB325" s="35"/>
      <c r="AC325" s="35"/>
      <c r="AD325" s="35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</row>
    <row r="326" spans="1:65" ht="13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35"/>
      <c r="Y326" s="17"/>
      <c r="Z326" s="17"/>
      <c r="AA326" s="17"/>
      <c r="AB326" s="35"/>
      <c r="AC326" s="35"/>
      <c r="AD326" s="35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</row>
    <row r="327" spans="1:65" ht="1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35"/>
      <c r="Y327" s="17"/>
      <c r="Z327" s="17"/>
      <c r="AA327" s="17"/>
      <c r="AB327" s="35"/>
      <c r="AC327" s="35"/>
      <c r="AD327" s="35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</row>
    <row r="328" spans="1:65" ht="13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35"/>
      <c r="Y328" s="17"/>
      <c r="Z328" s="17"/>
      <c r="AA328" s="17"/>
      <c r="AB328" s="35"/>
      <c r="AC328" s="35"/>
      <c r="AD328" s="35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</row>
    <row r="329" spans="1:65" ht="1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35"/>
      <c r="Y329" s="17"/>
      <c r="Z329" s="17"/>
      <c r="AA329" s="17"/>
      <c r="AB329" s="35"/>
      <c r="AC329" s="35"/>
      <c r="AD329" s="35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</row>
    <row r="330" spans="1:65" ht="13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35"/>
      <c r="Y330" s="17"/>
      <c r="Z330" s="17"/>
      <c r="AA330" s="17"/>
      <c r="AB330" s="35"/>
      <c r="AC330" s="35"/>
      <c r="AD330" s="35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</row>
    <row r="331" spans="1:65" ht="1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35"/>
      <c r="Y331" s="17"/>
      <c r="Z331" s="17"/>
      <c r="AA331" s="17"/>
      <c r="AB331" s="35"/>
      <c r="AC331" s="35"/>
      <c r="AD331" s="35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</row>
    <row r="332" spans="1:65" ht="13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35"/>
      <c r="Y332" s="17"/>
      <c r="Z332" s="17"/>
      <c r="AA332" s="17"/>
      <c r="AB332" s="35"/>
      <c r="AC332" s="35"/>
      <c r="AD332" s="35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</row>
    <row r="333" spans="1:65" ht="1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35"/>
      <c r="Y333" s="17"/>
      <c r="Z333" s="17"/>
      <c r="AA333" s="17"/>
      <c r="AB333" s="35"/>
      <c r="AC333" s="35"/>
      <c r="AD333" s="35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</row>
    <row r="334" spans="1:65" ht="13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35"/>
      <c r="Y334" s="17"/>
      <c r="Z334" s="17"/>
      <c r="AA334" s="17"/>
      <c r="AB334" s="35"/>
      <c r="AC334" s="35"/>
      <c r="AD334" s="35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</row>
    <row r="335" spans="1:65" ht="1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35"/>
      <c r="Y335" s="17"/>
      <c r="Z335" s="17"/>
      <c r="AA335" s="17"/>
      <c r="AB335" s="35"/>
      <c r="AC335" s="35"/>
      <c r="AD335" s="35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</row>
    <row r="336" spans="1:65" ht="13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35"/>
      <c r="Y336" s="17"/>
      <c r="Z336" s="17"/>
      <c r="AA336" s="17"/>
      <c r="AB336" s="35"/>
      <c r="AC336" s="35"/>
      <c r="AD336" s="35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</row>
    <row r="337" spans="1:65" ht="1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35"/>
      <c r="Y337" s="17"/>
      <c r="Z337" s="17"/>
      <c r="AA337" s="17"/>
      <c r="AB337" s="35"/>
      <c r="AC337" s="35"/>
      <c r="AD337" s="35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</row>
    <row r="338" spans="1:65" ht="13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35"/>
      <c r="Y338" s="17"/>
      <c r="Z338" s="17"/>
      <c r="AA338" s="17"/>
      <c r="AB338" s="35"/>
      <c r="AC338" s="35"/>
      <c r="AD338" s="35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</row>
    <row r="339" spans="1:65" ht="1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35"/>
      <c r="Y339" s="17"/>
      <c r="Z339" s="17"/>
      <c r="AA339" s="17"/>
      <c r="AB339" s="35"/>
      <c r="AC339" s="35"/>
      <c r="AD339" s="35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</row>
    <row r="340" spans="1:65" ht="13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35"/>
      <c r="Y340" s="17"/>
      <c r="Z340" s="17"/>
      <c r="AA340" s="17"/>
      <c r="AB340" s="35"/>
      <c r="AC340" s="35"/>
      <c r="AD340" s="35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</row>
    <row r="341" spans="1:65" ht="1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35"/>
      <c r="Y341" s="17"/>
      <c r="Z341" s="17"/>
      <c r="AA341" s="17"/>
      <c r="AB341" s="35"/>
      <c r="AC341" s="35"/>
      <c r="AD341" s="35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</row>
    <row r="342" spans="1:65" ht="13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35"/>
      <c r="Y342" s="17"/>
      <c r="Z342" s="17"/>
      <c r="AA342" s="17"/>
      <c r="AB342" s="35"/>
      <c r="AC342" s="35"/>
      <c r="AD342" s="35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</row>
    <row r="343" spans="1:65" ht="1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35"/>
      <c r="Y343" s="17"/>
      <c r="Z343" s="17"/>
      <c r="AA343" s="17"/>
      <c r="AB343" s="35"/>
      <c r="AC343" s="35"/>
      <c r="AD343" s="35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</row>
    <row r="344" spans="1:65" ht="13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35"/>
      <c r="Y344" s="17"/>
      <c r="Z344" s="17"/>
      <c r="AA344" s="17"/>
      <c r="AB344" s="35"/>
      <c r="AC344" s="35"/>
      <c r="AD344" s="35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</row>
    <row r="345" spans="1:65" ht="1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35"/>
      <c r="Y345" s="17"/>
      <c r="Z345" s="17"/>
      <c r="AA345" s="17"/>
      <c r="AB345" s="35"/>
      <c r="AC345" s="35"/>
      <c r="AD345" s="35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</row>
    <row r="346" spans="1:65" ht="13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35"/>
      <c r="Y346" s="17"/>
      <c r="Z346" s="17"/>
      <c r="AA346" s="17"/>
      <c r="AB346" s="35"/>
      <c r="AC346" s="35"/>
      <c r="AD346" s="35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</row>
    <row r="347" spans="1:65" ht="1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35"/>
      <c r="Y347" s="17"/>
      <c r="Z347" s="17"/>
      <c r="AA347" s="17"/>
      <c r="AB347" s="35"/>
      <c r="AC347" s="35"/>
      <c r="AD347" s="35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</row>
    <row r="348" spans="1:65" ht="13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35"/>
      <c r="Y348" s="17"/>
      <c r="Z348" s="17"/>
      <c r="AA348" s="17"/>
      <c r="AB348" s="35"/>
      <c r="AC348" s="35"/>
      <c r="AD348" s="35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</row>
    <row r="349" spans="1:65" ht="1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35"/>
      <c r="Y349" s="17"/>
      <c r="Z349" s="17"/>
      <c r="AA349" s="17"/>
      <c r="AB349" s="35"/>
      <c r="AC349" s="35"/>
      <c r="AD349" s="35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</row>
    <row r="350" spans="1:65" ht="13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35"/>
      <c r="Y350" s="17"/>
      <c r="Z350" s="17"/>
      <c r="AA350" s="17"/>
      <c r="AB350" s="35"/>
      <c r="AC350" s="35"/>
      <c r="AD350" s="35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</row>
    <row r="351" spans="1:65" ht="13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35"/>
      <c r="Y351" s="17"/>
      <c r="Z351" s="17"/>
      <c r="AA351" s="17"/>
      <c r="AB351" s="35"/>
      <c r="AC351" s="35"/>
      <c r="AD351" s="35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</row>
    <row r="352" spans="1:65" ht="13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35"/>
      <c r="Y352" s="17"/>
      <c r="Z352" s="17"/>
      <c r="AA352" s="17"/>
      <c r="AB352" s="35"/>
      <c r="AC352" s="35"/>
      <c r="AD352" s="35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</row>
    <row r="353" spans="1:65" ht="1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35"/>
      <c r="Y353" s="17"/>
      <c r="Z353" s="17"/>
      <c r="AA353" s="17"/>
      <c r="AB353" s="35"/>
      <c r="AC353" s="35"/>
      <c r="AD353" s="35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</row>
    <row r="354" spans="1:65" ht="13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35"/>
      <c r="Y354" s="17"/>
      <c r="Z354" s="17"/>
      <c r="AA354" s="17"/>
      <c r="AB354" s="35"/>
      <c r="AC354" s="35"/>
      <c r="AD354" s="35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</row>
    <row r="355" spans="1:65" ht="13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35"/>
      <c r="Y355" s="17"/>
      <c r="Z355" s="17"/>
      <c r="AA355" s="17"/>
      <c r="AB355" s="35"/>
      <c r="AC355" s="35"/>
      <c r="AD355" s="35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</row>
    <row r="356" spans="1:65" ht="13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35"/>
      <c r="Y356" s="17"/>
      <c r="Z356" s="17"/>
      <c r="AA356" s="17"/>
      <c r="AB356" s="35"/>
      <c r="AC356" s="35"/>
      <c r="AD356" s="35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</row>
    <row r="357" spans="1:65" ht="13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35"/>
      <c r="Y357" s="17"/>
      <c r="Z357" s="17"/>
      <c r="AA357" s="17"/>
      <c r="AB357" s="35"/>
      <c r="AC357" s="35"/>
      <c r="AD357" s="35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</row>
    <row r="358" spans="1:65" ht="13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35"/>
      <c r="Y358" s="17"/>
      <c r="Z358" s="17"/>
      <c r="AA358" s="17"/>
      <c r="AB358" s="35"/>
      <c r="AC358" s="35"/>
      <c r="AD358" s="35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</row>
    <row r="359" spans="1:65" ht="13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35"/>
      <c r="Y359" s="17"/>
      <c r="Z359" s="17"/>
      <c r="AA359" s="17"/>
      <c r="AB359" s="35"/>
      <c r="AC359" s="35"/>
      <c r="AD359" s="35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</row>
    <row r="360" spans="1:65" ht="13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35"/>
      <c r="Y360" s="17"/>
      <c r="Z360" s="17"/>
      <c r="AA360" s="17"/>
      <c r="AB360" s="35"/>
      <c r="AC360" s="35"/>
      <c r="AD360" s="35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</row>
    <row r="361" spans="1:65" ht="13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35"/>
      <c r="Y361" s="17"/>
      <c r="Z361" s="17"/>
      <c r="AA361" s="17"/>
      <c r="AB361" s="35"/>
      <c r="AC361" s="35"/>
      <c r="AD361" s="35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</row>
    <row r="362" spans="1:65" ht="13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35"/>
      <c r="Y362" s="17"/>
      <c r="Z362" s="17"/>
      <c r="AA362" s="17"/>
      <c r="AB362" s="35"/>
      <c r="AC362" s="35"/>
      <c r="AD362" s="35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</row>
    <row r="363" spans="1:65" ht="1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35"/>
      <c r="Y363" s="17"/>
      <c r="Z363" s="17"/>
      <c r="AA363" s="17"/>
      <c r="AB363" s="35"/>
      <c r="AC363" s="35"/>
      <c r="AD363" s="35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</row>
    <row r="364" spans="1:65" ht="13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35"/>
      <c r="Y364" s="17"/>
      <c r="Z364" s="17"/>
      <c r="AA364" s="17"/>
      <c r="AB364" s="35"/>
      <c r="AC364" s="35"/>
      <c r="AD364" s="35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</row>
    <row r="365" spans="1:65" ht="13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35"/>
      <c r="Y365" s="17"/>
      <c r="Z365" s="17"/>
      <c r="AA365" s="17"/>
      <c r="AB365" s="35"/>
      <c r="AC365" s="35"/>
      <c r="AD365" s="35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</row>
    <row r="366" spans="1:65" ht="13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35"/>
      <c r="Y366" s="17"/>
      <c r="Z366" s="17"/>
      <c r="AA366" s="17"/>
      <c r="AB366" s="35"/>
      <c r="AC366" s="35"/>
      <c r="AD366" s="35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</row>
    <row r="367" spans="1:65" ht="13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35"/>
      <c r="Y367" s="17"/>
      <c r="Z367" s="17"/>
      <c r="AA367" s="17"/>
      <c r="AB367" s="35"/>
      <c r="AC367" s="35"/>
      <c r="AD367" s="35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</row>
    <row r="368" spans="1:65" ht="13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35"/>
      <c r="Y368" s="17"/>
      <c r="Z368" s="17"/>
      <c r="AA368" s="17"/>
      <c r="AB368" s="35"/>
      <c r="AC368" s="35"/>
      <c r="AD368" s="35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</row>
    <row r="369" spans="1:65" ht="13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35"/>
      <c r="Y369" s="17"/>
      <c r="Z369" s="17"/>
      <c r="AA369" s="17"/>
      <c r="AB369" s="35"/>
      <c r="AC369" s="35"/>
      <c r="AD369" s="35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</row>
    <row r="370" spans="1:65" ht="13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35"/>
      <c r="Y370" s="17"/>
      <c r="Z370" s="17"/>
      <c r="AA370" s="17"/>
      <c r="AB370" s="35"/>
      <c r="AC370" s="35"/>
      <c r="AD370" s="35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</row>
    <row r="371" spans="1:65" ht="13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35"/>
      <c r="Y371" s="17"/>
      <c r="Z371" s="17"/>
      <c r="AA371" s="17"/>
      <c r="AB371" s="35"/>
      <c r="AC371" s="35"/>
      <c r="AD371" s="35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</row>
    <row r="372" spans="1:65" ht="13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35"/>
      <c r="Y372" s="17"/>
      <c r="Z372" s="17"/>
      <c r="AA372" s="17"/>
      <c r="AB372" s="35"/>
      <c r="AC372" s="35"/>
      <c r="AD372" s="35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</row>
    <row r="373" spans="1:65" ht="1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35"/>
      <c r="Y373" s="17"/>
      <c r="Z373" s="17"/>
      <c r="AA373" s="17"/>
      <c r="AB373" s="35"/>
      <c r="AC373" s="35"/>
      <c r="AD373" s="35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</row>
    <row r="374" spans="1:65" ht="13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35"/>
      <c r="Y374" s="17"/>
      <c r="Z374" s="17"/>
      <c r="AA374" s="17"/>
      <c r="AB374" s="35"/>
      <c r="AC374" s="35"/>
      <c r="AD374" s="35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</row>
    <row r="375" spans="1:65" ht="13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35"/>
      <c r="Y375" s="17"/>
      <c r="Z375" s="17"/>
      <c r="AA375" s="17"/>
      <c r="AB375" s="35"/>
      <c r="AC375" s="35"/>
      <c r="AD375" s="35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</row>
    <row r="376" spans="1:65" ht="13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35"/>
      <c r="Y376" s="17"/>
      <c r="Z376" s="17"/>
      <c r="AA376" s="17"/>
      <c r="AB376" s="35"/>
      <c r="AC376" s="35"/>
      <c r="AD376" s="35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</row>
    <row r="377" spans="1:65" ht="13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35"/>
      <c r="Y377" s="17"/>
      <c r="Z377" s="17"/>
      <c r="AA377" s="17"/>
      <c r="AB377" s="35"/>
      <c r="AC377" s="35"/>
      <c r="AD377" s="35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</row>
    <row r="378" spans="1:65" ht="13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35"/>
      <c r="Y378" s="17"/>
      <c r="Z378" s="17"/>
      <c r="AA378" s="17"/>
      <c r="AB378" s="35"/>
      <c r="AC378" s="35"/>
      <c r="AD378" s="35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</row>
    <row r="379" spans="1:65" ht="13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35"/>
      <c r="Y379" s="17"/>
      <c r="Z379" s="17"/>
      <c r="AA379" s="17"/>
      <c r="AB379" s="35"/>
      <c r="AC379" s="35"/>
      <c r="AD379" s="35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</row>
    <row r="380" spans="1:65" ht="13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35"/>
      <c r="Y380" s="17"/>
      <c r="Z380" s="17"/>
      <c r="AA380" s="17"/>
      <c r="AB380" s="35"/>
      <c r="AC380" s="35"/>
      <c r="AD380" s="35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</row>
    <row r="381" spans="1:65" ht="13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35"/>
      <c r="Y381" s="17"/>
      <c r="Z381" s="17"/>
      <c r="AA381" s="17"/>
      <c r="AB381" s="35"/>
      <c r="AC381" s="35"/>
      <c r="AD381" s="35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</row>
    <row r="382" spans="1:65" ht="13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35"/>
      <c r="Y382" s="17"/>
      <c r="Z382" s="17"/>
      <c r="AA382" s="17"/>
      <c r="AB382" s="35"/>
      <c r="AC382" s="35"/>
      <c r="AD382" s="35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</row>
    <row r="383" spans="1:65" ht="1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35"/>
      <c r="Y383" s="17"/>
      <c r="Z383" s="17"/>
      <c r="AA383" s="17"/>
      <c r="AB383" s="35"/>
      <c r="AC383" s="35"/>
      <c r="AD383" s="35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</row>
    <row r="384" spans="1:65" ht="13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35"/>
      <c r="Y384" s="17"/>
      <c r="Z384" s="17"/>
      <c r="AA384" s="17"/>
      <c r="AB384" s="35"/>
      <c r="AC384" s="35"/>
      <c r="AD384" s="35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</row>
    <row r="385" spans="1:65" ht="13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35"/>
      <c r="Y385" s="17"/>
      <c r="Z385" s="17"/>
      <c r="AA385" s="17"/>
      <c r="AB385" s="35"/>
      <c r="AC385" s="35"/>
      <c r="AD385" s="35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</row>
    <row r="386" spans="1:65" ht="13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35"/>
      <c r="Y386" s="17"/>
      <c r="Z386" s="17"/>
      <c r="AA386" s="17"/>
      <c r="AB386" s="35"/>
      <c r="AC386" s="35"/>
      <c r="AD386" s="35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</row>
    <row r="387" spans="1:65" ht="13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35"/>
      <c r="Y387" s="17"/>
      <c r="Z387" s="17"/>
      <c r="AA387" s="17"/>
      <c r="AB387" s="35"/>
      <c r="AC387" s="35"/>
      <c r="AD387" s="35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</row>
    <row r="388" spans="1:65" ht="13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35"/>
      <c r="Y388" s="17"/>
      <c r="Z388" s="17"/>
      <c r="AA388" s="17"/>
      <c r="AB388" s="35"/>
      <c r="AC388" s="35"/>
      <c r="AD388" s="35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</row>
    <row r="389" spans="1:65" ht="13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35"/>
      <c r="Y389" s="17"/>
      <c r="Z389" s="17"/>
      <c r="AA389" s="17"/>
      <c r="AB389" s="35"/>
      <c r="AC389" s="35"/>
      <c r="AD389" s="35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</row>
    <row r="390" spans="1:65" ht="13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35"/>
      <c r="Y390" s="17"/>
      <c r="Z390" s="17"/>
      <c r="AA390" s="17"/>
      <c r="AB390" s="35"/>
      <c r="AC390" s="35"/>
      <c r="AD390" s="35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</row>
    <row r="391" spans="1:65" ht="13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35"/>
      <c r="Y391" s="17"/>
      <c r="Z391" s="17"/>
      <c r="AA391" s="17"/>
      <c r="AB391" s="35"/>
      <c r="AC391" s="35"/>
      <c r="AD391" s="35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</row>
    <row r="392" spans="1:65" ht="13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35"/>
      <c r="Y392" s="17"/>
      <c r="Z392" s="17"/>
      <c r="AA392" s="17"/>
      <c r="AB392" s="35"/>
      <c r="AC392" s="35"/>
      <c r="AD392" s="35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</row>
    <row r="393" spans="1:65" ht="1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35"/>
      <c r="Y393" s="17"/>
      <c r="Z393" s="17"/>
      <c r="AA393" s="17"/>
      <c r="AB393" s="35"/>
      <c r="AC393" s="35"/>
      <c r="AD393" s="35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</row>
    <row r="394" spans="1:65" ht="13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35"/>
      <c r="Y394" s="17"/>
      <c r="Z394" s="17"/>
      <c r="AA394" s="17"/>
      <c r="AB394" s="35"/>
      <c r="AC394" s="35"/>
      <c r="AD394" s="35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</row>
    <row r="395" spans="1:65" ht="13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35"/>
      <c r="Y395" s="17"/>
      <c r="Z395" s="17"/>
      <c r="AA395" s="17"/>
      <c r="AB395" s="35"/>
      <c r="AC395" s="35"/>
      <c r="AD395" s="35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</row>
    <row r="396" spans="1:65" ht="13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35"/>
      <c r="Y396" s="17"/>
      <c r="Z396" s="17"/>
      <c r="AA396" s="17"/>
      <c r="AB396" s="35"/>
      <c r="AC396" s="35"/>
      <c r="AD396" s="35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</row>
    <row r="397" spans="1:65" ht="13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35"/>
      <c r="Y397" s="17"/>
      <c r="Z397" s="17"/>
      <c r="AA397" s="17"/>
      <c r="AB397" s="35"/>
      <c r="AC397" s="35"/>
      <c r="AD397" s="35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</row>
    <row r="398" spans="1:65" ht="13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35"/>
      <c r="Y398" s="17"/>
      <c r="Z398" s="17"/>
      <c r="AA398" s="17"/>
      <c r="AB398" s="35"/>
      <c r="AC398" s="35"/>
      <c r="AD398" s="35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</row>
    <row r="399" spans="1:65" ht="13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35"/>
      <c r="Y399" s="17"/>
      <c r="Z399" s="17"/>
      <c r="AA399" s="17"/>
      <c r="AB399" s="35"/>
      <c r="AC399" s="35"/>
      <c r="AD399" s="35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</row>
    <row r="400" spans="1:65" ht="13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35"/>
      <c r="Y400" s="17"/>
      <c r="Z400" s="17"/>
      <c r="AA400" s="17"/>
      <c r="AB400" s="35"/>
      <c r="AC400" s="35"/>
      <c r="AD400" s="35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</row>
    <row r="401" spans="1:65" ht="13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35"/>
      <c r="Y401" s="17"/>
      <c r="Z401" s="17"/>
      <c r="AA401" s="17"/>
      <c r="AB401" s="35"/>
      <c r="AC401" s="35"/>
      <c r="AD401" s="35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</row>
    <row r="402" spans="1:65" ht="13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35"/>
      <c r="Y402" s="17"/>
      <c r="Z402" s="17"/>
      <c r="AA402" s="17"/>
      <c r="AB402" s="35"/>
      <c r="AC402" s="35"/>
      <c r="AD402" s="35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</row>
    <row r="403" spans="1:65" ht="1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35"/>
      <c r="Y403" s="17"/>
      <c r="Z403" s="17"/>
      <c r="AA403" s="17"/>
      <c r="AB403" s="35"/>
      <c r="AC403" s="35"/>
      <c r="AD403" s="35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</row>
    <row r="404" spans="1:65" ht="13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35"/>
      <c r="Y404" s="17"/>
      <c r="Z404" s="17"/>
      <c r="AA404" s="17"/>
      <c r="AB404" s="35"/>
      <c r="AC404" s="35"/>
      <c r="AD404" s="35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</row>
    <row r="405" spans="1:65" ht="13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35"/>
      <c r="Y405" s="17"/>
      <c r="Z405" s="17"/>
      <c r="AA405" s="17"/>
      <c r="AB405" s="35"/>
      <c r="AC405" s="35"/>
      <c r="AD405" s="35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</row>
    <row r="406" spans="1:65" ht="13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35"/>
      <c r="Y406" s="17"/>
      <c r="Z406" s="17"/>
      <c r="AA406" s="17"/>
      <c r="AB406" s="35"/>
      <c r="AC406" s="35"/>
      <c r="AD406" s="35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</row>
    <row r="407" spans="1:65" ht="13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35"/>
      <c r="Y407" s="17"/>
      <c r="Z407" s="17"/>
      <c r="AA407" s="17"/>
      <c r="AB407" s="35"/>
      <c r="AC407" s="35"/>
      <c r="AD407" s="35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</row>
    <row r="408" spans="1:65" ht="13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35"/>
      <c r="Y408" s="17"/>
      <c r="Z408" s="17"/>
      <c r="AA408" s="17"/>
      <c r="AB408" s="35"/>
      <c r="AC408" s="35"/>
      <c r="AD408" s="35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</row>
    <row r="409" spans="1:65" ht="13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35"/>
      <c r="Y409" s="17"/>
      <c r="Z409" s="17"/>
      <c r="AA409" s="17"/>
      <c r="AB409" s="35"/>
      <c r="AC409" s="35"/>
      <c r="AD409" s="35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</row>
    <row r="410" spans="1:65" ht="13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35"/>
      <c r="Y410" s="17"/>
      <c r="Z410" s="17"/>
      <c r="AA410" s="17"/>
      <c r="AB410" s="35"/>
      <c r="AC410" s="35"/>
      <c r="AD410" s="35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</row>
    <row r="411" spans="1:65" ht="13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35"/>
      <c r="Y411" s="17"/>
      <c r="Z411" s="17"/>
      <c r="AA411" s="17"/>
      <c r="AB411" s="35"/>
      <c r="AC411" s="35"/>
      <c r="AD411" s="35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</row>
    <row r="412" spans="1:65" ht="13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35"/>
      <c r="Y412" s="17"/>
      <c r="Z412" s="17"/>
      <c r="AA412" s="17"/>
      <c r="AB412" s="35"/>
      <c r="AC412" s="35"/>
      <c r="AD412" s="35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</row>
    <row r="413" spans="1:65" ht="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35"/>
      <c r="Y413" s="17"/>
      <c r="Z413" s="17"/>
      <c r="AA413" s="17"/>
      <c r="AB413" s="35"/>
      <c r="AC413" s="35"/>
      <c r="AD413" s="35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</row>
    <row r="414" spans="1:65" ht="13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35"/>
      <c r="Y414" s="17"/>
      <c r="Z414" s="17"/>
      <c r="AA414" s="17"/>
      <c r="AB414" s="35"/>
      <c r="AC414" s="35"/>
      <c r="AD414" s="35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</row>
    <row r="415" spans="1:65" ht="13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35"/>
      <c r="Y415" s="17"/>
      <c r="Z415" s="17"/>
      <c r="AA415" s="17"/>
      <c r="AB415" s="35"/>
      <c r="AC415" s="35"/>
      <c r="AD415" s="35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</row>
    <row r="416" spans="1:65" ht="13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35"/>
      <c r="Y416" s="17"/>
      <c r="Z416" s="17"/>
      <c r="AA416" s="17"/>
      <c r="AB416" s="35"/>
      <c r="AC416" s="35"/>
      <c r="AD416" s="35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</row>
    <row r="417" spans="1:65" ht="13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35"/>
      <c r="Y417" s="17"/>
      <c r="Z417" s="17"/>
      <c r="AA417" s="17"/>
      <c r="AB417" s="35"/>
      <c r="AC417" s="35"/>
      <c r="AD417" s="35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</row>
    <row r="418" spans="1:65" ht="13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35"/>
      <c r="Y418" s="17"/>
      <c r="Z418" s="17"/>
      <c r="AA418" s="17"/>
      <c r="AB418" s="35"/>
      <c r="AC418" s="35"/>
      <c r="AD418" s="35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</row>
    <row r="419" spans="1:65" ht="13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35"/>
      <c r="Y419" s="17"/>
      <c r="Z419" s="17"/>
      <c r="AA419" s="17"/>
      <c r="AB419" s="35"/>
      <c r="AC419" s="35"/>
      <c r="AD419" s="35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</row>
    <row r="420" spans="1:65" ht="13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35"/>
      <c r="Y420" s="17"/>
      <c r="Z420" s="17"/>
      <c r="AA420" s="17"/>
      <c r="AB420" s="35"/>
      <c r="AC420" s="35"/>
      <c r="AD420" s="35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</row>
    <row r="421" spans="1:65" ht="13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35"/>
      <c r="Y421" s="17"/>
      <c r="Z421" s="17"/>
      <c r="AA421" s="17"/>
      <c r="AB421" s="35"/>
      <c r="AC421" s="35"/>
      <c r="AD421" s="35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</row>
    <row r="422" spans="1:65" ht="13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35"/>
      <c r="Y422" s="17"/>
      <c r="Z422" s="17"/>
      <c r="AA422" s="17"/>
      <c r="AB422" s="35"/>
      <c r="AC422" s="35"/>
      <c r="AD422" s="35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</row>
    <row r="423" spans="1:65" ht="1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35"/>
      <c r="Y423" s="17"/>
      <c r="Z423" s="17"/>
      <c r="AA423" s="17"/>
      <c r="AB423" s="35"/>
      <c r="AC423" s="35"/>
      <c r="AD423" s="35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</row>
    <row r="424" spans="1:65" ht="13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35"/>
      <c r="Y424" s="17"/>
      <c r="Z424" s="17"/>
      <c r="AA424" s="17"/>
      <c r="AB424" s="35"/>
      <c r="AC424" s="35"/>
      <c r="AD424" s="35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</row>
    <row r="425" spans="1:65" ht="13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35"/>
      <c r="Y425" s="17"/>
      <c r="Z425" s="17"/>
      <c r="AA425" s="17"/>
      <c r="AB425" s="35"/>
      <c r="AC425" s="35"/>
      <c r="AD425" s="35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</row>
    <row r="426" spans="1:65" ht="13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35"/>
      <c r="Y426" s="17"/>
      <c r="Z426" s="17"/>
      <c r="AA426" s="17"/>
      <c r="AB426" s="35"/>
      <c r="AC426" s="35"/>
      <c r="AD426" s="35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</row>
    <row r="427" spans="1:65" ht="13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35"/>
      <c r="Y427" s="17"/>
      <c r="Z427" s="17"/>
      <c r="AA427" s="17"/>
      <c r="AB427" s="35"/>
      <c r="AC427" s="35"/>
      <c r="AD427" s="35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</row>
    <row r="428" spans="1:65" ht="13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35"/>
      <c r="Y428" s="17"/>
      <c r="Z428" s="17"/>
      <c r="AA428" s="17"/>
      <c r="AB428" s="35"/>
      <c r="AC428" s="35"/>
      <c r="AD428" s="35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</row>
    <row r="429" spans="1:65" ht="13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35"/>
      <c r="Y429" s="17"/>
      <c r="Z429" s="17"/>
      <c r="AA429" s="17"/>
      <c r="AB429" s="35"/>
      <c r="AC429" s="35"/>
      <c r="AD429" s="35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</row>
    <row r="430" spans="1:65" ht="13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35"/>
      <c r="Y430" s="17"/>
      <c r="Z430" s="17"/>
      <c r="AA430" s="17"/>
      <c r="AB430" s="35"/>
      <c r="AC430" s="35"/>
      <c r="AD430" s="35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</row>
    <row r="431" spans="1:65" ht="13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35"/>
      <c r="Y431" s="17"/>
      <c r="Z431" s="17"/>
      <c r="AA431" s="17"/>
      <c r="AB431" s="35"/>
      <c r="AC431" s="35"/>
      <c r="AD431" s="35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</row>
    <row r="432" spans="1:65" ht="13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35"/>
      <c r="Y432" s="17"/>
      <c r="Z432" s="17"/>
      <c r="AA432" s="17"/>
      <c r="AB432" s="35"/>
      <c r="AC432" s="35"/>
      <c r="AD432" s="35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</row>
    <row r="433" spans="1:65" ht="1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35"/>
      <c r="Y433" s="17"/>
      <c r="Z433" s="17"/>
      <c r="AA433" s="17"/>
      <c r="AB433" s="35"/>
      <c r="AC433" s="35"/>
      <c r="AD433" s="35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</row>
    <row r="434" spans="1:65" ht="13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35"/>
      <c r="Y434" s="17"/>
      <c r="Z434" s="17"/>
      <c r="AA434" s="17"/>
      <c r="AB434" s="35"/>
      <c r="AC434" s="35"/>
      <c r="AD434" s="35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</row>
    <row r="435" spans="1:65" ht="13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35"/>
      <c r="Y435" s="17"/>
      <c r="Z435" s="17"/>
      <c r="AA435" s="17"/>
      <c r="AB435" s="35"/>
      <c r="AC435" s="35"/>
      <c r="AD435" s="35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</row>
    <row r="436" spans="1:65" ht="13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35"/>
      <c r="Y436" s="17"/>
      <c r="Z436" s="17"/>
      <c r="AA436" s="17"/>
      <c r="AB436" s="35"/>
      <c r="AC436" s="35"/>
      <c r="AD436" s="35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</row>
    <row r="437" spans="1:65" ht="13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35"/>
      <c r="Y437" s="17"/>
      <c r="Z437" s="17"/>
      <c r="AA437" s="17"/>
      <c r="AB437" s="35"/>
      <c r="AC437" s="35"/>
      <c r="AD437" s="35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</row>
    <row r="438" spans="1:65" ht="13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35"/>
      <c r="Y438" s="17"/>
      <c r="Z438" s="17"/>
      <c r="AA438" s="17"/>
      <c r="AB438" s="35"/>
      <c r="AC438" s="35"/>
      <c r="AD438" s="35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</row>
    <row r="439" spans="1:65" ht="13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35"/>
      <c r="Y439" s="17"/>
      <c r="Z439" s="17"/>
      <c r="AA439" s="17"/>
      <c r="AB439" s="35"/>
      <c r="AC439" s="35"/>
      <c r="AD439" s="35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</row>
    <row r="440" spans="1:65" ht="13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35"/>
      <c r="Y440" s="17"/>
      <c r="Z440" s="17"/>
      <c r="AA440" s="17"/>
      <c r="AB440" s="35"/>
      <c r="AC440" s="35"/>
      <c r="AD440" s="35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</row>
    <row r="441" spans="1:65" ht="13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35"/>
      <c r="Y441" s="17"/>
      <c r="Z441" s="17"/>
      <c r="AA441" s="17"/>
      <c r="AB441" s="35"/>
      <c r="AC441" s="35"/>
      <c r="AD441" s="35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</row>
    <row r="442" spans="1:65" ht="13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35"/>
      <c r="Y442" s="17"/>
      <c r="Z442" s="17"/>
      <c r="AA442" s="17"/>
      <c r="AB442" s="35"/>
      <c r="AC442" s="35"/>
      <c r="AD442" s="35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</row>
    <row r="443" spans="1:65" ht="1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35"/>
      <c r="Y443" s="17"/>
      <c r="Z443" s="17"/>
      <c r="AA443" s="17"/>
      <c r="AB443" s="35"/>
      <c r="AC443" s="35"/>
      <c r="AD443" s="35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</row>
    <row r="444" spans="1:65" ht="13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35"/>
      <c r="Y444" s="17"/>
      <c r="Z444" s="17"/>
      <c r="AA444" s="17"/>
      <c r="AB444" s="35"/>
      <c r="AC444" s="35"/>
      <c r="AD444" s="35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</row>
    <row r="445" spans="1:65" ht="13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35"/>
      <c r="Y445" s="17"/>
      <c r="Z445" s="17"/>
      <c r="AA445" s="17"/>
      <c r="AB445" s="35"/>
      <c r="AC445" s="35"/>
      <c r="AD445" s="35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</row>
    <row r="446" spans="1:65" ht="13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35"/>
      <c r="Y446" s="17"/>
      <c r="Z446" s="17"/>
      <c r="AA446" s="17"/>
      <c r="AB446" s="35"/>
      <c r="AC446" s="35"/>
      <c r="AD446" s="35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</row>
    <row r="447" spans="1:65" ht="13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35"/>
      <c r="Y447" s="17"/>
      <c r="Z447" s="17"/>
      <c r="AA447" s="17"/>
      <c r="AB447" s="35"/>
      <c r="AC447" s="35"/>
      <c r="AD447" s="35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</row>
    <row r="448" spans="1:65" ht="13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35"/>
      <c r="Y448" s="17"/>
      <c r="Z448" s="17"/>
      <c r="AA448" s="17"/>
      <c r="AB448" s="35"/>
      <c r="AC448" s="35"/>
      <c r="AD448" s="35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</row>
    <row r="449" spans="1:65" ht="13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35"/>
      <c r="Y449" s="17"/>
      <c r="Z449" s="17"/>
      <c r="AA449" s="17"/>
      <c r="AB449" s="35"/>
      <c r="AC449" s="35"/>
      <c r="AD449" s="35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</row>
    <row r="450" spans="1:65" ht="13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35"/>
      <c r="Y450" s="17"/>
      <c r="Z450" s="17"/>
      <c r="AA450" s="17"/>
      <c r="AB450" s="35"/>
      <c r="AC450" s="35"/>
      <c r="AD450" s="35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</row>
    <row r="451" spans="1:65" ht="13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35"/>
      <c r="Y451" s="17"/>
      <c r="Z451" s="17"/>
      <c r="AA451" s="17"/>
      <c r="AB451" s="35"/>
      <c r="AC451" s="35"/>
      <c r="AD451" s="35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</row>
    <row r="452" spans="1:65" ht="13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35"/>
      <c r="Y452" s="17"/>
      <c r="Z452" s="17"/>
      <c r="AA452" s="17"/>
      <c r="AB452" s="35"/>
      <c r="AC452" s="35"/>
      <c r="AD452" s="35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</row>
    <row r="453" spans="1:65" ht="1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35"/>
      <c r="Y453" s="17"/>
      <c r="Z453" s="17"/>
      <c r="AA453" s="17"/>
      <c r="AB453" s="35"/>
      <c r="AC453" s="35"/>
      <c r="AD453" s="35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</row>
    <row r="454" spans="1:65" ht="13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35"/>
      <c r="Y454" s="17"/>
      <c r="Z454" s="17"/>
      <c r="AA454" s="17"/>
      <c r="AB454" s="35"/>
      <c r="AC454" s="35"/>
      <c r="AD454" s="35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</row>
    <row r="455" spans="1:65" ht="13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35"/>
      <c r="Y455" s="17"/>
      <c r="Z455" s="17"/>
      <c r="AA455" s="17"/>
      <c r="AB455" s="35"/>
      <c r="AC455" s="35"/>
      <c r="AD455" s="35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</row>
    <row r="456" spans="1:65" ht="13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35"/>
      <c r="Y456" s="17"/>
      <c r="Z456" s="17"/>
      <c r="AA456" s="17"/>
      <c r="AB456" s="35"/>
      <c r="AC456" s="35"/>
      <c r="AD456" s="35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</row>
    <row r="457" spans="1:65" ht="13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35"/>
      <c r="Y457" s="17"/>
      <c r="Z457" s="17"/>
      <c r="AA457" s="17"/>
      <c r="AB457" s="35"/>
      <c r="AC457" s="35"/>
      <c r="AD457" s="35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</row>
    <row r="458" spans="1:65" ht="13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35"/>
      <c r="Y458" s="17"/>
      <c r="Z458" s="17"/>
      <c r="AA458" s="17"/>
      <c r="AB458" s="35"/>
      <c r="AC458" s="35"/>
      <c r="AD458" s="35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</row>
    <row r="459" spans="1:65" ht="13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35"/>
      <c r="Y459" s="17"/>
      <c r="Z459" s="17"/>
      <c r="AA459" s="17"/>
      <c r="AB459" s="35"/>
      <c r="AC459" s="35"/>
      <c r="AD459" s="35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</row>
    <row r="460" spans="1:65" ht="13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35"/>
      <c r="Y460" s="17"/>
      <c r="Z460" s="17"/>
      <c r="AA460" s="17"/>
      <c r="AB460" s="35"/>
      <c r="AC460" s="35"/>
      <c r="AD460" s="35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</row>
    <row r="461" spans="1:65" ht="13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35"/>
      <c r="Y461" s="17"/>
      <c r="Z461" s="17"/>
      <c r="AA461" s="17"/>
      <c r="AB461" s="35"/>
      <c r="AC461" s="35"/>
      <c r="AD461" s="35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</row>
    <row r="462" spans="1:65" ht="13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35"/>
      <c r="Y462" s="17"/>
      <c r="Z462" s="17"/>
      <c r="AA462" s="17"/>
      <c r="AB462" s="35"/>
      <c r="AC462" s="35"/>
      <c r="AD462" s="35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</row>
    <row r="463" spans="1:65" ht="1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35"/>
      <c r="Y463" s="17"/>
      <c r="Z463" s="17"/>
      <c r="AA463" s="17"/>
      <c r="AB463" s="35"/>
      <c r="AC463" s="35"/>
      <c r="AD463" s="35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</row>
    <row r="464" spans="1:65" ht="13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35"/>
      <c r="Y464" s="17"/>
      <c r="Z464" s="17"/>
      <c r="AA464" s="17"/>
      <c r="AB464" s="35"/>
      <c r="AC464" s="35"/>
      <c r="AD464" s="35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</row>
    <row r="465" spans="1:65" ht="13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35"/>
      <c r="Y465" s="17"/>
      <c r="Z465" s="17"/>
      <c r="AA465" s="17"/>
      <c r="AB465" s="35"/>
      <c r="AC465" s="35"/>
      <c r="AD465" s="35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</row>
    <row r="466" spans="1:65" ht="13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35"/>
      <c r="Y466" s="17"/>
      <c r="Z466" s="17"/>
      <c r="AA466" s="17"/>
      <c r="AB466" s="35"/>
      <c r="AC466" s="35"/>
      <c r="AD466" s="35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</row>
    <row r="467" spans="1:65" ht="13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35"/>
      <c r="Y467" s="17"/>
      <c r="Z467" s="17"/>
      <c r="AA467" s="17"/>
      <c r="AB467" s="35"/>
      <c r="AC467" s="35"/>
      <c r="AD467" s="35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</row>
    <row r="468" spans="1:65" ht="13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35"/>
      <c r="Y468" s="17"/>
      <c r="Z468" s="17"/>
      <c r="AA468" s="17"/>
      <c r="AB468" s="35"/>
      <c r="AC468" s="35"/>
      <c r="AD468" s="35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</row>
    <row r="469" spans="1:65" ht="13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35"/>
      <c r="Y469" s="17"/>
      <c r="Z469" s="17"/>
      <c r="AA469" s="17"/>
      <c r="AB469" s="35"/>
      <c r="AC469" s="35"/>
      <c r="AD469" s="35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</row>
    <row r="470" spans="1:65" ht="13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35"/>
      <c r="Y470" s="17"/>
      <c r="Z470" s="17"/>
      <c r="AA470" s="17"/>
      <c r="AB470" s="35"/>
      <c r="AC470" s="35"/>
      <c r="AD470" s="35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</row>
    <row r="471" spans="1:65" ht="13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35"/>
      <c r="Y471" s="17"/>
      <c r="Z471" s="17"/>
      <c r="AA471" s="17"/>
      <c r="AB471" s="35"/>
      <c r="AC471" s="35"/>
      <c r="AD471" s="35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</row>
    <row r="472" spans="1:65" ht="13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35"/>
      <c r="Y472" s="17"/>
      <c r="Z472" s="17"/>
      <c r="AA472" s="17"/>
      <c r="AB472" s="35"/>
      <c r="AC472" s="35"/>
      <c r="AD472" s="35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</row>
    <row r="473" spans="1:65" ht="1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35"/>
      <c r="Y473" s="17"/>
      <c r="Z473" s="17"/>
      <c r="AA473" s="17"/>
      <c r="AB473" s="35"/>
      <c r="AC473" s="35"/>
      <c r="AD473" s="35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</row>
    <row r="474" spans="1:65" ht="13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35"/>
      <c r="Y474" s="17"/>
      <c r="Z474" s="17"/>
      <c r="AA474" s="17"/>
      <c r="AB474" s="35"/>
      <c r="AC474" s="35"/>
      <c r="AD474" s="35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</row>
    <row r="475" spans="1:65" ht="13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35"/>
      <c r="Y475" s="17"/>
      <c r="Z475" s="17"/>
      <c r="AA475" s="17"/>
      <c r="AB475" s="35"/>
      <c r="AC475" s="35"/>
      <c r="AD475" s="35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</row>
    <row r="476" spans="1:65" ht="13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35"/>
      <c r="Y476" s="17"/>
      <c r="Z476" s="17"/>
      <c r="AA476" s="17"/>
      <c r="AB476" s="35"/>
      <c r="AC476" s="35"/>
      <c r="AD476" s="35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</row>
    <row r="477" spans="1:65" ht="13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35"/>
      <c r="Y477" s="17"/>
      <c r="Z477" s="17"/>
      <c r="AA477" s="17"/>
      <c r="AB477" s="35"/>
      <c r="AC477" s="35"/>
      <c r="AD477" s="35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</row>
    <row r="478" spans="1:65" ht="13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35"/>
      <c r="Y478" s="17"/>
      <c r="Z478" s="17"/>
      <c r="AA478" s="17"/>
      <c r="AB478" s="35"/>
      <c r="AC478" s="35"/>
      <c r="AD478" s="35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</row>
    <row r="479" spans="1:65" ht="13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35"/>
      <c r="Y479" s="17"/>
      <c r="Z479" s="17"/>
      <c r="AA479" s="17"/>
      <c r="AB479" s="35"/>
      <c r="AC479" s="35"/>
      <c r="AD479" s="35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</row>
    <row r="480" spans="1:65" ht="13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35"/>
      <c r="Y480" s="17"/>
      <c r="Z480" s="17"/>
      <c r="AA480" s="17"/>
      <c r="AB480" s="35"/>
      <c r="AC480" s="35"/>
      <c r="AD480" s="35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</row>
    <row r="481" spans="1:65" ht="13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35"/>
      <c r="Y481" s="17"/>
      <c r="Z481" s="17"/>
      <c r="AA481" s="17"/>
      <c r="AB481" s="35"/>
      <c r="AC481" s="35"/>
      <c r="AD481" s="35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</row>
    <row r="482" spans="1:65" ht="13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35"/>
      <c r="Y482" s="17"/>
      <c r="Z482" s="17"/>
      <c r="AA482" s="17"/>
      <c r="AB482" s="35"/>
      <c r="AC482" s="35"/>
      <c r="AD482" s="35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</row>
    <row r="483" spans="1:65" ht="1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35"/>
      <c r="Y483" s="17"/>
      <c r="Z483" s="17"/>
      <c r="AA483" s="17"/>
      <c r="AB483" s="35"/>
      <c r="AC483" s="35"/>
      <c r="AD483" s="35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</row>
    <row r="484" spans="1:65" ht="13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35"/>
      <c r="Y484" s="17"/>
      <c r="Z484" s="17"/>
      <c r="AA484" s="17"/>
      <c r="AB484" s="35"/>
      <c r="AC484" s="35"/>
      <c r="AD484" s="35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</row>
    <row r="485" spans="1:65" ht="13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35"/>
      <c r="Y485" s="17"/>
      <c r="Z485" s="17"/>
      <c r="AA485" s="17"/>
      <c r="AB485" s="35"/>
      <c r="AC485" s="35"/>
      <c r="AD485" s="35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</row>
    <row r="486" spans="1:65" ht="13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35"/>
      <c r="Y486" s="17"/>
      <c r="Z486" s="17"/>
      <c r="AA486" s="17"/>
      <c r="AB486" s="35"/>
      <c r="AC486" s="35"/>
      <c r="AD486" s="35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</row>
    <row r="487" spans="1:65" ht="13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35"/>
      <c r="Y487" s="17"/>
      <c r="Z487" s="17"/>
      <c r="AA487" s="17"/>
      <c r="AB487" s="35"/>
      <c r="AC487" s="35"/>
      <c r="AD487" s="35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</row>
    <row r="488" spans="1:65" ht="13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35"/>
      <c r="Y488" s="17"/>
      <c r="Z488" s="17"/>
      <c r="AA488" s="17"/>
      <c r="AB488" s="35"/>
      <c r="AC488" s="35"/>
      <c r="AD488" s="35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</row>
    <row r="489" spans="1:65" ht="13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35"/>
      <c r="Y489" s="17"/>
      <c r="Z489" s="17"/>
      <c r="AA489" s="17"/>
      <c r="AB489" s="35"/>
      <c r="AC489" s="35"/>
      <c r="AD489" s="35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</row>
    <row r="490" spans="1:65" ht="13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35"/>
      <c r="Y490" s="17"/>
      <c r="Z490" s="17"/>
      <c r="AA490" s="17"/>
      <c r="AB490" s="35"/>
      <c r="AC490" s="35"/>
      <c r="AD490" s="35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</row>
    <row r="491" spans="1:65" ht="13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35"/>
      <c r="Y491" s="17"/>
      <c r="Z491" s="17"/>
      <c r="AA491" s="17"/>
      <c r="AB491" s="35"/>
      <c r="AC491" s="35"/>
      <c r="AD491" s="35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</row>
    <row r="492" spans="1:65" ht="13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35"/>
      <c r="Y492" s="17"/>
      <c r="Z492" s="17"/>
      <c r="AA492" s="17"/>
      <c r="AB492" s="35"/>
      <c r="AC492" s="35"/>
      <c r="AD492" s="35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</row>
    <row r="493" spans="1:65" ht="1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35"/>
      <c r="Y493" s="17"/>
      <c r="Z493" s="17"/>
      <c r="AA493" s="17"/>
      <c r="AB493" s="35"/>
      <c r="AC493" s="35"/>
      <c r="AD493" s="35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</row>
    <row r="494" spans="1:65" ht="13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35"/>
      <c r="Y494" s="17"/>
      <c r="Z494" s="17"/>
      <c r="AA494" s="17"/>
      <c r="AB494" s="35"/>
      <c r="AC494" s="35"/>
      <c r="AD494" s="35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</row>
    <row r="495" spans="1:65" ht="13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35"/>
      <c r="Y495" s="17"/>
      <c r="Z495" s="17"/>
      <c r="AA495" s="17"/>
      <c r="AB495" s="35"/>
      <c r="AC495" s="35"/>
      <c r="AD495" s="35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</row>
    <row r="496" spans="1:65" ht="13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35"/>
      <c r="Y496" s="17"/>
      <c r="Z496" s="17"/>
      <c r="AA496" s="17"/>
      <c r="AB496" s="35"/>
      <c r="AC496" s="35"/>
      <c r="AD496" s="35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</row>
    <row r="497" spans="1:65" ht="13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35"/>
      <c r="Y497" s="17"/>
      <c r="Z497" s="17"/>
      <c r="AA497" s="17"/>
      <c r="AB497" s="35"/>
      <c r="AC497" s="35"/>
      <c r="AD497" s="35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</row>
    <row r="498" spans="1:65" ht="13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35"/>
      <c r="Y498" s="17"/>
      <c r="Z498" s="17"/>
      <c r="AA498" s="17"/>
      <c r="AB498" s="35"/>
      <c r="AC498" s="35"/>
      <c r="AD498" s="35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</row>
    <row r="499" spans="1:65" ht="13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35"/>
      <c r="Y499" s="17"/>
      <c r="Z499" s="17"/>
      <c r="AA499" s="17"/>
      <c r="AB499" s="35"/>
      <c r="AC499" s="35"/>
      <c r="AD499" s="35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</row>
    <row r="500" spans="1:65" ht="13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35"/>
      <c r="Y500" s="17"/>
      <c r="Z500" s="17"/>
      <c r="AA500" s="17"/>
      <c r="AB500" s="35"/>
      <c r="AC500" s="35"/>
      <c r="AD500" s="35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</row>
    <row r="501" spans="1:65" ht="13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35"/>
      <c r="Y501" s="17"/>
      <c r="Z501" s="17"/>
      <c r="AA501" s="17"/>
      <c r="AB501" s="35"/>
      <c r="AC501" s="35"/>
      <c r="AD501" s="35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</row>
    <row r="502" spans="1:65" ht="13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35"/>
      <c r="Y502" s="17"/>
      <c r="Z502" s="17"/>
      <c r="AA502" s="17"/>
      <c r="AB502" s="35"/>
      <c r="AC502" s="35"/>
      <c r="AD502" s="35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</row>
    <row r="503" spans="1:65" ht="1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35"/>
      <c r="Y503" s="17"/>
      <c r="Z503" s="17"/>
      <c r="AA503" s="17"/>
      <c r="AB503" s="35"/>
      <c r="AC503" s="35"/>
      <c r="AD503" s="35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</row>
    <row r="504" spans="1:65" ht="13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35"/>
      <c r="Y504" s="17"/>
      <c r="Z504" s="17"/>
      <c r="AA504" s="17"/>
      <c r="AB504" s="35"/>
      <c r="AC504" s="35"/>
      <c r="AD504" s="35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</row>
    <row r="505" spans="1:65" ht="13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35"/>
      <c r="Y505" s="17"/>
      <c r="Z505" s="17"/>
      <c r="AA505" s="17"/>
      <c r="AB505" s="35"/>
      <c r="AC505" s="35"/>
      <c r="AD505" s="35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</row>
    <row r="506" spans="1:65" ht="13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35"/>
      <c r="Y506" s="17"/>
      <c r="Z506" s="17"/>
      <c r="AA506" s="17"/>
      <c r="AB506" s="35"/>
      <c r="AC506" s="35"/>
      <c r="AD506" s="35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</row>
    <row r="507" spans="1:65" ht="13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35"/>
      <c r="Y507" s="17"/>
      <c r="Z507" s="17"/>
      <c r="AA507" s="17"/>
      <c r="AB507" s="35"/>
      <c r="AC507" s="35"/>
      <c r="AD507" s="35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</row>
    <row r="508" spans="1:65" ht="13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35"/>
      <c r="Y508" s="17"/>
      <c r="Z508" s="17"/>
      <c r="AA508" s="17"/>
      <c r="AB508" s="35"/>
      <c r="AC508" s="35"/>
      <c r="AD508" s="35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</row>
    <row r="509" spans="1:65" ht="13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35"/>
      <c r="Y509" s="17"/>
      <c r="Z509" s="17"/>
      <c r="AA509" s="17"/>
      <c r="AB509" s="35"/>
      <c r="AC509" s="35"/>
      <c r="AD509" s="35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</row>
    <row r="510" spans="1:65" ht="13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35"/>
      <c r="Y510" s="17"/>
      <c r="Z510" s="17"/>
      <c r="AA510" s="17"/>
      <c r="AB510" s="35"/>
      <c r="AC510" s="35"/>
      <c r="AD510" s="35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</row>
    <row r="511" spans="1:65" ht="13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35"/>
      <c r="Y511" s="17"/>
      <c r="Z511" s="17"/>
      <c r="AA511" s="17"/>
      <c r="AB511" s="35"/>
      <c r="AC511" s="35"/>
      <c r="AD511" s="35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</row>
    <row r="512" spans="1:65" ht="13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35"/>
      <c r="Y512" s="17"/>
      <c r="Z512" s="17"/>
      <c r="AA512" s="17"/>
      <c r="AB512" s="35"/>
      <c r="AC512" s="35"/>
      <c r="AD512" s="35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</row>
    <row r="513" spans="1:65" ht="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35"/>
      <c r="Y513" s="17"/>
      <c r="Z513" s="17"/>
      <c r="AA513" s="17"/>
      <c r="AB513" s="35"/>
      <c r="AC513" s="35"/>
      <c r="AD513" s="35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</row>
    <row r="514" spans="1:65" ht="13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35"/>
      <c r="Y514" s="17"/>
      <c r="Z514" s="17"/>
      <c r="AA514" s="17"/>
      <c r="AB514" s="35"/>
      <c r="AC514" s="35"/>
      <c r="AD514" s="35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</row>
    <row r="515" spans="1:65" ht="13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35"/>
      <c r="Y515" s="17"/>
      <c r="Z515" s="17"/>
      <c r="AA515" s="17"/>
      <c r="AB515" s="35"/>
      <c r="AC515" s="35"/>
      <c r="AD515" s="35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</row>
    <row r="516" spans="1:65" ht="13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35"/>
      <c r="Y516" s="17"/>
      <c r="Z516" s="17"/>
      <c r="AA516" s="17"/>
      <c r="AB516" s="35"/>
      <c r="AC516" s="35"/>
      <c r="AD516" s="35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</row>
    <row r="517" spans="1:65" ht="13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35"/>
      <c r="Y517" s="17"/>
      <c r="Z517" s="17"/>
      <c r="AA517" s="17"/>
      <c r="AB517" s="35"/>
      <c r="AC517" s="35"/>
      <c r="AD517" s="35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</row>
    <row r="518" spans="1:65" ht="13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35"/>
      <c r="Y518" s="17"/>
      <c r="Z518" s="17"/>
      <c r="AA518" s="17"/>
      <c r="AB518" s="35"/>
      <c r="AC518" s="35"/>
      <c r="AD518" s="35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</row>
    <row r="519" spans="1:65" ht="13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35"/>
      <c r="Y519" s="17"/>
      <c r="Z519" s="17"/>
      <c r="AA519" s="17"/>
      <c r="AB519" s="35"/>
      <c r="AC519" s="35"/>
      <c r="AD519" s="35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</row>
    <row r="520" spans="1:65" ht="13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35"/>
      <c r="Y520" s="17"/>
      <c r="Z520" s="17"/>
      <c r="AA520" s="17"/>
      <c r="AB520" s="35"/>
      <c r="AC520" s="35"/>
      <c r="AD520" s="35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</row>
    <row r="521" spans="1:65" ht="13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35"/>
      <c r="Y521" s="17"/>
      <c r="Z521" s="17"/>
      <c r="AA521" s="17"/>
      <c r="AB521" s="35"/>
      <c r="AC521" s="35"/>
      <c r="AD521" s="35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</row>
    <row r="522" spans="1:65" ht="13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35"/>
      <c r="Y522" s="17"/>
      <c r="Z522" s="17"/>
      <c r="AA522" s="17"/>
      <c r="AB522" s="35"/>
      <c r="AC522" s="35"/>
      <c r="AD522" s="35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</row>
    <row r="523" spans="1:65" ht="1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35"/>
      <c r="Y523" s="17"/>
      <c r="Z523" s="17"/>
      <c r="AA523" s="17"/>
      <c r="AB523" s="35"/>
      <c r="AC523" s="35"/>
      <c r="AD523" s="35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</row>
    <row r="524" spans="1:65" ht="13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35"/>
      <c r="Y524" s="17"/>
      <c r="Z524" s="17"/>
      <c r="AA524" s="17"/>
      <c r="AB524" s="35"/>
      <c r="AC524" s="35"/>
      <c r="AD524" s="35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</row>
    <row r="525" spans="1:65" ht="13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35"/>
      <c r="Y525" s="17"/>
      <c r="Z525" s="17"/>
      <c r="AA525" s="17"/>
      <c r="AB525" s="35"/>
      <c r="AC525" s="35"/>
      <c r="AD525" s="35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</row>
    <row r="526" spans="1:65" ht="13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35"/>
      <c r="Y526" s="17"/>
      <c r="Z526" s="17"/>
      <c r="AA526" s="17"/>
      <c r="AB526" s="35"/>
      <c r="AC526" s="35"/>
      <c r="AD526" s="35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</row>
    <row r="527" spans="1:65" ht="13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35"/>
      <c r="Y527" s="17"/>
      <c r="Z527" s="17"/>
      <c r="AA527" s="17"/>
      <c r="AB527" s="35"/>
      <c r="AC527" s="35"/>
      <c r="AD527" s="35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</row>
    <row r="528" spans="1:65" ht="13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35"/>
      <c r="Y528" s="17"/>
      <c r="Z528" s="17"/>
      <c r="AA528" s="17"/>
      <c r="AB528" s="35"/>
      <c r="AC528" s="35"/>
      <c r="AD528" s="35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</row>
    <row r="529" spans="1:65" ht="13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35"/>
      <c r="Y529" s="17"/>
      <c r="Z529" s="17"/>
      <c r="AA529" s="17"/>
      <c r="AB529" s="35"/>
      <c r="AC529" s="35"/>
      <c r="AD529" s="35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</row>
    <row r="530" spans="1:65" ht="13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35"/>
      <c r="Y530" s="17"/>
      <c r="Z530" s="17"/>
      <c r="AA530" s="17"/>
      <c r="AB530" s="35"/>
      <c r="AC530" s="35"/>
      <c r="AD530" s="35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</row>
    <row r="531" spans="1:65" ht="13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35"/>
      <c r="Y531" s="17"/>
      <c r="Z531" s="17"/>
      <c r="AA531" s="17"/>
      <c r="AB531" s="35"/>
      <c r="AC531" s="35"/>
      <c r="AD531" s="35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</row>
    <row r="532" spans="1:65" ht="13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35"/>
      <c r="Y532" s="17"/>
      <c r="Z532" s="17"/>
      <c r="AA532" s="17"/>
      <c r="AB532" s="35"/>
      <c r="AC532" s="35"/>
      <c r="AD532" s="35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</row>
    <row r="533" spans="1:65" ht="1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35"/>
      <c r="Y533" s="17"/>
      <c r="Z533" s="17"/>
      <c r="AA533" s="17"/>
      <c r="AB533" s="35"/>
      <c r="AC533" s="35"/>
      <c r="AD533" s="35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</row>
    <row r="534" spans="1:65" ht="13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35"/>
      <c r="Y534" s="17"/>
      <c r="Z534" s="17"/>
      <c r="AA534" s="17"/>
      <c r="AB534" s="35"/>
      <c r="AC534" s="35"/>
      <c r="AD534" s="35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</row>
    <row r="535" spans="1:65" ht="13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35"/>
      <c r="Y535" s="17"/>
      <c r="Z535" s="17"/>
      <c r="AA535" s="17"/>
      <c r="AB535" s="35"/>
      <c r="AC535" s="35"/>
      <c r="AD535" s="35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</row>
    <row r="536" spans="1:65" ht="13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35"/>
      <c r="Y536" s="17"/>
      <c r="Z536" s="17"/>
      <c r="AA536" s="17"/>
      <c r="AB536" s="35"/>
      <c r="AC536" s="35"/>
      <c r="AD536" s="35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</row>
    <row r="537" spans="1:65" ht="13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35"/>
      <c r="Y537" s="17"/>
      <c r="Z537" s="17"/>
      <c r="AA537" s="17"/>
      <c r="AB537" s="35"/>
      <c r="AC537" s="35"/>
      <c r="AD537" s="35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</row>
    <row r="538" spans="1:65" ht="13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35"/>
      <c r="Y538" s="17"/>
      <c r="Z538" s="17"/>
      <c r="AA538" s="17"/>
      <c r="AB538" s="35"/>
      <c r="AC538" s="35"/>
      <c r="AD538" s="35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</row>
    <row r="539" spans="1:65" ht="13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35"/>
      <c r="Y539" s="17"/>
      <c r="Z539" s="17"/>
      <c r="AA539" s="17"/>
      <c r="AB539" s="35"/>
      <c r="AC539" s="35"/>
      <c r="AD539" s="35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</row>
    <row r="540" spans="1:65" ht="13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35"/>
      <c r="Y540" s="17"/>
      <c r="Z540" s="17"/>
      <c r="AA540" s="17"/>
      <c r="AB540" s="35"/>
      <c r="AC540" s="35"/>
      <c r="AD540" s="35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</row>
    <row r="541" spans="1:65" ht="13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35"/>
      <c r="Y541" s="17"/>
      <c r="Z541" s="17"/>
      <c r="AA541" s="17"/>
      <c r="AB541" s="35"/>
      <c r="AC541" s="35"/>
      <c r="AD541" s="35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</row>
    <row r="542" spans="1:65" ht="13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35"/>
      <c r="Y542" s="17"/>
      <c r="Z542" s="17"/>
      <c r="AA542" s="17"/>
      <c r="AB542" s="35"/>
      <c r="AC542" s="35"/>
      <c r="AD542" s="35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</row>
    <row r="543" spans="1:65" ht="1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35"/>
      <c r="Y543" s="17"/>
      <c r="Z543" s="17"/>
      <c r="AA543" s="17"/>
      <c r="AB543" s="35"/>
      <c r="AC543" s="35"/>
      <c r="AD543" s="35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</row>
    <row r="544" spans="1:65" ht="13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35"/>
      <c r="Y544" s="17"/>
      <c r="Z544" s="17"/>
      <c r="AA544" s="17"/>
      <c r="AB544" s="35"/>
      <c r="AC544" s="35"/>
      <c r="AD544" s="35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</row>
    <row r="545" spans="1:65" ht="13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35"/>
      <c r="Y545" s="17"/>
      <c r="Z545" s="17"/>
      <c r="AA545" s="17"/>
      <c r="AB545" s="35"/>
      <c r="AC545" s="35"/>
      <c r="AD545" s="35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</row>
    <row r="546" spans="1:65" ht="13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35"/>
      <c r="Y546" s="17"/>
      <c r="Z546" s="17"/>
      <c r="AA546" s="17"/>
      <c r="AB546" s="35"/>
      <c r="AC546" s="35"/>
      <c r="AD546" s="35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</row>
    <row r="547" spans="1:65" ht="13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35"/>
      <c r="Y547" s="17"/>
      <c r="Z547" s="17"/>
      <c r="AA547" s="17"/>
      <c r="AB547" s="35"/>
      <c r="AC547" s="35"/>
      <c r="AD547" s="35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</row>
    <row r="548" spans="1:65" ht="13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35"/>
      <c r="Y548" s="17"/>
      <c r="Z548" s="17"/>
      <c r="AA548" s="17"/>
      <c r="AB548" s="35"/>
      <c r="AC548" s="35"/>
      <c r="AD548" s="35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</row>
    <row r="549" spans="1:65" ht="13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35"/>
      <c r="Y549" s="17"/>
      <c r="Z549" s="17"/>
      <c r="AA549" s="17"/>
      <c r="AB549" s="35"/>
      <c r="AC549" s="35"/>
      <c r="AD549" s="35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</row>
    <row r="550" spans="1:65" ht="13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35"/>
      <c r="Y550" s="17"/>
      <c r="Z550" s="17"/>
      <c r="AA550" s="17"/>
      <c r="AB550" s="35"/>
      <c r="AC550" s="35"/>
      <c r="AD550" s="35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</row>
    <row r="551" spans="1:65" ht="13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35"/>
      <c r="Y551" s="17"/>
      <c r="Z551" s="17"/>
      <c r="AA551" s="17"/>
      <c r="AB551" s="35"/>
      <c r="AC551" s="35"/>
      <c r="AD551" s="35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</row>
    <row r="552" spans="1:65" ht="13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35"/>
      <c r="Y552" s="17"/>
      <c r="Z552" s="17"/>
      <c r="AA552" s="17"/>
      <c r="AB552" s="35"/>
      <c r="AC552" s="35"/>
      <c r="AD552" s="35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</row>
    <row r="553" spans="1:65" ht="1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35"/>
      <c r="Y553" s="17"/>
      <c r="Z553" s="17"/>
      <c r="AA553" s="17"/>
      <c r="AB553" s="35"/>
      <c r="AC553" s="35"/>
      <c r="AD553" s="35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</row>
    <row r="554" spans="1:65" ht="13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35"/>
      <c r="Y554" s="17"/>
      <c r="Z554" s="17"/>
      <c r="AA554" s="17"/>
      <c r="AB554" s="35"/>
      <c r="AC554" s="35"/>
      <c r="AD554" s="35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</row>
    <row r="555" spans="1:65" ht="13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35"/>
      <c r="Y555" s="17"/>
      <c r="Z555" s="17"/>
      <c r="AA555" s="17"/>
      <c r="AB555" s="35"/>
      <c r="AC555" s="35"/>
      <c r="AD555" s="35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</row>
    <row r="556" spans="1:65" ht="13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35"/>
      <c r="Y556" s="17"/>
      <c r="Z556" s="17"/>
      <c r="AA556" s="17"/>
      <c r="AB556" s="35"/>
      <c r="AC556" s="35"/>
      <c r="AD556" s="35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</row>
    <row r="557" spans="1:65" ht="13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35"/>
      <c r="Y557" s="17"/>
      <c r="Z557" s="17"/>
      <c r="AA557" s="17"/>
      <c r="AB557" s="35"/>
      <c r="AC557" s="35"/>
      <c r="AD557" s="35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</row>
    <row r="558" spans="1:65" ht="13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35"/>
      <c r="Y558" s="17"/>
      <c r="Z558" s="17"/>
      <c r="AA558" s="17"/>
      <c r="AB558" s="35"/>
      <c r="AC558" s="35"/>
      <c r="AD558" s="35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</row>
    <row r="559" spans="1:65" ht="13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35"/>
      <c r="Y559" s="17"/>
      <c r="Z559" s="17"/>
      <c r="AA559" s="17"/>
      <c r="AB559" s="35"/>
      <c r="AC559" s="35"/>
      <c r="AD559" s="35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</row>
    <row r="560" spans="1:65" ht="13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35"/>
      <c r="Y560" s="17"/>
      <c r="Z560" s="17"/>
      <c r="AA560" s="17"/>
      <c r="AB560" s="35"/>
      <c r="AC560" s="35"/>
      <c r="AD560" s="35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</row>
    <row r="561" spans="1:65" ht="13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35"/>
      <c r="Y561" s="17"/>
      <c r="Z561" s="17"/>
      <c r="AA561" s="17"/>
      <c r="AB561" s="35"/>
      <c r="AC561" s="35"/>
      <c r="AD561" s="35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</row>
    <row r="562" spans="1:65" ht="13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35"/>
      <c r="Y562" s="17"/>
      <c r="Z562" s="17"/>
      <c r="AA562" s="17"/>
      <c r="AB562" s="35"/>
      <c r="AC562" s="35"/>
      <c r="AD562" s="35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</row>
    <row r="563" spans="1:65" ht="1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35"/>
      <c r="Y563" s="17"/>
      <c r="Z563" s="17"/>
      <c r="AA563" s="17"/>
      <c r="AB563" s="35"/>
      <c r="AC563" s="35"/>
      <c r="AD563" s="35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</row>
    <row r="564" spans="1:65" ht="13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35"/>
      <c r="Y564" s="17"/>
      <c r="Z564" s="17"/>
      <c r="AA564" s="17"/>
      <c r="AB564" s="35"/>
      <c r="AC564" s="35"/>
      <c r="AD564" s="35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</row>
    <row r="565" spans="1:65" ht="13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35"/>
      <c r="Y565" s="17"/>
      <c r="Z565" s="17"/>
      <c r="AA565" s="17"/>
      <c r="AB565" s="35"/>
      <c r="AC565" s="35"/>
      <c r="AD565" s="35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</row>
    <row r="566" spans="1:65" ht="13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35"/>
      <c r="Y566" s="17"/>
      <c r="Z566" s="17"/>
      <c r="AA566" s="17"/>
      <c r="AB566" s="35"/>
      <c r="AC566" s="35"/>
      <c r="AD566" s="35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</row>
    <row r="567" spans="1:65" ht="13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35"/>
      <c r="Y567" s="17"/>
      <c r="Z567" s="17"/>
      <c r="AA567" s="17"/>
      <c r="AB567" s="35"/>
      <c r="AC567" s="35"/>
      <c r="AD567" s="35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</row>
    <row r="568" spans="1:65" ht="13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35"/>
      <c r="Y568" s="17"/>
      <c r="Z568" s="17"/>
      <c r="AA568" s="17"/>
      <c r="AB568" s="35"/>
      <c r="AC568" s="35"/>
      <c r="AD568" s="35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</row>
    <row r="569" spans="1:65" ht="13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35"/>
      <c r="Y569" s="17"/>
      <c r="Z569" s="17"/>
      <c r="AA569" s="17"/>
      <c r="AB569" s="35"/>
      <c r="AC569" s="35"/>
      <c r="AD569" s="35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</row>
    <row r="570" spans="1:65" ht="13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35"/>
      <c r="Y570" s="17"/>
      <c r="Z570" s="17"/>
      <c r="AA570" s="17"/>
      <c r="AB570" s="35"/>
      <c r="AC570" s="35"/>
      <c r="AD570" s="35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</row>
    <row r="571" spans="1:65" ht="13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35"/>
      <c r="Y571" s="17"/>
      <c r="Z571" s="17"/>
      <c r="AA571" s="17"/>
      <c r="AB571" s="35"/>
      <c r="AC571" s="35"/>
      <c r="AD571" s="35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</row>
    <row r="572" spans="1:65" ht="13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35"/>
      <c r="Y572" s="17"/>
      <c r="Z572" s="17"/>
      <c r="AA572" s="17"/>
      <c r="AB572" s="35"/>
      <c r="AC572" s="35"/>
      <c r="AD572" s="35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</row>
    <row r="573" spans="1:65" ht="1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35"/>
      <c r="Y573" s="17"/>
      <c r="Z573" s="17"/>
      <c r="AA573" s="17"/>
      <c r="AB573" s="35"/>
      <c r="AC573" s="35"/>
      <c r="AD573" s="35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</row>
    <row r="574" spans="1:65" ht="13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35"/>
      <c r="Y574" s="17"/>
      <c r="Z574" s="17"/>
      <c r="AA574" s="17"/>
      <c r="AB574" s="35"/>
      <c r="AC574" s="35"/>
      <c r="AD574" s="35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</row>
    <row r="575" spans="1:65" ht="13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35"/>
      <c r="Y575" s="17"/>
      <c r="Z575" s="17"/>
      <c r="AA575" s="17"/>
      <c r="AB575" s="35"/>
      <c r="AC575" s="35"/>
      <c r="AD575" s="35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</row>
    <row r="576" spans="1:65" ht="13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35"/>
      <c r="Y576" s="17"/>
      <c r="Z576" s="17"/>
      <c r="AA576" s="17"/>
      <c r="AB576" s="35"/>
      <c r="AC576" s="35"/>
      <c r="AD576" s="35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</row>
    <row r="577" spans="1:65" ht="13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35"/>
      <c r="Y577" s="17"/>
      <c r="Z577" s="17"/>
      <c r="AA577" s="17"/>
      <c r="AB577" s="35"/>
      <c r="AC577" s="35"/>
      <c r="AD577" s="35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</row>
    <row r="578" spans="1:65" ht="13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35"/>
      <c r="Y578" s="17"/>
      <c r="Z578" s="17"/>
      <c r="AA578" s="17"/>
      <c r="AB578" s="35"/>
      <c r="AC578" s="35"/>
      <c r="AD578" s="35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</row>
    <row r="579" spans="1:65" ht="13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35"/>
      <c r="Y579" s="17"/>
      <c r="Z579" s="17"/>
      <c r="AA579" s="17"/>
      <c r="AB579" s="35"/>
      <c r="AC579" s="35"/>
      <c r="AD579" s="35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</row>
    <row r="580" spans="1:65" ht="13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35"/>
      <c r="Y580" s="17"/>
      <c r="Z580" s="17"/>
      <c r="AA580" s="17"/>
      <c r="AB580" s="35"/>
      <c r="AC580" s="35"/>
      <c r="AD580" s="35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</row>
    <row r="581" spans="1:65" ht="13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35"/>
      <c r="Y581" s="17"/>
      <c r="Z581" s="17"/>
      <c r="AA581" s="17"/>
      <c r="AB581" s="35"/>
      <c r="AC581" s="35"/>
      <c r="AD581" s="35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</row>
    <row r="582" spans="1:65" ht="13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35"/>
      <c r="Y582" s="17"/>
      <c r="Z582" s="17"/>
      <c r="AA582" s="17"/>
      <c r="AB582" s="35"/>
      <c r="AC582" s="35"/>
      <c r="AD582" s="35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</row>
    <row r="583" spans="1:65" ht="1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35"/>
      <c r="Y583" s="17"/>
      <c r="Z583" s="17"/>
      <c r="AA583" s="17"/>
      <c r="AB583" s="35"/>
      <c r="AC583" s="35"/>
      <c r="AD583" s="35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</row>
    <row r="584" spans="1:65" ht="13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35"/>
      <c r="Y584" s="17"/>
      <c r="Z584" s="17"/>
      <c r="AA584" s="17"/>
      <c r="AB584" s="35"/>
      <c r="AC584" s="35"/>
      <c r="AD584" s="35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</row>
    <row r="585" spans="1:65" ht="13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35"/>
      <c r="Y585" s="17"/>
      <c r="Z585" s="17"/>
      <c r="AA585" s="17"/>
      <c r="AB585" s="35"/>
      <c r="AC585" s="35"/>
      <c r="AD585" s="35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</row>
    <row r="586" spans="1:65" ht="13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35"/>
      <c r="Y586" s="17"/>
      <c r="Z586" s="17"/>
      <c r="AA586" s="17"/>
      <c r="AB586" s="35"/>
      <c r="AC586" s="35"/>
      <c r="AD586" s="35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</row>
    <row r="587" spans="1:65" ht="13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35"/>
      <c r="Y587" s="17"/>
      <c r="Z587" s="17"/>
      <c r="AA587" s="17"/>
      <c r="AB587" s="35"/>
      <c r="AC587" s="35"/>
      <c r="AD587" s="35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</row>
    <row r="588" spans="1:65" ht="13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35"/>
      <c r="Y588" s="17"/>
      <c r="Z588" s="17"/>
      <c r="AA588" s="17"/>
      <c r="AB588" s="35"/>
      <c r="AC588" s="35"/>
      <c r="AD588" s="35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</row>
    <row r="589" spans="1:65" ht="13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35"/>
      <c r="Y589" s="17"/>
      <c r="Z589" s="17"/>
      <c r="AA589" s="17"/>
      <c r="AB589" s="35"/>
      <c r="AC589" s="35"/>
      <c r="AD589" s="35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</row>
    <row r="590" spans="1:65" ht="13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35"/>
      <c r="Y590" s="17"/>
      <c r="Z590" s="17"/>
      <c r="AA590" s="17"/>
      <c r="AB590" s="35"/>
      <c r="AC590" s="35"/>
      <c r="AD590" s="35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</row>
    <row r="591" spans="1:65" ht="13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35"/>
      <c r="Y591" s="17"/>
      <c r="Z591" s="17"/>
      <c r="AA591" s="17"/>
      <c r="AB591" s="35"/>
      <c r="AC591" s="35"/>
      <c r="AD591" s="35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</row>
    <row r="592" spans="1:65" ht="13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35"/>
      <c r="Y592" s="17"/>
      <c r="Z592" s="17"/>
      <c r="AA592" s="17"/>
      <c r="AB592" s="35"/>
      <c r="AC592" s="35"/>
      <c r="AD592" s="35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</row>
    <row r="593" spans="1:65" ht="1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35"/>
      <c r="Y593" s="17"/>
      <c r="Z593" s="17"/>
      <c r="AA593" s="17"/>
      <c r="AB593" s="35"/>
      <c r="AC593" s="35"/>
      <c r="AD593" s="35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</row>
    <row r="594" spans="1:65" ht="13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35"/>
      <c r="Y594" s="17"/>
      <c r="Z594" s="17"/>
      <c r="AA594" s="17"/>
      <c r="AB594" s="35"/>
      <c r="AC594" s="35"/>
      <c r="AD594" s="35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</row>
    <row r="595" spans="1:65" ht="13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35"/>
      <c r="Y595" s="17"/>
      <c r="Z595" s="17"/>
      <c r="AA595" s="17"/>
      <c r="AB595" s="35"/>
      <c r="AC595" s="35"/>
      <c r="AD595" s="35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</row>
    <row r="596" spans="1:65" ht="13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35"/>
      <c r="Y596" s="17"/>
      <c r="Z596" s="17"/>
      <c r="AA596" s="17"/>
      <c r="AB596" s="35"/>
      <c r="AC596" s="35"/>
      <c r="AD596" s="35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</row>
    <row r="597" spans="1:65" ht="13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35"/>
      <c r="Y597" s="17"/>
      <c r="Z597" s="17"/>
      <c r="AA597" s="17"/>
      <c r="AB597" s="35"/>
      <c r="AC597" s="35"/>
      <c r="AD597" s="35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</row>
    <row r="598" spans="1:65" ht="13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35"/>
      <c r="Y598" s="17"/>
      <c r="Z598" s="17"/>
      <c r="AA598" s="17"/>
      <c r="AB598" s="35"/>
      <c r="AC598" s="35"/>
      <c r="AD598" s="35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</row>
    <row r="599" spans="1:65" ht="13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35"/>
      <c r="Y599" s="17"/>
      <c r="Z599" s="17"/>
      <c r="AA599" s="17"/>
      <c r="AB599" s="35"/>
      <c r="AC599" s="35"/>
      <c r="AD599" s="35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</row>
    <row r="600" spans="1:65" ht="13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35"/>
      <c r="Y600" s="17"/>
      <c r="Z600" s="17"/>
      <c r="AA600" s="17"/>
      <c r="AB600" s="35"/>
      <c r="AC600" s="35"/>
      <c r="AD600" s="35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</row>
    <row r="601" spans="1:65" ht="13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35"/>
      <c r="Y601" s="17"/>
      <c r="Z601" s="17"/>
      <c r="AA601" s="17"/>
      <c r="AB601" s="35"/>
      <c r="AC601" s="35"/>
      <c r="AD601" s="35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</row>
    <row r="602" spans="1:65" ht="13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35"/>
      <c r="Y602" s="17"/>
      <c r="Z602" s="17"/>
      <c r="AA602" s="17"/>
      <c r="AB602" s="35"/>
      <c r="AC602" s="35"/>
      <c r="AD602" s="35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</row>
    <row r="603" spans="1:65" ht="1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35"/>
      <c r="Y603" s="17"/>
      <c r="Z603" s="17"/>
      <c r="AA603" s="17"/>
      <c r="AB603" s="35"/>
      <c r="AC603" s="35"/>
      <c r="AD603" s="35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</row>
    <row r="604" spans="1:65" ht="13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35"/>
      <c r="Y604" s="17"/>
      <c r="Z604" s="17"/>
      <c r="AA604" s="17"/>
      <c r="AB604" s="35"/>
      <c r="AC604" s="35"/>
      <c r="AD604" s="35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</row>
    <row r="605" spans="1:65" ht="13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35"/>
      <c r="Y605" s="17"/>
      <c r="Z605" s="17"/>
      <c r="AA605" s="17"/>
      <c r="AB605" s="35"/>
      <c r="AC605" s="35"/>
      <c r="AD605" s="35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</row>
    <row r="606" spans="1:65" ht="13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35"/>
      <c r="Y606" s="17"/>
      <c r="Z606" s="17"/>
      <c r="AA606" s="17"/>
      <c r="AB606" s="35"/>
      <c r="AC606" s="35"/>
      <c r="AD606" s="35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</row>
    <row r="607" spans="1:65" ht="13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35"/>
      <c r="Y607" s="17"/>
      <c r="Z607" s="17"/>
      <c r="AA607" s="17"/>
      <c r="AB607" s="35"/>
      <c r="AC607" s="35"/>
      <c r="AD607" s="35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</row>
    <row r="608" spans="1:65" ht="13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35"/>
      <c r="Y608" s="17"/>
      <c r="Z608" s="17"/>
      <c r="AA608" s="17"/>
      <c r="AB608" s="35"/>
      <c r="AC608" s="35"/>
      <c r="AD608" s="35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</row>
    <row r="609" spans="1:65" ht="13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35"/>
      <c r="Y609" s="17"/>
      <c r="Z609" s="17"/>
      <c r="AA609" s="17"/>
      <c r="AB609" s="35"/>
      <c r="AC609" s="35"/>
      <c r="AD609" s="35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</row>
    <row r="610" spans="1:65" ht="13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35"/>
      <c r="Y610" s="17"/>
      <c r="Z610" s="17"/>
      <c r="AA610" s="17"/>
      <c r="AB610" s="35"/>
      <c r="AC610" s="35"/>
      <c r="AD610" s="35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</row>
    <row r="611" spans="1:65" ht="13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35"/>
      <c r="Y611" s="17"/>
      <c r="Z611" s="17"/>
      <c r="AA611" s="17"/>
      <c r="AB611" s="35"/>
      <c r="AC611" s="35"/>
      <c r="AD611" s="35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</row>
    <row r="612" spans="1:65" ht="13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35"/>
      <c r="Y612" s="17"/>
      <c r="Z612" s="17"/>
      <c r="AA612" s="17"/>
      <c r="AB612" s="35"/>
      <c r="AC612" s="35"/>
      <c r="AD612" s="35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</row>
    <row r="613" spans="1:65" ht="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35"/>
      <c r="Y613" s="17"/>
      <c r="Z613" s="17"/>
      <c r="AA613" s="17"/>
      <c r="AB613" s="35"/>
      <c r="AC613" s="35"/>
      <c r="AD613" s="35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</row>
    <row r="614" spans="1:65" ht="13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35"/>
      <c r="Y614" s="17"/>
      <c r="Z614" s="17"/>
      <c r="AA614" s="17"/>
      <c r="AB614" s="35"/>
      <c r="AC614" s="35"/>
      <c r="AD614" s="35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</row>
    <row r="615" spans="1:65" ht="13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35"/>
      <c r="Y615" s="17"/>
      <c r="Z615" s="17"/>
      <c r="AA615" s="17"/>
      <c r="AB615" s="35"/>
      <c r="AC615" s="35"/>
      <c r="AD615" s="35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</row>
    <row r="616" spans="1:65" ht="13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35"/>
      <c r="Y616" s="17"/>
      <c r="Z616" s="17"/>
      <c r="AA616" s="17"/>
      <c r="AB616" s="35"/>
      <c r="AC616" s="35"/>
      <c r="AD616" s="35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</row>
    <row r="617" spans="1:65" ht="13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35"/>
      <c r="Y617" s="17"/>
      <c r="Z617" s="17"/>
      <c r="AA617" s="17"/>
      <c r="AB617" s="35"/>
      <c r="AC617" s="35"/>
      <c r="AD617" s="35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</row>
    <row r="618" spans="1:65" ht="13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35"/>
      <c r="Y618" s="17"/>
      <c r="Z618" s="17"/>
      <c r="AA618" s="17"/>
      <c r="AB618" s="35"/>
      <c r="AC618" s="35"/>
      <c r="AD618" s="35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</row>
    <row r="619" spans="1:65" ht="13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35"/>
      <c r="Y619" s="17"/>
      <c r="Z619" s="17"/>
      <c r="AA619" s="17"/>
      <c r="AB619" s="35"/>
      <c r="AC619" s="35"/>
      <c r="AD619" s="35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</row>
    <row r="620" spans="1:65" ht="13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35"/>
      <c r="Y620" s="17"/>
      <c r="Z620" s="17"/>
      <c r="AA620" s="17"/>
      <c r="AB620" s="35"/>
      <c r="AC620" s="35"/>
      <c r="AD620" s="35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</row>
    <row r="621" spans="1:65" ht="13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35"/>
      <c r="Y621" s="17"/>
      <c r="Z621" s="17"/>
      <c r="AA621" s="17"/>
      <c r="AB621" s="35"/>
      <c r="AC621" s="35"/>
      <c r="AD621" s="35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</row>
    <row r="622" spans="1:65" ht="13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35"/>
      <c r="Y622" s="17"/>
      <c r="Z622" s="17"/>
      <c r="AA622" s="17"/>
      <c r="AB622" s="35"/>
      <c r="AC622" s="35"/>
      <c r="AD622" s="35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</row>
    <row r="623" spans="1:65" ht="1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35"/>
      <c r="Y623" s="17"/>
      <c r="Z623" s="17"/>
      <c r="AA623" s="17"/>
      <c r="AB623" s="35"/>
      <c r="AC623" s="35"/>
      <c r="AD623" s="35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</row>
    <row r="624" spans="1:65" ht="13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35"/>
      <c r="Y624" s="17"/>
      <c r="Z624" s="17"/>
      <c r="AA624" s="17"/>
      <c r="AB624" s="35"/>
      <c r="AC624" s="35"/>
      <c r="AD624" s="35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</row>
    <row r="625" spans="1:65" ht="13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35"/>
      <c r="Y625" s="17"/>
      <c r="Z625" s="17"/>
      <c r="AA625" s="17"/>
      <c r="AB625" s="35"/>
      <c r="AC625" s="35"/>
      <c r="AD625" s="35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</row>
    <row r="626" spans="1:65" ht="13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35"/>
      <c r="Y626" s="17"/>
      <c r="Z626" s="17"/>
      <c r="AA626" s="17"/>
      <c r="AB626" s="35"/>
      <c r="AC626" s="35"/>
      <c r="AD626" s="35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</row>
    <row r="627" spans="1:65" ht="13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35"/>
      <c r="Y627" s="17"/>
      <c r="Z627" s="17"/>
      <c r="AA627" s="17"/>
      <c r="AB627" s="35"/>
      <c r="AC627" s="35"/>
      <c r="AD627" s="35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</row>
    <row r="628" spans="1:65" ht="13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35"/>
      <c r="Y628" s="17"/>
      <c r="Z628" s="17"/>
      <c r="AA628" s="17"/>
      <c r="AB628" s="35"/>
      <c r="AC628" s="35"/>
      <c r="AD628" s="35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</row>
    <row r="629" spans="1:65" ht="13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35"/>
      <c r="Y629" s="17"/>
      <c r="Z629" s="17"/>
      <c r="AA629" s="17"/>
      <c r="AB629" s="35"/>
      <c r="AC629" s="35"/>
      <c r="AD629" s="35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</row>
    <row r="630" spans="1:65" ht="13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35"/>
      <c r="Y630" s="17"/>
      <c r="Z630" s="17"/>
      <c r="AA630" s="17"/>
      <c r="AB630" s="35"/>
      <c r="AC630" s="35"/>
      <c r="AD630" s="35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</row>
    <row r="631" spans="1:65" ht="13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35"/>
      <c r="Y631" s="17"/>
      <c r="Z631" s="17"/>
      <c r="AA631" s="17"/>
      <c r="AB631" s="35"/>
      <c r="AC631" s="35"/>
      <c r="AD631" s="35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</row>
    <row r="632" spans="1:65" ht="13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35"/>
      <c r="Y632" s="17"/>
      <c r="Z632" s="17"/>
      <c r="AA632" s="17"/>
      <c r="AB632" s="35"/>
      <c r="AC632" s="35"/>
      <c r="AD632" s="35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</row>
    <row r="633" spans="1:65" ht="1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35"/>
      <c r="Y633" s="17"/>
      <c r="Z633" s="17"/>
      <c r="AA633" s="17"/>
      <c r="AB633" s="35"/>
      <c r="AC633" s="35"/>
      <c r="AD633" s="35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</row>
    <row r="634" spans="1:65" ht="13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35"/>
      <c r="Y634" s="17"/>
      <c r="Z634" s="17"/>
      <c r="AA634" s="17"/>
      <c r="AB634" s="35"/>
      <c r="AC634" s="35"/>
      <c r="AD634" s="35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</row>
    <row r="635" spans="1:65" ht="13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35"/>
      <c r="Y635" s="17"/>
      <c r="Z635" s="17"/>
      <c r="AA635" s="17"/>
      <c r="AB635" s="35"/>
      <c r="AC635" s="35"/>
      <c r="AD635" s="35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</row>
    <row r="636" spans="1:65" ht="13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35"/>
      <c r="Y636" s="17"/>
      <c r="Z636" s="17"/>
      <c r="AA636" s="17"/>
      <c r="AB636" s="35"/>
      <c r="AC636" s="35"/>
      <c r="AD636" s="35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</row>
    <row r="637" spans="1:65" ht="13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35"/>
      <c r="Y637" s="17"/>
      <c r="Z637" s="17"/>
      <c r="AA637" s="17"/>
      <c r="AB637" s="35"/>
      <c r="AC637" s="35"/>
      <c r="AD637" s="35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</row>
    <row r="638" spans="1:65" ht="13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35"/>
      <c r="Y638" s="17"/>
      <c r="Z638" s="17"/>
      <c r="AA638" s="17"/>
      <c r="AB638" s="35"/>
      <c r="AC638" s="35"/>
      <c r="AD638" s="35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</row>
    <row r="639" spans="1:65" ht="13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35"/>
      <c r="Y639" s="17"/>
      <c r="Z639" s="17"/>
      <c r="AA639" s="17"/>
      <c r="AB639" s="35"/>
      <c r="AC639" s="35"/>
      <c r="AD639" s="35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</row>
    <row r="640" spans="1:65" ht="13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35"/>
      <c r="Y640" s="17"/>
      <c r="Z640" s="17"/>
      <c r="AA640" s="17"/>
      <c r="AB640" s="35"/>
      <c r="AC640" s="35"/>
      <c r="AD640" s="35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</row>
    <row r="641" spans="1:65" ht="13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35"/>
      <c r="Y641" s="17"/>
      <c r="Z641" s="17"/>
      <c r="AA641" s="17"/>
      <c r="AB641" s="35"/>
      <c r="AC641" s="35"/>
      <c r="AD641" s="35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</row>
    <row r="642" spans="1:65" ht="13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35"/>
      <c r="Y642" s="17"/>
      <c r="Z642" s="17"/>
      <c r="AA642" s="17"/>
      <c r="AB642" s="35"/>
      <c r="AC642" s="35"/>
      <c r="AD642" s="35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</row>
    <row r="643" spans="1:65" ht="1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35"/>
      <c r="Y643" s="17"/>
      <c r="Z643" s="17"/>
      <c r="AA643" s="17"/>
      <c r="AB643" s="35"/>
      <c r="AC643" s="35"/>
      <c r="AD643" s="35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</row>
    <row r="644" spans="1:65" ht="13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35"/>
      <c r="Y644" s="17"/>
      <c r="Z644" s="17"/>
      <c r="AA644" s="17"/>
      <c r="AB644" s="35"/>
      <c r="AC644" s="35"/>
      <c r="AD644" s="35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</row>
    <row r="645" spans="1:65" ht="13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35"/>
      <c r="Y645" s="17"/>
      <c r="Z645" s="17"/>
      <c r="AA645" s="17"/>
      <c r="AB645" s="35"/>
      <c r="AC645" s="35"/>
      <c r="AD645" s="35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</row>
    <row r="646" spans="1:65" ht="13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35"/>
      <c r="Y646" s="17"/>
      <c r="Z646" s="17"/>
      <c r="AA646" s="17"/>
      <c r="AB646" s="35"/>
      <c r="AC646" s="35"/>
      <c r="AD646" s="35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</row>
    <row r="647" spans="1:65" ht="13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35"/>
      <c r="Y647" s="17"/>
      <c r="Z647" s="17"/>
      <c r="AA647" s="17"/>
      <c r="AB647" s="35"/>
      <c r="AC647" s="35"/>
      <c r="AD647" s="35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</row>
    <row r="648" spans="1:65" ht="13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35"/>
      <c r="Y648" s="17"/>
      <c r="Z648" s="17"/>
      <c r="AA648" s="17"/>
      <c r="AB648" s="35"/>
      <c r="AC648" s="35"/>
      <c r="AD648" s="35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</row>
    <row r="649" spans="1:65" ht="13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35"/>
      <c r="Y649" s="17"/>
      <c r="Z649" s="17"/>
      <c r="AA649" s="17"/>
      <c r="AB649" s="35"/>
      <c r="AC649" s="35"/>
      <c r="AD649" s="35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</row>
    <row r="650" spans="1:65" ht="13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35"/>
      <c r="Y650" s="17"/>
      <c r="Z650" s="17"/>
      <c r="AA650" s="17"/>
      <c r="AB650" s="35"/>
      <c r="AC650" s="35"/>
      <c r="AD650" s="35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</row>
    <row r="651" spans="1:65" ht="13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35"/>
      <c r="Y651" s="17"/>
      <c r="Z651" s="17"/>
      <c r="AA651" s="17"/>
      <c r="AB651" s="35"/>
      <c r="AC651" s="35"/>
      <c r="AD651" s="35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</row>
    <row r="652" spans="1:65" ht="13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35"/>
      <c r="Y652" s="17"/>
      <c r="Z652" s="17"/>
      <c r="AA652" s="17"/>
      <c r="AB652" s="35"/>
      <c r="AC652" s="35"/>
      <c r="AD652" s="35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</row>
    <row r="653" spans="1:65" ht="1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35"/>
      <c r="Y653" s="17"/>
      <c r="Z653" s="17"/>
      <c r="AA653" s="17"/>
      <c r="AB653" s="35"/>
      <c r="AC653" s="35"/>
      <c r="AD653" s="35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</row>
    <row r="654" spans="1:65" ht="13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35"/>
      <c r="Y654" s="17"/>
      <c r="Z654" s="17"/>
      <c r="AA654" s="17"/>
      <c r="AB654" s="35"/>
      <c r="AC654" s="35"/>
      <c r="AD654" s="35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</row>
    <row r="655" spans="1:65" ht="13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35"/>
      <c r="Y655" s="17"/>
      <c r="Z655" s="17"/>
      <c r="AA655" s="17"/>
      <c r="AB655" s="35"/>
      <c r="AC655" s="35"/>
      <c r="AD655" s="35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</row>
    <row r="656" spans="1:65" ht="13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35"/>
      <c r="Y656" s="17"/>
      <c r="Z656" s="17"/>
      <c r="AA656" s="17"/>
      <c r="AB656" s="35"/>
      <c r="AC656" s="35"/>
      <c r="AD656" s="35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</row>
    <row r="657" spans="1:65" ht="13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35"/>
      <c r="Y657" s="17"/>
      <c r="Z657" s="17"/>
      <c r="AA657" s="17"/>
      <c r="AB657" s="35"/>
      <c r="AC657" s="35"/>
      <c r="AD657" s="35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</row>
    <row r="658" spans="1:65" ht="13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35"/>
      <c r="Y658" s="17"/>
      <c r="Z658" s="17"/>
      <c r="AA658" s="17"/>
      <c r="AB658" s="35"/>
      <c r="AC658" s="35"/>
      <c r="AD658" s="35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</row>
    <row r="659" spans="1:65" ht="13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35"/>
      <c r="Y659" s="17"/>
      <c r="Z659" s="17"/>
      <c r="AA659" s="17"/>
      <c r="AB659" s="35"/>
      <c r="AC659" s="35"/>
      <c r="AD659" s="35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</row>
    <row r="660" spans="1:65" ht="13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35"/>
      <c r="Y660" s="17"/>
      <c r="Z660" s="17"/>
      <c r="AA660" s="17"/>
      <c r="AB660" s="35"/>
      <c r="AC660" s="35"/>
      <c r="AD660" s="35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</row>
    <row r="661" spans="1:65" ht="13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35"/>
      <c r="Y661" s="17"/>
      <c r="Z661" s="17"/>
      <c r="AA661" s="17"/>
      <c r="AB661" s="35"/>
      <c r="AC661" s="35"/>
      <c r="AD661" s="35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</row>
    <row r="662" spans="1:65" ht="13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35"/>
      <c r="Y662" s="17"/>
      <c r="Z662" s="17"/>
      <c r="AA662" s="17"/>
      <c r="AB662" s="35"/>
      <c r="AC662" s="35"/>
      <c r="AD662" s="35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</row>
    <row r="663" spans="1:65" ht="1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35"/>
      <c r="Y663" s="17"/>
      <c r="Z663" s="17"/>
      <c r="AA663" s="17"/>
      <c r="AB663" s="35"/>
      <c r="AC663" s="35"/>
      <c r="AD663" s="35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</row>
    <row r="664" spans="1:65" ht="13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35"/>
      <c r="Y664" s="17"/>
      <c r="Z664" s="17"/>
      <c r="AA664" s="17"/>
      <c r="AB664" s="35"/>
      <c r="AC664" s="35"/>
      <c r="AD664" s="35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</row>
    <row r="665" spans="1:65" ht="13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35"/>
      <c r="Y665" s="17"/>
      <c r="Z665" s="17"/>
      <c r="AA665" s="17"/>
      <c r="AB665" s="35"/>
      <c r="AC665" s="35"/>
      <c r="AD665" s="35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</row>
    <row r="666" spans="1:65" ht="13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35"/>
      <c r="Y666" s="17"/>
      <c r="Z666" s="17"/>
      <c r="AA666" s="17"/>
      <c r="AB666" s="35"/>
      <c r="AC666" s="35"/>
      <c r="AD666" s="35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</row>
    <row r="667" spans="1:65" ht="13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35"/>
      <c r="Y667" s="17"/>
      <c r="Z667" s="17"/>
      <c r="AA667" s="17"/>
      <c r="AB667" s="35"/>
      <c r="AC667" s="35"/>
      <c r="AD667" s="35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</row>
    <row r="668" spans="1:65" ht="13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35"/>
      <c r="Y668" s="17"/>
      <c r="Z668" s="17"/>
      <c r="AA668" s="17"/>
      <c r="AB668" s="35"/>
      <c r="AC668" s="35"/>
      <c r="AD668" s="35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</row>
    <row r="669" spans="1:65" ht="13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35"/>
      <c r="Y669" s="17"/>
      <c r="Z669" s="17"/>
      <c r="AA669" s="17"/>
      <c r="AB669" s="35"/>
      <c r="AC669" s="35"/>
      <c r="AD669" s="35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</row>
    <row r="670" spans="1:65" ht="13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35"/>
      <c r="Y670" s="17"/>
      <c r="Z670" s="17"/>
      <c r="AA670" s="17"/>
      <c r="AB670" s="35"/>
      <c r="AC670" s="35"/>
      <c r="AD670" s="35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</row>
    <row r="671" spans="1:65" ht="13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35"/>
      <c r="Y671" s="17"/>
      <c r="Z671" s="17"/>
      <c r="AA671" s="17"/>
      <c r="AB671" s="35"/>
      <c r="AC671" s="35"/>
      <c r="AD671" s="35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</row>
    <row r="672" spans="1:65" ht="13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35"/>
      <c r="Y672" s="17"/>
      <c r="Z672" s="17"/>
      <c r="AA672" s="17"/>
      <c r="AB672" s="35"/>
      <c r="AC672" s="35"/>
      <c r="AD672" s="35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</row>
    <row r="673" spans="1:65" ht="1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35"/>
      <c r="Y673" s="17"/>
      <c r="Z673" s="17"/>
      <c r="AA673" s="17"/>
      <c r="AB673" s="35"/>
      <c r="AC673" s="35"/>
      <c r="AD673" s="35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</row>
    <row r="674" spans="1:65" ht="13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35"/>
      <c r="Y674" s="17"/>
      <c r="Z674" s="17"/>
      <c r="AA674" s="17"/>
      <c r="AB674" s="35"/>
      <c r="AC674" s="35"/>
      <c r="AD674" s="35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</row>
    <row r="675" spans="1:65" ht="13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35"/>
      <c r="Y675" s="17"/>
      <c r="Z675" s="17"/>
      <c r="AA675" s="17"/>
      <c r="AB675" s="35"/>
      <c r="AC675" s="35"/>
      <c r="AD675" s="35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</row>
    <row r="676" spans="1:65" ht="13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35"/>
      <c r="Y676" s="17"/>
      <c r="Z676" s="17"/>
      <c r="AA676" s="17"/>
      <c r="AB676" s="35"/>
      <c r="AC676" s="35"/>
      <c r="AD676" s="35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</row>
    <row r="677" spans="1:65" ht="13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35"/>
      <c r="Y677" s="17"/>
      <c r="Z677" s="17"/>
      <c r="AA677" s="17"/>
      <c r="AB677" s="35"/>
      <c r="AC677" s="35"/>
      <c r="AD677" s="35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</row>
    <row r="678" spans="1:65" ht="13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35"/>
      <c r="Y678" s="17"/>
      <c r="Z678" s="17"/>
      <c r="AA678" s="17"/>
      <c r="AB678" s="35"/>
      <c r="AC678" s="35"/>
      <c r="AD678" s="35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</row>
    <row r="679" spans="1:65" ht="13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35"/>
      <c r="Y679" s="17"/>
      <c r="Z679" s="17"/>
      <c r="AA679" s="17"/>
      <c r="AB679" s="35"/>
      <c r="AC679" s="35"/>
      <c r="AD679" s="35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</row>
    <row r="680" spans="1:65" ht="13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35"/>
      <c r="Y680" s="17"/>
      <c r="Z680" s="17"/>
      <c r="AA680" s="17"/>
      <c r="AB680" s="35"/>
      <c r="AC680" s="35"/>
      <c r="AD680" s="35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</row>
    <row r="681" spans="1:65" ht="13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35"/>
      <c r="Y681" s="17"/>
      <c r="Z681" s="17"/>
      <c r="AA681" s="17"/>
      <c r="AB681" s="35"/>
      <c r="AC681" s="35"/>
      <c r="AD681" s="35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</row>
    <row r="682" spans="1:65" ht="13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35"/>
      <c r="Y682" s="17"/>
      <c r="Z682" s="17"/>
      <c r="AA682" s="17"/>
      <c r="AB682" s="35"/>
      <c r="AC682" s="35"/>
      <c r="AD682" s="35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</row>
    <row r="683" spans="1:65" ht="1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35"/>
      <c r="Y683" s="17"/>
      <c r="Z683" s="17"/>
      <c r="AA683" s="17"/>
      <c r="AB683" s="35"/>
      <c r="AC683" s="35"/>
      <c r="AD683" s="35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</row>
    <row r="684" spans="1:65" ht="13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35"/>
      <c r="Y684" s="17"/>
      <c r="Z684" s="17"/>
      <c r="AA684" s="17"/>
      <c r="AB684" s="35"/>
      <c r="AC684" s="35"/>
      <c r="AD684" s="35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</row>
    <row r="685" spans="1:65" ht="13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35"/>
      <c r="Y685" s="17"/>
      <c r="Z685" s="17"/>
      <c r="AA685" s="17"/>
      <c r="AB685" s="35"/>
      <c r="AC685" s="35"/>
      <c r="AD685" s="35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</row>
    <row r="686" spans="1:65" ht="13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35"/>
      <c r="Y686" s="17"/>
      <c r="Z686" s="17"/>
      <c r="AA686" s="17"/>
      <c r="AB686" s="35"/>
      <c r="AC686" s="35"/>
      <c r="AD686" s="35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</row>
    <row r="687" spans="1:65" ht="13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35"/>
      <c r="Y687" s="17"/>
      <c r="Z687" s="17"/>
      <c r="AA687" s="17"/>
      <c r="AB687" s="35"/>
      <c r="AC687" s="35"/>
      <c r="AD687" s="35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</row>
    <row r="688" spans="1:65" ht="13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35"/>
      <c r="Y688" s="17"/>
      <c r="Z688" s="17"/>
      <c r="AA688" s="17"/>
      <c r="AB688" s="35"/>
      <c r="AC688" s="35"/>
      <c r="AD688" s="35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</row>
    <row r="689" spans="1:65" ht="13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35"/>
      <c r="Y689" s="17"/>
      <c r="Z689" s="17"/>
      <c r="AA689" s="17"/>
      <c r="AB689" s="35"/>
      <c r="AC689" s="35"/>
      <c r="AD689" s="35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</row>
    <row r="690" spans="1:65" ht="13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35"/>
      <c r="Y690" s="17"/>
      <c r="Z690" s="17"/>
      <c r="AA690" s="17"/>
      <c r="AB690" s="35"/>
      <c r="AC690" s="35"/>
      <c r="AD690" s="35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</row>
    <row r="691" spans="1:65" ht="13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35"/>
      <c r="Y691" s="17"/>
      <c r="Z691" s="17"/>
      <c r="AA691" s="17"/>
      <c r="AB691" s="35"/>
      <c r="AC691" s="35"/>
      <c r="AD691" s="35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</row>
    <row r="692" spans="1:65" ht="13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35"/>
      <c r="Y692" s="17"/>
      <c r="Z692" s="17"/>
      <c r="AA692" s="17"/>
      <c r="AB692" s="35"/>
      <c r="AC692" s="35"/>
      <c r="AD692" s="35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</row>
    <row r="693" spans="1:65" ht="1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35"/>
      <c r="Y693" s="17"/>
      <c r="Z693" s="17"/>
      <c r="AA693" s="17"/>
      <c r="AB693" s="35"/>
      <c r="AC693" s="35"/>
      <c r="AD693" s="35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</row>
    <row r="694" spans="1:65" ht="13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35"/>
      <c r="Y694" s="17"/>
      <c r="Z694" s="17"/>
      <c r="AA694" s="17"/>
      <c r="AB694" s="35"/>
      <c r="AC694" s="35"/>
      <c r="AD694" s="35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</row>
    <row r="695" spans="1:65" ht="13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35"/>
      <c r="Y695" s="17"/>
      <c r="Z695" s="17"/>
      <c r="AA695" s="17"/>
      <c r="AB695" s="35"/>
      <c r="AC695" s="35"/>
      <c r="AD695" s="35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</row>
    <row r="696" spans="1:65" ht="13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35"/>
      <c r="Y696" s="17"/>
      <c r="Z696" s="17"/>
      <c r="AA696" s="17"/>
      <c r="AB696" s="35"/>
      <c r="AC696" s="35"/>
      <c r="AD696" s="35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</row>
    <row r="697" spans="1:65" ht="13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35"/>
      <c r="Y697" s="17"/>
      <c r="Z697" s="17"/>
      <c r="AA697" s="17"/>
      <c r="AB697" s="35"/>
      <c r="AC697" s="35"/>
      <c r="AD697" s="35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</row>
    <row r="698" spans="1:65" ht="13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35"/>
      <c r="Y698" s="17"/>
      <c r="Z698" s="17"/>
      <c r="AA698" s="17"/>
      <c r="AB698" s="35"/>
      <c r="AC698" s="35"/>
      <c r="AD698" s="35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</row>
    <row r="699" spans="1:65" ht="13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35"/>
      <c r="Y699" s="17"/>
      <c r="Z699" s="17"/>
      <c r="AA699" s="17"/>
      <c r="AB699" s="35"/>
      <c r="AC699" s="35"/>
      <c r="AD699" s="35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</row>
    <row r="700" spans="1:65" ht="13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35"/>
      <c r="Y700" s="17"/>
      <c r="Z700" s="17"/>
      <c r="AA700" s="17"/>
      <c r="AB700" s="35"/>
      <c r="AC700" s="35"/>
      <c r="AD700" s="35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</row>
    <row r="701" spans="1:65" ht="13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35"/>
      <c r="Y701" s="17"/>
      <c r="Z701" s="17"/>
      <c r="AA701" s="17"/>
      <c r="AB701" s="35"/>
      <c r="AC701" s="35"/>
      <c r="AD701" s="35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</row>
    <row r="702" spans="1:65" ht="13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35"/>
      <c r="Y702" s="17"/>
      <c r="Z702" s="17"/>
      <c r="AA702" s="17"/>
      <c r="AB702" s="35"/>
      <c r="AC702" s="35"/>
      <c r="AD702" s="35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</row>
    <row r="703" spans="1:65" ht="1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35"/>
      <c r="Y703" s="17"/>
      <c r="Z703" s="17"/>
      <c r="AA703" s="17"/>
      <c r="AB703" s="35"/>
      <c r="AC703" s="35"/>
      <c r="AD703" s="35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</row>
    <row r="704" spans="1:65" ht="13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35"/>
      <c r="Y704" s="17"/>
      <c r="Z704" s="17"/>
      <c r="AA704" s="17"/>
      <c r="AB704" s="35"/>
      <c r="AC704" s="35"/>
      <c r="AD704" s="35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</row>
    <row r="705" spans="1:65" ht="13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35"/>
      <c r="Y705" s="17"/>
      <c r="Z705" s="17"/>
      <c r="AA705" s="17"/>
      <c r="AB705" s="35"/>
      <c r="AC705" s="35"/>
      <c r="AD705" s="35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</row>
    <row r="706" spans="1:65" ht="13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35"/>
      <c r="Y706" s="17"/>
      <c r="Z706" s="17"/>
      <c r="AA706" s="17"/>
      <c r="AB706" s="35"/>
      <c r="AC706" s="35"/>
      <c r="AD706" s="35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</row>
    <row r="707" spans="1:65" ht="13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35"/>
      <c r="Y707" s="17"/>
      <c r="Z707" s="17"/>
      <c r="AA707" s="17"/>
      <c r="AB707" s="35"/>
      <c r="AC707" s="35"/>
      <c r="AD707" s="35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</row>
    <row r="708" spans="1:65" ht="13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35"/>
      <c r="Y708" s="17"/>
      <c r="Z708" s="17"/>
      <c r="AA708" s="17"/>
      <c r="AB708" s="35"/>
      <c r="AC708" s="35"/>
      <c r="AD708" s="35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</row>
    <row r="709" spans="1:65" ht="13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35"/>
      <c r="Y709" s="17"/>
      <c r="Z709" s="17"/>
      <c r="AA709" s="17"/>
      <c r="AB709" s="35"/>
      <c r="AC709" s="35"/>
      <c r="AD709" s="35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</row>
    <row r="710" spans="1:65" ht="13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35"/>
      <c r="Y710" s="17"/>
      <c r="Z710" s="17"/>
      <c r="AA710" s="17"/>
      <c r="AB710" s="35"/>
      <c r="AC710" s="35"/>
      <c r="AD710" s="35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</row>
    <row r="711" spans="1:65" ht="13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35"/>
      <c r="Y711" s="17"/>
      <c r="Z711" s="17"/>
      <c r="AA711" s="17"/>
      <c r="AB711" s="35"/>
      <c r="AC711" s="35"/>
      <c r="AD711" s="35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</row>
    <row r="712" spans="1:65" ht="13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35"/>
      <c r="Y712" s="17"/>
      <c r="Z712" s="17"/>
      <c r="AA712" s="17"/>
      <c r="AB712" s="35"/>
      <c r="AC712" s="35"/>
      <c r="AD712" s="35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</row>
    <row r="713" spans="1:65" ht="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35"/>
      <c r="Y713" s="17"/>
      <c r="Z713" s="17"/>
      <c r="AA713" s="17"/>
      <c r="AB713" s="35"/>
      <c r="AC713" s="35"/>
      <c r="AD713" s="35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</row>
    <row r="714" spans="1:65" ht="13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35"/>
      <c r="Y714" s="17"/>
      <c r="Z714" s="17"/>
      <c r="AA714" s="17"/>
      <c r="AB714" s="35"/>
      <c r="AC714" s="35"/>
      <c r="AD714" s="35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</row>
    <row r="715" spans="1:65" ht="13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35"/>
      <c r="Y715" s="17"/>
      <c r="Z715" s="17"/>
      <c r="AA715" s="17"/>
      <c r="AB715" s="35"/>
      <c r="AC715" s="35"/>
      <c r="AD715" s="35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</row>
    <row r="716" spans="1:65" ht="13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35"/>
      <c r="Y716" s="17"/>
      <c r="Z716" s="17"/>
      <c r="AA716" s="17"/>
      <c r="AB716" s="35"/>
      <c r="AC716" s="35"/>
      <c r="AD716" s="35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</row>
    <row r="717" spans="1:65" ht="13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35"/>
      <c r="Y717" s="17"/>
      <c r="Z717" s="17"/>
      <c r="AA717" s="17"/>
      <c r="AB717" s="35"/>
      <c r="AC717" s="35"/>
      <c r="AD717" s="35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</row>
    <row r="718" spans="1:65" ht="13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35"/>
      <c r="Y718" s="17"/>
      <c r="Z718" s="17"/>
      <c r="AA718" s="17"/>
      <c r="AB718" s="35"/>
      <c r="AC718" s="35"/>
      <c r="AD718" s="35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</row>
    <row r="719" spans="1:65" ht="13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35"/>
      <c r="Y719" s="17"/>
      <c r="Z719" s="17"/>
      <c r="AA719" s="17"/>
      <c r="AB719" s="35"/>
      <c r="AC719" s="35"/>
      <c r="AD719" s="35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</row>
    <row r="720" spans="1:65" ht="13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35"/>
      <c r="Y720" s="17"/>
      <c r="Z720" s="17"/>
      <c r="AA720" s="17"/>
      <c r="AB720" s="35"/>
      <c r="AC720" s="35"/>
      <c r="AD720" s="35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</row>
    <row r="721" spans="1:65" ht="13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35"/>
      <c r="Y721" s="17"/>
      <c r="Z721" s="17"/>
      <c r="AA721" s="17"/>
      <c r="AB721" s="35"/>
      <c r="AC721" s="35"/>
      <c r="AD721" s="35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</row>
    <row r="722" spans="1:65" ht="13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35"/>
      <c r="Y722" s="17"/>
      <c r="Z722" s="17"/>
      <c r="AA722" s="17"/>
      <c r="AB722" s="35"/>
      <c r="AC722" s="35"/>
      <c r="AD722" s="35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</row>
    <row r="723" spans="1:65" ht="1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35"/>
      <c r="Y723" s="17"/>
      <c r="Z723" s="17"/>
      <c r="AA723" s="17"/>
      <c r="AB723" s="35"/>
      <c r="AC723" s="35"/>
      <c r="AD723" s="35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</row>
    <row r="724" spans="1:65" ht="13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35"/>
      <c r="Y724" s="17"/>
      <c r="Z724" s="17"/>
      <c r="AA724" s="17"/>
      <c r="AB724" s="35"/>
      <c r="AC724" s="35"/>
      <c r="AD724" s="35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</row>
    <row r="725" spans="1:65" ht="13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35"/>
      <c r="Y725" s="17"/>
      <c r="Z725" s="17"/>
      <c r="AA725" s="17"/>
      <c r="AB725" s="35"/>
      <c r="AC725" s="35"/>
      <c r="AD725" s="35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</row>
    <row r="726" spans="1:65" ht="13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35"/>
      <c r="Y726" s="17"/>
      <c r="Z726" s="17"/>
      <c r="AA726" s="17"/>
      <c r="AB726" s="35"/>
      <c r="AC726" s="35"/>
      <c r="AD726" s="35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</row>
    <row r="727" spans="1:65" ht="13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35"/>
      <c r="Y727" s="17"/>
      <c r="Z727" s="17"/>
      <c r="AA727" s="17"/>
      <c r="AB727" s="35"/>
      <c r="AC727" s="35"/>
      <c r="AD727" s="35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</row>
    <row r="728" spans="1:65" ht="13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35"/>
      <c r="Y728" s="17"/>
      <c r="Z728" s="17"/>
      <c r="AA728" s="17"/>
      <c r="AB728" s="35"/>
      <c r="AC728" s="35"/>
      <c r="AD728" s="35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</row>
    <row r="729" spans="1:65" ht="13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35"/>
      <c r="Y729" s="17"/>
      <c r="Z729" s="17"/>
      <c r="AA729" s="17"/>
      <c r="AB729" s="35"/>
      <c r="AC729" s="35"/>
      <c r="AD729" s="35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</row>
    <row r="730" spans="1:65" ht="13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35"/>
      <c r="Y730" s="17"/>
      <c r="Z730" s="17"/>
      <c r="AA730" s="17"/>
      <c r="AB730" s="35"/>
      <c r="AC730" s="35"/>
      <c r="AD730" s="35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</row>
    <row r="731" spans="1:65" ht="13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35"/>
      <c r="Y731" s="17"/>
      <c r="Z731" s="17"/>
      <c r="AA731" s="17"/>
      <c r="AB731" s="35"/>
      <c r="AC731" s="35"/>
      <c r="AD731" s="35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</row>
    <row r="732" spans="1:65" ht="13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35"/>
      <c r="Y732" s="17"/>
      <c r="Z732" s="17"/>
      <c r="AA732" s="17"/>
      <c r="AB732" s="35"/>
      <c r="AC732" s="35"/>
      <c r="AD732" s="35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</row>
    <row r="733" spans="1:65" ht="1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35"/>
      <c r="Y733" s="17"/>
      <c r="Z733" s="17"/>
      <c r="AA733" s="17"/>
      <c r="AB733" s="35"/>
      <c r="AC733" s="35"/>
      <c r="AD733" s="35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</row>
    <row r="734" spans="1:65" ht="13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35"/>
      <c r="Y734" s="17"/>
      <c r="Z734" s="17"/>
      <c r="AA734" s="17"/>
      <c r="AB734" s="35"/>
      <c r="AC734" s="35"/>
      <c r="AD734" s="35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</row>
    <row r="735" spans="1:65" ht="13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35"/>
      <c r="Y735" s="17"/>
      <c r="Z735" s="17"/>
      <c r="AA735" s="17"/>
      <c r="AB735" s="35"/>
      <c r="AC735" s="35"/>
      <c r="AD735" s="35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</row>
    <row r="736" spans="1:65" ht="13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35"/>
      <c r="Y736" s="17"/>
      <c r="Z736" s="17"/>
      <c r="AA736" s="17"/>
      <c r="AB736" s="35"/>
      <c r="AC736" s="35"/>
      <c r="AD736" s="35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</row>
    <row r="737" spans="1:65" ht="13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35"/>
      <c r="Y737" s="17"/>
      <c r="Z737" s="17"/>
      <c r="AA737" s="17"/>
      <c r="AB737" s="35"/>
      <c r="AC737" s="35"/>
      <c r="AD737" s="35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</row>
    <row r="738" spans="1:65" ht="13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35"/>
      <c r="Y738" s="17"/>
      <c r="Z738" s="17"/>
      <c r="AA738" s="17"/>
      <c r="AB738" s="35"/>
      <c r="AC738" s="35"/>
      <c r="AD738" s="35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</row>
    <row r="739" spans="1:65" ht="13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35"/>
      <c r="Y739" s="17"/>
      <c r="Z739" s="17"/>
      <c r="AA739" s="17"/>
      <c r="AB739" s="35"/>
      <c r="AC739" s="35"/>
      <c r="AD739" s="35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</row>
    <row r="740" spans="1:65" ht="13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35"/>
      <c r="Y740" s="17"/>
      <c r="Z740" s="17"/>
      <c r="AA740" s="17"/>
      <c r="AB740" s="35"/>
      <c r="AC740" s="35"/>
      <c r="AD740" s="35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</row>
    <row r="741" spans="1:65" ht="13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35"/>
      <c r="Y741" s="17"/>
      <c r="Z741" s="17"/>
      <c r="AA741" s="17"/>
      <c r="AB741" s="35"/>
      <c r="AC741" s="35"/>
      <c r="AD741" s="35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</row>
    <row r="742" spans="1:65" ht="13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35"/>
      <c r="Y742" s="17"/>
      <c r="Z742" s="17"/>
      <c r="AA742" s="17"/>
      <c r="AB742" s="35"/>
      <c r="AC742" s="35"/>
      <c r="AD742" s="35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</row>
    <row r="743" spans="1:65" ht="1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35"/>
      <c r="Y743" s="17"/>
      <c r="Z743" s="17"/>
      <c r="AA743" s="17"/>
      <c r="AB743" s="35"/>
      <c r="AC743" s="35"/>
      <c r="AD743" s="35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</row>
    <row r="744" spans="1:65" ht="13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35"/>
      <c r="Y744" s="17"/>
      <c r="Z744" s="17"/>
      <c r="AA744" s="17"/>
      <c r="AB744" s="35"/>
      <c r="AC744" s="35"/>
      <c r="AD744" s="35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</row>
    <row r="745" spans="1:65" ht="13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35"/>
      <c r="Y745" s="17"/>
      <c r="Z745" s="17"/>
      <c r="AA745" s="17"/>
      <c r="AB745" s="35"/>
      <c r="AC745" s="35"/>
      <c r="AD745" s="35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</row>
    <row r="746" spans="1:65" ht="13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35"/>
      <c r="Y746" s="17"/>
      <c r="Z746" s="17"/>
      <c r="AA746" s="17"/>
      <c r="AB746" s="35"/>
      <c r="AC746" s="35"/>
      <c r="AD746" s="35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</row>
    <row r="747" spans="1:65" ht="13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35"/>
      <c r="Y747" s="17"/>
      <c r="Z747" s="17"/>
      <c r="AA747" s="17"/>
      <c r="AB747" s="35"/>
      <c r="AC747" s="35"/>
      <c r="AD747" s="35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</row>
    <row r="748" spans="1:65" ht="13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35"/>
      <c r="Y748" s="17"/>
      <c r="Z748" s="17"/>
      <c r="AA748" s="17"/>
      <c r="AB748" s="35"/>
      <c r="AC748" s="35"/>
      <c r="AD748" s="35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</row>
    <row r="749" spans="1:65" ht="13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35"/>
      <c r="Y749" s="17"/>
      <c r="Z749" s="17"/>
      <c r="AA749" s="17"/>
      <c r="AB749" s="35"/>
      <c r="AC749" s="35"/>
      <c r="AD749" s="35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</row>
    <row r="750" spans="1:65" ht="13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35"/>
      <c r="Y750" s="17"/>
      <c r="Z750" s="17"/>
      <c r="AA750" s="17"/>
      <c r="AB750" s="35"/>
      <c r="AC750" s="35"/>
      <c r="AD750" s="35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</row>
    <row r="751" spans="1:65" ht="13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35"/>
      <c r="Y751" s="17"/>
      <c r="Z751" s="17"/>
      <c r="AA751" s="17"/>
      <c r="AB751" s="35"/>
      <c r="AC751" s="35"/>
      <c r="AD751" s="35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</row>
    <row r="752" spans="1:65" ht="13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35"/>
      <c r="Y752" s="17"/>
      <c r="Z752" s="17"/>
      <c r="AA752" s="17"/>
      <c r="AB752" s="35"/>
      <c r="AC752" s="35"/>
      <c r="AD752" s="35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</row>
    <row r="753" spans="1:65" ht="1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35"/>
      <c r="Y753" s="17"/>
      <c r="Z753" s="17"/>
      <c r="AA753" s="17"/>
      <c r="AB753" s="35"/>
      <c r="AC753" s="35"/>
      <c r="AD753" s="35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</row>
    <row r="754" spans="1:65" ht="13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35"/>
      <c r="Y754" s="17"/>
      <c r="Z754" s="17"/>
      <c r="AA754" s="17"/>
      <c r="AB754" s="35"/>
      <c r="AC754" s="35"/>
      <c r="AD754" s="35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</row>
    <row r="755" spans="1:65" ht="13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35"/>
      <c r="Y755" s="17"/>
      <c r="Z755" s="17"/>
      <c r="AA755" s="17"/>
      <c r="AB755" s="35"/>
      <c r="AC755" s="35"/>
      <c r="AD755" s="35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</row>
    <row r="756" spans="1:65" ht="13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35"/>
      <c r="Y756" s="17"/>
      <c r="Z756" s="17"/>
      <c r="AA756" s="17"/>
      <c r="AB756" s="35"/>
      <c r="AC756" s="35"/>
      <c r="AD756" s="35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</row>
    <row r="757" spans="1:65" ht="13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35"/>
      <c r="Y757" s="17"/>
      <c r="Z757" s="17"/>
      <c r="AA757" s="17"/>
      <c r="AB757" s="35"/>
      <c r="AC757" s="35"/>
      <c r="AD757" s="35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</row>
    <row r="758" spans="1:65" ht="13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35"/>
      <c r="Y758" s="17"/>
      <c r="Z758" s="17"/>
      <c r="AA758" s="17"/>
      <c r="AB758" s="35"/>
      <c r="AC758" s="35"/>
      <c r="AD758" s="35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</row>
    <row r="759" spans="1:65" ht="13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35"/>
      <c r="Y759" s="17"/>
      <c r="Z759" s="17"/>
      <c r="AA759" s="17"/>
      <c r="AB759" s="35"/>
      <c r="AC759" s="35"/>
      <c r="AD759" s="35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</row>
    <row r="760" spans="1:65" ht="13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35"/>
      <c r="Y760" s="17"/>
      <c r="Z760" s="17"/>
      <c r="AA760" s="17"/>
      <c r="AB760" s="35"/>
      <c r="AC760" s="35"/>
      <c r="AD760" s="35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</row>
    <row r="761" spans="1:65" ht="13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35"/>
      <c r="Y761" s="17"/>
      <c r="Z761" s="17"/>
      <c r="AA761" s="17"/>
      <c r="AB761" s="35"/>
      <c r="AC761" s="35"/>
      <c r="AD761" s="35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</row>
    <row r="762" spans="1:65" ht="13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35"/>
      <c r="Y762" s="17"/>
      <c r="Z762" s="17"/>
      <c r="AA762" s="17"/>
      <c r="AB762" s="35"/>
      <c r="AC762" s="35"/>
      <c r="AD762" s="35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</row>
    <row r="763" spans="1:65" ht="1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35"/>
      <c r="Y763" s="17"/>
      <c r="Z763" s="17"/>
      <c r="AA763" s="17"/>
      <c r="AB763" s="35"/>
      <c r="AC763" s="35"/>
      <c r="AD763" s="35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</row>
    <row r="764" spans="1:65" ht="13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35"/>
      <c r="Y764" s="17"/>
      <c r="Z764" s="17"/>
      <c r="AA764" s="17"/>
      <c r="AB764" s="35"/>
      <c r="AC764" s="35"/>
      <c r="AD764" s="35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</row>
    <row r="765" spans="1:65" ht="13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35"/>
      <c r="Y765" s="17"/>
      <c r="Z765" s="17"/>
      <c r="AA765" s="17"/>
      <c r="AB765" s="35"/>
      <c r="AC765" s="35"/>
      <c r="AD765" s="35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</row>
    <row r="766" spans="1:65" ht="13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35"/>
      <c r="Y766" s="17"/>
      <c r="Z766" s="17"/>
      <c r="AA766" s="17"/>
      <c r="AB766" s="35"/>
      <c r="AC766" s="35"/>
      <c r="AD766" s="35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</row>
    <row r="767" spans="1:65" ht="13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35"/>
      <c r="Y767" s="17"/>
      <c r="Z767" s="17"/>
      <c r="AA767" s="17"/>
      <c r="AB767" s="35"/>
      <c r="AC767" s="35"/>
      <c r="AD767" s="35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</row>
    <row r="768" spans="1:65" ht="13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35"/>
      <c r="Y768" s="17"/>
      <c r="Z768" s="17"/>
      <c r="AA768" s="17"/>
      <c r="AB768" s="35"/>
      <c r="AC768" s="35"/>
      <c r="AD768" s="35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</row>
    <row r="769" spans="1:65" ht="13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35"/>
      <c r="Y769" s="17"/>
      <c r="Z769" s="17"/>
      <c r="AA769" s="17"/>
      <c r="AB769" s="35"/>
      <c r="AC769" s="35"/>
      <c r="AD769" s="35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</row>
    <row r="770" spans="1:65" ht="13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35"/>
      <c r="Y770" s="17"/>
      <c r="Z770" s="17"/>
      <c r="AA770" s="17"/>
      <c r="AB770" s="35"/>
      <c r="AC770" s="35"/>
      <c r="AD770" s="35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</row>
    <row r="771" spans="1:65" ht="13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35"/>
      <c r="Y771" s="17"/>
      <c r="Z771" s="17"/>
      <c r="AA771" s="17"/>
      <c r="AB771" s="35"/>
      <c r="AC771" s="35"/>
      <c r="AD771" s="35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</row>
    <row r="772" spans="1:65" ht="13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35"/>
      <c r="Y772" s="17"/>
      <c r="Z772" s="17"/>
      <c r="AA772" s="17"/>
      <c r="AB772" s="35"/>
      <c r="AC772" s="35"/>
      <c r="AD772" s="35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</row>
    <row r="773" spans="1:65" ht="1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35"/>
      <c r="Y773" s="17"/>
      <c r="Z773" s="17"/>
      <c r="AA773" s="17"/>
      <c r="AB773" s="35"/>
      <c r="AC773" s="35"/>
      <c r="AD773" s="35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</row>
    <row r="774" spans="1:65" ht="13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35"/>
      <c r="Y774" s="17"/>
      <c r="Z774" s="17"/>
      <c r="AA774" s="17"/>
      <c r="AB774" s="35"/>
      <c r="AC774" s="35"/>
      <c r="AD774" s="35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</row>
    <row r="775" spans="1:65" ht="13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35"/>
      <c r="Y775" s="17"/>
      <c r="Z775" s="17"/>
      <c r="AA775" s="17"/>
      <c r="AB775" s="35"/>
      <c r="AC775" s="35"/>
      <c r="AD775" s="35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</row>
    <row r="776" spans="1:65" ht="13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35"/>
      <c r="Y776" s="17"/>
      <c r="Z776" s="17"/>
      <c r="AA776" s="17"/>
      <c r="AB776" s="35"/>
      <c r="AC776" s="35"/>
      <c r="AD776" s="35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</row>
    <row r="777" spans="1:65" ht="13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35"/>
      <c r="Y777" s="17"/>
      <c r="Z777" s="17"/>
      <c r="AA777" s="17"/>
      <c r="AB777" s="35"/>
      <c r="AC777" s="35"/>
      <c r="AD777" s="35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</row>
    <row r="778" spans="1:65" ht="13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35"/>
      <c r="Y778" s="17"/>
      <c r="Z778" s="17"/>
      <c r="AA778" s="17"/>
      <c r="AB778" s="35"/>
      <c r="AC778" s="35"/>
      <c r="AD778" s="35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</row>
    <row r="779" spans="1:65" ht="13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35"/>
      <c r="Y779" s="17"/>
      <c r="Z779" s="17"/>
      <c r="AA779" s="17"/>
      <c r="AB779" s="35"/>
      <c r="AC779" s="35"/>
      <c r="AD779" s="35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</row>
    <row r="780" spans="1:65" ht="13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35"/>
      <c r="Y780" s="17"/>
      <c r="Z780" s="17"/>
      <c r="AA780" s="17"/>
      <c r="AB780" s="35"/>
      <c r="AC780" s="35"/>
      <c r="AD780" s="35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</row>
    <row r="781" spans="1:65" ht="13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35"/>
      <c r="Y781" s="17"/>
      <c r="Z781" s="17"/>
      <c r="AA781" s="17"/>
      <c r="AB781" s="35"/>
      <c r="AC781" s="35"/>
      <c r="AD781" s="35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</row>
    <row r="782" spans="1:65" ht="13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35"/>
      <c r="Y782" s="17"/>
      <c r="Z782" s="17"/>
      <c r="AA782" s="17"/>
      <c r="AB782" s="35"/>
      <c r="AC782" s="35"/>
      <c r="AD782" s="35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</row>
    <row r="783" spans="1:65" ht="1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35"/>
      <c r="Y783" s="17"/>
      <c r="Z783" s="17"/>
      <c r="AA783" s="17"/>
      <c r="AB783" s="35"/>
      <c r="AC783" s="35"/>
      <c r="AD783" s="35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</row>
    <row r="784" spans="1:65" ht="13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35"/>
      <c r="Y784" s="17"/>
      <c r="Z784" s="17"/>
      <c r="AA784" s="17"/>
      <c r="AB784" s="35"/>
      <c r="AC784" s="35"/>
      <c r="AD784" s="35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</row>
    <row r="785" spans="1:65" ht="13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35"/>
      <c r="Y785" s="17"/>
      <c r="Z785" s="17"/>
      <c r="AA785" s="17"/>
      <c r="AB785" s="35"/>
      <c r="AC785" s="35"/>
      <c r="AD785" s="35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</row>
    <row r="786" spans="1:65" ht="13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35"/>
      <c r="Y786" s="17"/>
      <c r="Z786" s="17"/>
      <c r="AA786" s="17"/>
      <c r="AB786" s="35"/>
      <c r="AC786" s="35"/>
      <c r="AD786" s="35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</row>
    <row r="787" spans="1:65" ht="13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35"/>
      <c r="Y787" s="17"/>
      <c r="Z787" s="17"/>
      <c r="AA787" s="17"/>
      <c r="AB787" s="35"/>
      <c r="AC787" s="35"/>
      <c r="AD787" s="35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</row>
    <row r="788" spans="1:65" ht="13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35"/>
      <c r="Y788" s="17"/>
      <c r="Z788" s="17"/>
      <c r="AA788" s="17"/>
      <c r="AB788" s="35"/>
      <c r="AC788" s="35"/>
      <c r="AD788" s="35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</row>
    <row r="789" spans="1:65" ht="13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35"/>
      <c r="Y789" s="17"/>
      <c r="Z789" s="17"/>
      <c r="AA789" s="17"/>
      <c r="AB789" s="35"/>
      <c r="AC789" s="35"/>
      <c r="AD789" s="35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</row>
    <row r="790" spans="1:65" ht="13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35"/>
      <c r="Y790" s="17"/>
      <c r="Z790" s="17"/>
      <c r="AA790" s="17"/>
      <c r="AB790" s="35"/>
      <c r="AC790" s="35"/>
      <c r="AD790" s="35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</row>
    <row r="791" spans="1:65" ht="13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35"/>
      <c r="Y791" s="17"/>
      <c r="Z791" s="17"/>
      <c r="AA791" s="17"/>
      <c r="AB791" s="35"/>
      <c r="AC791" s="35"/>
      <c r="AD791" s="35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</row>
    <row r="792" spans="1:65" ht="13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35"/>
      <c r="Y792" s="17"/>
      <c r="Z792" s="17"/>
      <c r="AA792" s="17"/>
      <c r="AB792" s="35"/>
      <c r="AC792" s="35"/>
      <c r="AD792" s="35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</row>
    <row r="793" spans="1:65" ht="1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35"/>
      <c r="Y793" s="17"/>
      <c r="Z793" s="17"/>
      <c r="AA793" s="17"/>
      <c r="AB793" s="35"/>
      <c r="AC793" s="35"/>
      <c r="AD793" s="35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</row>
    <row r="794" spans="1:65" ht="13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35"/>
      <c r="Y794" s="17"/>
      <c r="Z794" s="17"/>
      <c r="AA794" s="17"/>
      <c r="AB794" s="35"/>
      <c r="AC794" s="35"/>
      <c r="AD794" s="35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</row>
    <row r="795" spans="1:65" ht="13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35"/>
      <c r="Y795" s="17"/>
      <c r="Z795" s="17"/>
      <c r="AA795" s="17"/>
      <c r="AB795" s="35"/>
      <c r="AC795" s="35"/>
      <c r="AD795" s="35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</row>
    <row r="796" spans="1:65" ht="13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35"/>
      <c r="Y796" s="17"/>
      <c r="Z796" s="17"/>
      <c r="AA796" s="17"/>
      <c r="AB796" s="35"/>
      <c r="AC796" s="35"/>
      <c r="AD796" s="35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</row>
    <row r="797" spans="1:65" ht="13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35"/>
      <c r="Y797" s="17"/>
      <c r="Z797" s="17"/>
      <c r="AA797" s="17"/>
      <c r="AB797" s="35"/>
      <c r="AC797" s="35"/>
      <c r="AD797" s="35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</row>
    <row r="798" spans="1:65" ht="13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35"/>
      <c r="Y798" s="17"/>
      <c r="Z798" s="17"/>
      <c r="AA798" s="17"/>
      <c r="AB798" s="35"/>
      <c r="AC798" s="35"/>
      <c r="AD798" s="35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</row>
    <row r="799" spans="1:65" ht="13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35"/>
      <c r="Y799" s="17"/>
      <c r="Z799" s="17"/>
      <c r="AA799" s="17"/>
      <c r="AB799" s="35"/>
      <c r="AC799" s="35"/>
      <c r="AD799" s="35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</row>
    <row r="800" spans="1:65" ht="13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35"/>
      <c r="Y800" s="17"/>
      <c r="Z800" s="17"/>
      <c r="AA800" s="17"/>
      <c r="AB800" s="35"/>
      <c r="AC800" s="35"/>
      <c r="AD800" s="35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</row>
    <row r="801" spans="1:65" ht="13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35"/>
      <c r="Y801" s="17"/>
      <c r="Z801" s="17"/>
      <c r="AA801" s="17"/>
      <c r="AB801" s="35"/>
      <c r="AC801" s="35"/>
      <c r="AD801" s="35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</row>
    <row r="802" spans="1:65" ht="13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35"/>
      <c r="Y802" s="17"/>
      <c r="Z802" s="17"/>
      <c r="AA802" s="17"/>
      <c r="AB802" s="35"/>
      <c r="AC802" s="35"/>
      <c r="AD802" s="35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</row>
    <row r="803" spans="1:65" ht="1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35"/>
      <c r="Y803" s="17"/>
      <c r="Z803" s="17"/>
      <c r="AA803" s="17"/>
      <c r="AB803" s="35"/>
      <c r="AC803" s="35"/>
      <c r="AD803" s="35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</row>
    <row r="804" spans="1:65" ht="13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35"/>
      <c r="Y804" s="17"/>
      <c r="Z804" s="17"/>
      <c r="AA804" s="17"/>
      <c r="AB804" s="35"/>
      <c r="AC804" s="35"/>
      <c r="AD804" s="35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</row>
    <row r="805" spans="1:65" ht="13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35"/>
      <c r="Y805" s="17"/>
      <c r="Z805" s="17"/>
      <c r="AA805" s="17"/>
      <c r="AB805" s="35"/>
      <c r="AC805" s="35"/>
      <c r="AD805" s="35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</row>
    <row r="806" spans="1:65" ht="13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35"/>
      <c r="Y806" s="17"/>
      <c r="Z806" s="17"/>
      <c r="AA806" s="17"/>
      <c r="AB806" s="35"/>
      <c r="AC806" s="35"/>
      <c r="AD806" s="35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</row>
    <row r="807" spans="1:65" ht="13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35"/>
      <c r="Y807" s="17"/>
      <c r="Z807" s="17"/>
      <c r="AA807" s="17"/>
      <c r="AB807" s="35"/>
      <c r="AC807" s="35"/>
      <c r="AD807" s="35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</row>
    <row r="808" spans="1:65" ht="13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35"/>
      <c r="Y808" s="17"/>
      <c r="Z808" s="17"/>
      <c r="AA808" s="17"/>
      <c r="AB808" s="35"/>
      <c r="AC808" s="35"/>
      <c r="AD808" s="35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</row>
    <row r="809" spans="1:65" ht="13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35"/>
      <c r="Y809" s="17"/>
      <c r="Z809" s="17"/>
      <c r="AA809" s="17"/>
      <c r="AB809" s="35"/>
      <c r="AC809" s="35"/>
      <c r="AD809" s="35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</row>
    <row r="810" spans="1:65" ht="13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35"/>
      <c r="Y810" s="17"/>
      <c r="Z810" s="17"/>
      <c r="AA810" s="17"/>
      <c r="AB810" s="35"/>
      <c r="AC810" s="35"/>
      <c r="AD810" s="35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</row>
    <row r="811" spans="1:65" ht="13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35"/>
      <c r="Y811" s="17"/>
      <c r="Z811" s="17"/>
      <c r="AA811" s="17"/>
      <c r="AB811" s="35"/>
      <c r="AC811" s="35"/>
      <c r="AD811" s="35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</row>
    <row r="812" spans="1:65" ht="13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35"/>
      <c r="Y812" s="17"/>
      <c r="Z812" s="17"/>
      <c r="AA812" s="17"/>
      <c r="AB812" s="35"/>
      <c r="AC812" s="35"/>
      <c r="AD812" s="35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</row>
    <row r="813" spans="1:65" ht="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35"/>
      <c r="Y813" s="17"/>
      <c r="Z813" s="17"/>
      <c r="AA813" s="17"/>
      <c r="AB813" s="35"/>
      <c r="AC813" s="35"/>
      <c r="AD813" s="35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</row>
    <row r="814" spans="1:65" ht="13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35"/>
      <c r="Y814" s="17"/>
      <c r="Z814" s="17"/>
      <c r="AA814" s="17"/>
      <c r="AB814" s="35"/>
      <c r="AC814" s="35"/>
      <c r="AD814" s="35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</row>
    <row r="815" spans="1:65" ht="13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35"/>
      <c r="Y815" s="17"/>
      <c r="Z815" s="17"/>
      <c r="AA815" s="17"/>
      <c r="AB815" s="35"/>
      <c r="AC815" s="35"/>
      <c r="AD815" s="35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</row>
    <row r="816" spans="1:65" ht="13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35"/>
      <c r="Y816" s="17"/>
      <c r="Z816" s="17"/>
      <c r="AA816" s="17"/>
      <c r="AB816" s="35"/>
      <c r="AC816" s="35"/>
      <c r="AD816" s="35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</row>
    <row r="817" spans="1:65" ht="13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35"/>
      <c r="Y817" s="17"/>
      <c r="Z817" s="17"/>
      <c r="AA817" s="17"/>
      <c r="AB817" s="35"/>
      <c r="AC817" s="35"/>
      <c r="AD817" s="35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</row>
    <row r="818" spans="1:65" ht="13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35"/>
      <c r="Y818" s="17"/>
      <c r="Z818" s="17"/>
      <c r="AA818" s="17"/>
      <c r="AB818" s="35"/>
      <c r="AC818" s="35"/>
      <c r="AD818" s="35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</row>
    <row r="819" spans="1:65" ht="13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35"/>
      <c r="Y819" s="17"/>
      <c r="Z819" s="17"/>
      <c r="AA819" s="17"/>
      <c r="AB819" s="35"/>
      <c r="AC819" s="35"/>
      <c r="AD819" s="35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</row>
    <row r="820" spans="1:65" ht="13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35"/>
      <c r="Y820" s="17"/>
      <c r="Z820" s="17"/>
      <c r="AA820" s="17"/>
      <c r="AB820" s="35"/>
      <c r="AC820" s="35"/>
      <c r="AD820" s="35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</row>
    <row r="821" spans="1:65" ht="13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35"/>
      <c r="Y821" s="17"/>
      <c r="Z821" s="17"/>
      <c r="AA821" s="17"/>
      <c r="AB821" s="35"/>
      <c r="AC821" s="35"/>
      <c r="AD821" s="35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</row>
    <row r="822" spans="1:65" ht="13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35"/>
      <c r="Y822" s="17"/>
      <c r="Z822" s="17"/>
      <c r="AA822" s="17"/>
      <c r="AB822" s="35"/>
      <c r="AC822" s="35"/>
      <c r="AD822" s="35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</row>
    <row r="823" spans="1:65" ht="1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35"/>
      <c r="Y823" s="17"/>
      <c r="Z823" s="17"/>
      <c r="AA823" s="17"/>
      <c r="AB823" s="35"/>
      <c r="AC823" s="35"/>
      <c r="AD823" s="35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</row>
    <row r="824" spans="1:65" ht="13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35"/>
      <c r="Y824" s="17"/>
      <c r="Z824" s="17"/>
      <c r="AA824" s="17"/>
      <c r="AB824" s="35"/>
      <c r="AC824" s="35"/>
      <c r="AD824" s="35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</row>
    <row r="825" spans="1:65" ht="13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35"/>
      <c r="Y825" s="17"/>
      <c r="Z825" s="17"/>
      <c r="AA825" s="17"/>
      <c r="AB825" s="35"/>
      <c r="AC825" s="35"/>
      <c r="AD825" s="35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</row>
    <row r="826" spans="1:65" ht="13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35"/>
      <c r="Y826" s="17"/>
      <c r="Z826" s="17"/>
      <c r="AA826" s="17"/>
      <c r="AB826" s="35"/>
      <c r="AC826" s="35"/>
      <c r="AD826" s="35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</row>
    <row r="827" spans="1:65" ht="13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35"/>
      <c r="Y827" s="17"/>
      <c r="Z827" s="17"/>
      <c r="AA827" s="17"/>
      <c r="AB827" s="35"/>
      <c r="AC827" s="35"/>
      <c r="AD827" s="35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</row>
    <row r="828" spans="1:65" ht="13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35"/>
      <c r="Y828" s="17"/>
      <c r="Z828" s="17"/>
      <c r="AA828" s="17"/>
      <c r="AB828" s="35"/>
      <c r="AC828" s="35"/>
      <c r="AD828" s="35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</row>
    <row r="829" spans="1:65" ht="13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35"/>
      <c r="Y829" s="17"/>
      <c r="Z829" s="17"/>
      <c r="AA829" s="17"/>
      <c r="AB829" s="35"/>
      <c r="AC829" s="35"/>
      <c r="AD829" s="35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</row>
    <row r="830" spans="1:65" ht="13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35"/>
      <c r="Y830" s="17"/>
      <c r="Z830" s="17"/>
      <c r="AA830" s="17"/>
      <c r="AB830" s="35"/>
      <c r="AC830" s="35"/>
      <c r="AD830" s="35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</row>
    <row r="831" spans="1:65" ht="13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35"/>
      <c r="Y831" s="17"/>
      <c r="Z831" s="17"/>
      <c r="AA831" s="17"/>
      <c r="AB831" s="35"/>
      <c r="AC831" s="35"/>
      <c r="AD831" s="35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</row>
    <row r="832" spans="1:65" ht="13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35"/>
      <c r="Y832" s="17"/>
      <c r="Z832" s="17"/>
      <c r="AA832" s="17"/>
      <c r="AB832" s="35"/>
      <c r="AC832" s="35"/>
      <c r="AD832" s="35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</row>
    <row r="833" spans="1:65" ht="1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35"/>
      <c r="Y833" s="17"/>
      <c r="Z833" s="17"/>
      <c r="AA833" s="17"/>
      <c r="AB833" s="35"/>
      <c r="AC833" s="35"/>
      <c r="AD833" s="35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</row>
    <row r="834" spans="1:65" ht="13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35"/>
      <c r="Y834" s="17"/>
      <c r="Z834" s="17"/>
      <c r="AA834" s="17"/>
      <c r="AB834" s="35"/>
      <c r="AC834" s="35"/>
      <c r="AD834" s="35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</row>
    <row r="835" spans="1:65" ht="13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35"/>
      <c r="Y835" s="17"/>
      <c r="Z835" s="17"/>
      <c r="AA835" s="17"/>
      <c r="AB835" s="35"/>
      <c r="AC835" s="35"/>
      <c r="AD835" s="35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</row>
    <row r="836" spans="1:65" ht="13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35"/>
      <c r="Y836" s="17"/>
      <c r="Z836" s="17"/>
      <c r="AA836" s="17"/>
      <c r="AB836" s="35"/>
      <c r="AC836" s="35"/>
      <c r="AD836" s="35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</row>
    <row r="837" spans="1:65" ht="13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35"/>
      <c r="Y837" s="17"/>
      <c r="Z837" s="17"/>
      <c r="AA837" s="17"/>
      <c r="AB837" s="35"/>
      <c r="AC837" s="35"/>
      <c r="AD837" s="35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</row>
    <row r="838" spans="1:65" ht="13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35"/>
      <c r="Y838" s="17"/>
      <c r="Z838" s="17"/>
      <c r="AA838" s="17"/>
      <c r="AB838" s="35"/>
      <c r="AC838" s="35"/>
      <c r="AD838" s="35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</row>
    <row r="839" spans="1:65" ht="13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35"/>
      <c r="Y839" s="17"/>
      <c r="Z839" s="17"/>
      <c r="AA839" s="17"/>
      <c r="AB839" s="35"/>
      <c r="AC839" s="35"/>
      <c r="AD839" s="35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</row>
    <row r="840" spans="1:65" ht="13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35"/>
      <c r="Y840" s="17"/>
      <c r="Z840" s="17"/>
      <c r="AA840" s="17"/>
      <c r="AB840" s="35"/>
      <c r="AC840" s="35"/>
      <c r="AD840" s="35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</row>
    <row r="841" spans="1:65" ht="13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35"/>
      <c r="Y841" s="17"/>
      <c r="Z841" s="17"/>
      <c r="AA841" s="17"/>
      <c r="AB841" s="35"/>
      <c r="AC841" s="35"/>
      <c r="AD841" s="35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</row>
    <row r="842" spans="1:65" ht="13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35"/>
      <c r="Y842" s="17"/>
      <c r="Z842" s="17"/>
      <c r="AA842" s="17"/>
      <c r="AB842" s="35"/>
      <c r="AC842" s="35"/>
      <c r="AD842" s="35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</row>
    <row r="843" spans="1:65" ht="1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35"/>
      <c r="Y843" s="17"/>
      <c r="Z843" s="17"/>
      <c r="AA843" s="17"/>
      <c r="AB843" s="35"/>
      <c r="AC843" s="35"/>
      <c r="AD843" s="35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</row>
    <row r="844" spans="1:65" ht="13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35"/>
      <c r="Y844" s="17"/>
      <c r="Z844" s="17"/>
      <c r="AA844" s="17"/>
      <c r="AB844" s="35"/>
      <c r="AC844" s="35"/>
      <c r="AD844" s="35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</row>
    <row r="845" spans="1:65" ht="13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35"/>
      <c r="Y845" s="17"/>
      <c r="Z845" s="17"/>
      <c r="AA845" s="17"/>
      <c r="AB845" s="35"/>
      <c r="AC845" s="35"/>
      <c r="AD845" s="35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</row>
    <row r="846" spans="1:65" ht="13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35"/>
      <c r="Y846" s="17"/>
      <c r="Z846" s="17"/>
      <c r="AA846" s="17"/>
      <c r="AB846" s="35"/>
      <c r="AC846" s="35"/>
      <c r="AD846" s="35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</row>
    <row r="847" spans="1:65" ht="13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35"/>
      <c r="Y847" s="17"/>
      <c r="Z847" s="17"/>
      <c r="AA847" s="17"/>
      <c r="AB847" s="35"/>
      <c r="AC847" s="35"/>
      <c r="AD847" s="35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</row>
    <row r="848" spans="1:65" ht="13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35"/>
      <c r="Y848" s="17"/>
      <c r="Z848" s="17"/>
      <c r="AA848" s="17"/>
      <c r="AB848" s="35"/>
      <c r="AC848" s="35"/>
      <c r="AD848" s="35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</row>
    <row r="849" spans="1:65" ht="13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35"/>
      <c r="Y849" s="17"/>
      <c r="Z849" s="17"/>
      <c r="AA849" s="17"/>
      <c r="AB849" s="35"/>
      <c r="AC849" s="35"/>
      <c r="AD849" s="35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</row>
    <row r="850" spans="1:65" ht="13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35"/>
      <c r="Y850" s="17"/>
      <c r="Z850" s="17"/>
      <c r="AA850" s="17"/>
      <c r="AB850" s="35"/>
      <c r="AC850" s="35"/>
      <c r="AD850" s="35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</row>
    <row r="851" spans="1:65" ht="13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35"/>
      <c r="Y851" s="17"/>
      <c r="Z851" s="17"/>
      <c r="AA851" s="17"/>
      <c r="AB851" s="35"/>
      <c r="AC851" s="35"/>
      <c r="AD851" s="35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</row>
    <row r="852" spans="1:65" ht="13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35"/>
      <c r="Y852" s="17"/>
      <c r="Z852" s="17"/>
      <c r="AA852" s="17"/>
      <c r="AB852" s="35"/>
      <c r="AC852" s="35"/>
      <c r="AD852" s="35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</row>
    <row r="853" spans="1:65" ht="1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35"/>
      <c r="Y853" s="17"/>
      <c r="Z853" s="17"/>
      <c r="AA853" s="17"/>
      <c r="AB853" s="35"/>
      <c r="AC853" s="35"/>
      <c r="AD853" s="35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</row>
    <row r="854" spans="1:65" ht="13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35"/>
      <c r="Y854" s="17"/>
      <c r="Z854" s="17"/>
      <c r="AA854" s="17"/>
      <c r="AB854" s="35"/>
      <c r="AC854" s="35"/>
      <c r="AD854" s="35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</row>
    <row r="855" spans="1:65" ht="13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35"/>
      <c r="Y855" s="17"/>
      <c r="Z855" s="17"/>
      <c r="AA855" s="17"/>
      <c r="AB855" s="35"/>
      <c r="AC855" s="35"/>
      <c r="AD855" s="35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</row>
    <row r="856" spans="1:65" ht="13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35"/>
      <c r="Y856" s="17"/>
      <c r="Z856" s="17"/>
      <c r="AA856" s="17"/>
      <c r="AB856" s="35"/>
      <c r="AC856" s="35"/>
      <c r="AD856" s="35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</row>
    <row r="857" spans="1:65" ht="13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35"/>
      <c r="Y857" s="17"/>
      <c r="Z857" s="17"/>
      <c r="AA857" s="17"/>
      <c r="AB857" s="35"/>
      <c r="AC857" s="35"/>
      <c r="AD857" s="35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</row>
    <row r="858" spans="1:65" ht="13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35"/>
      <c r="Y858" s="17"/>
      <c r="Z858" s="17"/>
      <c r="AA858" s="17"/>
      <c r="AB858" s="35"/>
      <c r="AC858" s="35"/>
      <c r="AD858" s="35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</row>
    <row r="859" spans="1:65" ht="13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35"/>
      <c r="Y859" s="17"/>
      <c r="Z859" s="17"/>
      <c r="AA859" s="17"/>
      <c r="AB859" s="35"/>
      <c r="AC859" s="35"/>
      <c r="AD859" s="35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</row>
    <row r="860" spans="1:65" ht="13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35"/>
      <c r="Y860" s="17"/>
      <c r="Z860" s="17"/>
      <c r="AA860" s="17"/>
      <c r="AB860" s="35"/>
      <c r="AC860" s="35"/>
      <c r="AD860" s="35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</row>
    <row r="861" spans="1:65" ht="13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35"/>
      <c r="Y861" s="17"/>
      <c r="Z861" s="17"/>
      <c r="AA861" s="17"/>
      <c r="AB861" s="35"/>
      <c r="AC861" s="35"/>
      <c r="AD861" s="35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</row>
    <row r="862" spans="1:65" ht="13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35"/>
      <c r="Y862" s="17"/>
      <c r="Z862" s="17"/>
      <c r="AA862" s="17"/>
      <c r="AB862" s="35"/>
      <c r="AC862" s="35"/>
      <c r="AD862" s="35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</row>
    <row r="863" spans="1:65" ht="1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35"/>
      <c r="Y863" s="17"/>
      <c r="Z863" s="17"/>
      <c r="AA863" s="17"/>
      <c r="AB863" s="35"/>
      <c r="AC863" s="35"/>
      <c r="AD863" s="35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</row>
    <row r="864" spans="1:65" ht="13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35"/>
      <c r="Y864" s="17"/>
      <c r="Z864" s="17"/>
      <c r="AA864" s="17"/>
      <c r="AB864" s="35"/>
      <c r="AC864" s="35"/>
      <c r="AD864" s="35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</row>
    <row r="865" spans="1:65" ht="13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35"/>
      <c r="Y865" s="17"/>
      <c r="Z865" s="17"/>
      <c r="AA865" s="17"/>
      <c r="AB865" s="35"/>
      <c r="AC865" s="35"/>
      <c r="AD865" s="35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</row>
    <row r="866" spans="1:65" ht="13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35"/>
      <c r="Y866" s="17"/>
      <c r="Z866" s="17"/>
      <c r="AA866" s="17"/>
      <c r="AB866" s="35"/>
      <c r="AC866" s="35"/>
      <c r="AD866" s="35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</row>
    <row r="867" spans="1:65" ht="13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35"/>
      <c r="Y867" s="17"/>
      <c r="Z867" s="17"/>
      <c r="AA867" s="17"/>
      <c r="AB867" s="35"/>
      <c r="AC867" s="35"/>
      <c r="AD867" s="35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</row>
    <row r="868" spans="1:65" ht="13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35"/>
      <c r="Y868" s="17"/>
      <c r="Z868" s="17"/>
      <c r="AA868" s="17"/>
      <c r="AB868" s="35"/>
      <c r="AC868" s="35"/>
      <c r="AD868" s="35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</row>
    <row r="869" spans="1:65" ht="13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35"/>
      <c r="Y869" s="17"/>
      <c r="Z869" s="17"/>
      <c r="AA869" s="17"/>
      <c r="AB869" s="35"/>
      <c r="AC869" s="35"/>
      <c r="AD869" s="35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</row>
    <row r="870" spans="1:65" ht="13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35"/>
      <c r="Y870" s="17"/>
      <c r="Z870" s="17"/>
      <c r="AA870" s="17"/>
      <c r="AB870" s="35"/>
      <c r="AC870" s="35"/>
      <c r="AD870" s="35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</row>
    <row r="871" spans="1:65" ht="13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35"/>
      <c r="Y871" s="17"/>
      <c r="Z871" s="17"/>
      <c r="AA871" s="17"/>
      <c r="AB871" s="35"/>
      <c r="AC871" s="35"/>
      <c r="AD871" s="35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</row>
    <row r="872" spans="1:65" ht="13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35"/>
      <c r="Y872" s="17"/>
      <c r="Z872" s="17"/>
      <c r="AA872" s="17"/>
      <c r="AB872" s="35"/>
      <c r="AC872" s="35"/>
      <c r="AD872" s="35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</row>
    <row r="873" spans="1:65" ht="1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35"/>
      <c r="Y873" s="17"/>
      <c r="Z873" s="17"/>
      <c r="AA873" s="17"/>
      <c r="AB873" s="35"/>
      <c r="AC873" s="35"/>
      <c r="AD873" s="35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</row>
    <row r="874" spans="1:65" ht="13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35"/>
      <c r="Y874" s="17"/>
      <c r="Z874" s="17"/>
      <c r="AA874" s="17"/>
      <c r="AB874" s="35"/>
      <c r="AC874" s="35"/>
      <c r="AD874" s="35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</row>
    <row r="875" spans="1:65" ht="13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35"/>
      <c r="Y875" s="17"/>
      <c r="Z875" s="17"/>
      <c r="AA875" s="17"/>
      <c r="AB875" s="35"/>
      <c r="AC875" s="35"/>
      <c r="AD875" s="35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</row>
    <row r="876" spans="1:65" ht="13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35"/>
      <c r="Y876" s="17"/>
      <c r="Z876" s="17"/>
      <c r="AA876" s="17"/>
      <c r="AB876" s="35"/>
      <c r="AC876" s="35"/>
      <c r="AD876" s="35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</row>
    <row r="877" spans="1:65" ht="13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35"/>
      <c r="Y877" s="17"/>
      <c r="Z877" s="17"/>
      <c r="AA877" s="17"/>
      <c r="AB877" s="35"/>
      <c r="AC877" s="35"/>
      <c r="AD877" s="35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</row>
    <row r="878" spans="1:65" ht="13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35"/>
      <c r="Y878" s="17"/>
      <c r="Z878" s="17"/>
      <c r="AA878" s="17"/>
      <c r="AB878" s="35"/>
      <c r="AC878" s="35"/>
      <c r="AD878" s="35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</row>
    <row r="879" spans="1:65" ht="13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35"/>
      <c r="Y879" s="17"/>
      <c r="Z879" s="17"/>
      <c r="AA879" s="17"/>
      <c r="AB879" s="35"/>
      <c r="AC879" s="35"/>
      <c r="AD879" s="35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</row>
    <row r="880" spans="1:65" ht="13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35"/>
      <c r="Y880" s="17"/>
      <c r="Z880" s="17"/>
      <c r="AA880" s="17"/>
      <c r="AB880" s="35"/>
      <c r="AC880" s="35"/>
      <c r="AD880" s="35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</row>
    <row r="881" spans="1:65" ht="13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35"/>
      <c r="Y881" s="17"/>
      <c r="Z881" s="17"/>
      <c r="AA881" s="17"/>
      <c r="AB881" s="35"/>
      <c r="AC881" s="35"/>
      <c r="AD881" s="35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</row>
    <row r="882" spans="1:65" ht="13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35"/>
      <c r="Y882" s="17"/>
      <c r="Z882" s="17"/>
      <c r="AA882" s="17"/>
      <c r="AB882" s="35"/>
      <c r="AC882" s="35"/>
      <c r="AD882" s="35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</row>
    <row r="883" spans="1:65" ht="1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35"/>
      <c r="Y883" s="17"/>
      <c r="Z883" s="17"/>
      <c r="AA883" s="17"/>
      <c r="AB883" s="35"/>
      <c r="AC883" s="35"/>
      <c r="AD883" s="35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</row>
    <row r="884" spans="1:65" ht="13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35"/>
      <c r="Y884" s="17"/>
      <c r="Z884" s="17"/>
      <c r="AA884" s="17"/>
      <c r="AB884" s="35"/>
      <c r="AC884" s="35"/>
      <c r="AD884" s="35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</row>
    <row r="885" spans="1:65" ht="13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35"/>
      <c r="Y885" s="17"/>
      <c r="Z885" s="17"/>
      <c r="AA885" s="17"/>
      <c r="AB885" s="35"/>
      <c r="AC885" s="35"/>
      <c r="AD885" s="35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</row>
    <row r="886" spans="1:65" ht="13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35"/>
      <c r="Y886" s="17"/>
      <c r="Z886" s="17"/>
      <c r="AA886" s="17"/>
      <c r="AB886" s="35"/>
      <c r="AC886" s="35"/>
      <c r="AD886" s="35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</row>
    <row r="887" spans="1:65" ht="13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35"/>
      <c r="Y887" s="17"/>
      <c r="Z887" s="17"/>
      <c r="AA887" s="17"/>
      <c r="AB887" s="35"/>
      <c r="AC887" s="35"/>
      <c r="AD887" s="35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</row>
    <row r="888" spans="1:65" ht="13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35"/>
      <c r="Y888" s="17"/>
      <c r="Z888" s="17"/>
      <c r="AA888" s="17"/>
      <c r="AB888" s="35"/>
      <c r="AC888" s="35"/>
      <c r="AD888" s="35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</row>
    <row r="889" spans="1:65" ht="13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35"/>
      <c r="Y889" s="17"/>
      <c r="Z889" s="17"/>
      <c r="AA889" s="17"/>
      <c r="AB889" s="35"/>
      <c r="AC889" s="35"/>
      <c r="AD889" s="35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</row>
    <row r="890" spans="1:65" ht="13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35"/>
      <c r="Y890" s="17"/>
      <c r="Z890" s="17"/>
      <c r="AA890" s="17"/>
      <c r="AB890" s="35"/>
      <c r="AC890" s="35"/>
      <c r="AD890" s="35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</row>
    <row r="891" spans="1:65" ht="13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35"/>
      <c r="Y891" s="17"/>
      <c r="Z891" s="17"/>
      <c r="AA891" s="17"/>
      <c r="AB891" s="35"/>
      <c r="AC891" s="35"/>
      <c r="AD891" s="35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</row>
    <row r="892" spans="1:65" ht="13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35"/>
      <c r="Y892" s="17"/>
      <c r="Z892" s="17"/>
      <c r="AA892" s="17"/>
      <c r="AB892" s="35"/>
      <c r="AC892" s="35"/>
      <c r="AD892" s="35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</row>
    <row r="893" spans="1:65" ht="1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35"/>
      <c r="Y893" s="17"/>
      <c r="Z893" s="17"/>
      <c r="AA893" s="17"/>
      <c r="AB893" s="35"/>
      <c r="AC893" s="35"/>
      <c r="AD893" s="35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</row>
    <row r="894" spans="1:65" ht="13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35"/>
      <c r="Y894" s="17"/>
      <c r="Z894" s="17"/>
      <c r="AA894" s="17"/>
      <c r="AB894" s="35"/>
      <c r="AC894" s="35"/>
      <c r="AD894" s="35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</row>
    <row r="895" spans="1:65" ht="13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35"/>
      <c r="Y895" s="17"/>
      <c r="Z895" s="17"/>
      <c r="AA895" s="17"/>
      <c r="AB895" s="35"/>
      <c r="AC895" s="35"/>
      <c r="AD895" s="35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</row>
    <row r="896" spans="1:65" ht="13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35"/>
      <c r="Y896" s="17"/>
      <c r="Z896" s="17"/>
      <c r="AA896" s="17"/>
      <c r="AB896" s="35"/>
      <c r="AC896" s="35"/>
      <c r="AD896" s="35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</row>
    <row r="897" spans="1:65" ht="13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35"/>
      <c r="Y897" s="17"/>
      <c r="Z897" s="17"/>
      <c r="AA897" s="17"/>
      <c r="AB897" s="35"/>
      <c r="AC897" s="35"/>
      <c r="AD897" s="35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</row>
    <row r="898" spans="1:65" ht="13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35"/>
      <c r="Y898" s="17"/>
      <c r="Z898" s="17"/>
      <c r="AA898" s="17"/>
      <c r="AB898" s="35"/>
      <c r="AC898" s="35"/>
      <c r="AD898" s="35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</row>
    <row r="899" spans="1:65" ht="13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35"/>
      <c r="Y899" s="17"/>
      <c r="Z899" s="17"/>
      <c r="AA899" s="17"/>
      <c r="AB899" s="35"/>
      <c r="AC899" s="35"/>
      <c r="AD899" s="35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</row>
    <row r="900" spans="1:65" ht="13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35"/>
      <c r="Y900" s="17"/>
      <c r="Z900" s="17"/>
      <c r="AA900" s="17"/>
      <c r="AB900" s="35"/>
      <c r="AC900" s="35"/>
      <c r="AD900" s="35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</row>
    <row r="901" spans="1:65" ht="13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35"/>
      <c r="Y901" s="17"/>
      <c r="Z901" s="17"/>
      <c r="AA901" s="17"/>
      <c r="AB901" s="35"/>
      <c r="AC901" s="35"/>
      <c r="AD901" s="35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</row>
    <row r="902" spans="1:65" ht="13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35"/>
      <c r="Y902" s="17"/>
      <c r="Z902" s="17"/>
      <c r="AA902" s="17"/>
      <c r="AB902" s="35"/>
      <c r="AC902" s="35"/>
      <c r="AD902" s="35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</row>
    <row r="903" spans="1:65" ht="1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35"/>
      <c r="Y903" s="17"/>
      <c r="Z903" s="17"/>
      <c r="AA903" s="17"/>
      <c r="AB903" s="35"/>
      <c r="AC903" s="35"/>
      <c r="AD903" s="35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</row>
    <row r="904" spans="1:65" ht="13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35"/>
      <c r="Y904" s="17"/>
      <c r="Z904" s="17"/>
      <c r="AA904" s="17"/>
      <c r="AB904" s="35"/>
      <c r="AC904" s="35"/>
      <c r="AD904" s="35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</row>
    <row r="905" spans="1:65" ht="13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35"/>
      <c r="Y905" s="17"/>
      <c r="Z905" s="17"/>
      <c r="AA905" s="17"/>
      <c r="AB905" s="35"/>
      <c r="AC905" s="35"/>
      <c r="AD905" s="35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</row>
    <row r="906" spans="1:65" ht="13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35"/>
      <c r="Y906" s="17"/>
      <c r="Z906" s="17"/>
      <c r="AA906" s="17"/>
      <c r="AB906" s="35"/>
      <c r="AC906" s="35"/>
      <c r="AD906" s="35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</row>
    <row r="907" spans="1:65" ht="13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35"/>
      <c r="Y907" s="17"/>
      <c r="Z907" s="17"/>
      <c r="AA907" s="17"/>
      <c r="AB907" s="35"/>
      <c r="AC907" s="35"/>
      <c r="AD907" s="35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</row>
    <row r="908" spans="1:65" ht="13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35"/>
      <c r="Y908" s="17"/>
      <c r="Z908" s="17"/>
      <c r="AA908" s="17"/>
      <c r="AB908" s="35"/>
      <c r="AC908" s="35"/>
      <c r="AD908" s="35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</row>
    <row r="909" spans="1:65" ht="13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35"/>
      <c r="Y909" s="17"/>
      <c r="Z909" s="17"/>
      <c r="AA909" s="17"/>
      <c r="AB909" s="35"/>
      <c r="AC909" s="35"/>
      <c r="AD909" s="35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</row>
    <row r="910" spans="1:65" ht="13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35"/>
      <c r="Y910" s="17"/>
      <c r="Z910" s="17"/>
      <c r="AA910" s="17"/>
      <c r="AB910" s="35"/>
      <c r="AC910" s="35"/>
      <c r="AD910" s="35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</row>
    <row r="911" spans="1:65" ht="13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35"/>
      <c r="Y911" s="17"/>
      <c r="Z911" s="17"/>
      <c r="AA911" s="17"/>
      <c r="AB911" s="35"/>
      <c r="AC911" s="35"/>
      <c r="AD911" s="35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</row>
    <row r="912" spans="1:65" ht="13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35"/>
      <c r="Y912" s="17"/>
      <c r="Z912" s="17"/>
      <c r="AA912" s="17"/>
      <c r="AB912" s="35"/>
      <c r="AC912" s="35"/>
      <c r="AD912" s="35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</row>
    <row r="913" spans="1:65" ht="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35"/>
      <c r="Y913" s="17"/>
      <c r="Z913" s="17"/>
      <c r="AA913" s="17"/>
      <c r="AB913" s="35"/>
      <c r="AC913" s="35"/>
      <c r="AD913" s="35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</row>
    <row r="914" spans="1:65" ht="13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35"/>
      <c r="Y914" s="17"/>
      <c r="Z914" s="17"/>
      <c r="AA914" s="17"/>
      <c r="AB914" s="35"/>
      <c r="AC914" s="35"/>
      <c r="AD914" s="35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</row>
    <row r="915" spans="1:65" ht="13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35"/>
      <c r="Y915" s="17"/>
      <c r="Z915" s="17"/>
      <c r="AA915" s="17"/>
      <c r="AB915" s="35"/>
      <c r="AC915" s="35"/>
      <c r="AD915" s="35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</row>
    <row r="916" spans="1:65" ht="13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35"/>
      <c r="Y916" s="17"/>
      <c r="Z916" s="17"/>
      <c r="AA916" s="17"/>
      <c r="AB916" s="35"/>
      <c r="AC916" s="35"/>
      <c r="AD916" s="35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</row>
    <row r="917" spans="1:65" ht="13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35"/>
      <c r="Y917" s="17"/>
      <c r="Z917" s="17"/>
      <c r="AA917" s="17"/>
      <c r="AB917" s="35"/>
      <c r="AC917" s="35"/>
      <c r="AD917" s="35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</row>
    <row r="918" spans="1:65" ht="13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35"/>
      <c r="Y918" s="17"/>
      <c r="Z918" s="17"/>
      <c r="AA918" s="17"/>
      <c r="AB918" s="35"/>
      <c r="AC918" s="35"/>
      <c r="AD918" s="35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</row>
    <row r="919" spans="1:65" ht="13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35"/>
      <c r="Y919" s="17"/>
      <c r="Z919" s="17"/>
      <c r="AA919" s="17"/>
      <c r="AB919" s="35"/>
      <c r="AC919" s="35"/>
      <c r="AD919" s="35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</row>
    <row r="920" spans="1:65" ht="13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35"/>
      <c r="Y920" s="17"/>
      <c r="Z920" s="17"/>
      <c r="AA920" s="17"/>
      <c r="AB920" s="35"/>
      <c r="AC920" s="35"/>
      <c r="AD920" s="35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</row>
    <row r="921" spans="1:65" ht="13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35"/>
      <c r="Y921" s="17"/>
      <c r="Z921" s="17"/>
      <c r="AA921" s="17"/>
      <c r="AB921" s="35"/>
      <c r="AC921" s="35"/>
      <c r="AD921" s="35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</row>
    <row r="922" spans="1:65" ht="13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35"/>
      <c r="Y922" s="17"/>
      <c r="Z922" s="17"/>
      <c r="AA922" s="17"/>
      <c r="AB922" s="35"/>
      <c r="AC922" s="35"/>
      <c r="AD922" s="35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</row>
    <row r="923" spans="1:65" ht="1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35"/>
      <c r="Y923" s="17"/>
      <c r="Z923" s="17"/>
      <c r="AA923" s="17"/>
      <c r="AB923" s="35"/>
      <c r="AC923" s="35"/>
      <c r="AD923" s="35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</row>
    <row r="924" spans="1:65" ht="13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35"/>
      <c r="Y924" s="17"/>
      <c r="Z924" s="17"/>
      <c r="AA924" s="17"/>
      <c r="AB924" s="35"/>
      <c r="AC924" s="35"/>
      <c r="AD924" s="35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</row>
    <row r="925" spans="1:65" ht="13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35"/>
      <c r="Y925" s="17"/>
      <c r="Z925" s="17"/>
      <c r="AA925" s="17"/>
      <c r="AB925" s="35"/>
      <c r="AC925" s="35"/>
      <c r="AD925" s="35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</row>
    <row r="926" spans="1:65" ht="13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35"/>
      <c r="Y926" s="17"/>
      <c r="Z926" s="17"/>
      <c r="AA926" s="17"/>
      <c r="AB926" s="35"/>
      <c r="AC926" s="35"/>
      <c r="AD926" s="35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</row>
    <row r="927" spans="1:65" ht="13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35"/>
      <c r="Y927" s="17"/>
      <c r="Z927" s="17"/>
      <c r="AA927" s="17"/>
      <c r="AB927" s="35"/>
      <c r="AC927" s="35"/>
      <c r="AD927" s="35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</row>
    <row r="928" spans="1:65" ht="13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35"/>
      <c r="Y928" s="17"/>
      <c r="Z928" s="17"/>
      <c r="AA928" s="17"/>
      <c r="AB928" s="35"/>
      <c r="AC928" s="35"/>
      <c r="AD928" s="35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</row>
    <row r="929" spans="1:65" ht="13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35"/>
      <c r="Y929" s="17"/>
      <c r="Z929" s="17"/>
      <c r="AA929" s="17"/>
      <c r="AB929" s="35"/>
      <c r="AC929" s="35"/>
      <c r="AD929" s="35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</row>
    <row r="930" spans="1:65" ht="13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35"/>
      <c r="Y930" s="17"/>
      <c r="Z930" s="17"/>
      <c r="AA930" s="17"/>
      <c r="AB930" s="35"/>
      <c r="AC930" s="35"/>
      <c r="AD930" s="35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</row>
    <row r="931" spans="1:65" ht="13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35"/>
      <c r="Y931" s="17"/>
      <c r="Z931" s="17"/>
      <c r="AA931" s="17"/>
      <c r="AB931" s="35"/>
      <c r="AC931" s="35"/>
      <c r="AD931" s="35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</row>
    <row r="932" spans="1:65" ht="13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35"/>
      <c r="Y932" s="17"/>
      <c r="Z932" s="17"/>
      <c r="AA932" s="17"/>
      <c r="AB932" s="35"/>
      <c r="AC932" s="35"/>
      <c r="AD932" s="35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</row>
    <row r="933" spans="1:65" ht="1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35"/>
      <c r="Y933" s="17"/>
      <c r="Z933" s="17"/>
      <c r="AA933" s="17"/>
      <c r="AB933" s="35"/>
      <c r="AC933" s="35"/>
      <c r="AD933" s="35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</row>
    <row r="934" spans="1:65" ht="13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35"/>
      <c r="Y934" s="17"/>
      <c r="Z934" s="17"/>
      <c r="AA934" s="17"/>
      <c r="AB934" s="35"/>
      <c r="AC934" s="35"/>
      <c r="AD934" s="35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</row>
    <row r="935" spans="1:65" ht="13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35"/>
      <c r="Y935" s="17"/>
      <c r="Z935" s="17"/>
      <c r="AA935" s="17"/>
      <c r="AB935" s="35"/>
      <c r="AC935" s="35"/>
      <c r="AD935" s="35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</row>
    <row r="936" spans="1:65" ht="13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35"/>
      <c r="Y936" s="17"/>
      <c r="Z936" s="17"/>
      <c r="AA936" s="17"/>
      <c r="AB936" s="35"/>
      <c r="AC936" s="35"/>
      <c r="AD936" s="35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</row>
    <row r="937" spans="1:65" ht="13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35"/>
      <c r="Y937" s="17"/>
      <c r="Z937" s="17"/>
      <c r="AA937" s="17"/>
      <c r="AB937" s="35"/>
      <c r="AC937" s="35"/>
      <c r="AD937" s="35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</row>
    <row r="938" spans="1:65" ht="13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35"/>
      <c r="Y938" s="17"/>
      <c r="Z938" s="17"/>
      <c r="AA938" s="17"/>
      <c r="AB938" s="35"/>
      <c r="AC938" s="35"/>
      <c r="AD938" s="35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</row>
    <row r="939" spans="1:65" ht="13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35"/>
      <c r="Y939" s="17"/>
      <c r="Z939" s="17"/>
      <c r="AA939" s="17"/>
      <c r="AB939" s="35"/>
      <c r="AC939" s="35"/>
      <c r="AD939" s="35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</row>
    <row r="940" spans="1:65" ht="13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35"/>
      <c r="Y940" s="17"/>
      <c r="Z940" s="17"/>
      <c r="AA940" s="17"/>
      <c r="AB940" s="35"/>
      <c r="AC940" s="35"/>
      <c r="AD940" s="35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</row>
    <row r="941" spans="1:65" ht="13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35"/>
      <c r="Y941" s="17"/>
      <c r="Z941" s="17"/>
      <c r="AA941" s="17"/>
      <c r="AB941" s="35"/>
      <c r="AC941" s="35"/>
      <c r="AD941" s="35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</row>
    <row r="942" spans="1:65" ht="13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35"/>
      <c r="Y942" s="17"/>
      <c r="Z942" s="17"/>
      <c r="AA942" s="17"/>
      <c r="AB942" s="35"/>
      <c r="AC942" s="35"/>
      <c r="AD942" s="35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</row>
    <row r="943" spans="1:65" ht="1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35"/>
      <c r="Y943" s="17"/>
      <c r="Z943" s="17"/>
      <c r="AA943" s="17"/>
      <c r="AB943" s="35"/>
      <c r="AC943" s="35"/>
      <c r="AD943" s="35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</row>
    <row r="944" spans="1:65" ht="13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35"/>
      <c r="Y944" s="17"/>
      <c r="Z944" s="17"/>
      <c r="AA944" s="17"/>
      <c r="AB944" s="35"/>
      <c r="AC944" s="35"/>
      <c r="AD944" s="35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</row>
    <row r="945" spans="1:65" ht="13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35"/>
      <c r="Y945" s="17"/>
      <c r="Z945" s="17"/>
      <c r="AA945" s="17"/>
      <c r="AB945" s="35"/>
      <c r="AC945" s="35"/>
      <c r="AD945" s="35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</row>
    <row r="946" spans="1:65" ht="13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35"/>
      <c r="Y946" s="17"/>
      <c r="Z946" s="17"/>
      <c r="AA946" s="17"/>
      <c r="AB946" s="35"/>
      <c r="AC946" s="35"/>
      <c r="AD946" s="35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</row>
    <row r="947" spans="1:65" ht="13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35"/>
      <c r="Y947" s="17"/>
      <c r="Z947" s="17"/>
      <c r="AA947" s="17"/>
      <c r="AB947" s="35"/>
      <c r="AC947" s="35"/>
      <c r="AD947" s="35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</row>
    <row r="948" spans="1:65" ht="13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35"/>
      <c r="Y948" s="17"/>
      <c r="Z948" s="17"/>
      <c r="AA948" s="17"/>
      <c r="AB948" s="35"/>
      <c r="AC948" s="35"/>
      <c r="AD948" s="35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</row>
    <row r="949" spans="1:65" ht="13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35"/>
      <c r="Y949" s="17"/>
      <c r="Z949" s="17"/>
      <c r="AA949" s="17"/>
      <c r="AB949" s="35"/>
      <c r="AC949" s="35"/>
      <c r="AD949" s="35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</row>
    <row r="950" spans="1:65" ht="13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35"/>
      <c r="Y950" s="17"/>
      <c r="Z950" s="17"/>
      <c r="AA950" s="17"/>
      <c r="AB950" s="35"/>
      <c r="AC950" s="35"/>
      <c r="AD950" s="35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</row>
    <row r="951" spans="1:65" ht="13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35"/>
      <c r="Y951" s="17"/>
      <c r="Z951" s="17"/>
      <c r="AA951" s="17"/>
      <c r="AB951" s="35"/>
      <c r="AC951" s="35"/>
      <c r="AD951" s="35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</row>
    <row r="952" spans="1:65" ht="13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35"/>
      <c r="Y952" s="17"/>
      <c r="Z952" s="17"/>
      <c r="AA952" s="17"/>
      <c r="AB952" s="35"/>
      <c r="AC952" s="35"/>
      <c r="AD952" s="35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</row>
    <row r="953" spans="1:65" ht="1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35"/>
      <c r="Y953" s="17"/>
      <c r="Z953" s="17"/>
      <c r="AA953" s="17"/>
      <c r="AB953" s="35"/>
      <c r="AC953" s="35"/>
      <c r="AD953" s="35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</row>
    <row r="954" spans="1:65" ht="13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35"/>
      <c r="Y954" s="17"/>
      <c r="Z954" s="17"/>
      <c r="AA954" s="17"/>
      <c r="AB954" s="35"/>
      <c r="AC954" s="35"/>
      <c r="AD954" s="35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</row>
    <row r="955" spans="1:65" ht="13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35"/>
      <c r="Y955" s="17"/>
      <c r="Z955" s="17"/>
      <c r="AA955" s="17"/>
      <c r="AB955" s="35"/>
      <c r="AC955" s="35"/>
      <c r="AD955" s="35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</row>
    <row r="956" spans="1:65" ht="13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35"/>
      <c r="Y956" s="17"/>
      <c r="Z956" s="17"/>
      <c r="AA956" s="17"/>
      <c r="AB956" s="35"/>
      <c r="AC956" s="35"/>
      <c r="AD956" s="35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</row>
    <row r="957" spans="1:65" ht="13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35"/>
      <c r="Y957" s="17"/>
      <c r="Z957" s="17"/>
      <c r="AA957" s="17"/>
      <c r="AB957" s="35"/>
      <c r="AC957" s="35"/>
      <c r="AD957" s="35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</row>
    <row r="958" spans="1:65" ht="13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35"/>
      <c r="Y958" s="17"/>
      <c r="Z958" s="17"/>
      <c r="AA958" s="17"/>
      <c r="AB958" s="35"/>
      <c r="AC958" s="35"/>
      <c r="AD958" s="35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</row>
    <row r="959" spans="1:65" ht="13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35"/>
      <c r="Y959" s="17"/>
      <c r="Z959" s="17"/>
      <c r="AA959" s="17"/>
      <c r="AB959" s="35"/>
      <c r="AC959" s="35"/>
      <c r="AD959" s="35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</row>
    <row r="960" spans="1:65" ht="13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35"/>
      <c r="Y960" s="17"/>
      <c r="Z960" s="17"/>
      <c r="AA960" s="17"/>
      <c r="AB960" s="35"/>
      <c r="AC960" s="35"/>
      <c r="AD960" s="35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</row>
    <row r="961" spans="1:65" ht="13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35"/>
      <c r="Y961" s="17"/>
      <c r="Z961" s="17"/>
      <c r="AA961" s="17"/>
      <c r="AB961" s="35"/>
      <c r="AC961" s="35"/>
      <c r="AD961" s="35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</row>
    <row r="962" spans="1:65" ht="13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35"/>
      <c r="Y962" s="17"/>
      <c r="Z962" s="17"/>
      <c r="AA962" s="17"/>
      <c r="AB962" s="35"/>
      <c r="AC962" s="35"/>
      <c r="AD962" s="35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</row>
    <row r="963" spans="1:65" ht="1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35"/>
      <c r="Y963" s="17"/>
      <c r="Z963" s="17"/>
      <c r="AA963" s="17"/>
      <c r="AB963" s="35"/>
      <c r="AC963" s="35"/>
      <c r="AD963" s="35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</row>
    <row r="964" spans="1:65" ht="13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35"/>
      <c r="Y964" s="17"/>
      <c r="Z964" s="17"/>
      <c r="AA964" s="17"/>
      <c r="AB964" s="35"/>
      <c r="AC964" s="35"/>
      <c r="AD964" s="35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</row>
    <row r="965" spans="1:65" ht="13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35"/>
      <c r="Y965" s="17"/>
      <c r="Z965" s="17"/>
      <c r="AA965" s="17"/>
      <c r="AB965" s="35"/>
      <c r="AC965" s="35"/>
      <c r="AD965" s="35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</row>
    <row r="966" spans="1:65" ht="13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35"/>
      <c r="Y966" s="17"/>
      <c r="Z966" s="17"/>
      <c r="AA966" s="17"/>
      <c r="AB966" s="35"/>
      <c r="AC966" s="35"/>
      <c r="AD966" s="35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</row>
    <row r="967" spans="1:65" ht="13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35"/>
      <c r="Y967" s="17"/>
      <c r="Z967" s="17"/>
      <c r="AA967" s="17"/>
      <c r="AB967" s="35"/>
      <c r="AC967" s="35"/>
      <c r="AD967" s="35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</row>
    <row r="968" spans="1:65" ht="13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35"/>
      <c r="Y968" s="17"/>
      <c r="Z968" s="17"/>
      <c r="AA968" s="17"/>
      <c r="AB968" s="35"/>
      <c r="AC968" s="35"/>
      <c r="AD968" s="35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</row>
    <row r="969" spans="1:65" ht="13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35"/>
      <c r="Y969" s="17"/>
      <c r="Z969" s="17"/>
      <c r="AA969" s="17"/>
      <c r="AB969" s="35"/>
      <c r="AC969" s="35"/>
      <c r="AD969" s="35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</row>
    <row r="970" spans="1:65" ht="13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35"/>
      <c r="Y970" s="17"/>
      <c r="Z970" s="17"/>
      <c r="AA970" s="17"/>
      <c r="AB970" s="35"/>
      <c r="AC970" s="35"/>
      <c r="AD970" s="35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</row>
    <row r="971" spans="1:65" ht="13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35"/>
      <c r="Y971" s="17"/>
      <c r="Z971" s="17"/>
      <c r="AA971" s="17"/>
      <c r="AB971" s="35"/>
      <c r="AC971" s="35"/>
      <c r="AD971" s="35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</row>
    <row r="972" spans="1:65" ht="13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35"/>
      <c r="Y972" s="17"/>
      <c r="Z972" s="17"/>
      <c r="AA972" s="17"/>
      <c r="AB972" s="35"/>
      <c r="AC972" s="35"/>
      <c r="AD972" s="35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</row>
    <row r="973" spans="1:65" ht="1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35"/>
      <c r="Y973" s="17"/>
      <c r="Z973" s="17"/>
      <c r="AA973" s="17"/>
      <c r="AB973" s="35"/>
      <c r="AC973" s="35"/>
      <c r="AD973" s="35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</row>
    <row r="974" spans="1:65" ht="13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35"/>
      <c r="Y974" s="17"/>
      <c r="Z974" s="17"/>
      <c r="AA974" s="17"/>
      <c r="AB974" s="35"/>
      <c r="AC974" s="35"/>
      <c r="AD974" s="35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</row>
    <row r="975" spans="1:65" ht="13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35"/>
      <c r="Y975" s="17"/>
      <c r="Z975" s="17"/>
      <c r="AA975" s="17"/>
      <c r="AB975" s="35"/>
      <c r="AC975" s="35"/>
      <c r="AD975" s="35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</row>
    <row r="976" spans="1:65" ht="13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35"/>
      <c r="Y976" s="17"/>
      <c r="Z976" s="17"/>
      <c r="AA976" s="17"/>
      <c r="AB976" s="35"/>
      <c r="AC976" s="35"/>
      <c r="AD976" s="35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</row>
    <row r="977" spans="1:65" ht="13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35"/>
      <c r="Y977" s="17"/>
      <c r="Z977" s="17"/>
      <c r="AA977" s="17"/>
      <c r="AB977" s="35"/>
      <c r="AC977" s="35"/>
      <c r="AD977" s="35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</row>
    <row r="978" spans="1:65" ht="13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35"/>
      <c r="Y978" s="17"/>
      <c r="Z978" s="17"/>
      <c r="AA978" s="17"/>
      <c r="AB978" s="35"/>
      <c r="AC978" s="35"/>
      <c r="AD978" s="35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</row>
    <row r="979" spans="1:65" ht="13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35"/>
      <c r="Y979" s="17"/>
      <c r="Z979" s="17"/>
      <c r="AA979" s="17"/>
      <c r="AB979" s="35"/>
      <c r="AC979" s="35"/>
      <c r="AD979" s="35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</row>
    <row r="980" spans="1:65" ht="13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35"/>
      <c r="Y980" s="17"/>
      <c r="Z980" s="17"/>
      <c r="AA980" s="17"/>
      <c r="AB980" s="35"/>
      <c r="AC980" s="35"/>
      <c r="AD980" s="35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</row>
    <row r="981" spans="1:65" ht="13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35"/>
      <c r="Y981" s="17"/>
      <c r="Z981" s="17"/>
      <c r="AA981" s="17"/>
      <c r="AB981" s="35"/>
      <c r="AC981" s="35"/>
      <c r="AD981" s="35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</row>
    <row r="982" spans="1:65" ht="13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35"/>
      <c r="Y982" s="17"/>
      <c r="Z982" s="17"/>
      <c r="AA982" s="17"/>
      <c r="AB982" s="35"/>
      <c r="AC982" s="35"/>
      <c r="AD982" s="35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</row>
    <row r="983" spans="1:65" ht="1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35"/>
      <c r="Y983" s="17"/>
      <c r="Z983" s="17"/>
      <c r="AA983" s="17"/>
      <c r="AB983" s="35"/>
      <c r="AC983" s="35"/>
      <c r="AD983" s="35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</row>
    <row r="984" spans="1:65" ht="13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35"/>
      <c r="Y984" s="17"/>
      <c r="Z984" s="17"/>
      <c r="AA984" s="17"/>
      <c r="AB984" s="35"/>
      <c r="AC984" s="35"/>
      <c r="AD984" s="35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</row>
    <row r="985" spans="1:65" ht="13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35"/>
      <c r="Y985" s="17"/>
      <c r="Z985" s="17"/>
      <c r="AA985" s="17"/>
      <c r="AB985" s="35"/>
      <c r="AC985" s="35"/>
      <c r="AD985" s="35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</row>
    <row r="986" spans="1:65" ht="13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35"/>
      <c r="Y986" s="17"/>
      <c r="Z986" s="17"/>
      <c r="AA986" s="17"/>
      <c r="AB986" s="35"/>
      <c r="AC986" s="35"/>
      <c r="AD986" s="35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</row>
    <row r="987" spans="1:65" ht="13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35"/>
      <c r="Y987" s="17"/>
      <c r="Z987" s="17"/>
      <c r="AA987" s="17"/>
      <c r="AB987" s="35"/>
      <c r="AC987" s="35"/>
      <c r="AD987" s="35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</row>
    <row r="988" spans="1:65" ht="13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35"/>
      <c r="Y988" s="17"/>
      <c r="Z988" s="17"/>
      <c r="AA988" s="17"/>
      <c r="AB988" s="35"/>
      <c r="AC988" s="35"/>
      <c r="AD988" s="35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</row>
    <row r="989" spans="1:65" ht="13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35"/>
      <c r="Y989" s="17"/>
      <c r="Z989" s="17"/>
      <c r="AA989" s="17"/>
      <c r="AB989" s="35"/>
      <c r="AC989" s="35"/>
      <c r="AD989" s="35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</row>
    <row r="990" spans="1:65" ht="13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35"/>
      <c r="Y990" s="17"/>
      <c r="Z990" s="17"/>
      <c r="AA990" s="17"/>
      <c r="AB990" s="35"/>
      <c r="AC990" s="35"/>
      <c r="AD990" s="35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</row>
    <row r="991" spans="1:65" ht="13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35"/>
      <c r="Y991" s="17"/>
      <c r="Z991" s="17"/>
      <c r="AA991" s="17"/>
      <c r="AB991" s="35"/>
      <c r="AC991" s="35"/>
      <c r="AD991" s="35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</row>
    <row r="992" spans="1:65" ht="13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35"/>
      <c r="Y992" s="17"/>
      <c r="Z992" s="17"/>
      <c r="AA992" s="17"/>
      <c r="AB992" s="35"/>
      <c r="AC992" s="35"/>
      <c r="AD992" s="35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</row>
    <row r="993" spans="1:65" ht="1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35"/>
      <c r="Y993" s="17"/>
      <c r="Z993" s="17"/>
      <c r="AA993" s="17"/>
      <c r="AB993" s="35"/>
      <c r="AC993" s="35"/>
      <c r="AD993" s="35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</row>
    <row r="994" spans="1:65" ht="13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35"/>
      <c r="Y994" s="17"/>
      <c r="Z994" s="17"/>
      <c r="AA994" s="17"/>
      <c r="AB994" s="35"/>
      <c r="AC994" s="35"/>
      <c r="AD994" s="35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</row>
    <row r="995" spans="1:65" ht="13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35"/>
      <c r="Y995" s="17"/>
      <c r="Z995" s="17"/>
      <c r="AA995" s="17"/>
      <c r="AB995" s="35"/>
      <c r="AC995" s="35"/>
      <c r="AD995" s="35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</row>
    <row r="996" spans="1:65" ht="13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35"/>
      <c r="Y996" s="17"/>
      <c r="Z996" s="17"/>
      <c r="AA996" s="17"/>
      <c r="AB996" s="35"/>
      <c r="AC996" s="35"/>
      <c r="AD996" s="35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</row>
    <row r="997" spans="1:65" ht="13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35"/>
      <c r="Y997" s="17"/>
      <c r="Z997" s="17"/>
      <c r="AA997" s="17"/>
      <c r="AB997" s="35"/>
      <c r="AC997" s="35"/>
      <c r="AD997" s="35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</row>
    <row r="998" spans="1:65" ht="13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35"/>
      <c r="Y998" s="17"/>
      <c r="Z998" s="17"/>
      <c r="AA998" s="17"/>
      <c r="AB998" s="35"/>
      <c r="AC998" s="35"/>
      <c r="AD998" s="35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</row>
    <row r="999" spans="1:65" ht="13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35"/>
      <c r="Y999" s="17"/>
      <c r="Z999" s="17"/>
      <c r="AA999" s="17"/>
      <c r="AB999" s="35"/>
      <c r="AC999" s="35"/>
      <c r="AD999" s="35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</row>
    <row r="1000" spans="1:65" ht="13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35"/>
      <c r="Y1000" s="17"/>
      <c r="Z1000" s="17"/>
      <c r="AA1000" s="17"/>
      <c r="AB1000" s="35"/>
      <c r="AC1000" s="35"/>
      <c r="AD1000" s="35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</row>
    <row r="1001" spans="1:65" ht="13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35"/>
      <c r="Y1001" s="17"/>
      <c r="Z1001" s="17"/>
      <c r="AA1001" s="17"/>
      <c r="AB1001" s="35"/>
      <c r="AC1001" s="35"/>
      <c r="AD1001" s="35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  <c r="BA1001" s="17"/>
      <c r="BB1001" s="17"/>
      <c r="BC1001" s="17"/>
      <c r="BD1001" s="17"/>
      <c r="BE1001" s="17"/>
      <c r="BF1001" s="17"/>
      <c r="BG1001" s="17"/>
      <c r="BH1001" s="17"/>
      <c r="BI1001" s="17"/>
      <c r="BJ1001" s="17"/>
      <c r="BK1001" s="17"/>
      <c r="BL1001" s="17"/>
      <c r="BM1001" s="17"/>
    </row>
    <row r="1002" spans="1:65" ht="13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35"/>
      <c r="Y1002" s="17"/>
      <c r="Z1002" s="17"/>
      <c r="AA1002" s="17"/>
      <c r="AB1002" s="35"/>
      <c r="AC1002" s="35"/>
      <c r="AD1002" s="35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  <c r="BA1002" s="17"/>
      <c r="BB1002" s="17"/>
      <c r="BC1002" s="17"/>
      <c r="BD1002" s="17"/>
      <c r="BE1002" s="17"/>
      <c r="BF1002" s="17"/>
      <c r="BG1002" s="17"/>
      <c r="BH1002" s="17"/>
      <c r="BI1002" s="17"/>
      <c r="BJ1002" s="17"/>
      <c r="BK1002" s="17"/>
      <c r="BL1002" s="17"/>
      <c r="BM1002" s="17"/>
    </row>
    <row r="1003" spans="1:65" ht="13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35"/>
      <c r="Y1003" s="17"/>
      <c r="Z1003" s="17"/>
      <c r="AA1003" s="17"/>
      <c r="AB1003" s="35"/>
      <c r="AC1003" s="35"/>
      <c r="AD1003" s="35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  <c r="BA1003" s="17"/>
      <c r="BB1003" s="17"/>
      <c r="BC1003" s="17"/>
      <c r="BD1003" s="17"/>
      <c r="BE1003" s="17"/>
      <c r="BF1003" s="17"/>
      <c r="BG1003" s="17"/>
      <c r="BH1003" s="17"/>
      <c r="BI1003" s="17"/>
      <c r="BJ1003" s="17"/>
      <c r="BK1003" s="17"/>
      <c r="BL1003" s="17"/>
      <c r="BM1003" s="17"/>
    </row>
    <row r="1004" spans="1:65" ht="13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35"/>
      <c r="Y1004" s="17"/>
      <c r="Z1004" s="17"/>
      <c r="AA1004" s="17"/>
      <c r="AB1004" s="35"/>
      <c r="AC1004" s="35"/>
      <c r="AD1004" s="35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  <c r="BA1004" s="17"/>
      <c r="BB1004" s="17"/>
      <c r="BC1004" s="17"/>
      <c r="BD1004" s="17"/>
      <c r="BE1004" s="17"/>
      <c r="BF1004" s="17"/>
      <c r="BG1004" s="17"/>
      <c r="BH1004" s="17"/>
      <c r="BI1004" s="17"/>
      <c r="BJ1004" s="17"/>
      <c r="BK1004" s="17"/>
      <c r="BL1004" s="17"/>
      <c r="BM1004" s="17"/>
    </row>
    <row r="1005" spans="1:65" ht="13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35"/>
      <c r="Y1005" s="17"/>
      <c r="Z1005" s="17"/>
      <c r="AA1005" s="17"/>
      <c r="AB1005" s="35"/>
      <c r="AC1005" s="35"/>
      <c r="AD1005" s="35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  <c r="BA1005" s="17"/>
      <c r="BB1005" s="17"/>
      <c r="BC1005" s="17"/>
      <c r="BD1005" s="17"/>
      <c r="BE1005" s="17"/>
      <c r="BF1005" s="17"/>
      <c r="BG1005" s="17"/>
      <c r="BH1005" s="17"/>
      <c r="BI1005" s="17"/>
      <c r="BJ1005" s="17"/>
      <c r="BK1005" s="17"/>
      <c r="BL1005" s="17"/>
      <c r="BM1005" s="17"/>
    </row>
    <row r="1006" spans="1:65" ht="13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35"/>
      <c r="Y1006" s="17"/>
      <c r="Z1006" s="17"/>
      <c r="AA1006" s="17"/>
      <c r="AB1006" s="35"/>
      <c r="AC1006" s="35"/>
      <c r="AD1006" s="35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7"/>
      <c r="AZ1006" s="17"/>
      <c r="BA1006" s="17"/>
      <c r="BB1006" s="17"/>
      <c r="BC1006" s="17"/>
      <c r="BD1006" s="17"/>
      <c r="BE1006" s="17"/>
      <c r="BF1006" s="17"/>
      <c r="BG1006" s="17"/>
      <c r="BH1006" s="17"/>
      <c r="BI1006" s="17"/>
      <c r="BJ1006" s="17"/>
      <c r="BK1006" s="17"/>
      <c r="BL1006" s="17"/>
      <c r="BM1006" s="17"/>
    </row>
  </sheetData>
  <conditionalFormatting sqref="B2:G32 I2:X32 AD2:AD32">
    <cfRule type="expression" dxfId="17" priority="1">
      <formula>SUM($M2:$X2) &gt; 0</formula>
    </cfRule>
  </conditionalFormatting>
  <conditionalFormatting sqref="AC4:AC31">
    <cfRule type="colorScale" priority="2">
      <colorScale>
        <cfvo type="min"/>
        <cfvo type="max"/>
        <color rgb="FF999999"/>
        <color rgb="FFFFFFFF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M1004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/>
  <cols>
    <col min="1" max="1" width="9.83203125" customWidth="1"/>
    <col min="2" max="2" width="5.6640625" customWidth="1"/>
    <col min="3" max="3" width="7.6640625" customWidth="1"/>
    <col min="4" max="4" width="11.33203125" customWidth="1"/>
    <col min="5" max="5" width="8.33203125" customWidth="1"/>
    <col min="6" max="6" width="8.1640625" customWidth="1"/>
    <col min="7" max="7" width="8" customWidth="1"/>
    <col min="8" max="8" width="7.1640625" customWidth="1"/>
    <col min="9" max="9" width="8" customWidth="1"/>
    <col min="10" max="10" width="7.5" customWidth="1"/>
    <col min="11" max="11" width="7.6640625" customWidth="1"/>
    <col min="12" max="12" width="26.1640625" customWidth="1"/>
    <col min="13" max="14" width="8" customWidth="1"/>
    <col min="15" max="15" width="9.33203125" customWidth="1"/>
    <col min="16" max="16" width="9" customWidth="1"/>
    <col min="17" max="18" width="8" customWidth="1"/>
    <col min="19" max="19" width="8.6640625" customWidth="1"/>
    <col min="20" max="20" width="9.5" customWidth="1"/>
    <col min="21" max="21" width="9.1640625" customWidth="1"/>
    <col min="22" max="22" width="8.6640625" customWidth="1"/>
    <col min="23" max="23" width="10" customWidth="1"/>
    <col min="24" max="25" width="9.6640625" customWidth="1"/>
    <col min="26" max="26" width="8.83203125" customWidth="1"/>
    <col min="27" max="28" width="13.1640625" customWidth="1"/>
    <col min="29" max="29" width="7.6640625" hidden="1" customWidth="1"/>
    <col min="30" max="30" width="36.1640625" customWidth="1"/>
  </cols>
  <sheetData>
    <row r="1" spans="1:65" ht="15.75" customHeight="1">
      <c r="A1" s="97" t="s">
        <v>0</v>
      </c>
      <c r="B1" s="97" t="s">
        <v>1</v>
      </c>
      <c r="C1" s="97" t="s">
        <v>2</v>
      </c>
      <c r="D1" s="97" t="s">
        <v>3</v>
      </c>
      <c r="E1" s="98" t="s">
        <v>4</v>
      </c>
      <c r="F1" s="97" t="s">
        <v>5</v>
      </c>
      <c r="G1" s="97" t="s">
        <v>6</v>
      </c>
      <c r="H1" s="97" t="s">
        <v>59</v>
      </c>
      <c r="I1" s="98" t="s">
        <v>8</v>
      </c>
      <c r="J1" s="98" t="s">
        <v>60</v>
      </c>
      <c r="K1" s="98" t="s">
        <v>61</v>
      </c>
      <c r="L1" s="97" t="s">
        <v>11</v>
      </c>
      <c r="M1" s="98" t="s">
        <v>12</v>
      </c>
      <c r="N1" s="98" t="s">
        <v>13</v>
      </c>
      <c r="O1" s="98" t="s">
        <v>62</v>
      </c>
      <c r="P1" s="98" t="s">
        <v>63</v>
      </c>
      <c r="Q1" s="98" t="s">
        <v>64</v>
      </c>
      <c r="R1" s="98" t="s">
        <v>65</v>
      </c>
      <c r="S1" s="98" t="s">
        <v>66</v>
      </c>
      <c r="T1" s="98" t="s">
        <v>67</v>
      </c>
      <c r="U1" s="98" t="s">
        <v>68</v>
      </c>
      <c r="V1" s="98" t="s">
        <v>69</v>
      </c>
      <c r="W1" s="98" t="s">
        <v>70</v>
      </c>
      <c r="X1" s="98" t="s">
        <v>71</v>
      </c>
      <c r="Y1" s="98" t="s">
        <v>72</v>
      </c>
      <c r="Z1" s="98" t="s">
        <v>73</v>
      </c>
      <c r="AA1" s="98" t="s">
        <v>26</v>
      </c>
      <c r="AB1" s="98" t="s">
        <v>27</v>
      </c>
      <c r="AC1" s="98" t="s">
        <v>28</v>
      </c>
      <c r="AD1" s="97" t="s">
        <v>29</v>
      </c>
      <c r="AE1" s="99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</row>
    <row r="2" spans="1:65" ht="15.75" customHeight="1">
      <c r="A2" s="18">
        <v>43040</v>
      </c>
      <c r="B2" s="17">
        <v>1657</v>
      </c>
      <c r="C2" s="17">
        <v>1728</v>
      </c>
      <c r="D2" s="9" t="s">
        <v>74</v>
      </c>
      <c r="E2" s="100"/>
      <c r="F2" s="101"/>
      <c r="G2" s="101"/>
      <c r="H2" s="11">
        <f t="shared" ref="H2:H31" si="0">G2-F2</f>
        <v>0</v>
      </c>
      <c r="I2" s="102"/>
      <c r="J2" s="17"/>
      <c r="K2" s="17"/>
      <c r="L2" s="9"/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12">
        <f t="shared" ref="Y2:Y31" si="1">SUM(M2:P2)</f>
        <v>0</v>
      </c>
      <c r="Z2" s="12">
        <f t="shared" ref="Z2:Z31" si="2">SUM(Q2:U2)</f>
        <v>0</v>
      </c>
      <c r="AA2" s="13">
        <f t="shared" ref="AA2:AA31" si="3">SUM(M2:N2)</f>
        <v>0</v>
      </c>
      <c r="AB2" s="13">
        <f t="shared" ref="AB2:AB31" si="4">SUM(Q2:R2,U2)</f>
        <v>0</v>
      </c>
      <c r="AC2" s="14">
        <v>0.89</v>
      </c>
      <c r="AD2" s="17"/>
      <c r="AE2" s="103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</row>
    <row r="3" spans="1:65" ht="15.75" customHeight="1">
      <c r="A3" s="18">
        <v>43041</v>
      </c>
      <c r="B3" s="19">
        <v>1656</v>
      </c>
      <c r="C3" s="19">
        <v>1727</v>
      </c>
      <c r="D3" s="20" t="str">
        <f>CHOOSE(WEEKDAY(A3),"Fred/Anne", "Jane", "Phil","Sue/Panos","Shawn/Orem","Jeff", "Rob")</f>
        <v>Shawn/Orem</v>
      </c>
      <c r="E3" s="104"/>
      <c r="F3" s="105"/>
      <c r="G3" s="105"/>
      <c r="H3" s="11">
        <f t="shared" si="0"/>
        <v>0</v>
      </c>
      <c r="I3" s="106"/>
      <c r="J3" s="19"/>
      <c r="K3" s="19"/>
      <c r="L3" s="20"/>
      <c r="M3" s="20">
        <v>0</v>
      </c>
      <c r="N3" s="20">
        <v>0</v>
      </c>
      <c r="O3" s="20">
        <v>0</v>
      </c>
      <c r="P3" s="20">
        <v>0</v>
      </c>
      <c r="Q3" s="20">
        <v>0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12">
        <f t="shared" si="1"/>
        <v>0</v>
      </c>
      <c r="Z3" s="12">
        <f t="shared" si="2"/>
        <v>0</v>
      </c>
      <c r="AA3" s="13">
        <f t="shared" si="3"/>
        <v>0</v>
      </c>
      <c r="AB3" s="13">
        <f t="shared" si="4"/>
        <v>0</v>
      </c>
      <c r="AC3" s="14">
        <v>0.95</v>
      </c>
      <c r="AD3" s="19"/>
      <c r="AE3" s="107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</row>
    <row r="4" spans="1:65" ht="15.75" customHeight="1">
      <c r="A4" s="7">
        <v>43042</v>
      </c>
      <c r="B4" s="17">
        <v>1654</v>
      </c>
      <c r="C4" s="17">
        <v>1725</v>
      </c>
      <c r="D4" s="9" t="str">
        <f t="shared" ref="D4:D9" si="5">CHOOSE(WEEKDAY(A4),"Fred/Anne", "Jane", "Phil","Sue/Panos","Shawn/Owens","Jeff", "Rob")</f>
        <v>Jeff</v>
      </c>
      <c r="E4" s="100"/>
      <c r="F4" s="101"/>
      <c r="G4" s="101"/>
      <c r="H4" s="11">
        <f t="shared" si="0"/>
        <v>0</v>
      </c>
      <c r="I4" s="102"/>
      <c r="J4" s="17"/>
      <c r="K4" s="17"/>
      <c r="L4" s="9"/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12">
        <f t="shared" si="1"/>
        <v>0</v>
      </c>
      <c r="Z4" s="12">
        <f t="shared" si="2"/>
        <v>0</v>
      </c>
      <c r="AA4" s="13">
        <f t="shared" si="3"/>
        <v>0</v>
      </c>
      <c r="AB4" s="13">
        <f t="shared" si="4"/>
        <v>0</v>
      </c>
      <c r="AC4" s="14">
        <v>0.99</v>
      </c>
      <c r="AD4" s="17"/>
      <c r="AE4" s="103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</row>
    <row r="5" spans="1:65" ht="15.75" customHeight="1">
      <c r="A5" s="7">
        <v>43043</v>
      </c>
      <c r="B5" s="19">
        <v>1653</v>
      </c>
      <c r="C5" s="19">
        <v>1724</v>
      </c>
      <c r="D5" s="20" t="str">
        <f t="shared" si="5"/>
        <v>Rob</v>
      </c>
      <c r="E5" s="104"/>
      <c r="F5" s="105"/>
      <c r="G5" s="105"/>
      <c r="H5" s="11">
        <f t="shared" si="0"/>
        <v>0</v>
      </c>
      <c r="I5" s="106"/>
      <c r="J5" s="19"/>
      <c r="K5" s="19"/>
      <c r="L5" s="20"/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12">
        <f t="shared" si="1"/>
        <v>0</v>
      </c>
      <c r="Z5" s="12">
        <f t="shared" si="2"/>
        <v>0</v>
      </c>
      <c r="AA5" s="13">
        <f t="shared" si="3"/>
        <v>0</v>
      </c>
      <c r="AB5" s="13">
        <f t="shared" si="4"/>
        <v>0</v>
      </c>
      <c r="AC5" s="14">
        <v>1</v>
      </c>
      <c r="AD5" s="19"/>
      <c r="AE5" s="107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</row>
    <row r="6" spans="1:65" ht="15.75" customHeight="1">
      <c r="A6" s="7">
        <v>43044</v>
      </c>
      <c r="B6" s="17">
        <v>1652</v>
      </c>
      <c r="C6" s="17">
        <v>1723</v>
      </c>
      <c r="D6" s="9" t="str">
        <f t="shared" si="5"/>
        <v>Fred/Anne</v>
      </c>
      <c r="E6" s="100"/>
      <c r="F6" s="101"/>
      <c r="G6" s="101"/>
      <c r="H6" s="11">
        <f t="shared" si="0"/>
        <v>0</v>
      </c>
      <c r="I6" s="102"/>
      <c r="J6" s="17"/>
      <c r="K6" s="17"/>
      <c r="L6" s="9"/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12">
        <f t="shared" si="1"/>
        <v>0</v>
      </c>
      <c r="Z6" s="12">
        <f t="shared" si="2"/>
        <v>0</v>
      </c>
      <c r="AA6" s="13">
        <f t="shared" si="3"/>
        <v>0</v>
      </c>
      <c r="AB6" s="13">
        <f t="shared" si="4"/>
        <v>0</v>
      </c>
      <c r="AC6" s="14">
        <v>0.98</v>
      </c>
      <c r="AD6" s="17"/>
      <c r="AE6" s="103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</row>
    <row r="7" spans="1:65" ht="15.75" customHeight="1">
      <c r="A7" s="18">
        <v>43045</v>
      </c>
      <c r="B7" s="19">
        <v>1650</v>
      </c>
      <c r="C7" s="19">
        <v>1722</v>
      </c>
      <c r="D7" s="20" t="str">
        <f t="shared" si="5"/>
        <v>Jane</v>
      </c>
      <c r="E7" s="104"/>
      <c r="F7" s="105"/>
      <c r="G7" s="105"/>
      <c r="H7" s="11">
        <f t="shared" si="0"/>
        <v>0</v>
      </c>
      <c r="I7" s="106"/>
      <c r="J7" s="20"/>
      <c r="K7" s="20"/>
      <c r="L7" s="20"/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12">
        <f t="shared" si="1"/>
        <v>0</v>
      </c>
      <c r="Z7" s="12">
        <f t="shared" si="2"/>
        <v>0</v>
      </c>
      <c r="AA7" s="13">
        <f t="shared" si="3"/>
        <v>0</v>
      </c>
      <c r="AB7" s="13">
        <f t="shared" si="4"/>
        <v>0</v>
      </c>
      <c r="AC7" s="14">
        <v>0.93</v>
      </c>
      <c r="AD7" s="20"/>
      <c r="AE7" s="108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</row>
    <row r="8" spans="1:65" ht="15.75" customHeight="1">
      <c r="A8" s="18">
        <v>43046</v>
      </c>
      <c r="B8" s="17">
        <v>1649</v>
      </c>
      <c r="C8" s="17">
        <v>1720</v>
      </c>
      <c r="D8" s="9" t="str">
        <f t="shared" si="5"/>
        <v>Phil</v>
      </c>
      <c r="E8" s="100"/>
      <c r="F8" s="109"/>
      <c r="G8" s="109"/>
      <c r="H8" s="11">
        <f t="shared" si="0"/>
        <v>0</v>
      </c>
      <c r="I8" s="102"/>
      <c r="J8" s="9"/>
      <c r="K8" s="9"/>
      <c r="L8" s="9"/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12">
        <f t="shared" si="1"/>
        <v>0</v>
      </c>
      <c r="Z8" s="12">
        <f t="shared" si="2"/>
        <v>0</v>
      </c>
      <c r="AA8" s="13">
        <f t="shared" si="3"/>
        <v>0</v>
      </c>
      <c r="AB8" s="13">
        <f t="shared" si="4"/>
        <v>0</v>
      </c>
      <c r="AC8" s="14">
        <v>0.86</v>
      </c>
      <c r="AD8" s="9"/>
      <c r="AE8" s="110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</row>
    <row r="9" spans="1:65" ht="15.75" customHeight="1">
      <c r="A9" s="18">
        <v>43047</v>
      </c>
      <c r="B9" s="19">
        <v>1648</v>
      </c>
      <c r="C9" s="19">
        <v>1719</v>
      </c>
      <c r="D9" s="20" t="str">
        <f t="shared" si="5"/>
        <v>Sue/Panos</v>
      </c>
      <c r="E9" s="104" t="s">
        <v>40</v>
      </c>
      <c r="F9" s="111">
        <v>0.70833333333333337</v>
      </c>
      <c r="G9" s="111">
        <v>0.70833333333333337</v>
      </c>
      <c r="H9" s="11">
        <f t="shared" si="0"/>
        <v>0</v>
      </c>
      <c r="I9" s="106"/>
      <c r="J9" s="20">
        <v>43</v>
      </c>
      <c r="K9" s="20"/>
      <c r="L9" s="20" t="s">
        <v>75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12">
        <f t="shared" si="1"/>
        <v>0</v>
      </c>
      <c r="Z9" s="12">
        <f t="shared" si="2"/>
        <v>0</v>
      </c>
      <c r="AA9" s="13">
        <f t="shared" si="3"/>
        <v>0</v>
      </c>
      <c r="AB9" s="13">
        <f t="shared" si="4"/>
        <v>0</v>
      </c>
      <c r="AC9" s="14">
        <v>0.77</v>
      </c>
      <c r="AD9" s="20" t="s">
        <v>76</v>
      </c>
      <c r="AE9" s="108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</row>
    <row r="10" spans="1:65" ht="15.75" customHeight="1">
      <c r="A10" s="25">
        <v>43048</v>
      </c>
      <c r="B10" s="17">
        <v>1647</v>
      </c>
      <c r="C10" s="17">
        <v>1718</v>
      </c>
      <c r="D10" s="9" t="str">
        <f>CHOOSE(WEEKDAY(A10),"Fred/Anne", "Jane", "Phil","Sue/Panos","Shawn/Orem","Jeff", "Rob")</f>
        <v>Shawn/Orem</v>
      </c>
      <c r="E10" s="100" t="s">
        <v>40</v>
      </c>
      <c r="F10" s="26">
        <v>0.72916666666666663</v>
      </c>
      <c r="G10" s="26">
        <v>0.72916666666666663</v>
      </c>
      <c r="H10" s="11">
        <f t="shared" si="0"/>
        <v>0</v>
      </c>
      <c r="I10" s="102"/>
      <c r="J10" s="9">
        <v>49</v>
      </c>
      <c r="K10" s="9"/>
      <c r="L10" s="9" t="s">
        <v>77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12">
        <f t="shared" si="1"/>
        <v>0</v>
      </c>
      <c r="Z10" s="12">
        <f t="shared" si="2"/>
        <v>0</v>
      </c>
      <c r="AA10" s="13">
        <f t="shared" si="3"/>
        <v>0</v>
      </c>
      <c r="AB10" s="13">
        <f t="shared" si="4"/>
        <v>0</v>
      </c>
      <c r="AC10" s="14">
        <v>0.67</v>
      </c>
      <c r="AD10" s="9" t="s">
        <v>78</v>
      </c>
      <c r="AE10" s="110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</row>
    <row r="11" spans="1:65" ht="15.75" customHeight="1">
      <c r="A11" s="25">
        <v>43049</v>
      </c>
      <c r="B11" s="19">
        <v>1645</v>
      </c>
      <c r="C11" s="19">
        <v>1717</v>
      </c>
      <c r="D11" s="20" t="str">
        <f t="shared" ref="D11:D16" si="6">CHOOSE(WEEKDAY(A11),"Fred/Anne", "Jane", "Phil","Sue/Panos","Shawn/Owens","Jeff", "Rob")</f>
        <v>Jeff</v>
      </c>
      <c r="E11" s="104" t="s">
        <v>30</v>
      </c>
      <c r="F11" s="111">
        <v>0.72916666666666663</v>
      </c>
      <c r="G11" s="111">
        <v>0.77638888888888891</v>
      </c>
      <c r="H11" s="11">
        <f t="shared" si="0"/>
        <v>4.7222222222222276E-2</v>
      </c>
      <c r="I11" s="106">
        <v>1.1299999999999999</v>
      </c>
      <c r="J11" s="20">
        <v>49</v>
      </c>
      <c r="K11" s="20">
        <v>49</v>
      </c>
      <c r="L11" s="20" t="s">
        <v>79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12">
        <f t="shared" si="1"/>
        <v>0</v>
      </c>
      <c r="Z11" s="12">
        <f t="shared" si="2"/>
        <v>0</v>
      </c>
      <c r="AA11" s="13">
        <f t="shared" si="3"/>
        <v>0</v>
      </c>
      <c r="AB11" s="13">
        <f t="shared" si="4"/>
        <v>0</v>
      </c>
      <c r="AC11" s="14">
        <v>0.56000000000000005</v>
      </c>
      <c r="AD11" s="20" t="s">
        <v>80</v>
      </c>
      <c r="AE11" s="108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</row>
    <row r="12" spans="1:65" ht="15.75" customHeight="1">
      <c r="A12" s="25">
        <v>43050</v>
      </c>
      <c r="B12" s="17">
        <v>1644</v>
      </c>
      <c r="C12" s="17">
        <v>1716</v>
      </c>
      <c r="D12" s="9" t="str">
        <f t="shared" si="6"/>
        <v>Rob</v>
      </c>
      <c r="E12" s="100" t="s">
        <v>30</v>
      </c>
      <c r="F12" s="26">
        <v>0.72916666666666663</v>
      </c>
      <c r="G12" s="26">
        <v>0.77083333333333337</v>
      </c>
      <c r="H12" s="11">
        <f t="shared" si="0"/>
        <v>4.1666666666666741E-2</v>
      </c>
      <c r="I12" s="102">
        <v>1</v>
      </c>
      <c r="J12" s="9">
        <v>48</v>
      </c>
      <c r="K12" s="9">
        <v>48</v>
      </c>
      <c r="L12" s="9" t="s">
        <v>81</v>
      </c>
      <c r="M12" s="9">
        <v>1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12">
        <f t="shared" si="1"/>
        <v>1</v>
      </c>
      <c r="Z12" s="12">
        <f t="shared" si="2"/>
        <v>0</v>
      </c>
      <c r="AA12" s="13">
        <f t="shared" si="3"/>
        <v>1</v>
      </c>
      <c r="AB12" s="13">
        <f t="shared" si="4"/>
        <v>0</v>
      </c>
      <c r="AC12" s="14">
        <v>0.45</v>
      </c>
      <c r="AD12" s="9" t="s">
        <v>82</v>
      </c>
      <c r="AE12" s="84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</row>
    <row r="13" spans="1:65" ht="15.75" customHeight="1">
      <c r="A13" s="25">
        <v>43051</v>
      </c>
      <c r="B13" s="19">
        <v>1643</v>
      </c>
      <c r="C13" s="19">
        <v>1715</v>
      </c>
      <c r="D13" s="20" t="str">
        <f t="shared" si="6"/>
        <v>Fred/Anne</v>
      </c>
      <c r="E13" s="104" t="s">
        <v>40</v>
      </c>
      <c r="F13" s="21">
        <v>0.70833333333333337</v>
      </c>
      <c r="G13" s="21">
        <v>0.73958333333333337</v>
      </c>
      <c r="H13" s="11">
        <f t="shared" si="0"/>
        <v>3.125E-2</v>
      </c>
      <c r="I13" s="106"/>
      <c r="J13" s="20">
        <v>50</v>
      </c>
      <c r="K13" s="20">
        <v>50</v>
      </c>
      <c r="L13" s="20" t="s">
        <v>83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12">
        <f t="shared" si="1"/>
        <v>0</v>
      </c>
      <c r="Z13" s="12">
        <f t="shared" si="2"/>
        <v>0</v>
      </c>
      <c r="AA13" s="13">
        <f t="shared" si="3"/>
        <v>0</v>
      </c>
      <c r="AB13" s="13">
        <f t="shared" si="4"/>
        <v>0</v>
      </c>
      <c r="AC13" s="14">
        <v>0.34</v>
      </c>
      <c r="AD13" s="20" t="s">
        <v>84</v>
      </c>
      <c r="AE13" s="108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</row>
    <row r="14" spans="1:65" ht="15.75" customHeight="1">
      <c r="A14" s="33">
        <v>43052</v>
      </c>
      <c r="B14" s="17">
        <v>1642</v>
      </c>
      <c r="C14" s="17">
        <v>1714</v>
      </c>
      <c r="D14" s="9" t="str">
        <f t="shared" si="6"/>
        <v>Jane</v>
      </c>
      <c r="E14" s="100" t="s">
        <v>40</v>
      </c>
      <c r="F14" s="10">
        <v>0.21875</v>
      </c>
      <c r="G14" s="26">
        <v>0.22916666666666666</v>
      </c>
      <c r="H14" s="11">
        <f t="shared" si="0"/>
        <v>1.0416666666666657E-2</v>
      </c>
      <c r="I14" s="102">
        <v>0.15</v>
      </c>
      <c r="J14" s="9">
        <v>48</v>
      </c>
      <c r="K14" s="9"/>
      <c r="L14" s="9" t="s">
        <v>85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12">
        <f t="shared" si="1"/>
        <v>0</v>
      </c>
      <c r="Z14" s="12">
        <f t="shared" si="2"/>
        <v>0</v>
      </c>
      <c r="AA14" s="13">
        <f t="shared" si="3"/>
        <v>0</v>
      </c>
      <c r="AB14" s="13">
        <f t="shared" si="4"/>
        <v>0</v>
      </c>
      <c r="AC14" s="14">
        <v>0.25</v>
      </c>
      <c r="AD14" s="9" t="s">
        <v>78</v>
      </c>
      <c r="AE14" s="110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</row>
    <row r="15" spans="1:65" ht="15.75" customHeight="1">
      <c r="A15" s="33">
        <v>43053</v>
      </c>
      <c r="B15" s="19">
        <v>1641</v>
      </c>
      <c r="C15" s="19">
        <v>1713</v>
      </c>
      <c r="D15" s="20" t="str">
        <f t="shared" si="6"/>
        <v>Phil</v>
      </c>
      <c r="E15" s="104" t="s">
        <v>40</v>
      </c>
      <c r="F15" s="21">
        <v>0.83333333333333337</v>
      </c>
      <c r="G15" s="21">
        <v>0.84722222222222221</v>
      </c>
      <c r="H15" s="11">
        <f t="shared" si="0"/>
        <v>1.388888888888884E-2</v>
      </c>
      <c r="I15" s="111"/>
      <c r="J15" s="20"/>
      <c r="K15" s="20"/>
      <c r="L15" s="20" t="s">
        <v>86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12">
        <f t="shared" si="1"/>
        <v>0</v>
      </c>
      <c r="Z15" s="12">
        <f t="shared" si="2"/>
        <v>0</v>
      </c>
      <c r="AA15" s="13">
        <f t="shared" si="3"/>
        <v>0</v>
      </c>
      <c r="AB15" s="13">
        <f t="shared" si="4"/>
        <v>0</v>
      </c>
      <c r="AC15" s="14">
        <v>0.16</v>
      </c>
      <c r="AD15" s="20" t="s">
        <v>87</v>
      </c>
      <c r="AE15" s="108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</row>
    <row r="16" spans="1:65" ht="15.75" customHeight="1">
      <c r="A16" s="33">
        <v>43054</v>
      </c>
      <c r="B16" s="17">
        <v>1640</v>
      </c>
      <c r="C16" s="17">
        <v>1712</v>
      </c>
      <c r="D16" s="9" t="str">
        <f t="shared" si="6"/>
        <v>Sue/Panos</v>
      </c>
      <c r="E16" s="100" t="s">
        <v>30</v>
      </c>
      <c r="F16" s="26">
        <v>0.72916666666666663</v>
      </c>
      <c r="G16" s="10">
        <v>0.72916666666666663</v>
      </c>
      <c r="H16" s="11">
        <f t="shared" si="0"/>
        <v>0</v>
      </c>
      <c r="I16" s="26"/>
      <c r="J16" s="9">
        <v>44</v>
      </c>
      <c r="K16" s="9">
        <v>44</v>
      </c>
      <c r="L16" s="112" t="s">
        <v>86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12">
        <f t="shared" si="1"/>
        <v>0</v>
      </c>
      <c r="Z16" s="12">
        <f t="shared" si="2"/>
        <v>0</v>
      </c>
      <c r="AA16" s="13">
        <f t="shared" si="3"/>
        <v>0</v>
      </c>
      <c r="AB16" s="13">
        <f t="shared" si="4"/>
        <v>0</v>
      </c>
      <c r="AC16" s="14">
        <v>0.1</v>
      </c>
      <c r="AD16" s="9" t="s">
        <v>88</v>
      </c>
      <c r="AE16" s="110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</row>
    <row r="17" spans="1:65" ht="15.75" customHeight="1">
      <c r="A17" s="33">
        <v>43055</v>
      </c>
      <c r="B17" s="19">
        <v>1639</v>
      </c>
      <c r="C17" s="19">
        <v>1711</v>
      </c>
      <c r="D17" s="20" t="str">
        <f>CHOOSE(WEEKDAY(A17),"Fred/Anne", "Jane", "Phil","Sue/Panos","Shawn/Orem","Jeff", "Rob")</f>
        <v>Shawn/Orem</v>
      </c>
      <c r="E17" s="104" t="s">
        <v>40</v>
      </c>
      <c r="F17" s="21">
        <v>0.70833333333333337</v>
      </c>
      <c r="G17" s="21">
        <v>0.72916666666666663</v>
      </c>
      <c r="H17" s="11">
        <f t="shared" si="0"/>
        <v>2.0833333333333259E-2</v>
      </c>
      <c r="I17" s="111"/>
      <c r="J17" s="20">
        <v>42</v>
      </c>
      <c r="K17" s="20"/>
      <c r="L17" s="20" t="s">
        <v>89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12">
        <f t="shared" si="1"/>
        <v>0</v>
      </c>
      <c r="Z17" s="12">
        <f t="shared" si="2"/>
        <v>0</v>
      </c>
      <c r="AA17" s="13">
        <f t="shared" si="3"/>
        <v>0</v>
      </c>
      <c r="AB17" s="13">
        <f t="shared" si="4"/>
        <v>0</v>
      </c>
      <c r="AC17" s="14">
        <v>0.05</v>
      </c>
      <c r="AD17" s="20" t="s">
        <v>90</v>
      </c>
      <c r="AE17" s="108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</row>
    <row r="18" spans="1:65" ht="15.75" customHeight="1">
      <c r="A18" s="34">
        <v>43056</v>
      </c>
      <c r="B18" s="17">
        <v>1638</v>
      </c>
      <c r="C18" s="17">
        <v>1710</v>
      </c>
      <c r="D18" s="9" t="str">
        <f t="shared" ref="D18:D23" si="7">CHOOSE(WEEKDAY(A18),"Fred/Anne", "Jane", "Phil","Sue/Panos","Shawn/Owens","Jeff", "Rob")</f>
        <v>Jeff</v>
      </c>
      <c r="E18" s="100" t="s">
        <v>33</v>
      </c>
      <c r="F18" s="10"/>
      <c r="G18" s="10"/>
      <c r="H18" s="11">
        <f t="shared" si="0"/>
        <v>0</v>
      </c>
      <c r="I18" s="26"/>
      <c r="J18" s="9"/>
      <c r="K18" s="9"/>
      <c r="L18" s="9"/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12">
        <f t="shared" si="1"/>
        <v>0</v>
      </c>
      <c r="Z18" s="12">
        <f t="shared" si="2"/>
        <v>0</v>
      </c>
      <c r="AA18" s="13">
        <f t="shared" si="3"/>
        <v>0</v>
      </c>
      <c r="AB18" s="13">
        <f t="shared" si="4"/>
        <v>0</v>
      </c>
      <c r="AC18" s="14">
        <v>0.01</v>
      </c>
      <c r="AD18" s="17"/>
      <c r="AE18" s="103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</row>
    <row r="19" spans="1:65" ht="15.75" customHeight="1">
      <c r="A19" s="34">
        <v>43057</v>
      </c>
      <c r="B19" s="19">
        <v>1637</v>
      </c>
      <c r="C19" s="19">
        <v>1709</v>
      </c>
      <c r="D19" s="20" t="str">
        <f t="shared" si="7"/>
        <v>Rob</v>
      </c>
      <c r="E19" s="104" t="s">
        <v>91</v>
      </c>
      <c r="F19" s="21"/>
      <c r="G19" s="21"/>
      <c r="H19" s="11">
        <f t="shared" si="0"/>
        <v>0</v>
      </c>
      <c r="I19" s="111"/>
      <c r="J19" s="20"/>
      <c r="K19" s="20"/>
      <c r="L19" s="20" t="s">
        <v>34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12">
        <f t="shared" si="1"/>
        <v>0</v>
      </c>
      <c r="Z19" s="12">
        <f t="shared" si="2"/>
        <v>0</v>
      </c>
      <c r="AA19" s="13">
        <f t="shared" si="3"/>
        <v>0</v>
      </c>
      <c r="AB19" s="13">
        <f t="shared" si="4"/>
        <v>0</v>
      </c>
      <c r="AC19" s="14">
        <v>0</v>
      </c>
      <c r="AD19" s="20"/>
      <c r="AE19" s="108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</row>
    <row r="20" spans="1:65" ht="15.75" customHeight="1">
      <c r="A20" s="34">
        <v>43058</v>
      </c>
      <c r="B20" s="17">
        <v>1636</v>
      </c>
      <c r="C20" s="17">
        <v>1709</v>
      </c>
      <c r="D20" s="9" t="str">
        <f t="shared" si="7"/>
        <v>Fred/Anne</v>
      </c>
      <c r="E20" s="100" t="s">
        <v>30</v>
      </c>
      <c r="F20" s="10">
        <v>0.70833333333333337</v>
      </c>
      <c r="G20" s="10">
        <v>0.75</v>
      </c>
      <c r="H20" s="11">
        <f t="shared" si="0"/>
        <v>4.166666666666663E-2</v>
      </c>
      <c r="I20" s="102">
        <v>4.3</v>
      </c>
      <c r="J20" s="9">
        <v>44</v>
      </c>
      <c r="K20" s="9">
        <v>44</v>
      </c>
      <c r="L20" s="9" t="s">
        <v>92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12">
        <f t="shared" si="1"/>
        <v>0</v>
      </c>
      <c r="Z20" s="12">
        <f t="shared" si="2"/>
        <v>0</v>
      </c>
      <c r="AA20" s="13">
        <f t="shared" si="3"/>
        <v>0</v>
      </c>
      <c r="AB20" s="13">
        <f t="shared" si="4"/>
        <v>0</v>
      </c>
      <c r="AC20" s="14">
        <v>0.01</v>
      </c>
      <c r="AD20" s="9" t="s">
        <v>93</v>
      </c>
      <c r="AE20" s="113" t="s">
        <v>94</v>
      </c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</row>
    <row r="21" spans="1:65" ht="15.75" customHeight="1">
      <c r="A21" s="36">
        <v>43059</v>
      </c>
      <c r="B21" s="19">
        <v>1635</v>
      </c>
      <c r="C21" s="19">
        <v>1708</v>
      </c>
      <c r="D21" s="20" t="str">
        <f t="shared" si="7"/>
        <v>Jane</v>
      </c>
      <c r="E21" s="104" t="s">
        <v>30</v>
      </c>
      <c r="F21" s="21"/>
      <c r="G21" s="21"/>
      <c r="H21" s="11">
        <f t="shared" si="0"/>
        <v>0</v>
      </c>
      <c r="I21" s="106">
        <v>0.3</v>
      </c>
      <c r="J21" s="20">
        <v>48</v>
      </c>
      <c r="K21" s="20">
        <v>46</v>
      </c>
      <c r="L21" s="20" t="s">
        <v>95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12">
        <f t="shared" si="1"/>
        <v>0</v>
      </c>
      <c r="Z21" s="12">
        <f t="shared" si="2"/>
        <v>0</v>
      </c>
      <c r="AA21" s="13">
        <f t="shared" si="3"/>
        <v>0</v>
      </c>
      <c r="AB21" s="13">
        <f t="shared" si="4"/>
        <v>0</v>
      </c>
      <c r="AC21" s="14">
        <v>0.03</v>
      </c>
      <c r="AD21" s="20" t="s">
        <v>96</v>
      </c>
      <c r="AE21" s="108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</row>
    <row r="22" spans="1:65" ht="15.75" customHeight="1">
      <c r="A22" s="36">
        <v>43060</v>
      </c>
      <c r="B22" s="17">
        <v>1634</v>
      </c>
      <c r="C22" s="17">
        <v>1707</v>
      </c>
      <c r="D22" s="9" t="str">
        <f t="shared" si="7"/>
        <v>Phil</v>
      </c>
      <c r="E22" s="100" t="s">
        <v>30</v>
      </c>
      <c r="F22" s="10">
        <v>0.70833333333333337</v>
      </c>
      <c r="G22" s="10">
        <v>0.875</v>
      </c>
      <c r="H22" s="11">
        <f t="shared" si="0"/>
        <v>0.16666666666666663</v>
      </c>
      <c r="I22" s="102">
        <v>10.75</v>
      </c>
      <c r="J22" s="9">
        <v>52</v>
      </c>
      <c r="K22" s="9">
        <v>52</v>
      </c>
      <c r="L22" s="9" t="s">
        <v>97</v>
      </c>
      <c r="M22" s="9">
        <v>2</v>
      </c>
      <c r="N22" s="9">
        <v>2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12">
        <f t="shared" si="1"/>
        <v>4</v>
      </c>
      <c r="Z22" s="12">
        <f t="shared" si="2"/>
        <v>0</v>
      </c>
      <c r="AA22" s="13">
        <f t="shared" si="3"/>
        <v>4</v>
      </c>
      <c r="AB22" s="13">
        <f t="shared" si="4"/>
        <v>0</v>
      </c>
      <c r="AC22" s="14">
        <v>7.0000000000000007E-2</v>
      </c>
      <c r="AD22" s="9" t="s">
        <v>98</v>
      </c>
      <c r="AE22" s="84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</row>
    <row r="23" spans="1:65" ht="15.75" customHeight="1">
      <c r="A23" s="36">
        <v>43061</v>
      </c>
      <c r="B23" s="19">
        <v>1634</v>
      </c>
      <c r="C23" s="19">
        <v>1706</v>
      </c>
      <c r="D23" s="20" t="str">
        <f t="shared" si="7"/>
        <v>Sue/Panos</v>
      </c>
      <c r="E23" s="104" t="s">
        <v>30</v>
      </c>
      <c r="F23" s="21">
        <v>0.70833333333333337</v>
      </c>
      <c r="G23" s="21">
        <v>0.875</v>
      </c>
      <c r="H23" s="11">
        <f t="shared" si="0"/>
        <v>0.16666666666666663</v>
      </c>
      <c r="I23" s="106">
        <v>20.100000000000001</v>
      </c>
      <c r="J23" s="20">
        <v>57</v>
      </c>
      <c r="K23" s="20">
        <v>59</v>
      </c>
      <c r="L23" s="20" t="s">
        <v>99</v>
      </c>
      <c r="M23" s="20">
        <v>0</v>
      </c>
      <c r="N23" s="20">
        <v>5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1</v>
      </c>
      <c r="X23" s="20">
        <v>0</v>
      </c>
      <c r="Y23" s="12">
        <f t="shared" si="1"/>
        <v>5</v>
      </c>
      <c r="Z23" s="12">
        <f t="shared" si="2"/>
        <v>0</v>
      </c>
      <c r="AA23" s="13">
        <f t="shared" si="3"/>
        <v>5</v>
      </c>
      <c r="AB23" s="13">
        <f t="shared" si="4"/>
        <v>0</v>
      </c>
      <c r="AC23" s="14">
        <v>0.13</v>
      </c>
      <c r="AD23" s="20" t="s">
        <v>100</v>
      </c>
      <c r="AE23" s="114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</row>
    <row r="24" spans="1:65" ht="15.75" customHeight="1">
      <c r="A24" s="36">
        <v>43062</v>
      </c>
      <c r="B24" s="17">
        <v>1633</v>
      </c>
      <c r="C24" s="17">
        <v>1706</v>
      </c>
      <c r="D24" s="9" t="str">
        <f>CHOOSE(WEEKDAY(A24),"Fred/Anne", "Jane", "Phil","Sue/Panos","Shawn/Orem","Jeff", "Rob")</f>
        <v>Shawn/Orem</v>
      </c>
      <c r="E24" s="100" t="s">
        <v>30</v>
      </c>
      <c r="F24" s="10">
        <v>0.75</v>
      </c>
      <c r="G24" s="10">
        <v>0.76041666666666663</v>
      </c>
      <c r="H24" s="11">
        <f t="shared" si="0"/>
        <v>1.041666666666663E-2</v>
      </c>
      <c r="I24" s="102">
        <v>0.25</v>
      </c>
      <c r="J24" s="9">
        <v>52</v>
      </c>
      <c r="K24" s="9"/>
      <c r="L24" s="9" t="s">
        <v>101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12">
        <f t="shared" si="1"/>
        <v>0</v>
      </c>
      <c r="Z24" s="12">
        <f t="shared" si="2"/>
        <v>0</v>
      </c>
      <c r="AA24" s="13">
        <f t="shared" si="3"/>
        <v>0</v>
      </c>
      <c r="AB24" s="13">
        <f t="shared" si="4"/>
        <v>0</v>
      </c>
      <c r="AC24" s="14">
        <v>0.2</v>
      </c>
      <c r="AD24" s="9" t="s">
        <v>102</v>
      </c>
      <c r="AE24" s="110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</row>
    <row r="25" spans="1:65" ht="15.75" customHeight="1">
      <c r="A25" s="38">
        <v>43063</v>
      </c>
      <c r="B25" s="19">
        <v>1632</v>
      </c>
      <c r="C25" s="19">
        <v>1705</v>
      </c>
      <c r="D25" s="20" t="str">
        <f t="shared" ref="D25:D30" si="8">CHOOSE(WEEKDAY(A25),"Fred/Anne", "Jane", "Phil","Sue/Panos","Shawn/Owens","Jeff", "Rob")</f>
        <v>Jeff</v>
      </c>
      <c r="E25" s="104" t="s">
        <v>30</v>
      </c>
      <c r="F25" s="21">
        <v>0.72222222222222221</v>
      </c>
      <c r="G25" s="21">
        <v>0.73263888888888884</v>
      </c>
      <c r="H25" s="11">
        <f t="shared" si="0"/>
        <v>1.041666666666663E-2</v>
      </c>
      <c r="I25" s="106">
        <v>0.25</v>
      </c>
      <c r="J25" s="20">
        <v>46</v>
      </c>
      <c r="K25" s="20">
        <v>46</v>
      </c>
      <c r="L25" s="20" t="s">
        <v>103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12">
        <f t="shared" si="1"/>
        <v>0</v>
      </c>
      <c r="Z25" s="12">
        <f t="shared" si="2"/>
        <v>0</v>
      </c>
      <c r="AA25" s="13">
        <f t="shared" si="3"/>
        <v>0</v>
      </c>
      <c r="AB25" s="13">
        <f t="shared" si="4"/>
        <v>0</v>
      </c>
      <c r="AC25" s="14">
        <v>0.28000000000000003</v>
      </c>
      <c r="AD25" s="20" t="s">
        <v>104</v>
      </c>
      <c r="AE25" s="108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</row>
    <row r="26" spans="1:65" ht="15.75" customHeight="1">
      <c r="A26" s="38">
        <v>43064</v>
      </c>
      <c r="B26" s="17">
        <v>1632</v>
      </c>
      <c r="C26" s="17">
        <v>1705</v>
      </c>
      <c r="D26" s="9" t="str">
        <f t="shared" si="8"/>
        <v>Rob</v>
      </c>
      <c r="E26" s="100" t="s">
        <v>40</v>
      </c>
      <c r="F26" s="10">
        <v>0.69791666666666663</v>
      </c>
      <c r="G26" s="10">
        <v>0.73958333333333337</v>
      </c>
      <c r="H26" s="11">
        <f t="shared" si="0"/>
        <v>4.1666666666666741E-2</v>
      </c>
      <c r="I26" s="102">
        <v>2</v>
      </c>
      <c r="J26" s="9">
        <v>46</v>
      </c>
      <c r="K26" s="9">
        <v>46</v>
      </c>
      <c r="L26" s="9" t="s">
        <v>105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12">
        <f t="shared" si="1"/>
        <v>0</v>
      </c>
      <c r="Z26" s="12">
        <f t="shared" si="2"/>
        <v>0</v>
      </c>
      <c r="AA26" s="13">
        <f t="shared" si="3"/>
        <v>0</v>
      </c>
      <c r="AB26" s="13">
        <f t="shared" si="4"/>
        <v>0</v>
      </c>
      <c r="AC26" s="14">
        <v>0.37</v>
      </c>
      <c r="AD26" s="9"/>
      <c r="AE26" s="110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</row>
    <row r="27" spans="1:65" ht="15.75" customHeight="1">
      <c r="A27" s="38">
        <v>43065</v>
      </c>
      <c r="B27" s="19">
        <v>1631</v>
      </c>
      <c r="C27" s="19">
        <v>1704</v>
      </c>
      <c r="D27" s="20" t="str">
        <f t="shared" si="8"/>
        <v>Fred/Anne</v>
      </c>
      <c r="E27" s="104"/>
      <c r="F27" s="21"/>
      <c r="G27" s="21"/>
      <c r="H27" s="11">
        <f t="shared" si="0"/>
        <v>0</v>
      </c>
      <c r="I27" s="106"/>
      <c r="J27" s="20"/>
      <c r="K27" s="20"/>
      <c r="L27" s="20"/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12">
        <f t="shared" si="1"/>
        <v>0</v>
      </c>
      <c r="Z27" s="12">
        <f t="shared" si="2"/>
        <v>0</v>
      </c>
      <c r="AA27" s="13">
        <f t="shared" si="3"/>
        <v>0</v>
      </c>
      <c r="AB27" s="13">
        <f t="shared" si="4"/>
        <v>0</v>
      </c>
      <c r="AC27" s="14">
        <v>0.46</v>
      </c>
      <c r="AD27" s="20"/>
      <c r="AE27" s="108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</row>
    <row r="28" spans="1:65" ht="15.75" customHeight="1">
      <c r="A28" s="38">
        <v>43066</v>
      </c>
      <c r="B28" s="17">
        <v>1630</v>
      </c>
      <c r="C28" s="17">
        <v>1704</v>
      </c>
      <c r="D28" s="9" t="str">
        <f t="shared" si="8"/>
        <v>Jane</v>
      </c>
      <c r="E28" s="100" t="s">
        <v>33</v>
      </c>
      <c r="F28" s="10"/>
      <c r="G28" s="10"/>
      <c r="H28" s="11">
        <f t="shared" si="0"/>
        <v>0</v>
      </c>
      <c r="I28" s="102"/>
      <c r="J28" s="9">
        <v>45</v>
      </c>
      <c r="K28" s="9"/>
      <c r="L28" s="9" t="s">
        <v>106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12">
        <f t="shared" si="1"/>
        <v>0</v>
      </c>
      <c r="Z28" s="12">
        <f t="shared" si="2"/>
        <v>0</v>
      </c>
      <c r="AA28" s="13">
        <f t="shared" si="3"/>
        <v>0</v>
      </c>
      <c r="AB28" s="13">
        <f t="shared" si="4"/>
        <v>0</v>
      </c>
      <c r="AC28" s="14">
        <v>0.56000000000000005</v>
      </c>
      <c r="AD28" s="9"/>
      <c r="AE28" s="110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</row>
    <row r="29" spans="1:65" ht="15.75" customHeight="1">
      <c r="A29" s="38">
        <v>43067</v>
      </c>
      <c r="B29" s="19">
        <v>1630</v>
      </c>
      <c r="C29" s="19">
        <v>1703</v>
      </c>
      <c r="D29" s="20" t="str">
        <f t="shared" si="8"/>
        <v>Phil</v>
      </c>
      <c r="E29" s="104" t="s">
        <v>40</v>
      </c>
      <c r="F29" s="21">
        <v>0.6875</v>
      </c>
      <c r="G29" s="21">
        <v>0.72916666666666663</v>
      </c>
      <c r="H29" s="11">
        <f t="shared" si="0"/>
        <v>4.166666666666663E-2</v>
      </c>
      <c r="I29" s="106">
        <v>1</v>
      </c>
      <c r="J29" s="20" t="s">
        <v>107</v>
      </c>
      <c r="K29" s="20" t="s">
        <v>107</v>
      </c>
      <c r="L29" s="20" t="s">
        <v>108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12">
        <f t="shared" si="1"/>
        <v>0</v>
      </c>
      <c r="Z29" s="12">
        <f t="shared" si="2"/>
        <v>0</v>
      </c>
      <c r="AA29" s="13">
        <f t="shared" si="3"/>
        <v>0</v>
      </c>
      <c r="AB29" s="13">
        <f t="shared" si="4"/>
        <v>0</v>
      </c>
      <c r="AC29" s="14">
        <v>0.66</v>
      </c>
      <c r="AD29" s="20" t="s">
        <v>109</v>
      </c>
      <c r="AE29" s="107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</row>
    <row r="30" spans="1:65" ht="15.75" customHeight="1">
      <c r="A30" s="39">
        <v>43068</v>
      </c>
      <c r="B30" s="17">
        <v>1629</v>
      </c>
      <c r="C30" s="17">
        <v>1703</v>
      </c>
      <c r="D30" s="9" t="str">
        <f t="shared" si="8"/>
        <v>Sue/Panos</v>
      </c>
      <c r="E30" s="100" t="s">
        <v>33</v>
      </c>
      <c r="F30" s="10"/>
      <c r="G30" s="10"/>
      <c r="H30" s="11">
        <f t="shared" si="0"/>
        <v>0</v>
      </c>
      <c r="I30" s="102"/>
      <c r="J30" s="9">
        <v>44</v>
      </c>
      <c r="K30" s="9"/>
      <c r="L30" s="9" t="s">
        <v>110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12">
        <f t="shared" si="1"/>
        <v>0</v>
      </c>
      <c r="Z30" s="12">
        <f t="shared" si="2"/>
        <v>0</v>
      </c>
      <c r="AA30" s="13">
        <f t="shared" si="3"/>
        <v>0</v>
      </c>
      <c r="AB30" s="13">
        <f t="shared" si="4"/>
        <v>0</v>
      </c>
      <c r="AC30" s="14">
        <v>0.76</v>
      </c>
      <c r="AD30" s="9"/>
      <c r="AE30" s="110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</row>
    <row r="31" spans="1:65" ht="15.75" customHeight="1">
      <c r="A31" s="39">
        <v>43069</v>
      </c>
      <c r="B31" s="19">
        <v>1629</v>
      </c>
      <c r="C31" s="19">
        <v>1702</v>
      </c>
      <c r="D31" s="20" t="str">
        <f>CHOOSE(WEEKDAY(A31),"Fred/Anne", "Jane", "Phil","Sue/Panos","Shawn/Orem","Jeff", "Rob")</f>
        <v>Shawn/Orem</v>
      </c>
      <c r="E31" s="104" t="s">
        <v>30</v>
      </c>
      <c r="F31" s="21">
        <v>0.2013888888888889</v>
      </c>
      <c r="G31" s="21">
        <v>0.21180555555555555</v>
      </c>
      <c r="H31" s="11">
        <f t="shared" si="0"/>
        <v>1.0416666666666657E-2</v>
      </c>
      <c r="I31" s="106">
        <v>0.5</v>
      </c>
      <c r="J31" s="20">
        <v>44</v>
      </c>
      <c r="K31" s="20">
        <v>43</v>
      </c>
      <c r="L31" s="20" t="s">
        <v>111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12">
        <f t="shared" si="1"/>
        <v>0</v>
      </c>
      <c r="Z31" s="12">
        <f t="shared" si="2"/>
        <v>0</v>
      </c>
      <c r="AA31" s="13">
        <f t="shared" si="3"/>
        <v>0</v>
      </c>
      <c r="AB31" s="13">
        <f t="shared" si="4"/>
        <v>0</v>
      </c>
      <c r="AC31" s="14">
        <v>0.85</v>
      </c>
      <c r="AD31" s="20"/>
      <c r="AE31" s="108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</row>
    <row r="32" spans="1:65" ht="15.75" customHeight="1">
      <c r="A32" s="115" t="s">
        <v>112</v>
      </c>
      <c r="B32" s="113"/>
      <c r="C32" s="113">
        <v>1702</v>
      </c>
      <c r="D32" s="113"/>
      <c r="E32" s="116"/>
      <c r="F32" s="117"/>
      <c r="G32" s="118"/>
      <c r="H32" s="12"/>
      <c r="I32" s="110"/>
      <c r="J32" s="110"/>
      <c r="K32" s="110"/>
      <c r="L32" s="110"/>
      <c r="M32" s="9" t="s">
        <v>113</v>
      </c>
      <c r="N32" s="9"/>
      <c r="O32" s="9"/>
      <c r="P32" s="9"/>
      <c r="Q32" s="9"/>
      <c r="R32" s="9"/>
      <c r="S32" s="9"/>
      <c r="T32" s="9"/>
      <c r="U32" s="9"/>
      <c r="V32" s="9"/>
      <c r="W32" s="9" t="s">
        <v>51</v>
      </c>
      <c r="X32" s="9" t="s">
        <v>51</v>
      </c>
      <c r="Y32" s="12" t="s">
        <v>51</v>
      </c>
      <c r="Z32" s="12" t="s">
        <v>51</v>
      </c>
      <c r="AA32" s="12"/>
      <c r="AB32" s="12"/>
      <c r="AC32" s="14" t="s">
        <v>51</v>
      </c>
      <c r="AD32" s="110"/>
      <c r="AE32" s="110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</row>
    <row r="33" spans="1:65" ht="15.75" customHeight="1">
      <c r="A33" s="9"/>
      <c r="B33" s="51"/>
      <c r="C33" s="51"/>
      <c r="D33" s="51"/>
      <c r="E33" s="58" t="s">
        <v>52</v>
      </c>
      <c r="F33" s="59"/>
      <c r="H33" s="53">
        <f t="shared" ref="H33:I33" si="9">SUM(H2:H32)</f>
        <v>0.65486111111111089</v>
      </c>
      <c r="I33" s="119">
        <f t="shared" si="9"/>
        <v>41.730000000000004</v>
      </c>
      <c r="J33" s="120"/>
      <c r="K33" s="120"/>
      <c r="L33" s="51"/>
      <c r="M33" s="57">
        <f t="shared" ref="M33:AB33" si="10">SUM(M2:M32)</f>
        <v>3</v>
      </c>
      <c r="N33" s="57">
        <f t="shared" si="10"/>
        <v>7</v>
      </c>
      <c r="O33" s="57">
        <f t="shared" si="10"/>
        <v>0</v>
      </c>
      <c r="P33" s="57">
        <f t="shared" si="10"/>
        <v>0</v>
      </c>
      <c r="Q33" s="57">
        <f t="shared" si="10"/>
        <v>0</v>
      </c>
      <c r="R33" s="57">
        <f t="shared" si="10"/>
        <v>0</v>
      </c>
      <c r="S33" s="57">
        <f t="shared" si="10"/>
        <v>0</v>
      </c>
      <c r="T33" s="57">
        <f t="shared" si="10"/>
        <v>0</v>
      </c>
      <c r="U33" s="57">
        <f t="shared" si="10"/>
        <v>0</v>
      </c>
      <c r="V33" s="57">
        <f t="shared" si="10"/>
        <v>0</v>
      </c>
      <c r="W33" s="57">
        <f t="shared" si="10"/>
        <v>1</v>
      </c>
      <c r="X33" s="57">
        <f t="shared" si="10"/>
        <v>0</v>
      </c>
      <c r="Y33" s="57">
        <f t="shared" si="10"/>
        <v>10</v>
      </c>
      <c r="Z33" s="57">
        <f t="shared" si="10"/>
        <v>0</v>
      </c>
      <c r="AA33" s="57">
        <f t="shared" si="10"/>
        <v>10</v>
      </c>
      <c r="AB33" s="57">
        <f t="shared" si="10"/>
        <v>0</v>
      </c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</row>
    <row r="34" spans="1:65" ht="15.75" customHeight="1">
      <c r="A34" s="17"/>
      <c r="B34" s="51"/>
      <c r="C34" s="51"/>
      <c r="D34" s="51"/>
      <c r="E34" s="58" t="s">
        <v>53</v>
      </c>
      <c r="F34" s="59"/>
      <c r="H34" s="60">
        <f>'November 2017'!H$33</f>
        <v>0.65486111111111089</v>
      </c>
      <c r="I34" s="61">
        <f>'November 2017'!I$33</f>
        <v>41.730000000000004</v>
      </c>
      <c r="J34" s="51"/>
      <c r="K34" s="51"/>
      <c r="L34" s="51"/>
      <c r="M34" s="62">
        <f>'November 2017'!M$33</f>
        <v>3</v>
      </c>
      <c r="N34" s="62">
        <f>'November 2017'!N$33</f>
        <v>7</v>
      </c>
      <c r="O34" s="62">
        <f>'November 2017'!O$33</f>
        <v>0</v>
      </c>
      <c r="P34" s="62">
        <f>'November 2017'!P$33</f>
        <v>0</v>
      </c>
      <c r="Q34" s="62">
        <f>'November 2017'!Q$33</f>
        <v>0</v>
      </c>
      <c r="R34" s="62">
        <f>'November 2017'!R$33</f>
        <v>0</v>
      </c>
      <c r="S34" s="62">
        <f>'November 2017'!S$33</f>
        <v>0</v>
      </c>
      <c r="T34" s="62">
        <f>'November 2017'!T$33</f>
        <v>0</v>
      </c>
      <c r="U34" s="62">
        <f>'November 2017'!U$33</f>
        <v>0</v>
      </c>
      <c r="V34" s="62">
        <f>'November 2017'!V$33</f>
        <v>0</v>
      </c>
      <c r="W34" s="62">
        <f>'November 2017'!W$33</f>
        <v>1</v>
      </c>
      <c r="X34" s="62">
        <f>'November 2017'!X$33</f>
        <v>0</v>
      </c>
      <c r="Y34" s="62">
        <f>'November 2017'!Y$33</f>
        <v>10</v>
      </c>
      <c r="Z34" s="62">
        <f>'November 2017'!Z$33</f>
        <v>0</v>
      </c>
      <c r="AA34" s="62">
        <f>'November 2017'!AA$33</f>
        <v>10</v>
      </c>
      <c r="AB34" s="121">
        <f>'November 2017'!AB33</f>
        <v>0</v>
      </c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</row>
    <row r="35" spans="1:65" ht="15.75" customHeight="1">
      <c r="A35" s="17"/>
      <c r="B35" s="51"/>
      <c r="C35" s="51"/>
      <c r="D35" s="51"/>
      <c r="E35" s="58" t="s">
        <v>54</v>
      </c>
      <c r="F35" s="59"/>
      <c r="H35" s="60">
        <f>'November 2017'!H$33+'December 2017'!H$33+'January 2018'!H$33+'February 2018'!H$33+'March 2018'!H$33+'April 2018'!H$33</f>
        <v>5.1930555555555555</v>
      </c>
      <c r="I35" s="61">
        <f>'November 2017'!I33+'December 2017'!I33+'January 2018'!I33+'February 2018'!I33+'March 2018'!I33+'April 2018'!I33</f>
        <v>486.30986111111122</v>
      </c>
      <c r="J35" s="51"/>
      <c r="K35" s="51"/>
      <c r="L35" s="51"/>
      <c r="M35" s="62">
        <f>'November 2017'!M33+'December 2017'!M33+'January 2018'!M33+'February 2018'!M33+'March 2018'!M33+'April 2018'!M33</f>
        <v>135</v>
      </c>
      <c r="N35" s="62">
        <f>'November 2017'!N33+'December 2017'!N33+'January 2018'!N33+'February 2018'!N33+'March 2018'!N33+'April 2018'!N33</f>
        <v>281</v>
      </c>
      <c r="O35" s="62">
        <f>'November 2017'!O33+'December 2017'!O33+'January 2018'!O33+'February 2018'!O33+'March 2018'!O33+'April 2018'!O33</f>
        <v>7</v>
      </c>
      <c r="P35" s="62">
        <f>'November 2017'!P33+'December 2017'!P33+'January 2018'!P33+'February 2018'!P33+'March 2018'!P33+'April 2018'!P33</f>
        <v>10</v>
      </c>
      <c r="Q35" s="62">
        <f>'November 2017'!Q33+'December 2017'!Q33+'January 2018'!Q33+'February 2018'!Q33+'March 2018'!Q33+'April 2018'!Q33</f>
        <v>104</v>
      </c>
      <c r="R35" s="62">
        <f>'November 2017'!R33+'December 2017'!R33+'January 2018'!R33+'February 2018'!R33+'March 2018'!R33+'April 2018'!R33</f>
        <v>165</v>
      </c>
      <c r="S35" s="62">
        <f>'November 2017'!S33+'December 2017'!S33+'January 2018'!S33+'February 2018'!S33+'March 2018'!S33+'April 2018'!S33</f>
        <v>9</v>
      </c>
      <c r="T35" s="62">
        <f>'November 2017'!T33+'December 2017'!T33+'January 2018'!T33+'February 2018'!T33+'March 2018'!T33+'April 2018'!T33</f>
        <v>7</v>
      </c>
      <c r="U35" s="62">
        <f>'November 2017'!U33+'December 2017'!U33+'January 2018'!U33+'February 2018'!U33+'March 2018'!U33+'April 2018'!U33</f>
        <v>12</v>
      </c>
      <c r="V35" s="62">
        <f>'November 2017'!V33+'December 2017'!V33+'January 2018'!V33+'February 2018'!V33+'March 2018'!V33+'April 2018'!V33</f>
        <v>8</v>
      </c>
      <c r="W35" s="62">
        <f>'November 2017'!W33+'December 2017'!W33+'January 2018'!W33+'February 2018'!W33+'March 2018'!W33+'April 2018'!W33</f>
        <v>17</v>
      </c>
      <c r="X35" s="62">
        <f>'November 2017'!X33+'December 2017'!X33+'January 2018'!X33+'February 2018'!X33+'March 2018'!X33+'April 2018'!X33</f>
        <v>14</v>
      </c>
      <c r="Y35" s="62">
        <f>'November 2017'!Y33+'December 2017'!Y33+'January 2018'!Y33+'February 2018'!Y33+'March 2018'!Y33+'April 2018'!Y33</f>
        <v>433</v>
      </c>
      <c r="Z35" s="62">
        <f>'November 2017'!Z33+'December 2017'!Z33+'January 2018'!Z33+'February 2018'!Z33+'March 2018'!Z33+'April 2018'!Z33</f>
        <v>297</v>
      </c>
      <c r="AA35" s="62">
        <f>'November 2017'!AA33+'December 2017'!AA33+'January 2018'!AA33+'February 2018'!AA33+'March 2018'!AA33+'April 2018'!AA33</f>
        <v>416</v>
      </c>
      <c r="AB35" s="62">
        <f>'November 2017'!AB33+'December 2017'!AB33+'January 2018'!AB33+'February 2018'!AB33+'March 2018'!AB33+'April 2018'!AB33</f>
        <v>282</v>
      </c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</row>
    <row r="36" spans="1:65" ht="15.75" customHeight="1">
      <c r="A36" s="51"/>
      <c r="B36" s="51"/>
      <c r="C36" s="51"/>
      <c r="D36" s="51"/>
      <c r="E36" s="52" t="s">
        <v>55</v>
      </c>
      <c r="F36" s="51"/>
      <c r="G36" s="51"/>
      <c r="H36" s="51"/>
      <c r="I36" s="51"/>
      <c r="J36" s="51"/>
      <c r="K36" s="51"/>
      <c r="L36" s="51"/>
      <c r="M36" s="66"/>
      <c r="N36" s="67"/>
      <c r="O36" s="67"/>
      <c r="P36" s="68"/>
      <c r="Q36" s="68"/>
      <c r="R36" s="68"/>
      <c r="S36" s="68"/>
      <c r="T36" s="69"/>
      <c r="U36" s="70"/>
      <c r="V36" s="69"/>
      <c r="W36" s="69"/>
      <c r="X36" s="71"/>
      <c r="Y36" s="68">
        <v>834</v>
      </c>
      <c r="Z36" s="68">
        <v>751</v>
      </c>
      <c r="AA36" s="68"/>
      <c r="AB36" s="71"/>
      <c r="AC36" s="71"/>
      <c r="AD36" s="71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7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17"/>
      <c r="BL36" s="17"/>
      <c r="BM36" s="17"/>
    </row>
    <row r="37" spans="1:65" ht="15.75" customHeight="1">
      <c r="A37" s="51"/>
      <c r="B37" s="51"/>
      <c r="C37" s="51"/>
      <c r="D37" s="51"/>
      <c r="E37" s="52" t="s">
        <v>56</v>
      </c>
      <c r="F37" s="51"/>
      <c r="G37" s="51"/>
      <c r="H37" s="51"/>
      <c r="I37" s="51"/>
      <c r="J37" s="51"/>
      <c r="K37" s="51"/>
      <c r="L37" s="51"/>
      <c r="M37" s="66"/>
      <c r="N37" s="67"/>
      <c r="O37" s="67"/>
      <c r="P37" s="68"/>
      <c r="Q37" s="68"/>
      <c r="R37" s="68"/>
      <c r="S37" s="68"/>
      <c r="T37" s="69"/>
      <c r="U37" s="70"/>
      <c r="V37" s="69"/>
      <c r="W37" s="69"/>
      <c r="X37" s="71"/>
      <c r="Y37" s="68">
        <v>688</v>
      </c>
      <c r="Z37" s="68">
        <v>1040</v>
      </c>
      <c r="AA37" s="68"/>
      <c r="AB37" s="71"/>
      <c r="AC37" s="71"/>
      <c r="AD37" s="71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7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17"/>
      <c r="BL37" s="17"/>
      <c r="BM37" s="17"/>
    </row>
    <row r="38" spans="1:65" ht="15.75" customHeight="1">
      <c r="A38" s="51"/>
      <c r="B38" s="51"/>
      <c r="C38" s="51"/>
      <c r="D38" s="72"/>
      <c r="E38" s="52" t="s">
        <v>57</v>
      </c>
      <c r="F38" s="51"/>
      <c r="G38" s="51"/>
      <c r="H38" s="51"/>
      <c r="I38" s="51"/>
      <c r="J38" s="51"/>
      <c r="K38" s="51"/>
      <c r="L38" s="72"/>
      <c r="M38" s="73"/>
      <c r="N38" s="74"/>
      <c r="O38" s="74"/>
      <c r="P38" s="75"/>
      <c r="Q38" s="75"/>
      <c r="R38" s="76"/>
      <c r="S38" s="76"/>
      <c r="T38" s="77"/>
      <c r="U38" s="78"/>
      <c r="V38" s="75"/>
      <c r="W38" s="75"/>
      <c r="X38" s="79"/>
      <c r="Y38" s="75">
        <v>695</v>
      </c>
      <c r="Z38" s="75">
        <v>750</v>
      </c>
      <c r="AA38" s="75"/>
      <c r="AB38" s="79"/>
      <c r="AC38" s="79"/>
      <c r="AD38" s="79"/>
      <c r="AE38" s="52"/>
      <c r="AF38" s="52"/>
      <c r="AG38" s="52"/>
      <c r="AH38" s="52"/>
      <c r="AI38" s="52"/>
      <c r="AJ38" s="52"/>
      <c r="AK38" s="75"/>
      <c r="AL38" s="75"/>
      <c r="AM38" s="80"/>
      <c r="AN38" s="80"/>
      <c r="AO38" s="80"/>
      <c r="AP38" s="79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17"/>
      <c r="BL38" s="17"/>
      <c r="BM38" s="17"/>
    </row>
    <row r="39" spans="1:65" ht="15.75" customHeight="1">
      <c r="A39" s="51"/>
      <c r="B39" s="51"/>
      <c r="C39" s="51"/>
      <c r="D39" s="72"/>
      <c r="E39" s="52" t="s">
        <v>58</v>
      </c>
      <c r="F39" s="51"/>
      <c r="G39" s="51"/>
      <c r="H39" s="51"/>
      <c r="I39" s="51"/>
      <c r="J39" s="51"/>
      <c r="K39" s="51"/>
      <c r="L39" s="72"/>
      <c r="M39" s="73"/>
      <c r="N39" s="74"/>
      <c r="O39" s="74"/>
      <c r="P39" s="75"/>
      <c r="Q39" s="75"/>
      <c r="R39" s="76"/>
      <c r="S39" s="76"/>
      <c r="T39" s="77"/>
      <c r="U39" s="78"/>
      <c r="V39" s="75"/>
      <c r="W39" s="75"/>
      <c r="X39" s="79"/>
      <c r="Y39" s="75">
        <v>580</v>
      </c>
      <c r="Z39" s="75">
        <v>572</v>
      </c>
      <c r="AA39" s="75"/>
      <c r="AB39" s="79"/>
      <c r="AC39" s="79"/>
      <c r="AD39" s="79"/>
      <c r="AE39" s="52"/>
      <c r="AF39" s="52"/>
      <c r="AG39" s="52"/>
      <c r="AH39" s="52"/>
      <c r="AI39" s="52"/>
      <c r="AJ39" s="52"/>
      <c r="AK39" s="75"/>
      <c r="AL39" s="75"/>
      <c r="AM39" s="80"/>
      <c r="AN39" s="80"/>
      <c r="AO39" s="80"/>
      <c r="AP39" s="79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17"/>
      <c r="BL39" s="17"/>
      <c r="BM39" s="17"/>
    </row>
    <row r="40" spans="1:65" ht="15.75" customHeight="1">
      <c r="A40" s="122">
        <v>43107</v>
      </c>
      <c r="B40" s="9">
        <v>1645</v>
      </c>
      <c r="C40" s="17"/>
      <c r="D40" s="9" t="s">
        <v>114</v>
      </c>
      <c r="E40" s="100" t="s">
        <v>30</v>
      </c>
      <c r="F40" s="9" t="s">
        <v>115</v>
      </c>
      <c r="G40" s="9" t="s">
        <v>116</v>
      </c>
      <c r="H40" s="26">
        <v>6.25E-2</v>
      </c>
      <c r="I40" s="17"/>
      <c r="J40" s="9">
        <v>45</v>
      </c>
      <c r="K40" s="9">
        <v>44.2</v>
      </c>
      <c r="L40" s="9" t="s">
        <v>97</v>
      </c>
      <c r="M40" s="9">
        <v>0</v>
      </c>
      <c r="N40" s="9">
        <v>0</v>
      </c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</row>
    <row r="41" spans="1:65" ht="15.75" customHeight="1">
      <c r="A41" s="17"/>
      <c r="B41" s="17"/>
      <c r="C41" s="17"/>
      <c r="D41" s="17"/>
      <c r="E41" s="6"/>
      <c r="F41" s="101"/>
      <c r="G41" s="101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</row>
    <row r="42" spans="1:65" ht="15.75" customHeight="1">
      <c r="A42" s="17"/>
      <c r="B42" s="17"/>
      <c r="C42" s="17"/>
      <c r="D42" s="17"/>
      <c r="E42" s="6"/>
      <c r="F42" s="101"/>
      <c r="G42" s="101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</row>
    <row r="43" spans="1:65" ht="15.75" customHeight="1">
      <c r="A43" s="17"/>
      <c r="B43" s="17"/>
      <c r="C43" s="17"/>
      <c r="D43" s="17"/>
      <c r="E43" s="6"/>
      <c r="F43" s="101"/>
      <c r="G43" s="101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</row>
    <row r="44" spans="1:65" ht="15.75" customHeight="1">
      <c r="A44" s="17"/>
      <c r="B44" s="17"/>
      <c r="C44" s="17"/>
      <c r="D44" s="17"/>
      <c r="E44" s="6"/>
      <c r="F44" s="101"/>
      <c r="G44" s="101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</row>
    <row r="45" spans="1:65" ht="15.75" customHeight="1">
      <c r="A45" s="17"/>
      <c r="B45" s="17"/>
      <c r="C45" s="17"/>
      <c r="D45" s="17"/>
      <c r="E45" s="6"/>
      <c r="F45" s="101"/>
      <c r="G45" s="101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</row>
    <row r="46" spans="1:65" ht="15.75" customHeight="1">
      <c r="A46" s="17"/>
      <c r="B46" s="17"/>
      <c r="C46" s="17"/>
      <c r="D46" s="17"/>
      <c r="E46" s="6"/>
      <c r="F46" s="101"/>
      <c r="G46" s="101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</row>
    <row r="47" spans="1:65" ht="15.75" customHeight="1">
      <c r="A47" s="17"/>
      <c r="B47" s="17"/>
      <c r="C47" s="17"/>
      <c r="D47" s="17"/>
      <c r="E47" s="6"/>
      <c r="F47" s="101"/>
      <c r="G47" s="101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</row>
    <row r="48" spans="1:65" ht="15.75" customHeight="1">
      <c r="A48" s="17"/>
      <c r="B48" s="17"/>
      <c r="C48" s="17"/>
      <c r="D48" s="17"/>
      <c r="E48" s="6"/>
      <c r="F48" s="101"/>
      <c r="G48" s="101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</row>
    <row r="49" spans="1:65" ht="15.75" customHeight="1">
      <c r="A49" s="17"/>
      <c r="B49" s="17"/>
      <c r="C49" s="17"/>
      <c r="D49" s="17"/>
      <c r="E49" s="6"/>
      <c r="F49" s="101"/>
      <c r="G49" s="101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</row>
    <row r="50" spans="1:65" ht="15.75" customHeight="1">
      <c r="A50" s="17"/>
      <c r="B50" s="17"/>
      <c r="C50" s="17"/>
      <c r="D50" s="17"/>
      <c r="E50" s="6"/>
      <c r="F50" s="101"/>
      <c r="G50" s="101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</row>
    <row r="51" spans="1:65" ht="13">
      <c r="A51" s="17"/>
      <c r="B51" s="17"/>
      <c r="C51" s="17"/>
      <c r="D51" s="17"/>
      <c r="E51" s="6"/>
      <c r="F51" s="101"/>
      <c r="G51" s="101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</row>
    <row r="52" spans="1:65" ht="13">
      <c r="A52" s="17"/>
      <c r="B52" s="17"/>
      <c r="C52" s="17"/>
      <c r="D52" s="17"/>
      <c r="E52" s="6"/>
      <c r="F52" s="101"/>
      <c r="G52" s="101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</row>
    <row r="53" spans="1:65" ht="13">
      <c r="A53" s="17"/>
      <c r="B53" s="17"/>
      <c r="C53" s="17"/>
      <c r="D53" s="17"/>
      <c r="E53" s="6"/>
      <c r="F53" s="101"/>
      <c r="G53" s="101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</row>
    <row r="54" spans="1:65" ht="13">
      <c r="A54" s="17"/>
      <c r="B54" s="17"/>
      <c r="C54" s="17"/>
      <c r="D54" s="17"/>
      <c r="E54" s="6"/>
      <c r="F54" s="101"/>
      <c r="G54" s="101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</row>
    <row r="55" spans="1:65" ht="13">
      <c r="A55" s="17"/>
      <c r="B55" s="17"/>
      <c r="C55" s="17"/>
      <c r="D55" s="17"/>
      <c r="E55" s="6"/>
      <c r="F55" s="101"/>
      <c r="G55" s="101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</row>
    <row r="56" spans="1:65" ht="13">
      <c r="A56" s="17"/>
      <c r="B56" s="17"/>
      <c r="C56" s="17"/>
      <c r="D56" s="17"/>
      <c r="E56" s="6"/>
      <c r="F56" s="101"/>
      <c r="G56" s="101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</row>
    <row r="57" spans="1:65" ht="13">
      <c r="A57" s="17"/>
      <c r="B57" s="17"/>
      <c r="C57" s="17"/>
      <c r="D57" s="17"/>
      <c r="E57" s="6"/>
      <c r="F57" s="101"/>
      <c r="G57" s="101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</row>
    <row r="58" spans="1:65" ht="13">
      <c r="A58" s="17"/>
      <c r="B58" s="17"/>
      <c r="C58" s="17"/>
      <c r="D58" s="17"/>
      <c r="E58" s="6"/>
      <c r="F58" s="101"/>
      <c r="G58" s="101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</row>
    <row r="59" spans="1:65" ht="13">
      <c r="A59" s="17"/>
      <c r="B59" s="17"/>
      <c r="C59" s="17"/>
      <c r="D59" s="17"/>
      <c r="E59" s="6"/>
      <c r="F59" s="101"/>
      <c r="G59" s="101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</row>
    <row r="60" spans="1:65" ht="13">
      <c r="A60" s="17"/>
      <c r="B60" s="17"/>
      <c r="C60" s="17"/>
      <c r="D60" s="17"/>
      <c r="E60" s="6"/>
      <c r="F60" s="101"/>
      <c r="G60" s="101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</row>
    <row r="61" spans="1:65" ht="13">
      <c r="A61" s="17"/>
      <c r="B61" s="17"/>
      <c r="C61" s="17"/>
      <c r="D61" s="17"/>
      <c r="E61" s="6"/>
      <c r="F61" s="101"/>
      <c r="G61" s="101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</row>
    <row r="62" spans="1:65" ht="13">
      <c r="A62" s="17"/>
      <c r="B62" s="17"/>
      <c r="C62" s="17"/>
      <c r="D62" s="17"/>
      <c r="E62" s="6"/>
      <c r="F62" s="101"/>
      <c r="G62" s="101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</row>
    <row r="63" spans="1:65" ht="13">
      <c r="A63" s="17"/>
      <c r="B63" s="17"/>
      <c r="C63" s="17"/>
      <c r="D63" s="17"/>
      <c r="E63" s="6"/>
      <c r="F63" s="101"/>
      <c r="G63" s="101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</row>
    <row r="64" spans="1:65" ht="13">
      <c r="A64" s="17"/>
      <c r="B64" s="17"/>
      <c r="C64" s="17"/>
      <c r="D64" s="17"/>
      <c r="E64" s="6"/>
      <c r="F64" s="101"/>
      <c r="G64" s="101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</row>
    <row r="65" spans="1:65" ht="13">
      <c r="A65" s="17"/>
      <c r="B65" s="17"/>
      <c r="C65" s="17"/>
      <c r="D65" s="17"/>
      <c r="E65" s="6"/>
      <c r="F65" s="101"/>
      <c r="G65" s="101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</row>
    <row r="66" spans="1:65" ht="13">
      <c r="A66" s="17"/>
      <c r="B66" s="17"/>
      <c r="C66" s="17"/>
      <c r="D66" s="17"/>
      <c r="E66" s="6"/>
      <c r="F66" s="101"/>
      <c r="G66" s="101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</row>
    <row r="67" spans="1:65" ht="13">
      <c r="A67" s="17"/>
      <c r="B67" s="17"/>
      <c r="C67" s="17"/>
      <c r="D67" s="17"/>
      <c r="E67" s="6"/>
      <c r="F67" s="101"/>
      <c r="G67" s="101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</row>
    <row r="68" spans="1:65" ht="13">
      <c r="A68" s="17"/>
      <c r="B68" s="17"/>
      <c r="C68" s="17"/>
      <c r="D68" s="17"/>
      <c r="E68" s="6"/>
      <c r="F68" s="101"/>
      <c r="G68" s="101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</row>
    <row r="69" spans="1:65" ht="13">
      <c r="A69" s="17"/>
      <c r="B69" s="17"/>
      <c r="C69" s="17"/>
      <c r="D69" s="17"/>
      <c r="E69" s="6"/>
      <c r="F69" s="101"/>
      <c r="G69" s="101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</row>
    <row r="70" spans="1:65" ht="13">
      <c r="A70" s="17"/>
      <c r="B70" s="17"/>
      <c r="C70" s="17"/>
      <c r="D70" s="17"/>
      <c r="E70" s="6"/>
      <c r="F70" s="101"/>
      <c r="G70" s="101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</row>
    <row r="71" spans="1:65" ht="13">
      <c r="A71" s="17"/>
      <c r="B71" s="17"/>
      <c r="C71" s="17"/>
      <c r="D71" s="17"/>
      <c r="E71" s="6"/>
      <c r="F71" s="101"/>
      <c r="G71" s="101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</row>
    <row r="72" spans="1:65" ht="13">
      <c r="A72" s="17"/>
      <c r="B72" s="17"/>
      <c r="C72" s="17"/>
      <c r="D72" s="17"/>
      <c r="E72" s="6"/>
      <c r="F72" s="101"/>
      <c r="G72" s="101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</row>
    <row r="73" spans="1:65" ht="13">
      <c r="A73" s="17"/>
      <c r="B73" s="17"/>
      <c r="C73" s="17"/>
      <c r="D73" s="17"/>
      <c r="E73" s="6"/>
      <c r="F73" s="101"/>
      <c r="G73" s="101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</row>
    <row r="74" spans="1:65" ht="13">
      <c r="A74" s="17"/>
      <c r="B74" s="17"/>
      <c r="C74" s="17"/>
      <c r="D74" s="17"/>
      <c r="E74" s="6"/>
      <c r="F74" s="101"/>
      <c r="G74" s="101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</row>
    <row r="75" spans="1:65" ht="13">
      <c r="A75" s="17"/>
      <c r="B75" s="17"/>
      <c r="C75" s="17"/>
      <c r="D75" s="17"/>
      <c r="E75" s="6"/>
      <c r="F75" s="101"/>
      <c r="G75" s="101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</row>
    <row r="76" spans="1:65" ht="13">
      <c r="A76" s="17"/>
      <c r="B76" s="17"/>
      <c r="C76" s="17"/>
      <c r="D76" s="17"/>
      <c r="E76" s="6"/>
      <c r="F76" s="101"/>
      <c r="G76" s="101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</row>
    <row r="77" spans="1:65" ht="13">
      <c r="A77" s="17"/>
      <c r="B77" s="17"/>
      <c r="C77" s="17"/>
      <c r="D77" s="17"/>
      <c r="E77" s="6"/>
      <c r="F77" s="101"/>
      <c r="G77" s="101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</row>
    <row r="78" spans="1:65" ht="13">
      <c r="A78" s="17"/>
      <c r="B78" s="17"/>
      <c r="C78" s="17"/>
      <c r="D78" s="17"/>
      <c r="E78" s="6"/>
      <c r="F78" s="101"/>
      <c r="G78" s="101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</row>
    <row r="79" spans="1:65" ht="13">
      <c r="A79" s="17"/>
      <c r="B79" s="17"/>
      <c r="C79" s="17"/>
      <c r="D79" s="17"/>
      <c r="E79" s="6"/>
      <c r="F79" s="101"/>
      <c r="G79" s="101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</row>
    <row r="80" spans="1:65" ht="13">
      <c r="A80" s="17"/>
      <c r="B80" s="17"/>
      <c r="C80" s="17"/>
      <c r="D80" s="17"/>
      <c r="E80" s="6"/>
      <c r="F80" s="101"/>
      <c r="G80" s="101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</row>
    <row r="81" spans="1:65" ht="13">
      <c r="A81" s="17"/>
      <c r="B81" s="17"/>
      <c r="C81" s="17"/>
      <c r="D81" s="17"/>
      <c r="E81" s="6"/>
      <c r="F81" s="101"/>
      <c r="G81" s="101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</row>
    <row r="82" spans="1:65" ht="13">
      <c r="A82" s="17"/>
      <c r="B82" s="17"/>
      <c r="C82" s="17"/>
      <c r="D82" s="17"/>
      <c r="E82" s="6"/>
      <c r="F82" s="101"/>
      <c r="G82" s="101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</row>
    <row r="83" spans="1:65" ht="13">
      <c r="A83" s="17"/>
      <c r="B83" s="17"/>
      <c r="C83" s="17"/>
      <c r="D83" s="17"/>
      <c r="E83" s="6"/>
      <c r="F83" s="101"/>
      <c r="G83" s="101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</row>
    <row r="84" spans="1:65" ht="13">
      <c r="A84" s="17"/>
      <c r="B84" s="17"/>
      <c r="C84" s="17"/>
      <c r="D84" s="17"/>
      <c r="E84" s="6"/>
      <c r="F84" s="101"/>
      <c r="G84" s="101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</row>
    <row r="85" spans="1:65" ht="13">
      <c r="A85" s="17"/>
      <c r="B85" s="17"/>
      <c r="C85" s="17"/>
      <c r="D85" s="17"/>
      <c r="E85" s="6"/>
      <c r="F85" s="101"/>
      <c r="G85" s="101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</row>
    <row r="86" spans="1:65" ht="13">
      <c r="A86" s="17"/>
      <c r="B86" s="17"/>
      <c r="C86" s="17"/>
      <c r="D86" s="17"/>
      <c r="E86" s="6"/>
      <c r="F86" s="101"/>
      <c r="G86" s="101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</row>
    <row r="87" spans="1:65" ht="13">
      <c r="A87" s="17"/>
      <c r="B87" s="17"/>
      <c r="C87" s="17"/>
      <c r="D87" s="17"/>
      <c r="E87" s="6"/>
      <c r="F87" s="101"/>
      <c r="G87" s="101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</row>
    <row r="88" spans="1:65" ht="13">
      <c r="A88" s="17"/>
      <c r="B88" s="17"/>
      <c r="C88" s="17"/>
      <c r="D88" s="17"/>
      <c r="E88" s="6"/>
      <c r="F88" s="101"/>
      <c r="G88" s="101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</row>
    <row r="89" spans="1:65" ht="13">
      <c r="A89" s="17"/>
      <c r="B89" s="17"/>
      <c r="C89" s="17"/>
      <c r="D89" s="17"/>
      <c r="E89" s="6"/>
      <c r="F89" s="101"/>
      <c r="G89" s="101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</row>
    <row r="90" spans="1:65" ht="13">
      <c r="A90" s="17"/>
      <c r="B90" s="17"/>
      <c r="C90" s="17"/>
      <c r="D90" s="17"/>
      <c r="E90" s="6"/>
      <c r="F90" s="101"/>
      <c r="G90" s="101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</row>
    <row r="91" spans="1:65" ht="13">
      <c r="A91" s="17"/>
      <c r="B91" s="17"/>
      <c r="C91" s="17"/>
      <c r="D91" s="17"/>
      <c r="E91" s="6"/>
      <c r="F91" s="101"/>
      <c r="G91" s="101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</row>
    <row r="92" spans="1:65" ht="13">
      <c r="A92" s="17"/>
      <c r="B92" s="17"/>
      <c r="C92" s="17"/>
      <c r="D92" s="17"/>
      <c r="E92" s="6"/>
      <c r="F92" s="101"/>
      <c r="G92" s="101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</row>
    <row r="93" spans="1:65" ht="13">
      <c r="A93" s="17"/>
      <c r="B93" s="17"/>
      <c r="C93" s="17"/>
      <c r="D93" s="17"/>
      <c r="E93" s="6"/>
      <c r="F93" s="101"/>
      <c r="G93" s="101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</row>
    <row r="94" spans="1:65" ht="13">
      <c r="A94" s="17"/>
      <c r="B94" s="17"/>
      <c r="C94" s="17"/>
      <c r="D94" s="17"/>
      <c r="E94" s="6"/>
      <c r="F94" s="101"/>
      <c r="G94" s="101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</row>
    <row r="95" spans="1:65" ht="13">
      <c r="A95" s="17"/>
      <c r="B95" s="17"/>
      <c r="C95" s="17"/>
      <c r="D95" s="17"/>
      <c r="E95" s="6"/>
      <c r="F95" s="101"/>
      <c r="G95" s="101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</row>
    <row r="96" spans="1:65" ht="13">
      <c r="A96" s="17"/>
      <c r="B96" s="17"/>
      <c r="C96" s="17"/>
      <c r="D96" s="17"/>
      <c r="E96" s="6"/>
      <c r="F96" s="101"/>
      <c r="G96" s="101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</row>
    <row r="97" spans="1:65" ht="13">
      <c r="A97" s="17"/>
      <c r="B97" s="17"/>
      <c r="C97" s="17"/>
      <c r="D97" s="17"/>
      <c r="E97" s="6"/>
      <c r="F97" s="101"/>
      <c r="G97" s="101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</row>
    <row r="98" spans="1:65" ht="13">
      <c r="A98" s="17"/>
      <c r="B98" s="17"/>
      <c r="C98" s="17"/>
      <c r="D98" s="17"/>
      <c r="E98" s="6"/>
      <c r="F98" s="101"/>
      <c r="G98" s="101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</row>
    <row r="99" spans="1:65" ht="13">
      <c r="A99" s="17"/>
      <c r="B99" s="17"/>
      <c r="C99" s="17"/>
      <c r="D99" s="17"/>
      <c r="E99" s="6"/>
      <c r="F99" s="101"/>
      <c r="G99" s="101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</row>
    <row r="100" spans="1:65" ht="13">
      <c r="A100" s="17"/>
      <c r="B100" s="17"/>
      <c r="C100" s="17"/>
      <c r="D100" s="17"/>
      <c r="E100" s="6"/>
      <c r="F100" s="101"/>
      <c r="G100" s="101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</row>
    <row r="101" spans="1:65" ht="13">
      <c r="A101" s="17"/>
      <c r="B101" s="17"/>
      <c r="C101" s="17"/>
      <c r="D101" s="17"/>
      <c r="E101" s="6"/>
      <c r="F101" s="101"/>
      <c r="G101" s="101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</row>
    <row r="102" spans="1:65" ht="13">
      <c r="A102" s="17"/>
      <c r="B102" s="17"/>
      <c r="C102" s="17"/>
      <c r="D102" s="17"/>
      <c r="E102" s="6"/>
      <c r="F102" s="101"/>
      <c r="G102" s="101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</row>
    <row r="103" spans="1:65" ht="13">
      <c r="A103" s="17"/>
      <c r="B103" s="17"/>
      <c r="C103" s="17"/>
      <c r="D103" s="17"/>
      <c r="E103" s="6"/>
      <c r="F103" s="101"/>
      <c r="G103" s="101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</row>
    <row r="104" spans="1:65" ht="13">
      <c r="A104" s="17"/>
      <c r="B104" s="17"/>
      <c r="C104" s="17"/>
      <c r="D104" s="17"/>
      <c r="E104" s="6"/>
      <c r="F104" s="101"/>
      <c r="G104" s="101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</row>
    <row r="105" spans="1:65" ht="13">
      <c r="A105" s="17"/>
      <c r="B105" s="17"/>
      <c r="C105" s="17"/>
      <c r="D105" s="17"/>
      <c r="E105" s="6"/>
      <c r="F105" s="101"/>
      <c r="G105" s="101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</row>
    <row r="106" spans="1:65" ht="13">
      <c r="A106" s="17"/>
      <c r="B106" s="17"/>
      <c r="C106" s="17"/>
      <c r="D106" s="17"/>
      <c r="E106" s="6"/>
      <c r="F106" s="101"/>
      <c r="G106" s="101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</row>
    <row r="107" spans="1:65" ht="13">
      <c r="A107" s="17"/>
      <c r="B107" s="17"/>
      <c r="C107" s="17"/>
      <c r="D107" s="17"/>
      <c r="E107" s="6"/>
      <c r="F107" s="101"/>
      <c r="G107" s="101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</row>
    <row r="108" spans="1:65" ht="13">
      <c r="A108" s="17"/>
      <c r="B108" s="17"/>
      <c r="C108" s="17"/>
      <c r="D108" s="17"/>
      <c r="E108" s="6"/>
      <c r="F108" s="101"/>
      <c r="G108" s="101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</row>
    <row r="109" spans="1:65" ht="13">
      <c r="A109" s="17"/>
      <c r="B109" s="17"/>
      <c r="C109" s="17"/>
      <c r="D109" s="17"/>
      <c r="E109" s="6"/>
      <c r="F109" s="101"/>
      <c r="G109" s="101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</row>
    <row r="110" spans="1:65" ht="13">
      <c r="A110" s="17"/>
      <c r="B110" s="17"/>
      <c r="C110" s="17"/>
      <c r="D110" s="17"/>
      <c r="E110" s="6"/>
      <c r="F110" s="101"/>
      <c r="G110" s="101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</row>
    <row r="111" spans="1:65" ht="13">
      <c r="A111" s="17"/>
      <c r="B111" s="17"/>
      <c r="C111" s="17"/>
      <c r="D111" s="17"/>
      <c r="E111" s="6"/>
      <c r="F111" s="101"/>
      <c r="G111" s="101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</row>
    <row r="112" spans="1:65" ht="13">
      <c r="A112" s="17"/>
      <c r="B112" s="17"/>
      <c r="C112" s="17"/>
      <c r="D112" s="17"/>
      <c r="E112" s="6"/>
      <c r="F112" s="101"/>
      <c r="G112" s="101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</row>
    <row r="113" spans="1:65" ht="13">
      <c r="A113" s="17"/>
      <c r="B113" s="17"/>
      <c r="C113" s="17"/>
      <c r="D113" s="17"/>
      <c r="E113" s="6"/>
      <c r="F113" s="101"/>
      <c r="G113" s="101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</row>
    <row r="114" spans="1:65" ht="13">
      <c r="A114" s="17"/>
      <c r="B114" s="17"/>
      <c r="C114" s="17"/>
      <c r="D114" s="17"/>
      <c r="E114" s="6"/>
      <c r="F114" s="101"/>
      <c r="G114" s="101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</row>
    <row r="115" spans="1:65" ht="13">
      <c r="A115" s="17"/>
      <c r="B115" s="17"/>
      <c r="C115" s="17"/>
      <c r="D115" s="17"/>
      <c r="E115" s="6"/>
      <c r="F115" s="101"/>
      <c r="G115" s="101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</row>
    <row r="116" spans="1:65" ht="13">
      <c r="A116" s="17"/>
      <c r="B116" s="17"/>
      <c r="C116" s="17"/>
      <c r="D116" s="17"/>
      <c r="E116" s="6"/>
      <c r="F116" s="101"/>
      <c r="G116" s="101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</row>
    <row r="117" spans="1:65" ht="13">
      <c r="A117" s="17"/>
      <c r="B117" s="17"/>
      <c r="C117" s="17"/>
      <c r="D117" s="17"/>
      <c r="E117" s="6"/>
      <c r="F117" s="101"/>
      <c r="G117" s="101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</row>
    <row r="118" spans="1:65" ht="13">
      <c r="A118" s="17"/>
      <c r="B118" s="17"/>
      <c r="C118" s="17"/>
      <c r="D118" s="17"/>
      <c r="E118" s="6"/>
      <c r="F118" s="101"/>
      <c r="G118" s="101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</row>
    <row r="119" spans="1:65" ht="13">
      <c r="A119" s="17"/>
      <c r="B119" s="17"/>
      <c r="C119" s="17"/>
      <c r="D119" s="17"/>
      <c r="E119" s="6"/>
      <c r="F119" s="101"/>
      <c r="G119" s="101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</row>
    <row r="120" spans="1:65" ht="13">
      <c r="A120" s="17"/>
      <c r="B120" s="17"/>
      <c r="C120" s="17"/>
      <c r="D120" s="17"/>
      <c r="E120" s="6"/>
      <c r="F120" s="101"/>
      <c r="G120" s="101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</row>
    <row r="121" spans="1:65" ht="13">
      <c r="A121" s="17"/>
      <c r="B121" s="17"/>
      <c r="C121" s="17"/>
      <c r="D121" s="17"/>
      <c r="E121" s="6"/>
      <c r="F121" s="101"/>
      <c r="G121" s="101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</row>
    <row r="122" spans="1:65" ht="13">
      <c r="A122" s="17"/>
      <c r="B122" s="17"/>
      <c r="C122" s="17"/>
      <c r="D122" s="17"/>
      <c r="E122" s="6"/>
      <c r="F122" s="101"/>
      <c r="G122" s="101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</row>
    <row r="123" spans="1:65" ht="13">
      <c r="A123" s="17"/>
      <c r="B123" s="17"/>
      <c r="C123" s="17"/>
      <c r="D123" s="17"/>
      <c r="E123" s="6"/>
      <c r="F123" s="101"/>
      <c r="G123" s="101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</row>
    <row r="124" spans="1:65" ht="13">
      <c r="A124" s="17"/>
      <c r="B124" s="17"/>
      <c r="C124" s="17"/>
      <c r="D124" s="17"/>
      <c r="E124" s="6"/>
      <c r="F124" s="101"/>
      <c r="G124" s="101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</row>
    <row r="125" spans="1:65" ht="13">
      <c r="A125" s="17"/>
      <c r="B125" s="17"/>
      <c r="C125" s="17"/>
      <c r="D125" s="17"/>
      <c r="E125" s="6"/>
      <c r="F125" s="101"/>
      <c r="G125" s="101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</row>
    <row r="126" spans="1:65" ht="13">
      <c r="A126" s="17"/>
      <c r="B126" s="17"/>
      <c r="C126" s="17"/>
      <c r="D126" s="17"/>
      <c r="E126" s="6"/>
      <c r="F126" s="101"/>
      <c r="G126" s="101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</row>
    <row r="127" spans="1:65" ht="13">
      <c r="A127" s="17"/>
      <c r="B127" s="17"/>
      <c r="C127" s="17"/>
      <c r="D127" s="17"/>
      <c r="E127" s="6"/>
      <c r="F127" s="101"/>
      <c r="G127" s="101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</row>
    <row r="128" spans="1:65" ht="13">
      <c r="A128" s="17"/>
      <c r="B128" s="17"/>
      <c r="C128" s="17"/>
      <c r="D128" s="17"/>
      <c r="E128" s="6"/>
      <c r="F128" s="101"/>
      <c r="G128" s="101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</row>
    <row r="129" spans="1:65" ht="13">
      <c r="A129" s="17"/>
      <c r="B129" s="17"/>
      <c r="C129" s="17"/>
      <c r="D129" s="17"/>
      <c r="E129" s="6"/>
      <c r="F129" s="101"/>
      <c r="G129" s="101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</row>
    <row r="130" spans="1:65" ht="13">
      <c r="A130" s="17"/>
      <c r="B130" s="17"/>
      <c r="C130" s="17"/>
      <c r="D130" s="17"/>
      <c r="E130" s="6"/>
      <c r="F130" s="101"/>
      <c r="G130" s="101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</row>
    <row r="131" spans="1:65" ht="13">
      <c r="A131" s="17"/>
      <c r="B131" s="17"/>
      <c r="C131" s="17"/>
      <c r="D131" s="17"/>
      <c r="E131" s="6"/>
      <c r="F131" s="101"/>
      <c r="G131" s="101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</row>
    <row r="132" spans="1:65" ht="13">
      <c r="A132" s="17"/>
      <c r="B132" s="17"/>
      <c r="C132" s="17"/>
      <c r="D132" s="17"/>
      <c r="E132" s="6"/>
      <c r="F132" s="101"/>
      <c r="G132" s="101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</row>
    <row r="133" spans="1:65" ht="13">
      <c r="A133" s="17"/>
      <c r="B133" s="17"/>
      <c r="C133" s="17"/>
      <c r="D133" s="17"/>
      <c r="E133" s="6"/>
      <c r="F133" s="101"/>
      <c r="G133" s="101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</row>
    <row r="134" spans="1:65" ht="13">
      <c r="A134" s="17"/>
      <c r="B134" s="17"/>
      <c r="C134" s="17"/>
      <c r="D134" s="17"/>
      <c r="E134" s="6"/>
      <c r="F134" s="101"/>
      <c r="G134" s="101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</row>
    <row r="135" spans="1:65" ht="13">
      <c r="A135" s="17"/>
      <c r="B135" s="17"/>
      <c r="C135" s="17"/>
      <c r="D135" s="17"/>
      <c r="E135" s="6"/>
      <c r="F135" s="101"/>
      <c r="G135" s="101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</row>
    <row r="136" spans="1:65" ht="13">
      <c r="A136" s="17"/>
      <c r="B136" s="17"/>
      <c r="C136" s="17"/>
      <c r="D136" s="17"/>
      <c r="E136" s="6"/>
      <c r="F136" s="101"/>
      <c r="G136" s="101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</row>
    <row r="137" spans="1:65" ht="13">
      <c r="A137" s="17"/>
      <c r="B137" s="17"/>
      <c r="C137" s="17"/>
      <c r="D137" s="17"/>
      <c r="E137" s="6"/>
      <c r="F137" s="101"/>
      <c r="G137" s="101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</row>
    <row r="138" spans="1:65" ht="13">
      <c r="A138" s="17"/>
      <c r="B138" s="17"/>
      <c r="C138" s="17"/>
      <c r="D138" s="17"/>
      <c r="E138" s="6"/>
      <c r="F138" s="101"/>
      <c r="G138" s="101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</row>
    <row r="139" spans="1:65" ht="13">
      <c r="A139" s="17"/>
      <c r="B139" s="17"/>
      <c r="C139" s="17"/>
      <c r="D139" s="17"/>
      <c r="E139" s="6"/>
      <c r="F139" s="101"/>
      <c r="G139" s="101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</row>
    <row r="140" spans="1:65" ht="13">
      <c r="A140" s="17"/>
      <c r="B140" s="17"/>
      <c r="C140" s="17"/>
      <c r="D140" s="17"/>
      <c r="E140" s="6"/>
      <c r="F140" s="101"/>
      <c r="G140" s="101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</row>
    <row r="141" spans="1:65" ht="13">
      <c r="A141" s="17"/>
      <c r="B141" s="17"/>
      <c r="C141" s="17"/>
      <c r="D141" s="17"/>
      <c r="E141" s="6"/>
      <c r="F141" s="101"/>
      <c r="G141" s="101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</row>
    <row r="142" spans="1:65" ht="13">
      <c r="A142" s="17"/>
      <c r="B142" s="17"/>
      <c r="C142" s="17"/>
      <c r="D142" s="17"/>
      <c r="E142" s="6"/>
      <c r="F142" s="101"/>
      <c r="G142" s="101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</row>
    <row r="143" spans="1:65" ht="13">
      <c r="A143" s="17"/>
      <c r="B143" s="17"/>
      <c r="C143" s="17"/>
      <c r="D143" s="17"/>
      <c r="E143" s="6"/>
      <c r="F143" s="101"/>
      <c r="G143" s="101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</row>
    <row r="144" spans="1:65" ht="13">
      <c r="A144" s="17"/>
      <c r="B144" s="17"/>
      <c r="C144" s="17"/>
      <c r="D144" s="17"/>
      <c r="E144" s="6"/>
      <c r="F144" s="101"/>
      <c r="G144" s="101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</row>
    <row r="145" spans="1:65" ht="13">
      <c r="A145" s="17"/>
      <c r="B145" s="17"/>
      <c r="C145" s="17"/>
      <c r="D145" s="17"/>
      <c r="E145" s="6"/>
      <c r="F145" s="101"/>
      <c r="G145" s="101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</row>
    <row r="146" spans="1:65" ht="13">
      <c r="A146" s="17"/>
      <c r="B146" s="17"/>
      <c r="C146" s="17"/>
      <c r="D146" s="17"/>
      <c r="E146" s="6"/>
      <c r="F146" s="101"/>
      <c r="G146" s="101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</row>
    <row r="147" spans="1:65" ht="13">
      <c r="A147" s="17"/>
      <c r="B147" s="17"/>
      <c r="C147" s="17"/>
      <c r="D147" s="17"/>
      <c r="E147" s="6"/>
      <c r="F147" s="101"/>
      <c r="G147" s="101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</row>
    <row r="148" spans="1:65" ht="13">
      <c r="A148" s="17"/>
      <c r="B148" s="17"/>
      <c r="C148" s="17"/>
      <c r="D148" s="17"/>
      <c r="E148" s="6"/>
      <c r="F148" s="101"/>
      <c r="G148" s="101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</row>
    <row r="149" spans="1:65" ht="13">
      <c r="A149" s="17"/>
      <c r="B149" s="17"/>
      <c r="C149" s="17"/>
      <c r="D149" s="17"/>
      <c r="E149" s="6"/>
      <c r="F149" s="101"/>
      <c r="G149" s="101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</row>
    <row r="150" spans="1:65" ht="13">
      <c r="A150" s="17"/>
      <c r="B150" s="17"/>
      <c r="C150" s="17"/>
      <c r="D150" s="17"/>
      <c r="E150" s="6"/>
      <c r="F150" s="101"/>
      <c r="G150" s="101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</row>
    <row r="151" spans="1:65" ht="13">
      <c r="A151" s="17"/>
      <c r="B151" s="17"/>
      <c r="C151" s="17"/>
      <c r="D151" s="17"/>
      <c r="E151" s="6"/>
      <c r="F151" s="101"/>
      <c r="G151" s="101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</row>
    <row r="152" spans="1:65" ht="13">
      <c r="A152" s="17"/>
      <c r="B152" s="17"/>
      <c r="C152" s="17"/>
      <c r="D152" s="17"/>
      <c r="E152" s="6"/>
      <c r="F152" s="101"/>
      <c r="G152" s="101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</row>
    <row r="153" spans="1:65" ht="13">
      <c r="A153" s="17"/>
      <c r="B153" s="17"/>
      <c r="C153" s="17"/>
      <c r="D153" s="17"/>
      <c r="E153" s="6"/>
      <c r="F153" s="101"/>
      <c r="G153" s="101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</row>
    <row r="154" spans="1:65" ht="13">
      <c r="A154" s="17"/>
      <c r="B154" s="17"/>
      <c r="C154" s="17"/>
      <c r="D154" s="17"/>
      <c r="E154" s="6"/>
      <c r="F154" s="101"/>
      <c r="G154" s="101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</row>
    <row r="155" spans="1:65" ht="13">
      <c r="A155" s="17"/>
      <c r="B155" s="17"/>
      <c r="C155" s="17"/>
      <c r="D155" s="17"/>
      <c r="E155" s="6"/>
      <c r="F155" s="101"/>
      <c r="G155" s="101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</row>
    <row r="156" spans="1:65" ht="13">
      <c r="A156" s="17"/>
      <c r="B156" s="17"/>
      <c r="C156" s="17"/>
      <c r="D156" s="17"/>
      <c r="E156" s="6"/>
      <c r="F156" s="101"/>
      <c r="G156" s="101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</row>
    <row r="157" spans="1:65" ht="13">
      <c r="A157" s="17"/>
      <c r="B157" s="17"/>
      <c r="C157" s="17"/>
      <c r="D157" s="17"/>
      <c r="E157" s="6"/>
      <c r="F157" s="101"/>
      <c r="G157" s="101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</row>
    <row r="158" spans="1:65" ht="13">
      <c r="A158" s="17"/>
      <c r="B158" s="17"/>
      <c r="C158" s="17"/>
      <c r="D158" s="17"/>
      <c r="E158" s="6"/>
      <c r="F158" s="101"/>
      <c r="G158" s="101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</row>
    <row r="159" spans="1:65" ht="13">
      <c r="A159" s="17"/>
      <c r="B159" s="17"/>
      <c r="C159" s="17"/>
      <c r="D159" s="17"/>
      <c r="E159" s="6"/>
      <c r="F159" s="101"/>
      <c r="G159" s="101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</row>
    <row r="160" spans="1:65" ht="13">
      <c r="A160" s="17"/>
      <c r="B160" s="17"/>
      <c r="C160" s="17"/>
      <c r="D160" s="17"/>
      <c r="E160" s="6"/>
      <c r="F160" s="101"/>
      <c r="G160" s="101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</row>
    <row r="161" spans="1:65" ht="13">
      <c r="A161" s="17"/>
      <c r="B161" s="17"/>
      <c r="C161" s="17"/>
      <c r="D161" s="17"/>
      <c r="E161" s="6"/>
      <c r="F161" s="101"/>
      <c r="G161" s="101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</row>
    <row r="162" spans="1:65" ht="13">
      <c r="A162" s="17"/>
      <c r="B162" s="17"/>
      <c r="C162" s="17"/>
      <c r="D162" s="17"/>
      <c r="E162" s="6"/>
      <c r="F162" s="101"/>
      <c r="G162" s="101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</row>
    <row r="163" spans="1:65" ht="13">
      <c r="A163" s="17"/>
      <c r="B163" s="17"/>
      <c r="C163" s="17"/>
      <c r="D163" s="17"/>
      <c r="E163" s="6"/>
      <c r="F163" s="101"/>
      <c r="G163" s="101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</row>
    <row r="164" spans="1:65" ht="13">
      <c r="A164" s="17"/>
      <c r="B164" s="17"/>
      <c r="C164" s="17"/>
      <c r="D164" s="17"/>
      <c r="E164" s="6"/>
      <c r="F164" s="101"/>
      <c r="G164" s="101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</row>
    <row r="165" spans="1:65" ht="13">
      <c r="A165" s="17"/>
      <c r="B165" s="17"/>
      <c r="C165" s="17"/>
      <c r="D165" s="17"/>
      <c r="E165" s="6"/>
      <c r="F165" s="101"/>
      <c r="G165" s="101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</row>
    <row r="166" spans="1:65" ht="13">
      <c r="A166" s="17"/>
      <c r="B166" s="17"/>
      <c r="C166" s="17"/>
      <c r="D166" s="17"/>
      <c r="E166" s="6"/>
      <c r="F166" s="101"/>
      <c r="G166" s="101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</row>
    <row r="167" spans="1:65" ht="13">
      <c r="A167" s="17"/>
      <c r="B167" s="17"/>
      <c r="C167" s="17"/>
      <c r="D167" s="17"/>
      <c r="E167" s="6"/>
      <c r="F167" s="101"/>
      <c r="G167" s="101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</row>
    <row r="168" spans="1:65" ht="13">
      <c r="A168" s="17"/>
      <c r="B168" s="17"/>
      <c r="C168" s="17"/>
      <c r="D168" s="17"/>
      <c r="E168" s="6"/>
      <c r="F168" s="101"/>
      <c r="G168" s="101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</row>
    <row r="169" spans="1:65" ht="13">
      <c r="A169" s="17"/>
      <c r="B169" s="17"/>
      <c r="C169" s="17"/>
      <c r="D169" s="17"/>
      <c r="E169" s="6"/>
      <c r="F169" s="101"/>
      <c r="G169" s="101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</row>
    <row r="170" spans="1:65" ht="13">
      <c r="A170" s="17"/>
      <c r="B170" s="17"/>
      <c r="C170" s="17"/>
      <c r="D170" s="17"/>
      <c r="E170" s="6"/>
      <c r="F170" s="101"/>
      <c r="G170" s="101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</row>
    <row r="171" spans="1:65" ht="13">
      <c r="A171" s="17"/>
      <c r="B171" s="17"/>
      <c r="C171" s="17"/>
      <c r="D171" s="17"/>
      <c r="E171" s="6"/>
      <c r="F171" s="101"/>
      <c r="G171" s="101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</row>
    <row r="172" spans="1:65" ht="13">
      <c r="A172" s="17"/>
      <c r="B172" s="17"/>
      <c r="C172" s="17"/>
      <c r="D172" s="17"/>
      <c r="E172" s="6"/>
      <c r="F172" s="101"/>
      <c r="G172" s="101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</row>
    <row r="173" spans="1:65" ht="13">
      <c r="A173" s="17"/>
      <c r="B173" s="17"/>
      <c r="C173" s="17"/>
      <c r="D173" s="17"/>
      <c r="E173" s="6"/>
      <c r="F173" s="101"/>
      <c r="G173" s="101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</row>
    <row r="174" spans="1:65" ht="13">
      <c r="A174" s="17"/>
      <c r="B174" s="17"/>
      <c r="C174" s="17"/>
      <c r="D174" s="17"/>
      <c r="E174" s="6"/>
      <c r="F174" s="101"/>
      <c r="G174" s="101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</row>
    <row r="175" spans="1:65" ht="13">
      <c r="A175" s="17"/>
      <c r="B175" s="17"/>
      <c r="C175" s="17"/>
      <c r="D175" s="17"/>
      <c r="E175" s="6"/>
      <c r="F175" s="101"/>
      <c r="G175" s="101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</row>
    <row r="176" spans="1:65" ht="13">
      <c r="A176" s="17"/>
      <c r="B176" s="17"/>
      <c r="C176" s="17"/>
      <c r="D176" s="17"/>
      <c r="E176" s="6"/>
      <c r="F176" s="101"/>
      <c r="G176" s="101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</row>
    <row r="177" spans="1:65" ht="13">
      <c r="A177" s="17"/>
      <c r="B177" s="17"/>
      <c r="C177" s="17"/>
      <c r="D177" s="17"/>
      <c r="E177" s="6"/>
      <c r="F177" s="101"/>
      <c r="G177" s="101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</row>
    <row r="178" spans="1:65" ht="13">
      <c r="A178" s="17"/>
      <c r="B178" s="17"/>
      <c r="C178" s="17"/>
      <c r="D178" s="17"/>
      <c r="E178" s="6"/>
      <c r="F178" s="101"/>
      <c r="G178" s="101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</row>
    <row r="179" spans="1:65" ht="13">
      <c r="A179" s="17"/>
      <c r="B179" s="17"/>
      <c r="C179" s="17"/>
      <c r="D179" s="17"/>
      <c r="E179" s="6"/>
      <c r="F179" s="101"/>
      <c r="G179" s="101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</row>
    <row r="180" spans="1:65" ht="13">
      <c r="A180" s="17"/>
      <c r="B180" s="17"/>
      <c r="C180" s="17"/>
      <c r="D180" s="17"/>
      <c r="E180" s="6"/>
      <c r="F180" s="101"/>
      <c r="G180" s="101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</row>
    <row r="181" spans="1:65" ht="13">
      <c r="A181" s="17"/>
      <c r="B181" s="17"/>
      <c r="C181" s="17"/>
      <c r="D181" s="17"/>
      <c r="E181" s="6"/>
      <c r="F181" s="101"/>
      <c r="G181" s="101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</row>
    <row r="182" spans="1:65" ht="13">
      <c r="A182" s="17"/>
      <c r="B182" s="17"/>
      <c r="C182" s="17"/>
      <c r="D182" s="17"/>
      <c r="E182" s="6"/>
      <c r="F182" s="101"/>
      <c r="G182" s="101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</row>
    <row r="183" spans="1:65" ht="13">
      <c r="A183" s="17"/>
      <c r="B183" s="17"/>
      <c r="C183" s="17"/>
      <c r="D183" s="17"/>
      <c r="E183" s="6"/>
      <c r="F183" s="101"/>
      <c r="G183" s="101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</row>
    <row r="184" spans="1:65" ht="13">
      <c r="A184" s="17"/>
      <c r="B184" s="17"/>
      <c r="C184" s="17"/>
      <c r="D184" s="17"/>
      <c r="E184" s="6"/>
      <c r="F184" s="101"/>
      <c r="G184" s="101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</row>
    <row r="185" spans="1:65" ht="13">
      <c r="A185" s="17"/>
      <c r="B185" s="17"/>
      <c r="C185" s="17"/>
      <c r="D185" s="17"/>
      <c r="E185" s="6"/>
      <c r="F185" s="101"/>
      <c r="G185" s="101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</row>
    <row r="186" spans="1:65" ht="13">
      <c r="A186" s="17"/>
      <c r="B186" s="17"/>
      <c r="C186" s="17"/>
      <c r="D186" s="17"/>
      <c r="E186" s="6"/>
      <c r="F186" s="101"/>
      <c r="G186" s="101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</row>
    <row r="187" spans="1:65" ht="13">
      <c r="A187" s="17"/>
      <c r="B187" s="17"/>
      <c r="C187" s="17"/>
      <c r="D187" s="17"/>
      <c r="E187" s="6"/>
      <c r="F187" s="101"/>
      <c r="G187" s="101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</row>
    <row r="188" spans="1:65" ht="13">
      <c r="A188" s="17"/>
      <c r="B188" s="17"/>
      <c r="C188" s="17"/>
      <c r="D188" s="17"/>
      <c r="E188" s="6"/>
      <c r="F188" s="101"/>
      <c r="G188" s="101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</row>
    <row r="189" spans="1:65" ht="13">
      <c r="A189" s="17"/>
      <c r="B189" s="17"/>
      <c r="C189" s="17"/>
      <c r="D189" s="17"/>
      <c r="E189" s="6"/>
      <c r="F189" s="101"/>
      <c r="G189" s="101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</row>
    <row r="190" spans="1:65" ht="13">
      <c r="A190" s="17"/>
      <c r="B190" s="17"/>
      <c r="C190" s="17"/>
      <c r="D190" s="17"/>
      <c r="E190" s="6"/>
      <c r="F190" s="101"/>
      <c r="G190" s="101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</row>
    <row r="191" spans="1:65" ht="13">
      <c r="A191" s="17"/>
      <c r="B191" s="17"/>
      <c r="C191" s="17"/>
      <c r="D191" s="17"/>
      <c r="E191" s="6"/>
      <c r="F191" s="101"/>
      <c r="G191" s="101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</row>
    <row r="192" spans="1:65" ht="13">
      <c r="A192" s="17"/>
      <c r="B192" s="17"/>
      <c r="C192" s="17"/>
      <c r="D192" s="17"/>
      <c r="E192" s="6"/>
      <c r="F192" s="101"/>
      <c r="G192" s="101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</row>
    <row r="193" spans="1:65" ht="13">
      <c r="A193" s="17"/>
      <c r="B193" s="17"/>
      <c r="C193" s="17"/>
      <c r="D193" s="17"/>
      <c r="E193" s="6"/>
      <c r="F193" s="101"/>
      <c r="G193" s="101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</row>
    <row r="194" spans="1:65" ht="13">
      <c r="A194" s="17"/>
      <c r="B194" s="17"/>
      <c r="C194" s="17"/>
      <c r="D194" s="17"/>
      <c r="E194" s="6"/>
      <c r="F194" s="101"/>
      <c r="G194" s="101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</row>
    <row r="195" spans="1:65" ht="13">
      <c r="A195" s="17"/>
      <c r="B195" s="17"/>
      <c r="C195" s="17"/>
      <c r="D195" s="17"/>
      <c r="E195" s="6"/>
      <c r="F195" s="101"/>
      <c r="G195" s="101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</row>
    <row r="196" spans="1:65" ht="13">
      <c r="A196" s="17"/>
      <c r="B196" s="17"/>
      <c r="C196" s="17"/>
      <c r="D196" s="17"/>
      <c r="E196" s="6"/>
      <c r="F196" s="101"/>
      <c r="G196" s="101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</row>
    <row r="197" spans="1:65" ht="13">
      <c r="A197" s="17"/>
      <c r="B197" s="17"/>
      <c r="C197" s="17"/>
      <c r="D197" s="17"/>
      <c r="E197" s="6"/>
      <c r="F197" s="101"/>
      <c r="G197" s="101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</row>
    <row r="198" spans="1:65" ht="13">
      <c r="A198" s="17"/>
      <c r="B198" s="17"/>
      <c r="C198" s="17"/>
      <c r="D198" s="17"/>
      <c r="E198" s="6"/>
      <c r="F198" s="101"/>
      <c r="G198" s="101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</row>
    <row r="199" spans="1:65" ht="13">
      <c r="A199" s="17"/>
      <c r="B199" s="17"/>
      <c r="C199" s="17"/>
      <c r="D199" s="17"/>
      <c r="E199" s="6"/>
      <c r="F199" s="101"/>
      <c r="G199" s="101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</row>
    <row r="200" spans="1:65" ht="13">
      <c r="A200" s="17"/>
      <c r="B200" s="17"/>
      <c r="C200" s="17"/>
      <c r="D200" s="17"/>
      <c r="E200" s="6"/>
      <c r="F200" s="101"/>
      <c r="G200" s="101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</row>
    <row r="201" spans="1:65" ht="13">
      <c r="A201" s="17"/>
      <c r="B201" s="17"/>
      <c r="C201" s="17"/>
      <c r="D201" s="17"/>
      <c r="E201" s="6"/>
      <c r="F201" s="101"/>
      <c r="G201" s="101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</row>
    <row r="202" spans="1:65" ht="13">
      <c r="A202" s="17"/>
      <c r="B202" s="17"/>
      <c r="C202" s="17"/>
      <c r="D202" s="17"/>
      <c r="E202" s="6"/>
      <c r="F202" s="101"/>
      <c r="G202" s="101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</row>
    <row r="203" spans="1:65" ht="13">
      <c r="A203" s="17"/>
      <c r="B203" s="17"/>
      <c r="C203" s="17"/>
      <c r="D203" s="17"/>
      <c r="E203" s="6"/>
      <c r="F203" s="101"/>
      <c r="G203" s="101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</row>
    <row r="204" spans="1:65" ht="13">
      <c r="A204" s="17"/>
      <c r="B204" s="17"/>
      <c r="C204" s="17"/>
      <c r="D204" s="17"/>
      <c r="E204" s="6"/>
      <c r="F204" s="101"/>
      <c r="G204" s="101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</row>
    <row r="205" spans="1:65" ht="13">
      <c r="A205" s="17"/>
      <c r="B205" s="17"/>
      <c r="C205" s="17"/>
      <c r="D205" s="17"/>
      <c r="E205" s="6"/>
      <c r="F205" s="101"/>
      <c r="G205" s="101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</row>
    <row r="206" spans="1:65" ht="13">
      <c r="A206" s="17"/>
      <c r="B206" s="17"/>
      <c r="C206" s="17"/>
      <c r="D206" s="17"/>
      <c r="E206" s="6"/>
      <c r="F206" s="101"/>
      <c r="G206" s="101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</row>
    <row r="207" spans="1:65" ht="13">
      <c r="A207" s="17"/>
      <c r="B207" s="17"/>
      <c r="C207" s="17"/>
      <c r="D207" s="17"/>
      <c r="E207" s="6"/>
      <c r="F207" s="101"/>
      <c r="G207" s="101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</row>
    <row r="208" spans="1:65" ht="13">
      <c r="A208" s="17"/>
      <c r="B208" s="17"/>
      <c r="C208" s="17"/>
      <c r="D208" s="17"/>
      <c r="E208" s="6"/>
      <c r="F208" s="101"/>
      <c r="G208" s="101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</row>
    <row r="209" spans="1:65" ht="13">
      <c r="A209" s="17"/>
      <c r="B209" s="17"/>
      <c r="C209" s="17"/>
      <c r="D209" s="17"/>
      <c r="E209" s="6"/>
      <c r="F209" s="101"/>
      <c r="G209" s="101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</row>
    <row r="210" spans="1:65" ht="13">
      <c r="A210" s="17"/>
      <c r="B210" s="17"/>
      <c r="C210" s="17"/>
      <c r="D210" s="17"/>
      <c r="E210" s="6"/>
      <c r="F210" s="101"/>
      <c r="G210" s="101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</row>
    <row r="211" spans="1:65" ht="13">
      <c r="A211" s="17"/>
      <c r="B211" s="17"/>
      <c r="C211" s="17"/>
      <c r="D211" s="17"/>
      <c r="E211" s="6"/>
      <c r="F211" s="101"/>
      <c r="G211" s="101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</row>
    <row r="212" spans="1:65" ht="13">
      <c r="A212" s="17"/>
      <c r="B212" s="17"/>
      <c r="C212" s="17"/>
      <c r="D212" s="17"/>
      <c r="E212" s="6"/>
      <c r="F212" s="101"/>
      <c r="G212" s="101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</row>
    <row r="213" spans="1:65" ht="13">
      <c r="A213" s="17"/>
      <c r="B213" s="17"/>
      <c r="C213" s="17"/>
      <c r="D213" s="17"/>
      <c r="E213" s="6"/>
      <c r="F213" s="101"/>
      <c r="G213" s="101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</row>
    <row r="214" spans="1:65" ht="13">
      <c r="A214" s="17"/>
      <c r="B214" s="17"/>
      <c r="C214" s="17"/>
      <c r="D214" s="17"/>
      <c r="E214" s="6"/>
      <c r="F214" s="101"/>
      <c r="G214" s="101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</row>
    <row r="215" spans="1:65" ht="13">
      <c r="A215" s="17"/>
      <c r="B215" s="17"/>
      <c r="C215" s="17"/>
      <c r="D215" s="17"/>
      <c r="E215" s="6"/>
      <c r="F215" s="101"/>
      <c r="G215" s="101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</row>
    <row r="216" spans="1:65" ht="13">
      <c r="A216" s="17"/>
      <c r="B216" s="17"/>
      <c r="C216" s="17"/>
      <c r="D216" s="17"/>
      <c r="E216" s="6"/>
      <c r="F216" s="101"/>
      <c r="G216" s="101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</row>
    <row r="217" spans="1:65" ht="13">
      <c r="A217" s="17"/>
      <c r="B217" s="17"/>
      <c r="C217" s="17"/>
      <c r="D217" s="17"/>
      <c r="E217" s="6"/>
      <c r="F217" s="101"/>
      <c r="G217" s="101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</row>
    <row r="218" spans="1:65" ht="13">
      <c r="A218" s="17"/>
      <c r="B218" s="17"/>
      <c r="C218" s="17"/>
      <c r="D218" s="17"/>
      <c r="E218" s="6"/>
      <c r="F218" s="101"/>
      <c r="G218" s="101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</row>
    <row r="219" spans="1:65" ht="13">
      <c r="A219" s="17"/>
      <c r="B219" s="17"/>
      <c r="C219" s="17"/>
      <c r="D219" s="17"/>
      <c r="E219" s="6"/>
      <c r="F219" s="101"/>
      <c r="G219" s="101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</row>
    <row r="220" spans="1:65" ht="13">
      <c r="A220" s="17"/>
      <c r="B220" s="17"/>
      <c r="C220" s="17"/>
      <c r="D220" s="17"/>
      <c r="E220" s="6"/>
      <c r="F220" s="101"/>
      <c r="G220" s="101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</row>
    <row r="221" spans="1:65" ht="13">
      <c r="A221" s="17"/>
      <c r="B221" s="17"/>
      <c r="C221" s="17"/>
      <c r="D221" s="17"/>
      <c r="E221" s="6"/>
      <c r="F221" s="101"/>
      <c r="G221" s="101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</row>
    <row r="222" spans="1:65" ht="13">
      <c r="A222" s="17"/>
      <c r="B222" s="17"/>
      <c r="C222" s="17"/>
      <c r="D222" s="17"/>
      <c r="E222" s="6"/>
      <c r="F222" s="101"/>
      <c r="G222" s="101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</row>
    <row r="223" spans="1:65" ht="13">
      <c r="A223" s="17"/>
      <c r="B223" s="17"/>
      <c r="C223" s="17"/>
      <c r="D223" s="17"/>
      <c r="E223" s="6"/>
      <c r="F223" s="101"/>
      <c r="G223" s="101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</row>
    <row r="224" spans="1:65" ht="13">
      <c r="A224" s="17"/>
      <c r="B224" s="17"/>
      <c r="C224" s="17"/>
      <c r="D224" s="17"/>
      <c r="E224" s="6"/>
      <c r="F224" s="101"/>
      <c r="G224" s="101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</row>
    <row r="225" spans="1:65" ht="13">
      <c r="A225" s="17"/>
      <c r="B225" s="17"/>
      <c r="C225" s="17"/>
      <c r="D225" s="17"/>
      <c r="E225" s="6"/>
      <c r="F225" s="101"/>
      <c r="G225" s="101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</row>
    <row r="226" spans="1:65" ht="13">
      <c r="A226" s="17"/>
      <c r="B226" s="17"/>
      <c r="C226" s="17"/>
      <c r="D226" s="17"/>
      <c r="E226" s="6"/>
      <c r="F226" s="101"/>
      <c r="G226" s="101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</row>
    <row r="227" spans="1:65" ht="13">
      <c r="A227" s="17"/>
      <c r="B227" s="17"/>
      <c r="C227" s="17"/>
      <c r="D227" s="17"/>
      <c r="E227" s="6"/>
      <c r="F227" s="101"/>
      <c r="G227" s="101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</row>
    <row r="228" spans="1:65" ht="13">
      <c r="A228" s="17"/>
      <c r="B228" s="17"/>
      <c r="C228" s="17"/>
      <c r="D228" s="17"/>
      <c r="E228" s="6"/>
      <c r="F228" s="101"/>
      <c r="G228" s="101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</row>
    <row r="229" spans="1:65" ht="13">
      <c r="A229" s="17"/>
      <c r="B229" s="17"/>
      <c r="C229" s="17"/>
      <c r="D229" s="17"/>
      <c r="E229" s="6"/>
      <c r="F229" s="101"/>
      <c r="G229" s="101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</row>
    <row r="230" spans="1:65" ht="13">
      <c r="A230" s="17"/>
      <c r="B230" s="17"/>
      <c r="C230" s="17"/>
      <c r="D230" s="17"/>
      <c r="E230" s="6"/>
      <c r="F230" s="101"/>
      <c r="G230" s="101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</row>
    <row r="231" spans="1:65" ht="13">
      <c r="A231" s="17"/>
      <c r="B231" s="17"/>
      <c r="C231" s="17"/>
      <c r="D231" s="17"/>
      <c r="E231" s="6"/>
      <c r="F231" s="101"/>
      <c r="G231" s="101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</row>
    <row r="232" spans="1:65" ht="13">
      <c r="A232" s="17"/>
      <c r="B232" s="17"/>
      <c r="C232" s="17"/>
      <c r="D232" s="17"/>
      <c r="E232" s="6"/>
      <c r="F232" s="101"/>
      <c r="G232" s="101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</row>
    <row r="233" spans="1:65" ht="13">
      <c r="A233" s="17"/>
      <c r="B233" s="17"/>
      <c r="C233" s="17"/>
      <c r="D233" s="17"/>
      <c r="E233" s="6"/>
      <c r="F233" s="101"/>
      <c r="G233" s="101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</row>
    <row r="234" spans="1:65" ht="13">
      <c r="A234" s="17"/>
      <c r="B234" s="17"/>
      <c r="C234" s="17"/>
      <c r="D234" s="17"/>
      <c r="E234" s="6"/>
      <c r="F234" s="101"/>
      <c r="G234" s="101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</row>
    <row r="235" spans="1:65" ht="13">
      <c r="A235" s="17"/>
      <c r="B235" s="17"/>
      <c r="C235" s="17"/>
      <c r="D235" s="17"/>
      <c r="E235" s="6"/>
      <c r="F235" s="101"/>
      <c r="G235" s="101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</row>
    <row r="236" spans="1:65" ht="13">
      <c r="A236" s="17"/>
      <c r="B236" s="17"/>
      <c r="C236" s="17"/>
      <c r="D236" s="17"/>
      <c r="E236" s="6"/>
      <c r="F236" s="101"/>
      <c r="G236" s="101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</row>
    <row r="237" spans="1:65" ht="13">
      <c r="A237" s="17"/>
      <c r="B237" s="17"/>
      <c r="C237" s="17"/>
      <c r="D237" s="17"/>
      <c r="E237" s="6"/>
      <c r="F237" s="101"/>
      <c r="G237" s="101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</row>
    <row r="238" spans="1:65" ht="13">
      <c r="A238" s="17"/>
      <c r="B238" s="17"/>
      <c r="C238" s="17"/>
      <c r="D238" s="17"/>
      <c r="E238" s="6"/>
      <c r="F238" s="101"/>
      <c r="G238" s="101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</row>
    <row r="239" spans="1:65" ht="13">
      <c r="A239" s="17"/>
      <c r="B239" s="17"/>
      <c r="C239" s="17"/>
      <c r="D239" s="17"/>
      <c r="E239" s="6"/>
      <c r="F239" s="101"/>
      <c r="G239" s="101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</row>
    <row r="240" spans="1:65" ht="13">
      <c r="A240" s="17"/>
      <c r="B240" s="17"/>
      <c r="C240" s="17"/>
      <c r="D240" s="17"/>
      <c r="E240" s="6"/>
      <c r="F240" s="101"/>
      <c r="G240" s="101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</row>
    <row r="241" spans="1:65" ht="13">
      <c r="A241" s="17"/>
      <c r="B241" s="17"/>
      <c r="C241" s="17"/>
      <c r="D241" s="17"/>
      <c r="E241" s="6"/>
      <c r="F241" s="101"/>
      <c r="G241" s="101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</row>
    <row r="242" spans="1:65" ht="13">
      <c r="A242" s="17"/>
      <c r="B242" s="17"/>
      <c r="C242" s="17"/>
      <c r="D242" s="17"/>
      <c r="E242" s="6"/>
      <c r="F242" s="101"/>
      <c r="G242" s="101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</row>
    <row r="243" spans="1:65" ht="13">
      <c r="A243" s="17"/>
      <c r="B243" s="17"/>
      <c r="C243" s="17"/>
      <c r="D243" s="17"/>
      <c r="E243" s="6"/>
      <c r="F243" s="101"/>
      <c r="G243" s="101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</row>
    <row r="244" spans="1:65" ht="13">
      <c r="A244" s="17"/>
      <c r="B244" s="17"/>
      <c r="C244" s="17"/>
      <c r="D244" s="17"/>
      <c r="E244" s="6"/>
      <c r="F244" s="101"/>
      <c r="G244" s="101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</row>
    <row r="245" spans="1:65" ht="13">
      <c r="A245" s="17"/>
      <c r="B245" s="17"/>
      <c r="C245" s="17"/>
      <c r="D245" s="17"/>
      <c r="E245" s="6"/>
      <c r="F245" s="101"/>
      <c r="G245" s="101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</row>
    <row r="246" spans="1:65" ht="13">
      <c r="A246" s="17"/>
      <c r="B246" s="17"/>
      <c r="C246" s="17"/>
      <c r="D246" s="17"/>
      <c r="E246" s="6"/>
      <c r="F246" s="101"/>
      <c r="G246" s="101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</row>
    <row r="247" spans="1:65" ht="13">
      <c r="A247" s="17"/>
      <c r="B247" s="17"/>
      <c r="C247" s="17"/>
      <c r="D247" s="17"/>
      <c r="E247" s="6"/>
      <c r="F247" s="101"/>
      <c r="G247" s="101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</row>
    <row r="248" spans="1:65" ht="13">
      <c r="A248" s="17"/>
      <c r="B248" s="17"/>
      <c r="C248" s="17"/>
      <c r="D248" s="17"/>
      <c r="E248" s="6"/>
      <c r="F248" s="101"/>
      <c r="G248" s="101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</row>
    <row r="249" spans="1:65" ht="13">
      <c r="A249" s="17"/>
      <c r="B249" s="17"/>
      <c r="C249" s="17"/>
      <c r="D249" s="17"/>
      <c r="E249" s="6"/>
      <c r="F249" s="101"/>
      <c r="G249" s="101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</row>
    <row r="250" spans="1:65" ht="13">
      <c r="A250" s="17"/>
      <c r="B250" s="17"/>
      <c r="C250" s="17"/>
      <c r="D250" s="17"/>
      <c r="E250" s="6"/>
      <c r="F250" s="101"/>
      <c r="G250" s="101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</row>
    <row r="251" spans="1:65" ht="13">
      <c r="A251" s="17"/>
      <c r="B251" s="17"/>
      <c r="C251" s="17"/>
      <c r="D251" s="17"/>
      <c r="E251" s="6"/>
      <c r="F251" s="101"/>
      <c r="G251" s="101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</row>
    <row r="252" spans="1:65" ht="13">
      <c r="A252" s="17"/>
      <c r="B252" s="17"/>
      <c r="C252" s="17"/>
      <c r="D252" s="17"/>
      <c r="E252" s="6"/>
      <c r="F252" s="101"/>
      <c r="G252" s="101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</row>
    <row r="253" spans="1:65" ht="13">
      <c r="A253" s="17"/>
      <c r="B253" s="17"/>
      <c r="C253" s="17"/>
      <c r="D253" s="17"/>
      <c r="E253" s="6"/>
      <c r="F253" s="101"/>
      <c r="G253" s="101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</row>
    <row r="254" spans="1:65" ht="13">
      <c r="A254" s="17"/>
      <c r="B254" s="17"/>
      <c r="C254" s="17"/>
      <c r="D254" s="17"/>
      <c r="E254" s="6"/>
      <c r="F254" s="101"/>
      <c r="G254" s="101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</row>
    <row r="255" spans="1:65" ht="13">
      <c r="A255" s="17"/>
      <c r="B255" s="17"/>
      <c r="C255" s="17"/>
      <c r="D255" s="17"/>
      <c r="E255" s="6"/>
      <c r="F255" s="101"/>
      <c r="G255" s="101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</row>
    <row r="256" spans="1:65" ht="13">
      <c r="A256" s="17"/>
      <c r="B256" s="17"/>
      <c r="C256" s="17"/>
      <c r="D256" s="17"/>
      <c r="E256" s="6"/>
      <c r="F256" s="101"/>
      <c r="G256" s="101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</row>
    <row r="257" spans="1:65" ht="13">
      <c r="A257" s="17"/>
      <c r="B257" s="17"/>
      <c r="C257" s="17"/>
      <c r="D257" s="17"/>
      <c r="E257" s="6"/>
      <c r="F257" s="101"/>
      <c r="G257" s="101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</row>
    <row r="258" spans="1:65" ht="13">
      <c r="A258" s="17"/>
      <c r="B258" s="17"/>
      <c r="C258" s="17"/>
      <c r="D258" s="17"/>
      <c r="E258" s="6"/>
      <c r="F258" s="101"/>
      <c r="G258" s="101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</row>
    <row r="259" spans="1:65" ht="13">
      <c r="A259" s="17"/>
      <c r="B259" s="17"/>
      <c r="C259" s="17"/>
      <c r="D259" s="17"/>
      <c r="E259" s="6"/>
      <c r="F259" s="101"/>
      <c r="G259" s="101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</row>
    <row r="260" spans="1:65" ht="13">
      <c r="A260" s="17"/>
      <c r="B260" s="17"/>
      <c r="C260" s="17"/>
      <c r="D260" s="17"/>
      <c r="E260" s="6"/>
      <c r="F260" s="101"/>
      <c r="G260" s="101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</row>
    <row r="261" spans="1:65" ht="13">
      <c r="A261" s="17"/>
      <c r="B261" s="17"/>
      <c r="C261" s="17"/>
      <c r="D261" s="17"/>
      <c r="E261" s="6"/>
      <c r="F261" s="101"/>
      <c r="G261" s="101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</row>
    <row r="262" spans="1:65" ht="13">
      <c r="A262" s="17"/>
      <c r="B262" s="17"/>
      <c r="C262" s="17"/>
      <c r="D262" s="17"/>
      <c r="E262" s="6"/>
      <c r="F262" s="101"/>
      <c r="G262" s="101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</row>
    <row r="263" spans="1:65" ht="13">
      <c r="A263" s="17"/>
      <c r="B263" s="17"/>
      <c r="C263" s="17"/>
      <c r="D263" s="17"/>
      <c r="E263" s="6"/>
      <c r="F263" s="101"/>
      <c r="G263" s="101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</row>
    <row r="264" spans="1:65" ht="13">
      <c r="A264" s="17"/>
      <c r="B264" s="17"/>
      <c r="C264" s="17"/>
      <c r="D264" s="17"/>
      <c r="E264" s="6"/>
      <c r="F264" s="101"/>
      <c r="G264" s="101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</row>
    <row r="265" spans="1:65" ht="13">
      <c r="A265" s="17"/>
      <c r="B265" s="17"/>
      <c r="C265" s="17"/>
      <c r="D265" s="17"/>
      <c r="E265" s="6"/>
      <c r="F265" s="101"/>
      <c r="G265" s="101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</row>
    <row r="266" spans="1:65" ht="13">
      <c r="A266" s="17"/>
      <c r="B266" s="17"/>
      <c r="C266" s="17"/>
      <c r="D266" s="17"/>
      <c r="E266" s="6"/>
      <c r="F266" s="101"/>
      <c r="G266" s="101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</row>
    <row r="267" spans="1:65" ht="13">
      <c r="A267" s="17"/>
      <c r="B267" s="17"/>
      <c r="C267" s="17"/>
      <c r="D267" s="17"/>
      <c r="E267" s="6"/>
      <c r="F267" s="101"/>
      <c r="G267" s="101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</row>
    <row r="268" spans="1:65" ht="13">
      <c r="A268" s="17"/>
      <c r="B268" s="17"/>
      <c r="C268" s="17"/>
      <c r="D268" s="17"/>
      <c r="E268" s="6"/>
      <c r="F268" s="101"/>
      <c r="G268" s="101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</row>
    <row r="269" spans="1:65" ht="13">
      <c r="A269" s="17"/>
      <c r="B269" s="17"/>
      <c r="C269" s="17"/>
      <c r="D269" s="17"/>
      <c r="E269" s="6"/>
      <c r="F269" s="101"/>
      <c r="G269" s="101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</row>
    <row r="270" spans="1:65" ht="13">
      <c r="A270" s="17"/>
      <c r="B270" s="17"/>
      <c r="C270" s="17"/>
      <c r="D270" s="17"/>
      <c r="E270" s="6"/>
      <c r="F270" s="101"/>
      <c r="G270" s="101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</row>
    <row r="271" spans="1:65" ht="13">
      <c r="A271" s="17"/>
      <c r="B271" s="17"/>
      <c r="C271" s="17"/>
      <c r="D271" s="17"/>
      <c r="E271" s="6"/>
      <c r="F271" s="101"/>
      <c r="G271" s="101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</row>
    <row r="272" spans="1:65" ht="13">
      <c r="A272" s="17"/>
      <c r="B272" s="17"/>
      <c r="C272" s="17"/>
      <c r="D272" s="17"/>
      <c r="E272" s="6"/>
      <c r="F272" s="101"/>
      <c r="G272" s="101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</row>
    <row r="273" spans="1:65" ht="13">
      <c r="A273" s="17"/>
      <c r="B273" s="17"/>
      <c r="C273" s="17"/>
      <c r="D273" s="17"/>
      <c r="E273" s="6"/>
      <c r="F273" s="101"/>
      <c r="G273" s="101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</row>
    <row r="274" spans="1:65" ht="13">
      <c r="A274" s="17"/>
      <c r="B274" s="17"/>
      <c r="C274" s="17"/>
      <c r="D274" s="17"/>
      <c r="E274" s="6"/>
      <c r="F274" s="101"/>
      <c r="G274" s="101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</row>
    <row r="275" spans="1:65" ht="13">
      <c r="A275" s="17"/>
      <c r="B275" s="17"/>
      <c r="C275" s="17"/>
      <c r="D275" s="17"/>
      <c r="E275" s="6"/>
      <c r="F275" s="101"/>
      <c r="G275" s="101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</row>
    <row r="276" spans="1:65" ht="13">
      <c r="A276" s="17"/>
      <c r="B276" s="17"/>
      <c r="C276" s="17"/>
      <c r="D276" s="17"/>
      <c r="E276" s="6"/>
      <c r="F276" s="101"/>
      <c r="G276" s="101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</row>
    <row r="277" spans="1:65" ht="13">
      <c r="A277" s="17"/>
      <c r="B277" s="17"/>
      <c r="C277" s="17"/>
      <c r="D277" s="17"/>
      <c r="E277" s="6"/>
      <c r="F277" s="101"/>
      <c r="G277" s="101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</row>
    <row r="278" spans="1:65" ht="13">
      <c r="A278" s="17"/>
      <c r="B278" s="17"/>
      <c r="C278" s="17"/>
      <c r="D278" s="17"/>
      <c r="E278" s="6"/>
      <c r="F278" s="101"/>
      <c r="G278" s="101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</row>
    <row r="279" spans="1:65" ht="13">
      <c r="A279" s="17"/>
      <c r="B279" s="17"/>
      <c r="C279" s="17"/>
      <c r="D279" s="17"/>
      <c r="E279" s="6"/>
      <c r="F279" s="101"/>
      <c r="G279" s="101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</row>
    <row r="280" spans="1:65" ht="13">
      <c r="A280" s="17"/>
      <c r="B280" s="17"/>
      <c r="C280" s="17"/>
      <c r="D280" s="17"/>
      <c r="E280" s="6"/>
      <c r="F280" s="101"/>
      <c r="G280" s="101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</row>
    <row r="281" spans="1:65" ht="13">
      <c r="A281" s="17"/>
      <c r="B281" s="17"/>
      <c r="C281" s="17"/>
      <c r="D281" s="17"/>
      <c r="E281" s="6"/>
      <c r="F281" s="101"/>
      <c r="G281" s="101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</row>
    <row r="282" spans="1:65" ht="13">
      <c r="A282" s="17"/>
      <c r="B282" s="17"/>
      <c r="C282" s="17"/>
      <c r="D282" s="17"/>
      <c r="E282" s="6"/>
      <c r="F282" s="101"/>
      <c r="G282" s="101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</row>
    <row r="283" spans="1:65" ht="13">
      <c r="A283" s="17"/>
      <c r="B283" s="17"/>
      <c r="C283" s="17"/>
      <c r="D283" s="17"/>
      <c r="E283" s="6"/>
      <c r="F283" s="101"/>
      <c r="G283" s="101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</row>
    <row r="284" spans="1:65" ht="13">
      <c r="A284" s="17"/>
      <c r="B284" s="17"/>
      <c r="C284" s="17"/>
      <c r="D284" s="17"/>
      <c r="E284" s="6"/>
      <c r="F284" s="101"/>
      <c r="G284" s="101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</row>
    <row r="285" spans="1:65" ht="13">
      <c r="A285" s="17"/>
      <c r="B285" s="17"/>
      <c r="C285" s="17"/>
      <c r="D285" s="17"/>
      <c r="E285" s="6"/>
      <c r="F285" s="101"/>
      <c r="G285" s="101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</row>
    <row r="286" spans="1:65" ht="13">
      <c r="A286" s="17"/>
      <c r="B286" s="17"/>
      <c r="C286" s="17"/>
      <c r="D286" s="17"/>
      <c r="E286" s="6"/>
      <c r="F286" s="101"/>
      <c r="G286" s="101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</row>
    <row r="287" spans="1:65" ht="13">
      <c r="A287" s="17"/>
      <c r="B287" s="17"/>
      <c r="C287" s="17"/>
      <c r="D287" s="17"/>
      <c r="E287" s="6"/>
      <c r="F287" s="101"/>
      <c r="G287" s="101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</row>
    <row r="288" spans="1:65" ht="13">
      <c r="A288" s="17"/>
      <c r="B288" s="17"/>
      <c r="C288" s="17"/>
      <c r="D288" s="17"/>
      <c r="E288" s="6"/>
      <c r="F288" s="101"/>
      <c r="G288" s="101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</row>
    <row r="289" spans="1:65" ht="13">
      <c r="A289" s="17"/>
      <c r="B289" s="17"/>
      <c r="C289" s="17"/>
      <c r="D289" s="17"/>
      <c r="E289" s="6"/>
      <c r="F289" s="101"/>
      <c r="G289" s="101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</row>
    <row r="290" spans="1:65" ht="13">
      <c r="A290" s="17"/>
      <c r="B290" s="17"/>
      <c r="C290" s="17"/>
      <c r="D290" s="17"/>
      <c r="E290" s="6"/>
      <c r="F290" s="101"/>
      <c r="G290" s="101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</row>
    <row r="291" spans="1:65" ht="13">
      <c r="A291" s="17"/>
      <c r="B291" s="17"/>
      <c r="C291" s="17"/>
      <c r="D291" s="17"/>
      <c r="E291" s="6"/>
      <c r="F291" s="101"/>
      <c r="G291" s="101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</row>
    <row r="292" spans="1:65" ht="13">
      <c r="A292" s="17"/>
      <c r="B292" s="17"/>
      <c r="C292" s="17"/>
      <c r="D292" s="17"/>
      <c r="E292" s="6"/>
      <c r="F292" s="101"/>
      <c r="G292" s="101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</row>
    <row r="293" spans="1:65" ht="13">
      <c r="A293" s="17"/>
      <c r="B293" s="17"/>
      <c r="C293" s="17"/>
      <c r="D293" s="17"/>
      <c r="E293" s="6"/>
      <c r="F293" s="101"/>
      <c r="G293" s="101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</row>
    <row r="294" spans="1:65" ht="13">
      <c r="A294" s="17"/>
      <c r="B294" s="17"/>
      <c r="C294" s="17"/>
      <c r="D294" s="17"/>
      <c r="E294" s="6"/>
      <c r="F294" s="101"/>
      <c r="G294" s="101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</row>
    <row r="295" spans="1:65" ht="13">
      <c r="A295" s="17"/>
      <c r="B295" s="17"/>
      <c r="C295" s="17"/>
      <c r="D295" s="17"/>
      <c r="E295" s="6"/>
      <c r="F295" s="101"/>
      <c r="G295" s="101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</row>
    <row r="296" spans="1:65" ht="13">
      <c r="A296" s="17"/>
      <c r="B296" s="17"/>
      <c r="C296" s="17"/>
      <c r="D296" s="17"/>
      <c r="E296" s="6"/>
      <c r="F296" s="101"/>
      <c r="G296" s="101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</row>
    <row r="297" spans="1:65" ht="13">
      <c r="A297" s="17"/>
      <c r="B297" s="17"/>
      <c r="C297" s="17"/>
      <c r="D297" s="17"/>
      <c r="E297" s="6"/>
      <c r="F297" s="101"/>
      <c r="G297" s="101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</row>
    <row r="298" spans="1:65" ht="13">
      <c r="A298" s="17"/>
      <c r="B298" s="17"/>
      <c r="C298" s="17"/>
      <c r="D298" s="17"/>
      <c r="E298" s="6"/>
      <c r="F298" s="101"/>
      <c r="G298" s="101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</row>
    <row r="299" spans="1:65" ht="13">
      <c r="A299" s="17"/>
      <c r="B299" s="17"/>
      <c r="C299" s="17"/>
      <c r="D299" s="17"/>
      <c r="E299" s="6"/>
      <c r="F299" s="101"/>
      <c r="G299" s="101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</row>
    <row r="300" spans="1:65" ht="13">
      <c r="A300" s="17"/>
      <c r="B300" s="17"/>
      <c r="C300" s="17"/>
      <c r="D300" s="17"/>
      <c r="E300" s="6"/>
      <c r="F300" s="101"/>
      <c r="G300" s="101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</row>
    <row r="301" spans="1:65" ht="13">
      <c r="A301" s="17"/>
      <c r="B301" s="17"/>
      <c r="C301" s="17"/>
      <c r="D301" s="17"/>
      <c r="E301" s="6"/>
      <c r="F301" s="101"/>
      <c r="G301" s="101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</row>
    <row r="302" spans="1:65" ht="13">
      <c r="A302" s="17"/>
      <c r="B302" s="17"/>
      <c r="C302" s="17"/>
      <c r="D302" s="17"/>
      <c r="E302" s="6"/>
      <c r="F302" s="101"/>
      <c r="G302" s="101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</row>
    <row r="303" spans="1:65" ht="13">
      <c r="A303" s="17"/>
      <c r="B303" s="17"/>
      <c r="C303" s="17"/>
      <c r="D303" s="17"/>
      <c r="E303" s="6"/>
      <c r="F303" s="101"/>
      <c r="G303" s="101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</row>
    <row r="304" spans="1:65" ht="13">
      <c r="A304" s="17"/>
      <c r="B304" s="17"/>
      <c r="C304" s="17"/>
      <c r="D304" s="17"/>
      <c r="E304" s="6"/>
      <c r="F304" s="101"/>
      <c r="G304" s="101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</row>
    <row r="305" spans="1:65" ht="13">
      <c r="A305" s="17"/>
      <c r="B305" s="17"/>
      <c r="C305" s="17"/>
      <c r="D305" s="17"/>
      <c r="E305" s="6"/>
      <c r="F305" s="101"/>
      <c r="G305" s="101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</row>
    <row r="306" spans="1:65" ht="13">
      <c r="A306" s="17"/>
      <c r="B306" s="17"/>
      <c r="C306" s="17"/>
      <c r="D306" s="17"/>
      <c r="E306" s="6"/>
      <c r="F306" s="101"/>
      <c r="G306" s="101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</row>
    <row r="307" spans="1:65" ht="13">
      <c r="A307" s="17"/>
      <c r="B307" s="17"/>
      <c r="C307" s="17"/>
      <c r="D307" s="17"/>
      <c r="E307" s="6"/>
      <c r="F307" s="101"/>
      <c r="G307" s="101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</row>
    <row r="308" spans="1:65" ht="13">
      <c r="A308" s="17"/>
      <c r="B308" s="17"/>
      <c r="C308" s="17"/>
      <c r="D308" s="17"/>
      <c r="E308" s="6"/>
      <c r="F308" s="101"/>
      <c r="G308" s="101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</row>
    <row r="309" spans="1:65" ht="13">
      <c r="A309" s="17"/>
      <c r="B309" s="17"/>
      <c r="C309" s="17"/>
      <c r="D309" s="17"/>
      <c r="E309" s="6"/>
      <c r="F309" s="101"/>
      <c r="G309" s="101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</row>
    <row r="310" spans="1:65" ht="13">
      <c r="A310" s="17"/>
      <c r="B310" s="17"/>
      <c r="C310" s="17"/>
      <c r="D310" s="17"/>
      <c r="E310" s="6"/>
      <c r="F310" s="101"/>
      <c r="G310" s="101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</row>
    <row r="311" spans="1:65" ht="13">
      <c r="A311" s="17"/>
      <c r="B311" s="17"/>
      <c r="C311" s="17"/>
      <c r="D311" s="17"/>
      <c r="E311" s="6"/>
      <c r="F311" s="101"/>
      <c r="G311" s="101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</row>
    <row r="312" spans="1:65" ht="13">
      <c r="A312" s="17"/>
      <c r="B312" s="17"/>
      <c r="C312" s="17"/>
      <c r="D312" s="17"/>
      <c r="E312" s="6"/>
      <c r="F312" s="101"/>
      <c r="G312" s="101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</row>
    <row r="313" spans="1:65" ht="13">
      <c r="A313" s="17"/>
      <c r="B313" s="17"/>
      <c r="C313" s="17"/>
      <c r="D313" s="17"/>
      <c r="E313" s="6"/>
      <c r="F313" s="101"/>
      <c r="G313" s="101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</row>
    <row r="314" spans="1:65" ht="13">
      <c r="A314" s="17"/>
      <c r="B314" s="17"/>
      <c r="C314" s="17"/>
      <c r="D314" s="17"/>
      <c r="E314" s="6"/>
      <c r="F314" s="101"/>
      <c r="G314" s="101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</row>
    <row r="315" spans="1:65" ht="13">
      <c r="A315" s="17"/>
      <c r="B315" s="17"/>
      <c r="C315" s="17"/>
      <c r="D315" s="17"/>
      <c r="E315" s="6"/>
      <c r="F315" s="101"/>
      <c r="G315" s="101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</row>
    <row r="316" spans="1:65" ht="13">
      <c r="A316" s="17"/>
      <c r="B316" s="17"/>
      <c r="C316" s="17"/>
      <c r="D316" s="17"/>
      <c r="E316" s="6"/>
      <c r="F316" s="101"/>
      <c r="G316" s="101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</row>
    <row r="317" spans="1:65" ht="13">
      <c r="A317" s="17"/>
      <c r="B317" s="17"/>
      <c r="C317" s="17"/>
      <c r="D317" s="17"/>
      <c r="E317" s="6"/>
      <c r="F317" s="101"/>
      <c r="G317" s="101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</row>
    <row r="318" spans="1:65" ht="13">
      <c r="A318" s="17"/>
      <c r="B318" s="17"/>
      <c r="C318" s="17"/>
      <c r="D318" s="17"/>
      <c r="E318" s="6"/>
      <c r="F318" s="101"/>
      <c r="G318" s="101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</row>
    <row r="319" spans="1:65" ht="13">
      <c r="A319" s="17"/>
      <c r="B319" s="17"/>
      <c r="C319" s="17"/>
      <c r="D319" s="17"/>
      <c r="E319" s="6"/>
      <c r="F319" s="101"/>
      <c r="G319" s="101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</row>
    <row r="320" spans="1:65" ht="13">
      <c r="A320" s="17"/>
      <c r="B320" s="17"/>
      <c r="C320" s="17"/>
      <c r="D320" s="17"/>
      <c r="E320" s="6"/>
      <c r="F320" s="101"/>
      <c r="G320" s="101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</row>
    <row r="321" spans="1:65" ht="13">
      <c r="A321" s="17"/>
      <c r="B321" s="17"/>
      <c r="C321" s="17"/>
      <c r="D321" s="17"/>
      <c r="E321" s="6"/>
      <c r="F321" s="101"/>
      <c r="G321" s="101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</row>
    <row r="322" spans="1:65" ht="13">
      <c r="A322" s="17"/>
      <c r="B322" s="17"/>
      <c r="C322" s="17"/>
      <c r="D322" s="17"/>
      <c r="E322" s="6"/>
      <c r="F322" s="101"/>
      <c r="G322" s="101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</row>
    <row r="323" spans="1:65" ht="13">
      <c r="A323" s="17"/>
      <c r="B323" s="17"/>
      <c r="C323" s="17"/>
      <c r="D323" s="17"/>
      <c r="E323" s="6"/>
      <c r="F323" s="101"/>
      <c r="G323" s="101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</row>
    <row r="324" spans="1:65" ht="13">
      <c r="A324" s="17"/>
      <c r="B324" s="17"/>
      <c r="C324" s="17"/>
      <c r="D324" s="17"/>
      <c r="E324" s="6"/>
      <c r="F324" s="101"/>
      <c r="G324" s="101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</row>
    <row r="325" spans="1:65" ht="13">
      <c r="A325" s="17"/>
      <c r="B325" s="17"/>
      <c r="C325" s="17"/>
      <c r="D325" s="17"/>
      <c r="E325" s="6"/>
      <c r="F325" s="101"/>
      <c r="G325" s="101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</row>
    <row r="326" spans="1:65" ht="13">
      <c r="A326" s="17"/>
      <c r="B326" s="17"/>
      <c r="C326" s="17"/>
      <c r="D326" s="17"/>
      <c r="E326" s="6"/>
      <c r="F326" s="101"/>
      <c r="G326" s="101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</row>
    <row r="327" spans="1:65" ht="13">
      <c r="A327" s="17"/>
      <c r="B327" s="17"/>
      <c r="C327" s="17"/>
      <c r="D327" s="17"/>
      <c r="E327" s="6"/>
      <c r="F327" s="101"/>
      <c r="G327" s="101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</row>
    <row r="328" spans="1:65" ht="13">
      <c r="A328" s="17"/>
      <c r="B328" s="17"/>
      <c r="C328" s="17"/>
      <c r="D328" s="17"/>
      <c r="E328" s="6"/>
      <c r="F328" s="101"/>
      <c r="G328" s="101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</row>
    <row r="329" spans="1:65" ht="13">
      <c r="A329" s="17"/>
      <c r="B329" s="17"/>
      <c r="C329" s="17"/>
      <c r="D329" s="17"/>
      <c r="E329" s="6"/>
      <c r="F329" s="101"/>
      <c r="G329" s="101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</row>
    <row r="330" spans="1:65" ht="13">
      <c r="A330" s="17"/>
      <c r="B330" s="17"/>
      <c r="C330" s="17"/>
      <c r="D330" s="17"/>
      <c r="E330" s="6"/>
      <c r="F330" s="101"/>
      <c r="G330" s="101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</row>
    <row r="331" spans="1:65" ht="13">
      <c r="A331" s="17"/>
      <c r="B331" s="17"/>
      <c r="C331" s="17"/>
      <c r="D331" s="17"/>
      <c r="E331" s="6"/>
      <c r="F331" s="101"/>
      <c r="G331" s="101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</row>
    <row r="332" spans="1:65" ht="13">
      <c r="A332" s="17"/>
      <c r="B332" s="17"/>
      <c r="C332" s="17"/>
      <c r="D332" s="17"/>
      <c r="E332" s="6"/>
      <c r="F332" s="101"/>
      <c r="G332" s="101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</row>
    <row r="333" spans="1:65" ht="13">
      <c r="A333" s="17"/>
      <c r="B333" s="17"/>
      <c r="C333" s="17"/>
      <c r="D333" s="17"/>
      <c r="E333" s="6"/>
      <c r="F333" s="101"/>
      <c r="G333" s="101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</row>
    <row r="334" spans="1:65" ht="13">
      <c r="A334" s="17"/>
      <c r="B334" s="17"/>
      <c r="C334" s="17"/>
      <c r="D334" s="17"/>
      <c r="E334" s="6"/>
      <c r="F334" s="101"/>
      <c r="G334" s="101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</row>
    <row r="335" spans="1:65" ht="13">
      <c r="A335" s="17"/>
      <c r="B335" s="17"/>
      <c r="C335" s="17"/>
      <c r="D335" s="17"/>
      <c r="E335" s="6"/>
      <c r="F335" s="101"/>
      <c r="G335" s="101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</row>
    <row r="336" spans="1:65" ht="13">
      <c r="A336" s="17"/>
      <c r="B336" s="17"/>
      <c r="C336" s="17"/>
      <c r="D336" s="17"/>
      <c r="E336" s="6"/>
      <c r="F336" s="101"/>
      <c r="G336" s="101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</row>
    <row r="337" spans="1:65" ht="13">
      <c r="A337" s="17"/>
      <c r="B337" s="17"/>
      <c r="C337" s="17"/>
      <c r="D337" s="17"/>
      <c r="E337" s="6"/>
      <c r="F337" s="101"/>
      <c r="G337" s="101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</row>
    <row r="338" spans="1:65" ht="13">
      <c r="A338" s="17"/>
      <c r="B338" s="17"/>
      <c r="C338" s="17"/>
      <c r="D338" s="17"/>
      <c r="E338" s="6"/>
      <c r="F338" s="101"/>
      <c r="G338" s="101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</row>
    <row r="339" spans="1:65" ht="13">
      <c r="A339" s="17"/>
      <c r="B339" s="17"/>
      <c r="C339" s="17"/>
      <c r="D339" s="17"/>
      <c r="E339" s="6"/>
      <c r="F339" s="101"/>
      <c r="G339" s="101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</row>
    <row r="340" spans="1:65" ht="13">
      <c r="A340" s="17"/>
      <c r="B340" s="17"/>
      <c r="C340" s="17"/>
      <c r="D340" s="17"/>
      <c r="E340" s="6"/>
      <c r="F340" s="101"/>
      <c r="G340" s="101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</row>
    <row r="341" spans="1:65" ht="13">
      <c r="A341" s="17"/>
      <c r="B341" s="17"/>
      <c r="C341" s="17"/>
      <c r="D341" s="17"/>
      <c r="E341" s="6"/>
      <c r="F341" s="101"/>
      <c r="G341" s="101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</row>
    <row r="342" spans="1:65" ht="13">
      <c r="A342" s="17"/>
      <c r="B342" s="17"/>
      <c r="C342" s="17"/>
      <c r="D342" s="17"/>
      <c r="E342" s="6"/>
      <c r="F342" s="101"/>
      <c r="G342" s="101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</row>
    <row r="343" spans="1:65" ht="13">
      <c r="A343" s="17"/>
      <c r="B343" s="17"/>
      <c r="C343" s="17"/>
      <c r="D343" s="17"/>
      <c r="E343" s="6"/>
      <c r="F343" s="101"/>
      <c r="G343" s="101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</row>
    <row r="344" spans="1:65" ht="13">
      <c r="A344" s="17"/>
      <c r="B344" s="17"/>
      <c r="C344" s="17"/>
      <c r="D344" s="17"/>
      <c r="E344" s="6"/>
      <c r="F344" s="101"/>
      <c r="G344" s="101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</row>
    <row r="345" spans="1:65" ht="13">
      <c r="A345" s="17"/>
      <c r="B345" s="17"/>
      <c r="C345" s="17"/>
      <c r="D345" s="17"/>
      <c r="E345" s="6"/>
      <c r="F345" s="101"/>
      <c r="G345" s="101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</row>
    <row r="346" spans="1:65" ht="13">
      <c r="A346" s="17"/>
      <c r="B346" s="17"/>
      <c r="C346" s="17"/>
      <c r="D346" s="17"/>
      <c r="E346" s="6"/>
      <c r="F346" s="101"/>
      <c r="G346" s="101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</row>
    <row r="347" spans="1:65" ht="13">
      <c r="A347" s="17"/>
      <c r="B347" s="17"/>
      <c r="C347" s="17"/>
      <c r="D347" s="17"/>
      <c r="E347" s="6"/>
      <c r="F347" s="101"/>
      <c r="G347" s="101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</row>
    <row r="348" spans="1:65" ht="13">
      <c r="A348" s="17"/>
      <c r="B348" s="17"/>
      <c r="C348" s="17"/>
      <c r="D348" s="17"/>
      <c r="E348" s="6"/>
      <c r="F348" s="101"/>
      <c r="G348" s="101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</row>
    <row r="349" spans="1:65" ht="13">
      <c r="A349" s="17"/>
      <c r="B349" s="17"/>
      <c r="C349" s="17"/>
      <c r="D349" s="17"/>
      <c r="E349" s="6"/>
      <c r="F349" s="101"/>
      <c r="G349" s="101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</row>
    <row r="350" spans="1:65" ht="13">
      <c r="A350" s="17"/>
      <c r="B350" s="17"/>
      <c r="C350" s="17"/>
      <c r="D350" s="17"/>
      <c r="E350" s="6"/>
      <c r="F350" s="101"/>
      <c r="G350" s="101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</row>
    <row r="351" spans="1:65" ht="13">
      <c r="A351" s="17"/>
      <c r="B351" s="17"/>
      <c r="C351" s="17"/>
      <c r="D351" s="17"/>
      <c r="E351" s="6"/>
      <c r="F351" s="101"/>
      <c r="G351" s="101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</row>
    <row r="352" spans="1:65" ht="13">
      <c r="A352" s="17"/>
      <c r="B352" s="17"/>
      <c r="C352" s="17"/>
      <c r="D352" s="17"/>
      <c r="E352" s="6"/>
      <c r="F352" s="101"/>
      <c r="G352" s="101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</row>
    <row r="353" spans="1:65" ht="13">
      <c r="A353" s="17"/>
      <c r="B353" s="17"/>
      <c r="C353" s="17"/>
      <c r="D353" s="17"/>
      <c r="E353" s="6"/>
      <c r="F353" s="101"/>
      <c r="G353" s="101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</row>
    <row r="354" spans="1:65" ht="13">
      <c r="A354" s="17"/>
      <c r="B354" s="17"/>
      <c r="C354" s="17"/>
      <c r="D354" s="17"/>
      <c r="E354" s="6"/>
      <c r="F354" s="101"/>
      <c r="G354" s="101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</row>
    <row r="355" spans="1:65" ht="13">
      <c r="A355" s="17"/>
      <c r="B355" s="17"/>
      <c r="C355" s="17"/>
      <c r="D355" s="17"/>
      <c r="E355" s="6"/>
      <c r="F355" s="101"/>
      <c r="G355" s="101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</row>
    <row r="356" spans="1:65" ht="13">
      <c r="A356" s="17"/>
      <c r="B356" s="17"/>
      <c r="C356" s="17"/>
      <c r="D356" s="17"/>
      <c r="E356" s="6"/>
      <c r="F356" s="101"/>
      <c r="G356" s="101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</row>
    <row r="357" spans="1:65" ht="13">
      <c r="A357" s="17"/>
      <c r="B357" s="17"/>
      <c r="C357" s="17"/>
      <c r="D357" s="17"/>
      <c r="E357" s="6"/>
      <c r="F357" s="101"/>
      <c r="G357" s="101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</row>
    <row r="358" spans="1:65" ht="13">
      <c r="A358" s="17"/>
      <c r="B358" s="17"/>
      <c r="C358" s="17"/>
      <c r="D358" s="17"/>
      <c r="E358" s="6"/>
      <c r="F358" s="101"/>
      <c r="G358" s="101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</row>
    <row r="359" spans="1:65" ht="13">
      <c r="A359" s="17"/>
      <c r="B359" s="17"/>
      <c r="C359" s="17"/>
      <c r="D359" s="17"/>
      <c r="E359" s="6"/>
      <c r="F359" s="101"/>
      <c r="G359" s="101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</row>
    <row r="360" spans="1:65" ht="13">
      <c r="A360" s="17"/>
      <c r="B360" s="17"/>
      <c r="C360" s="17"/>
      <c r="D360" s="17"/>
      <c r="E360" s="6"/>
      <c r="F360" s="101"/>
      <c r="G360" s="101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</row>
    <row r="361" spans="1:65" ht="13">
      <c r="A361" s="17"/>
      <c r="B361" s="17"/>
      <c r="C361" s="17"/>
      <c r="D361" s="17"/>
      <c r="E361" s="6"/>
      <c r="F361" s="101"/>
      <c r="G361" s="101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</row>
    <row r="362" spans="1:65" ht="13">
      <c r="A362" s="17"/>
      <c r="B362" s="17"/>
      <c r="C362" s="17"/>
      <c r="D362" s="17"/>
      <c r="E362" s="6"/>
      <c r="F362" s="101"/>
      <c r="G362" s="101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</row>
    <row r="363" spans="1:65" ht="13">
      <c r="A363" s="17"/>
      <c r="B363" s="17"/>
      <c r="C363" s="17"/>
      <c r="D363" s="17"/>
      <c r="E363" s="6"/>
      <c r="F363" s="101"/>
      <c r="G363" s="101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</row>
    <row r="364" spans="1:65" ht="13">
      <c r="A364" s="17"/>
      <c r="B364" s="17"/>
      <c r="C364" s="17"/>
      <c r="D364" s="17"/>
      <c r="E364" s="6"/>
      <c r="F364" s="101"/>
      <c r="G364" s="101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</row>
    <row r="365" spans="1:65" ht="13">
      <c r="A365" s="17"/>
      <c r="B365" s="17"/>
      <c r="C365" s="17"/>
      <c r="D365" s="17"/>
      <c r="E365" s="6"/>
      <c r="F365" s="101"/>
      <c r="G365" s="101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</row>
    <row r="366" spans="1:65" ht="13">
      <c r="A366" s="17"/>
      <c r="B366" s="17"/>
      <c r="C366" s="17"/>
      <c r="D366" s="17"/>
      <c r="E366" s="6"/>
      <c r="F366" s="101"/>
      <c r="G366" s="101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</row>
    <row r="367" spans="1:65" ht="13">
      <c r="A367" s="17"/>
      <c r="B367" s="17"/>
      <c r="C367" s="17"/>
      <c r="D367" s="17"/>
      <c r="E367" s="6"/>
      <c r="F367" s="101"/>
      <c r="G367" s="101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</row>
    <row r="368" spans="1:65" ht="13">
      <c r="A368" s="17"/>
      <c r="B368" s="17"/>
      <c r="C368" s="17"/>
      <c r="D368" s="17"/>
      <c r="E368" s="6"/>
      <c r="F368" s="101"/>
      <c r="G368" s="101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</row>
    <row r="369" spans="1:65" ht="13">
      <c r="A369" s="17"/>
      <c r="B369" s="17"/>
      <c r="C369" s="17"/>
      <c r="D369" s="17"/>
      <c r="E369" s="6"/>
      <c r="F369" s="101"/>
      <c r="G369" s="101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</row>
    <row r="370" spans="1:65" ht="13">
      <c r="A370" s="17"/>
      <c r="B370" s="17"/>
      <c r="C370" s="17"/>
      <c r="D370" s="17"/>
      <c r="E370" s="6"/>
      <c r="F370" s="101"/>
      <c r="G370" s="101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</row>
    <row r="371" spans="1:65" ht="13">
      <c r="A371" s="17"/>
      <c r="B371" s="17"/>
      <c r="C371" s="17"/>
      <c r="D371" s="17"/>
      <c r="E371" s="6"/>
      <c r="F371" s="101"/>
      <c r="G371" s="101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</row>
    <row r="372" spans="1:65" ht="13">
      <c r="A372" s="17"/>
      <c r="B372" s="17"/>
      <c r="C372" s="17"/>
      <c r="D372" s="17"/>
      <c r="E372" s="6"/>
      <c r="F372" s="101"/>
      <c r="G372" s="101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</row>
    <row r="373" spans="1:65" ht="13">
      <c r="A373" s="17"/>
      <c r="B373" s="17"/>
      <c r="C373" s="17"/>
      <c r="D373" s="17"/>
      <c r="E373" s="6"/>
      <c r="F373" s="101"/>
      <c r="G373" s="101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</row>
    <row r="374" spans="1:65" ht="13">
      <c r="A374" s="17"/>
      <c r="B374" s="17"/>
      <c r="C374" s="17"/>
      <c r="D374" s="17"/>
      <c r="E374" s="6"/>
      <c r="F374" s="101"/>
      <c r="G374" s="101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</row>
    <row r="375" spans="1:65" ht="13">
      <c r="A375" s="17"/>
      <c r="B375" s="17"/>
      <c r="C375" s="17"/>
      <c r="D375" s="17"/>
      <c r="E375" s="6"/>
      <c r="F375" s="101"/>
      <c r="G375" s="101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</row>
    <row r="376" spans="1:65" ht="13">
      <c r="A376" s="17"/>
      <c r="B376" s="17"/>
      <c r="C376" s="17"/>
      <c r="D376" s="17"/>
      <c r="E376" s="6"/>
      <c r="F376" s="101"/>
      <c r="G376" s="101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</row>
    <row r="377" spans="1:65" ht="13">
      <c r="A377" s="17"/>
      <c r="B377" s="17"/>
      <c r="C377" s="17"/>
      <c r="D377" s="17"/>
      <c r="E377" s="6"/>
      <c r="F377" s="101"/>
      <c r="G377" s="101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</row>
    <row r="378" spans="1:65" ht="13">
      <c r="A378" s="17"/>
      <c r="B378" s="17"/>
      <c r="C378" s="17"/>
      <c r="D378" s="17"/>
      <c r="E378" s="6"/>
      <c r="F378" s="101"/>
      <c r="G378" s="101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</row>
    <row r="379" spans="1:65" ht="13">
      <c r="A379" s="17"/>
      <c r="B379" s="17"/>
      <c r="C379" s="17"/>
      <c r="D379" s="17"/>
      <c r="E379" s="6"/>
      <c r="F379" s="101"/>
      <c r="G379" s="101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</row>
    <row r="380" spans="1:65" ht="13">
      <c r="A380" s="17"/>
      <c r="B380" s="17"/>
      <c r="C380" s="17"/>
      <c r="D380" s="17"/>
      <c r="E380" s="6"/>
      <c r="F380" s="101"/>
      <c r="G380" s="101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</row>
    <row r="381" spans="1:65" ht="13">
      <c r="A381" s="17"/>
      <c r="B381" s="17"/>
      <c r="C381" s="17"/>
      <c r="D381" s="17"/>
      <c r="E381" s="6"/>
      <c r="F381" s="101"/>
      <c r="G381" s="101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</row>
    <row r="382" spans="1:65" ht="13">
      <c r="A382" s="17"/>
      <c r="B382" s="17"/>
      <c r="C382" s="17"/>
      <c r="D382" s="17"/>
      <c r="E382" s="6"/>
      <c r="F382" s="101"/>
      <c r="G382" s="101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</row>
    <row r="383" spans="1:65" ht="13">
      <c r="A383" s="17"/>
      <c r="B383" s="17"/>
      <c r="C383" s="17"/>
      <c r="D383" s="17"/>
      <c r="E383" s="6"/>
      <c r="F383" s="101"/>
      <c r="G383" s="101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</row>
    <row r="384" spans="1:65" ht="13">
      <c r="A384" s="17"/>
      <c r="B384" s="17"/>
      <c r="C384" s="17"/>
      <c r="D384" s="17"/>
      <c r="E384" s="6"/>
      <c r="F384" s="101"/>
      <c r="G384" s="101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</row>
    <row r="385" spans="1:65" ht="13">
      <c r="A385" s="17"/>
      <c r="B385" s="17"/>
      <c r="C385" s="17"/>
      <c r="D385" s="17"/>
      <c r="E385" s="6"/>
      <c r="F385" s="101"/>
      <c r="G385" s="101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</row>
    <row r="386" spans="1:65" ht="13">
      <c r="A386" s="17"/>
      <c r="B386" s="17"/>
      <c r="C386" s="17"/>
      <c r="D386" s="17"/>
      <c r="E386" s="6"/>
      <c r="F386" s="101"/>
      <c r="G386" s="101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</row>
    <row r="387" spans="1:65" ht="13">
      <c r="A387" s="17"/>
      <c r="B387" s="17"/>
      <c r="C387" s="17"/>
      <c r="D387" s="17"/>
      <c r="E387" s="6"/>
      <c r="F387" s="101"/>
      <c r="G387" s="101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</row>
    <row r="388" spans="1:65" ht="13">
      <c r="A388" s="17"/>
      <c r="B388" s="17"/>
      <c r="C388" s="17"/>
      <c r="D388" s="17"/>
      <c r="E388" s="6"/>
      <c r="F388" s="101"/>
      <c r="G388" s="101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</row>
    <row r="389" spans="1:65" ht="13">
      <c r="A389" s="17"/>
      <c r="B389" s="17"/>
      <c r="C389" s="17"/>
      <c r="D389" s="17"/>
      <c r="E389" s="6"/>
      <c r="F389" s="101"/>
      <c r="G389" s="101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</row>
    <row r="390" spans="1:65" ht="13">
      <c r="A390" s="17"/>
      <c r="B390" s="17"/>
      <c r="C390" s="17"/>
      <c r="D390" s="17"/>
      <c r="E390" s="6"/>
      <c r="F390" s="101"/>
      <c r="G390" s="101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</row>
    <row r="391" spans="1:65" ht="13">
      <c r="A391" s="17"/>
      <c r="B391" s="17"/>
      <c r="C391" s="17"/>
      <c r="D391" s="17"/>
      <c r="E391" s="6"/>
      <c r="F391" s="101"/>
      <c r="G391" s="101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</row>
    <row r="392" spans="1:65" ht="13">
      <c r="A392" s="17"/>
      <c r="B392" s="17"/>
      <c r="C392" s="17"/>
      <c r="D392" s="17"/>
      <c r="E392" s="6"/>
      <c r="F392" s="101"/>
      <c r="G392" s="101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</row>
    <row r="393" spans="1:65" ht="13">
      <c r="A393" s="17"/>
      <c r="B393" s="17"/>
      <c r="C393" s="17"/>
      <c r="D393" s="17"/>
      <c r="E393" s="6"/>
      <c r="F393" s="101"/>
      <c r="G393" s="101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</row>
    <row r="394" spans="1:65" ht="13">
      <c r="A394" s="17"/>
      <c r="B394" s="17"/>
      <c r="C394" s="17"/>
      <c r="D394" s="17"/>
      <c r="E394" s="6"/>
      <c r="F394" s="101"/>
      <c r="G394" s="101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</row>
    <row r="395" spans="1:65" ht="13">
      <c r="A395" s="17"/>
      <c r="B395" s="17"/>
      <c r="C395" s="17"/>
      <c r="D395" s="17"/>
      <c r="E395" s="6"/>
      <c r="F395" s="101"/>
      <c r="G395" s="101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</row>
    <row r="396" spans="1:65" ht="13">
      <c r="A396" s="17"/>
      <c r="B396" s="17"/>
      <c r="C396" s="17"/>
      <c r="D396" s="17"/>
      <c r="E396" s="6"/>
      <c r="F396" s="101"/>
      <c r="G396" s="101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</row>
    <row r="397" spans="1:65" ht="13">
      <c r="A397" s="17"/>
      <c r="B397" s="17"/>
      <c r="C397" s="17"/>
      <c r="D397" s="17"/>
      <c r="E397" s="6"/>
      <c r="F397" s="101"/>
      <c r="G397" s="101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</row>
    <row r="398" spans="1:65" ht="13">
      <c r="A398" s="17"/>
      <c r="B398" s="17"/>
      <c r="C398" s="17"/>
      <c r="D398" s="17"/>
      <c r="E398" s="6"/>
      <c r="F398" s="101"/>
      <c r="G398" s="101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</row>
    <row r="399" spans="1:65" ht="13">
      <c r="A399" s="17"/>
      <c r="B399" s="17"/>
      <c r="C399" s="17"/>
      <c r="D399" s="17"/>
      <c r="E399" s="6"/>
      <c r="F399" s="101"/>
      <c r="G399" s="101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</row>
    <row r="400" spans="1:65" ht="13">
      <c r="A400" s="17"/>
      <c r="B400" s="17"/>
      <c r="C400" s="17"/>
      <c r="D400" s="17"/>
      <c r="E400" s="6"/>
      <c r="F400" s="101"/>
      <c r="G400" s="101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</row>
    <row r="401" spans="1:65" ht="13">
      <c r="A401" s="17"/>
      <c r="B401" s="17"/>
      <c r="C401" s="17"/>
      <c r="D401" s="17"/>
      <c r="E401" s="6"/>
      <c r="F401" s="101"/>
      <c r="G401" s="101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</row>
    <row r="402" spans="1:65" ht="13">
      <c r="A402" s="17"/>
      <c r="B402" s="17"/>
      <c r="C402" s="17"/>
      <c r="D402" s="17"/>
      <c r="E402" s="6"/>
      <c r="F402" s="101"/>
      <c r="G402" s="101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</row>
    <row r="403" spans="1:65" ht="13">
      <c r="A403" s="17"/>
      <c r="B403" s="17"/>
      <c r="C403" s="17"/>
      <c r="D403" s="17"/>
      <c r="E403" s="6"/>
      <c r="F403" s="101"/>
      <c r="G403" s="101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</row>
    <row r="404" spans="1:65" ht="13">
      <c r="A404" s="17"/>
      <c r="B404" s="17"/>
      <c r="C404" s="17"/>
      <c r="D404" s="17"/>
      <c r="E404" s="6"/>
      <c r="F404" s="101"/>
      <c r="G404" s="101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</row>
    <row r="405" spans="1:65" ht="13">
      <c r="A405" s="17"/>
      <c r="B405" s="17"/>
      <c r="C405" s="17"/>
      <c r="D405" s="17"/>
      <c r="E405" s="6"/>
      <c r="F405" s="101"/>
      <c r="G405" s="101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</row>
    <row r="406" spans="1:65" ht="13">
      <c r="A406" s="17"/>
      <c r="B406" s="17"/>
      <c r="C406" s="17"/>
      <c r="D406" s="17"/>
      <c r="E406" s="6"/>
      <c r="F406" s="101"/>
      <c r="G406" s="101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</row>
    <row r="407" spans="1:65" ht="13">
      <c r="A407" s="17"/>
      <c r="B407" s="17"/>
      <c r="C407" s="17"/>
      <c r="D407" s="17"/>
      <c r="E407" s="6"/>
      <c r="F407" s="101"/>
      <c r="G407" s="101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</row>
    <row r="408" spans="1:65" ht="13">
      <c r="A408" s="17"/>
      <c r="B408" s="17"/>
      <c r="C408" s="17"/>
      <c r="D408" s="17"/>
      <c r="E408" s="6"/>
      <c r="F408" s="101"/>
      <c r="G408" s="101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</row>
    <row r="409" spans="1:65" ht="13">
      <c r="A409" s="17"/>
      <c r="B409" s="17"/>
      <c r="C409" s="17"/>
      <c r="D409" s="17"/>
      <c r="E409" s="6"/>
      <c r="F409" s="101"/>
      <c r="G409" s="101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</row>
    <row r="410" spans="1:65" ht="13">
      <c r="A410" s="17"/>
      <c r="B410" s="17"/>
      <c r="C410" s="17"/>
      <c r="D410" s="17"/>
      <c r="E410" s="6"/>
      <c r="F410" s="101"/>
      <c r="G410" s="101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</row>
    <row r="411" spans="1:65" ht="13">
      <c r="A411" s="17"/>
      <c r="B411" s="17"/>
      <c r="C411" s="17"/>
      <c r="D411" s="17"/>
      <c r="E411" s="6"/>
      <c r="F411" s="101"/>
      <c r="G411" s="101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</row>
    <row r="412" spans="1:65" ht="13">
      <c r="A412" s="17"/>
      <c r="B412" s="17"/>
      <c r="C412" s="17"/>
      <c r="D412" s="17"/>
      <c r="E412" s="6"/>
      <c r="F412" s="101"/>
      <c r="G412" s="101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</row>
    <row r="413" spans="1:65" ht="13">
      <c r="A413" s="17"/>
      <c r="B413" s="17"/>
      <c r="C413" s="17"/>
      <c r="D413" s="17"/>
      <c r="E413" s="6"/>
      <c r="F413" s="101"/>
      <c r="G413" s="101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</row>
    <row r="414" spans="1:65" ht="13">
      <c r="A414" s="17"/>
      <c r="B414" s="17"/>
      <c r="C414" s="17"/>
      <c r="D414" s="17"/>
      <c r="E414" s="6"/>
      <c r="F414" s="101"/>
      <c r="G414" s="101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</row>
    <row r="415" spans="1:65" ht="13">
      <c r="A415" s="17"/>
      <c r="B415" s="17"/>
      <c r="C415" s="17"/>
      <c r="D415" s="17"/>
      <c r="E415" s="6"/>
      <c r="F415" s="101"/>
      <c r="G415" s="101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</row>
    <row r="416" spans="1:65" ht="13">
      <c r="A416" s="17"/>
      <c r="B416" s="17"/>
      <c r="C416" s="17"/>
      <c r="D416" s="17"/>
      <c r="E416" s="6"/>
      <c r="F416" s="101"/>
      <c r="G416" s="101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</row>
    <row r="417" spans="1:65" ht="13">
      <c r="A417" s="17"/>
      <c r="B417" s="17"/>
      <c r="C417" s="17"/>
      <c r="D417" s="17"/>
      <c r="E417" s="6"/>
      <c r="F417" s="101"/>
      <c r="G417" s="101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</row>
    <row r="418" spans="1:65" ht="13">
      <c r="A418" s="17"/>
      <c r="B418" s="17"/>
      <c r="C418" s="17"/>
      <c r="D418" s="17"/>
      <c r="E418" s="6"/>
      <c r="F418" s="101"/>
      <c r="G418" s="101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</row>
    <row r="419" spans="1:65" ht="13">
      <c r="A419" s="17"/>
      <c r="B419" s="17"/>
      <c r="C419" s="17"/>
      <c r="D419" s="17"/>
      <c r="E419" s="6"/>
      <c r="F419" s="101"/>
      <c r="G419" s="101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</row>
    <row r="420" spans="1:65" ht="13">
      <c r="A420" s="17"/>
      <c r="B420" s="17"/>
      <c r="C420" s="17"/>
      <c r="D420" s="17"/>
      <c r="E420" s="6"/>
      <c r="F420" s="101"/>
      <c r="G420" s="101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</row>
    <row r="421" spans="1:65" ht="13">
      <c r="A421" s="17"/>
      <c r="B421" s="17"/>
      <c r="C421" s="17"/>
      <c r="D421" s="17"/>
      <c r="E421" s="6"/>
      <c r="F421" s="101"/>
      <c r="G421" s="101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</row>
    <row r="422" spans="1:65" ht="13">
      <c r="A422" s="17"/>
      <c r="B422" s="17"/>
      <c r="C422" s="17"/>
      <c r="D422" s="17"/>
      <c r="E422" s="6"/>
      <c r="F422" s="101"/>
      <c r="G422" s="101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</row>
    <row r="423" spans="1:65" ht="13">
      <c r="A423" s="17"/>
      <c r="B423" s="17"/>
      <c r="C423" s="17"/>
      <c r="D423" s="17"/>
      <c r="E423" s="6"/>
      <c r="F423" s="101"/>
      <c r="G423" s="101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</row>
    <row r="424" spans="1:65" ht="13">
      <c r="A424" s="17"/>
      <c r="B424" s="17"/>
      <c r="C424" s="17"/>
      <c r="D424" s="17"/>
      <c r="E424" s="6"/>
      <c r="F424" s="101"/>
      <c r="G424" s="101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</row>
    <row r="425" spans="1:65" ht="13">
      <c r="A425" s="17"/>
      <c r="B425" s="17"/>
      <c r="C425" s="17"/>
      <c r="D425" s="17"/>
      <c r="E425" s="6"/>
      <c r="F425" s="101"/>
      <c r="G425" s="101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</row>
    <row r="426" spans="1:65" ht="13">
      <c r="A426" s="17"/>
      <c r="B426" s="17"/>
      <c r="C426" s="17"/>
      <c r="D426" s="17"/>
      <c r="E426" s="6"/>
      <c r="F426" s="101"/>
      <c r="G426" s="101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</row>
    <row r="427" spans="1:65" ht="13">
      <c r="A427" s="17"/>
      <c r="B427" s="17"/>
      <c r="C427" s="17"/>
      <c r="D427" s="17"/>
      <c r="E427" s="6"/>
      <c r="F427" s="101"/>
      <c r="G427" s="101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</row>
    <row r="428" spans="1:65" ht="13">
      <c r="A428" s="17"/>
      <c r="B428" s="17"/>
      <c r="C428" s="17"/>
      <c r="D428" s="17"/>
      <c r="E428" s="6"/>
      <c r="F428" s="101"/>
      <c r="G428" s="101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</row>
    <row r="429" spans="1:65" ht="13">
      <c r="A429" s="17"/>
      <c r="B429" s="17"/>
      <c r="C429" s="17"/>
      <c r="D429" s="17"/>
      <c r="E429" s="6"/>
      <c r="F429" s="101"/>
      <c r="G429" s="101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</row>
    <row r="430" spans="1:65" ht="13">
      <c r="A430" s="17"/>
      <c r="B430" s="17"/>
      <c r="C430" s="17"/>
      <c r="D430" s="17"/>
      <c r="E430" s="6"/>
      <c r="F430" s="101"/>
      <c r="G430" s="101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</row>
    <row r="431" spans="1:65" ht="13">
      <c r="A431" s="17"/>
      <c r="B431" s="17"/>
      <c r="C431" s="17"/>
      <c r="D431" s="17"/>
      <c r="E431" s="6"/>
      <c r="F431" s="101"/>
      <c r="G431" s="101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</row>
    <row r="432" spans="1:65" ht="13">
      <c r="A432" s="17"/>
      <c r="B432" s="17"/>
      <c r="C432" s="17"/>
      <c r="D432" s="17"/>
      <c r="E432" s="6"/>
      <c r="F432" s="101"/>
      <c r="G432" s="101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</row>
    <row r="433" spans="1:65" ht="13">
      <c r="A433" s="17"/>
      <c r="B433" s="17"/>
      <c r="C433" s="17"/>
      <c r="D433" s="17"/>
      <c r="E433" s="6"/>
      <c r="F433" s="101"/>
      <c r="G433" s="101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</row>
    <row r="434" spans="1:65" ht="13">
      <c r="A434" s="17"/>
      <c r="B434" s="17"/>
      <c r="C434" s="17"/>
      <c r="D434" s="17"/>
      <c r="E434" s="6"/>
      <c r="F434" s="101"/>
      <c r="G434" s="101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</row>
    <row r="435" spans="1:65" ht="13">
      <c r="A435" s="17"/>
      <c r="B435" s="17"/>
      <c r="C435" s="17"/>
      <c r="D435" s="17"/>
      <c r="E435" s="6"/>
      <c r="F435" s="101"/>
      <c r="G435" s="101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</row>
    <row r="436" spans="1:65" ht="13">
      <c r="A436" s="17"/>
      <c r="B436" s="17"/>
      <c r="C436" s="17"/>
      <c r="D436" s="17"/>
      <c r="E436" s="6"/>
      <c r="F436" s="101"/>
      <c r="G436" s="101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</row>
    <row r="437" spans="1:65" ht="13">
      <c r="A437" s="17"/>
      <c r="B437" s="17"/>
      <c r="C437" s="17"/>
      <c r="D437" s="17"/>
      <c r="E437" s="6"/>
      <c r="F437" s="101"/>
      <c r="G437" s="101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</row>
    <row r="438" spans="1:65" ht="13">
      <c r="A438" s="17"/>
      <c r="B438" s="17"/>
      <c r="C438" s="17"/>
      <c r="D438" s="17"/>
      <c r="E438" s="6"/>
      <c r="F438" s="101"/>
      <c r="G438" s="101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</row>
    <row r="439" spans="1:65" ht="13">
      <c r="A439" s="17"/>
      <c r="B439" s="17"/>
      <c r="C439" s="17"/>
      <c r="D439" s="17"/>
      <c r="E439" s="6"/>
      <c r="F439" s="101"/>
      <c r="G439" s="101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</row>
    <row r="440" spans="1:65" ht="13">
      <c r="A440" s="17"/>
      <c r="B440" s="17"/>
      <c r="C440" s="17"/>
      <c r="D440" s="17"/>
      <c r="E440" s="6"/>
      <c r="F440" s="101"/>
      <c r="G440" s="101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</row>
    <row r="441" spans="1:65" ht="13">
      <c r="A441" s="17"/>
      <c r="B441" s="17"/>
      <c r="C441" s="17"/>
      <c r="D441" s="17"/>
      <c r="E441" s="6"/>
      <c r="F441" s="101"/>
      <c r="G441" s="101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</row>
    <row r="442" spans="1:65" ht="13">
      <c r="A442" s="17"/>
      <c r="B442" s="17"/>
      <c r="C442" s="17"/>
      <c r="D442" s="17"/>
      <c r="E442" s="6"/>
      <c r="F442" s="101"/>
      <c r="G442" s="101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</row>
    <row r="443" spans="1:65" ht="13">
      <c r="A443" s="17"/>
      <c r="B443" s="17"/>
      <c r="C443" s="17"/>
      <c r="D443" s="17"/>
      <c r="E443" s="6"/>
      <c r="F443" s="101"/>
      <c r="G443" s="101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</row>
    <row r="444" spans="1:65" ht="13">
      <c r="A444" s="17"/>
      <c r="B444" s="17"/>
      <c r="C444" s="17"/>
      <c r="D444" s="17"/>
      <c r="E444" s="6"/>
      <c r="F444" s="101"/>
      <c r="G444" s="101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</row>
    <row r="445" spans="1:65" ht="13">
      <c r="A445" s="17"/>
      <c r="B445" s="17"/>
      <c r="C445" s="17"/>
      <c r="D445" s="17"/>
      <c r="E445" s="6"/>
      <c r="F445" s="101"/>
      <c r="G445" s="101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</row>
    <row r="446" spans="1:65" ht="13">
      <c r="A446" s="17"/>
      <c r="B446" s="17"/>
      <c r="C446" s="17"/>
      <c r="D446" s="17"/>
      <c r="E446" s="6"/>
      <c r="F446" s="101"/>
      <c r="G446" s="101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</row>
    <row r="447" spans="1:65" ht="13">
      <c r="A447" s="17"/>
      <c r="B447" s="17"/>
      <c r="C447" s="17"/>
      <c r="D447" s="17"/>
      <c r="E447" s="6"/>
      <c r="F447" s="101"/>
      <c r="G447" s="101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</row>
    <row r="448" spans="1:65" ht="13">
      <c r="A448" s="17"/>
      <c r="B448" s="17"/>
      <c r="C448" s="17"/>
      <c r="D448" s="17"/>
      <c r="E448" s="6"/>
      <c r="F448" s="101"/>
      <c r="G448" s="101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</row>
    <row r="449" spans="1:65" ht="13">
      <c r="A449" s="17"/>
      <c r="B449" s="17"/>
      <c r="C449" s="17"/>
      <c r="D449" s="17"/>
      <c r="E449" s="6"/>
      <c r="F449" s="101"/>
      <c r="G449" s="101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</row>
    <row r="450" spans="1:65" ht="13">
      <c r="A450" s="17"/>
      <c r="B450" s="17"/>
      <c r="C450" s="17"/>
      <c r="D450" s="17"/>
      <c r="E450" s="6"/>
      <c r="F450" s="101"/>
      <c r="G450" s="101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</row>
    <row r="451" spans="1:65" ht="13">
      <c r="A451" s="17"/>
      <c r="B451" s="17"/>
      <c r="C451" s="17"/>
      <c r="D451" s="17"/>
      <c r="E451" s="6"/>
      <c r="F451" s="101"/>
      <c r="G451" s="101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</row>
    <row r="452" spans="1:65" ht="13">
      <c r="A452" s="17"/>
      <c r="B452" s="17"/>
      <c r="C452" s="17"/>
      <c r="D452" s="17"/>
      <c r="E452" s="6"/>
      <c r="F452" s="101"/>
      <c r="G452" s="101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</row>
    <row r="453" spans="1:65" ht="13">
      <c r="A453" s="17"/>
      <c r="B453" s="17"/>
      <c r="C453" s="17"/>
      <c r="D453" s="17"/>
      <c r="E453" s="6"/>
      <c r="F453" s="101"/>
      <c r="G453" s="101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</row>
    <row r="454" spans="1:65" ht="13">
      <c r="A454" s="17"/>
      <c r="B454" s="17"/>
      <c r="C454" s="17"/>
      <c r="D454" s="17"/>
      <c r="E454" s="6"/>
      <c r="F454" s="101"/>
      <c r="G454" s="101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</row>
    <row r="455" spans="1:65" ht="13">
      <c r="A455" s="17"/>
      <c r="B455" s="17"/>
      <c r="C455" s="17"/>
      <c r="D455" s="17"/>
      <c r="E455" s="6"/>
      <c r="F455" s="101"/>
      <c r="G455" s="101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</row>
    <row r="456" spans="1:65" ht="13">
      <c r="A456" s="17"/>
      <c r="B456" s="17"/>
      <c r="C456" s="17"/>
      <c r="D456" s="17"/>
      <c r="E456" s="6"/>
      <c r="F456" s="101"/>
      <c r="G456" s="101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</row>
    <row r="457" spans="1:65" ht="13">
      <c r="A457" s="17"/>
      <c r="B457" s="17"/>
      <c r="C457" s="17"/>
      <c r="D457" s="17"/>
      <c r="E457" s="6"/>
      <c r="F457" s="101"/>
      <c r="G457" s="101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</row>
    <row r="458" spans="1:65" ht="13">
      <c r="A458" s="17"/>
      <c r="B458" s="17"/>
      <c r="C458" s="17"/>
      <c r="D458" s="17"/>
      <c r="E458" s="6"/>
      <c r="F458" s="101"/>
      <c r="G458" s="101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</row>
    <row r="459" spans="1:65" ht="13">
      <c r="A459" s="17"/>
      <c r="B459" s="17"/>
      <c r="C459" s="17"/>
      <c r="D459" s="17"/>
      <c r="E459" s="6"/>
      <c r="F459" s="101"/>
      <c r="G459" s="101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</row>
    <row r="460" spans="1:65" ht="13">
      <c r="A460" s="17"/>
      <c r="B460" s="17"/>
      <c r="C460" s="17"/>
      <c r="D460" s="17"/>
      <c r="E460" s="6"/>
      <c r="F460" s="101"/>
      <c r="G460" s="101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</row>
    <row r="461" spans="1:65" ht="13">
      <c r="A461" s="17"/>
      <c r="B461" s="17"/>
      <c r="C461" s="17"/>
      <c r="D461" s="17"/>
      <c r="E461" s="6"/>
      <c r="F461" s="101"/>
      <c r="G461" s="101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</row>
    <row r="462" spans="1:65" ht="13">
      <c r="A462" s="17"/>
      <c r="B462" s="17"/>
      <c r="C462" s="17"/>
      <c r="D462" s="17"/>
      <c r="E462" s="6"/>
      <c r="F462" s="101"/>
      <c r="G462" s="101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</row>
    <row r="463" spans="1:65" ht="13">
      <c r="A463" s="17"/>
      <c r="B463" s="17"/>
      <c r="C463" s="17"/>
      <c r="D463" s="17"/>
      <c r="E463" s="6"/>
      <c r="F463" s="101"/>
      <c r="G463" s="101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</row>
    <row r="464" spans="1:65" ht="13">
      <c r="A464" s="17"/>
      <c r="B464" s="17"/>
      <c r="C464" s="17"/>
      <c r="D464" s="17"/>
      <c r="E464" s="6"/>
      <c r="F464" s="101"/>
      <c r="G464" s="101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</row>
    <row r="465" spans="1:65" ht="13">
      <c r="A465" s="17"/>
      <c r="B465" s="17"/>
      <c r="C465" s="17"/>
      <c r="D465" s="17"/>
      <c r="E465" s="6"/>
      <c r="F465" s="101"/>
      <c r="G465" s="101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</row>
    <row r="466" spans="1:65" ht="13">
      <c r="A466" s="17"/>
      <c r="B466" s="17"/>
      <c r="C466" s="17"/>
      <c r="D466" s="17"/>
      <c r="E466" s="6"/>
      <c r="F466" s="101"/>
      <c r="G466" s="101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</row>
    <row r="467" spans="1:65" ht="13">
      <c r="A467" s="17"/>
      <c r="B467" s="17"/>
      <c r="C467" s="17"/>
      <c r="D467" s="17"/>
      <c r="E467" s="6"/>
      <c r="F467" s="101"/>
      <c r="G467" s="101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</row>
    <row r="468" spans="1:65" ht="13">
      <c r="A468" s="17"/>
      <c r="B468" s="17"/>
      <c r="C468" s="17"/>
      <c r="D468" s="17"/>
      <c r="E468" s="6"/>
      <c r="F468" s="101"/>
      <c r="G468" s="101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</row>
    <row r="469" spans="1:65" ht="13">
      <c r="A469" s="17"/>
      <c r="B469" s="17"/>
      <c r="C469" s="17"/>
      <c r="D469" s="17"/>
      <c r="E469" s="6"/>
      <c r="F469" s="101"/>
      <c r="G469" s="101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</row>
    <row r="470" spans="1:65" ht="13">
      <c r="A470" s="17"/>
      <c r="B470" s="17"/>
      <c r="C470" s="17"/>
      <c r="D470" s="17"/>
      <c r="E470" s="6"/>
      <c r="F470" s="101"/>
      <c r="G470" s="101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</row>
    <row r="471" spans="1:65" ht="13">
      <c r="A471" s="17"/>
      <c r="B471" s="17"/>
      <c r="C471" s="17"/>
      <c r="D471" s="17"/>
      <c r="E471" s="6"/>
      <c r="F471" s="101"/>
      <c r="G471" s="101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</row>
    <row r="472" spans="1:65" ht="13">
      <c r="A472" s="17"/>
      <c r="B472" s="17"/>
      <c r="C472" s="17"/>
      <c r="D472" s="17"/>
      <c r="E472" s="6"/>
      <c r="F472" s="101"/>
      <c r="G472" s="101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</row>
    <row r="473" spans="1:65" ht="13">
      <c r="A473" s="17"/>
      <c r="B473" s="17"/>
      <c r="C473" s="17"/>
      <c r="D473" s="17"/>
      <c r="E473" s="6"/>
      <c r="F473" s="101"/>
      <c r="G473" s="101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</row>
    <row r="474" spans="1:65" ht="13">
      <c r="A474" s="17"/>
      <c r="B474" s="17"/>
      <c r="C474" s="17"/>
      <c r="D474" s="17"/>
      <c r="E474" s="6"/>
      <c r="F474" s="101"/>
      <c r="G474" s="101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</row>
    <row r="475" spans="1:65" ht="13">
      <c r="A475" s="17"/>
      <c r="B475" s="17"/>
      <c r="C475" s="17"/>
      <c r="D475" s="17"/>
      <c r="E475" s="6"/>
      <c r="F475" s="101"/>
      <c r="G475" s="101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</row>
    <row r="476" spans="1:65" ht="13">
      <c r="A476" s="17"/>
      <c r="B476" s="17"/>
      <c r="C476" s="17"/>
      <c r="D476" s="17"/>
      <c r="E476" s="6"/>
      <c r="F476" s="101"/>
      <c r="G476" s="101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</row>
    <row r="477" spans="1:65" ht="13">
      <c r="A477" s="17"/>
      <c r="B477" s="17"/>
      <c r="C477" s="17"/>
      <c r="D477" s="17"/>
      <c r="E477" s="6"/>
      <c r="F477" s="101"/>
      <c r="G477" s="101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</row>
    <row r="478" spans="1:65" ht="13">
      <c r="A478" s="17"/>
      <c r="B478" s="17"/>
      <c r="C478" s="17"/>
      <c r="D478" s="17"/>
      <c r="E478" s="6"/>
      <c r="F478" s="101"/>
      <c r="G478" s="101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</row>
    <row r="479" spans="1:65" ht="13">
      <c r="A479" s="17"/>
      <c r="B479" s="17"/>
      <c r="C479" s="17"/>
      <c r="D479" s="17"/>
      <c r="E479" s="6"/>
      <c r="F479" s="101"/>
      <c r="G479" s="101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</row>
    <row r="480" spans="1:65" ht="13">
      <c r="A480" s="17"/>
      <c r="B480" s="17"/>
      <c r="C480" s="17"/>
      <c r="D480" s="17"/>
      <c r="E480" s="6"/>
      <c r="F480" s="101"/>
      <c r="G480" s="101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</row>
    <row r="481" spans="1:65" ht="13">
      <c r="A481" s="17"/>
      <c r="B481" s="17"/>
      <c r="C481" s="17"/>
      <c r="D481" s="17"/>
      <c r="E481" s="6"/>
      <c r="F481" s="101"/>
      <c r="G481" s="101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</row>
    <row r="482" spans="1:65" ht="13">
      <c r="A482" s="17"/>
      <c r="B482" s="17"/>
      <c r="C482" s="17"/>
      <c r="D482" s="17"/>
      <c r="E482" s="6"/>
      <c r="F482" s="101"/>
      <c r="G482" s="101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</row>
    <row r="483" spans="1:65" ht="13">
      <c r="A483" s="17"/>
      <c r="B483" s="17"/>
      <c r="C483" s="17"/>
      <c r="D483" s="17"/>
      <c r="E483" s="6"/>
      <c r="F483" s="101"/>
      <c r="G483" s="101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</row>
    <row r="484" spans="1:65" ht="13">
      <c r="A484" s="17"/>
      <c r="B484" s="17"/>
      <c r="C484" s="17"/>
      <c r="D484" s="17"/>
      <c r="E484" s="6"/>
      <c r="F484" s="101"/>
      <c r="G484" s="101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</row>
    <row r="485" spans="1:65" ht="13">
      <c r="A485" s="17"/>
      <c r="B485" s="17"/>
      <c r="C485" s="17"/>
      <c r="D485" s="17"/>
      <c r="E485" s="6"/>
      <c r="F485" s="101"/>
      <c r="G485" s="101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</row>
    <row r="486" spans="1:65" ht="13">
      <c r="A486" s="17"/>
      <c r="B486" s="17"/>
      <c r="C486" s="17"/>
      <c r="D486" s="17"/>
      <c r="E486" s="6"/>
      <c r="F486" s="101"/>
      <c r="G486" s="101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</row>
    <row r="487" spans="1:65" ht="13">
      <c r="A487" s="17"/>
      <c r="B487" s="17"/>
      <c r="C487" s="17"/>
      <c r="D487" s="17"/>
      <c r="E487" s="6"/>
      <c r="F487" s="101"/>
      <c r="G487" s="101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</row>
    <row r="488" spans="1:65" ht="13">
      <c r="A488" s="17"/>
      <c r="B488" s="17"/>
      <c r="C488" s="17"/>
      <c r="D488" s="17"/>
      <c r="E488" s="6"/>
      <c r="F488" s="101"/>
      <c r="G488" s="101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</row>
    <row r="489" spans="1:65" ht="13">
      <c r="A489" s="17"/>
      <c r="B489" s="17"/>
      <c r="C489" s="17"/>
      <c r="D489" s="17"/>
      <c r="E489" s="6"/>
      <c r="F489" s="101"/>
      <c r="G489" s="101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</row>
    <row r="490" spans="1:65" ht="13">
      <c r="A490" s="17"/>
      <c r="B490" s="17"/>
      <c r="C490" s="17"/>
      <c r="D490" s="17"/>
      <c r="E490" s="6"/>
      <c r="F490" s="101"/>
      <c r="G490" s="101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</row>
    <row r="491" spans="1:65" ht="13">
      <c r="A491" s="17"/>
      <c r="B491" s="17"/>
      <c r="C491" s="17"/>
      <c r="D491" s="17"/>
      <c r="E491" s="6"/>
      <c r="F491" s="101"/>
      <c r="G491" s="101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</row>
    <row r="492" spans="1:65" ht="13">
      <c r="A492" s="17"/>
      <c r="B492" s="17"/>
      <c r="C492" s="17"/>
      <c r="D492" s="17"/>
      <c r="E492" s="6"/>
      <c r="F492" s="101"/>
      <c r="G492" s="101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</row>
    <row r="493" spans="1:65" ht="13">
      <c r="A493" s="17"/>
      <c r="B493" s="17"/>
      <c r="C493" s="17"/>
      <c r="D493" s="17"/>
      <c r="E493" s="6"/>
      <c r="F493" s="101"/>
      <c r="G493" s="101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</row>
    <row r="494" spans="1:65" ht="13">
      <c r="A494" s="17"/>
      <c r="B494" s="17"/>
      <c r="C494" s="17"/>
      <c r="D494" s="17"/>
      <c r="E494" s="6"/>
      <c r="F494" s="101"/>
      <c r="G494" s="101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</row>
    <row r="495" spans="1:65" ht="13">
      <c r="A495" s="17"/>
      <c r="B495" s="17"/>
      <c r="C495" s="17"/>
      <c r="D495" s="17"/>
      <c r="E495" s="6"/>
      <c r="F495" s="101"/>
      <c r="G495" s="101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</row>
    <row r="496" spans="1:65" ht="13">
      <c r="A496" s="17"/>
      <c r="B496" s="17"/>
      <c r="C496" s="17"/>
      <c r="D496" s="17"/>
      <c r="E496" s="6"/>
      <c r="F496" s="101"/>
      <c r="G496" s="101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</row>
    <row r="497" spans="1:65" ht="13">
      <c r="A497" s="17"/>
      <c r="B497" s="17"/>
      <c r="C497" s="17"/>
      <c r="D497" s="17"/>
      <c r="E497" s="6"/>
      <c r="F497" s="101"/>
      <c r="G497" s="101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</row>
    <row r="498" spans="1:65" ht="13">
      <c r="A498" s="17"/>
      <c r="B498" s="17"/>
      <c r="C498" s="17"/>
      <c r="D498" s="17"/>
      <c r="E498" s="6"/>
      <c r="F498" s="101"/>
      <c r="G498" s="101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</row>
    <row r="499" spans="1:65" ht="13">
      <c r="A499" s="17"/>
      <c r="B499" s="17"/>
      <c r="C499" s="17"/>
      <c r="D499" s="17"/>
      <c r="E499" s="6"/>
      <c r="F499" s="101"/>
      <c r="G499" s="101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</row>
    <row r="500" spans="1:65" ht="13">
      <c r="A500" s="17"/>
      <c r="B500" s="17"/>
      <c r="C500" s="17"/>
      <c r="D500" s="17"/>
      <c r="E500" s="6"/>
      <c r="F500" s="101"/>
      <c r="G500" s="101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</row>
    <row r="501" spans="1:65" ht="13">
      <c r="A501" s="17"/>
      <c r="B501" s="17"/>
      <c r="C501" s="17"/>
      <c r="D501" s="17"/>
      <c r="E501" s="6"/>
      <c r="F501" s="101"/>
      <c r="G501" s="101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</row>
    <row r="502" spans="1:65" ht="13">
      <c r="A502" s="17"/>
      <c r="B502" s="17"/>
      <c r="C502" s="17"/>
      <c r="D502" s="17"/>
      <c r="E502" s="6"/>
      <c r="F502" s="101"/>
      <c r="G502" s="101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</row>
    <row r="503" spans="1:65" ht="13">
      <c r="A503" s="17"/>
      <c r="B503" s="17"/>
      <c r="C503" s="17"/>
      <c r="D503" s="17"/>
      <c r="E503" s="6"/>
      <c r="F503" s="101"/>
      <c r="G503" s="101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</row>
    <row r="504" spans="1:65" ht="13">
      <c r="A504" s="17"/>
      <c r="B504" s="17"/>
      <c r="C504" s="17"/>
      <c r="D504" s="17"/>
      <c r="E504" s="6"/>
      <c r="F504" s="101"/>
      <c r="G504" s="101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</row>
    <row r="505" spans="1:65" ht="13">
      <c r="A505" s="17"/>
      <c r="B505" s="17"/>
      <c r="C505" s="17"/>
      <c r="D505" s="17"/>
      <c r="E505" s="6"/>
      <c r="F505" s="101"/>
      <c r="G505" s="101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</row>
    <row r="506" spans="1:65" ht="13">
      <c r="A506" s="17"/>
      <c r="B506" s="17"/>
      <c r="C506" s="17"/>
      <c r="D506" s="17"/>
      <c r="E506" s="6"/>
      <c r="F506" s="101"/>
      <c r="G506" s="101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</row>
    <row r="507" spans="1:65" ht="13">
      <c r="A507" s="17"/>
      <c r="B507" s="17"/>
      <c r="C507" s="17"/>
      <c r="D507" s="17"/>
      <c r="E507" s="6"/>
      <c r="F507" s="101"/>
      <c r="G507" s="101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</row>
    <row r="508" spans="1:65" ht="13">
      <c r="A508" s="17"/>
      <c r="B508" s="17"/>
      <c r="C508" s="17"/>
      <c r="D508" s="17"/>
      <c r="E508" s="6"/>
      <c r="F508" s="101"/>
      <c r="G508" s="101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</row>
    <row r="509" spans="1:65" ht="13">
      <c r="A509" s="17"/>
      <c r="B509" s="17"/>
      <c r="C509" s="17"/>
      <c r="D509" s="17"/>
      <c r="E509" s="6"/>
      <c r="F509" s="101"/>
      <c r="G509" s="101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</row>
    <row r="510" spans="1:65" ht="13">
      <c r="A510" s="17"/>
      <c r="B510" s="17"/>
      <c r="C510" s="17"/>
      <c r="D510" s="17"/>
      <c r="E510" s="6"/>
      <c r="F510" s="101"/>
      <c r="G510" s="101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</row>
    <row r="511" spans="1:65" ht="13">
      <c r="A511" s="17"/>
      <c r="B511" s="17"/>
      <c r="C511" s="17"/>
      <c r="D511" s="17"/>
      <c r="E511" s="6"/>
      <c r="F511" s="101"/>
      <c r="G511" s="101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</row>
    <row r="512" spans="1:65" ht="13">
      <c r="A512" s="17"/>
      <c r="B512" s="17"/>
      <c r="C512" s="17"/>
      <c r="D512" s="17"/>
      <c r="E512" s="6"/>
      <c r="F512" s="101"/>
      <c r="G512" s="101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</row>
    <row r="513" spans="1:65" ht="13">
      <c r="A513" s="17"/>
      <c r="B513" s="17"/>
      <c r="C513" s="17"/>
      <c r="D513" s="17"/>
      <c r="E513" s="6"/>
      <c r="F513" s="101"/>
      <c r="G513" s="101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</row>
    <row r="514" spans="1:65" ht="13">
      <c r="A514" s="17"/>
      <c r="B514" s="17"/>
      <c r="C514" s="17"/>
      <c r="D514" s="17"/>
      <c r="E514" s="6"/>
      <c r="F514" s="101"/>
      <c r="G514" s="101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</row>
    <row r="515" spans="1:65" ht="13">
      <c r="A515" s="17"/>
      <c r="B515" s="17"/>
      <c r="C515" s="17"/>
      <c r="D515" s="17"/>
      <c r="E515" s="6"/>
      <c r="F515" s="101"/>
      <c r="G515" s="101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</row>
    <row r="516" spans="1:65" ht="13">
      <c r="A516" s="17"/>
      <c r="B516" s="17"/>
      <c r="C516" s="17"/>
      <c r="D516" s="17"/>
      <c r="E516" s="6"/>
      <c r="F516" s="101"/>
      <c r="G516" s="101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</row>
    <row r="517" spans="1:65" ht="13">
      <c r="A517" s="17"/>
      <c r="B517" s="17"/>
      <c r="C517" s="17"/>
      <c r="D517" s="17"/>
      <c r="E517" s="6"/>
      <c r="F517" s="101"/>
      <c r="G517" s="101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</row>
    <row r="518" spans="1:65" ht="13">
      <c r="A518" s="17"/>
      <c r="B518" s="17"/>
      <c r="C518" s="17"/>
      <c r="D518" s="17"/>
      <c r="E518" s="6"/>
      <c r="F518" s="101"/>
      <c r="G518" s="101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</row>
    <row r="519" spans="1:65" ht="13">
      <c r="A519" s="17"/>
      <c r="B519" s="17"/>
      <c r="C519" s="17"/>
      <c r="D519" s="17"/>
      <c r="E519" s="6"/>
      <c r="F519" s="101"/>
      <c r="G519" s="101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</row>
    <row r="520" spans="1:65" ht="13">
      <c r="A520" s="17"/>
      <c r="B520" s="17"/>
      <c r="C520" s="17"/>
      <c r="D520" s="17"/>
      <c r="E520" s="6"/>
      <c r="F520" s="101"/>
      <c r="G520" s="101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</row>
    <row r="521" spans="1:65" ht="13">
      <c r="A521" s="17"/>
      <c r="B521" s="17"/>
      <c r="C521" s="17"/>
      <c r="D521" s="17"/>
      <c r="E521" s="6"/>
      <c r="F521" s="101"/>
      <c r="G521" s="101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</row>
    <row r="522" spans="1:65" ht="13">
      <c r="A522" s="17"/>
      <c r="B522" s="17"/>
      <c r="C522" s="17"/>
      <c r="D522" s="17"/>
      <c r="E522" s="6"/>
      <c r="F522" s="101"/>
      <c r="G522" s="101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</row>
    <row r="523" spans="1:65" ht="13">
      <c r="A523" s="17"/>
      <c r="B523" s="17"/>
      <c r="C523" s="17"/>
      <c r="D523" s="17"/>
      <c r="E523" s="6"/>
      <c r="F523" s="101"/>
      <c r="G523" s="101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</row>
    <row r="524" spans="1:65" ht="13">
      <c r="A524" s="17"/>
      <c r="B524" s="17"/>
      <c r="C524" s="17"/>
      <c r="D524" s="17"/>
      <c r="E524" s="6"/>
      <c r="F524" s="101"/>
      <c r="G524" s="101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</row>
    <row r="525" spans="1:65" ht="13">
      <c r="A525" s="17"/>
      <c r="B525" s="17"/>
      <c r="C525" s="17"/>
      <c r="D525" s="17"/>
      <c r="E525" s="6"/>
      <c r="F525" s="101"/>
      <c r="G525" s="101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</row>
    <row r="526" spans="1:65" ht="13">
      <c r="A526" s="17"/>
      <c r="B526" s="17"/>
      <c r="C526" s="17"/>
      <c r="D526" s="17"/>
      <c r="E526" s="6"/>
      <c r="F526" s="101"/>
      <c r="G526" s="101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</row>
    <row r="527" spans="1:65" ht="13">
      <c r="A527" s="17"/>
      <c r="B527" s="17"/>
      <c r="C527" s="17"/>
      <c r="D527" s="17"/>
      <c r="E527" s="6"/>
      <c r="F527" s="101"/>
      <c r="G527" s="101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</row>
    <row r="528" spans="1:65" ht="13">
      <c r="A528" s="17"/>
      <c r="B528" s="17"/>
      <c r="C528" s="17"/>
      <c r="D528" s="17"/>
      <c r="E528" s="6"/>
      <c r="F528" s="101"/>
      <c r="G528" s="101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</row>
    <row r="529" spans="1:65" ht="13">
      <c r="A529" s="17"/>
      <c r="B529" s="17"/>
      <c r="C529" s="17"/>
      <c r="D529" s="17"/>
      <c r="E529" s="6"/>
      <c r="F529" s="101"/>
      <c r="G529" s="101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</row>
    <row r="530" spans="1:65" ht="13">
      <c r="A530" s="17"/>
      <c r="B530" s="17"/>
      <c r="C530" s="17"/>
      <c r="D530" s="17"/>
      <c r="E530" s="6"/>
      <c r="F530" s="101"/>
      <c r="G530" s="101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</row>
    <row r="531" spans="1:65" ht="13">
      <c r="A531" s="17"/>
      <c r="B531" s="17"/>
      <c r="C531" s="17"/>
      <c r="D531" s="17"/>
      <c r="E531" s="6"/>
      <c r="F531" s="101"/>
      <c r="G531" s="101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</row>
    <row r="532" spans="1:65" ht="13">
      <c r="A532" s="17"/>
      <c r="B532" s="17"/>
      <c r="C532" s="17"/>
      <c r="D532" s="17"/>
      <c r="E532" s="6"/>
      <c r="F532" s="101"/>
      <c r="G532" s="101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</row>
    <row r="533" spans="1:65" ht="13">
      <c r="A533" s="17"/>
      <c r="B533" s="17"/>
      <c r="C533" s="17"/>
      <c r="D533" s="17"/>
      <c r="E533" s="6"/>
      <c r="F533" s="101"/>
      <c r="G533" s="101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</row>
    <row r="534" spans="1:65" ht="13">
      <c r="A534" s="17"/>
      <c r="B534" s="17"/>
      <c r="C534" s="17"/>
      <c r="D534" s="17"/>
      <c r="E534" s="6"/>
      <c r="F534" s="101"/>
      <c r="G534" s="101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</row>
    <row r="535" spans="1:65" ht="13">
      <c r="A535" s="17"/>
      <c r="B535" s="17"/>
      <c r="C535" s="17"/>
      <c r="D535" s="17"/>
      <c r="E535" s="6"/>
      <c r="F535" s="101"/>
      <c r="G535" s="101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</row>
    <row r="536" spans="1:65" ht="13">
      <c r="A536" s="17"/>
      <c r="B536" s="17"/>
      <c r="C536" s="17"/>
      <c r="D536" s="17"/>
      <c r="E536" s="6"/>
      <c r="F536" s="101"/>
      <c r="G536" s="101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</row>
    <row r="537" spans="1:65" ht="13">
      <c r="A537" s="17"/>
      <c r="B537" s="17"/>
      <c r="C537" s="17"/>
      <c r="D537" s="17"/>
      <c r="E537" s="6"/>
      <c r="F537" s="101"/>
      <c r="G537" s="101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</row>
    <row r="538" spans="1:65" ht="13">
      <c r="A538" s="17"/>
      <c r="B538" s="17"/>
      <c r="C538" s="17"/>
      <c r="D538" s="17"/>
      <c r="E538" s="6"/>
      <c r="F538" s="101"/>
      <c r="G538" s="101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</row>
    <row r="539" spans="1:65" ht="13">
      <c r="A539" s="17"/>
      <c r="B539" s="17"/>
      <c r="C539" s="17"/>
      <c r="D539" s="17"/>
      <c r="E539" s="6"/>
      <c r="F539" s="101"/>
      <c r="G539" s="101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</row>
    <row r="540" spans="1:65" ht="13">
      <c r="A540" s="17"/>
      <c r="B540" s="17"/>
      <c r="C540" s="17"/>
      <c r="D540" s="17"/>
      <c r="E540" s="6"/>
      <c r="F540" s="101"/>
      <c r="G540" s="101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</row>
    <row r="541" spans="1:65" ht="13">
      <c r="A541" s="17"/>
      <c r="B541" s="17"/>
      <c r="C541" s="17"/>
      <c r="D541" s="17"/>
      <c r="E541" s="6"/>
      <c r="F541" s="101"/>
      <c r="G541" s="101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</row>
    <row r="542" spans="1:65" ht="13">
      <c r="A542" s="17"/>
      <c r="B542" s="17"/>
      <c r="C542" s="17"/>
      <c r="D542" s="17"/>
      <c r="E542" s="6"/>
      <c r="F542" s="101"/>
      <c r="G542" s="101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</row>
    <row r="543" spans="1:65" ht="13">
      <c r="A543" s="17"/>
      <c r="B543" s="17"/>
      <c r="C543" s="17"/>
      <c r="D543" s="17"/>
      <c r="E543" s="6"/>
      <c r="F543" s="101"/>
      <c r="G543" s="101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</row>
    <row r="544" spans="1:65" ht="13">
      <c r="A544" s="17"/>
      <c r="B544" s="17"/>
      <c r="C544" s="17"/>
      <c r="D544" s="17"/>
      <c r="E544" s="6"/>
      <c r="F544" s="101"/>
      <c r="G544" s="101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</row>
    <row r="545" spans="1:65" ht="13">
      <c r="A545" s="17"/>
      <c r="B545" s="17"/>
      <c r="C545" s="17"/>
      <c r="D545" s="17"/>
      <c r="E545" s="6"/>
      <c r="F545" s="101"/>
      <c r="G545" s="101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</row>
    <row r="546" spans="1:65" ht="13">
      <c r="A546" s="17"/>
      <c r="B546" s="17"/>
      <c r="C546" s="17"/>
      <c r="D546" s="17"/>
      <c r="E546" s="6"/>
      <c r="F546" s="101"/>
      <c r="G546" s="101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</row>
    <row r="547" spans="1:65" ht="13">
      <c r="A547" s="17"/>
      <c r="B547" s="17"/>
      <c r="C547" s="17"/>
      <c r="D547" s="17"/>
      <c r="E547" s="6"/>
      <c r="F547" s="101"/>
      <c r="G547" s="101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</row>
    <row r="548" spans="1:65" ht="13">
      <c r="A548" s="17"/>
      <c r="B548" s="17"/>
      <c r="C548" s="17"/>
      <c r="D548" s="17"/>
      <c r="E548" s="6"/>
      <c r="F548" s="101"/>
      <c r="G548" s="101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</row>
    <row r="549" spans="1:65" ht="13">
      <c r="A549" s="17"/>
      <c r="B549" s="17"/>
      <c r="C549" s="17"/>
      <c r="D549" s="17"/>
      <c r="E549" s="6"/>
      <c r="F549" s="101"/>
      <c r="G549" s="101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</row>
    <row r="550" spans="1:65" ht="13">
      <c r="A550" s="17"/>
      <c r="B550" s="17"/>
      <c r="C550" s="17"/>
      <c r="D550" s="17"/>
      <c r="E550" s="6"/>
      <c r="F550" s="101"/>
      <c r="G550" s="101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</row>
    <row r="551" spans="1:65" ht="13">
      <c r="A551" s="17"/>
      <c r="B551" s="17"/>
      <c r="C551" s="17"/>
      <c r="D551" s="17"/>
      <c r="E551" s="6"/>
      <c r="F551" s="101"/>
      <c r="G551" s="101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</row>
    <row r="552" spans="1:65" ht="13">
      <c r="A552" s="17"/>
      <c r="B552" s="17"/>
      <c r="C552" s="17"/>
      <c r="D552" s="17"/>
      <c r="E552" s="6"/>
      <c r="F552" s="101"/>
      <c r="G552" s="101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</row>
    <row r="553" spans="1:65" ht="13">
      <c r="A553" s="17"/>
      <c r="B553" s="17"/>
      <c r="C553" s="17"/>
      <c r="D553" s="17"/>
      <c r="E553" s="6"/>
      <c r="F553" s="101"/>
      <c r="G553" s="101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</row>
    <row r="554" spans="1:65" ht="13">
      <c r="A554" s="17"/>
      <c r="B554" s="17"/>
      <c r="C554" s="17"/>
      <c r="D554" s="17"/>
      <c r="E554" s="6"/>
      <c r="F554" s="101"/>
      <c r="G554" s="101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</row>
    <row r="555" spans="1:65" ht="13">
      <c r="A555" s="17"/>
      <c r="B555" s="17"/>
      <c r="C555" s="17"/>
      <c r="D555" s="17"/>
      <c r="E555" s="6"/>
      <c r="F555" s="101"/>
      <c r="G555" s="101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</row>
    <row r="556" spans="1:65" ht="13">
      <c r="A556" s="17"/>
      <c r="B556" s="17"/>
      <c r="C556" s="17"/>
      <c r="D556" s="17"/>
      <c r="E556" s="6"/>
      <c r="F556" s="101"/>
      <c r="G556" s="101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</row>
    <row r="557" spans="1:65" ht="13">
      <c r="A557" s="17"/>
      <c r="B557" s="17"/>
      <c r="C557" s="17"/>
      <c r="D557" s="17"/>
      <c r="E557" s="6"/>
      <c r="F557" s="101"/>
      <c r="G557" s="101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</row>
    <row r="558" spans="1:65" ht="13">
      <c r="A558" s="17"/>
      <c r="B558" s="17"/>
      <c r="C558" s="17"/>
      <c r="D558" s="17"/>
      <c r="E558" s="6"/>
      <c r="F558" s="101"/>
      <c r="G558" s="101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</row>
    <row r="559" spans="1:65" ht="13">
      <c r="A559" s="17"/>
      <c r="B559" s="17"/>
      <c r="C559" s="17"/>
      <c r="D559" s="17"/>
      <c r="E559" s="6"/>
      <c r="F559" s="101"/>
      <c r="G559" s="101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</row>
    <row r="560" spans="1:65" ht="13">
      <c r="A560" s="17"/>
      <c r="B560" s="17"/>
      <c r="C560" s="17"/>
      <c r="D560" s="17"/>
      <c r="E560" s="6"/>
      <c r="F560" s="101"/>
      <c r="G560" s="101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</row>
    <row r="561" spans="1:65" ht="13">
      <c r="A561" s="17"/>
      <c r="B561" s="17"/>
      <c r="C561" s="17"/>
      <c r="D561" s="17"/>
      <c r="E561" s="6"/>
      <c r="F561" s="101"/>
      <c r="G561" s="101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</row>
    <row r="562" spans="1:65" ht="13">
      <c r="A562" s="17"/>
      <c r="B562" s="17"/>
      <c r="C562" s="17"/>
      <c r="D562" s="17"/>
      <c r="E562" s="6"/>
      <c r="F562" s="101"/>
      <c r="G562" s="101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</row>
    <row r="563" spans="1:65" ht="13">
      <c r="A563" s="17"/>
      <c r="B563" s="17"/>
      <c r="C563" s="17"/>
      <c r="D563" s="17"/>
      <c r="E563" s="6"/>
      <c r="F563" s="101"/>
      <c r="G563" s="101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</row>
    <row r="564" spans="1:65" ht="13">
      <c r="A564" s="17"/>
      <c r="B564" s="17"/>
      <c r="C564" s="17"/>
      <c r="D564" s="17"/>
      <c r="E564" s="6"/>
      <c r="F564" s="101"/>
      <c r="G564" s="101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</row>
    <row r="565" spans="1:65" ht="13">
      <c r="A565" s="17"/>
      <c r="B565" s="17"/>
      <c r="C565" s="17"/>
      <c r="D565" s="17"/>
      <c r="E565" s="6"/>
      <c r="F565" s="101"/>
      <c r="G565" s="101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</row>
    <row r="566" spans="1:65" ht="13">
      <c r="A566" s="17"/>
      <c r="B566" s="17"/>
      <c r="C566" s="17"/>
      <c r="D566" s="17"/>
      <c r="E566" s="6"/>
      <c r="F566" s="101"/>
      <c r="G566" s="101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</row>
    <row r="567" spans="1:65" ht="13">
      <c r="A567" s="17"/>
      <c r="B567" s="17"/>
      <c r="C567" s="17"/>
      <c r="D567" s="17"/>
      <c r="E567" s="6"/>
      <c r="F567" s="101"/>
      <c r="G567" s="101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</row>
    <row r="568" spans="1:65" ht="13">
      <c r="A568" s="17"/>
      <c r="B568" s="17"/>
      <c r="C568" s="17"/>
      <c r="D568" s="17"/>
      <c r="E568" s="6"/>
      <c r="F568" s="101"/>
      <c r="G568" s="101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</row>
    <row r="569" spans="1:65" ht="13">
      <c r="A569" s="17"/>
      <c r="B569" s="17"/>
      <c r="C569" s="17"/>
      <c r="D569" s="17"/>
      <c r="E569" s="6"/>
      <c r="F569" s="101"/>
      <c r="G569" s="101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</row>
    <row r="570" spans="1:65" ht="13">
      <c r="A570" s="17"/>
      <c r="B570" s="17"/>
      <c r="C570" s="17"/>
      <c r="D570" s="17"/>
      <c r="E570" s="6"/>
      <c r="F570" s="101"/>
      <c r="G570" s="101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</row>
    <row r="571" spans="1:65" ht="13">
      <c r="A571" s="17"/>
      <c r="B571" s="17"/>
      <c r="C571" s="17"/>
      <c r="D571" s="17"/>
      <c r="E571" s="6"/>
      <c r="F571" s="101"/>
      <c r="G571" s="101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</row>
    <row r="572" spans="1:65" ht="13">
      <c r="A572" s="17"/>
      <c r="B572" s="17"/>
      <c r="C572" s="17"/>
      <c r="D572" s="17"/>
      <c r="E572" s="6"/>
      <c r="F572" s="101"/>
      <c r="G572" s="101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</row>
    <row r="573" spans="1:65" ht="13">
      <c r="A573" s="17"/>
      <c r="B573" s="17"/>
      <c r="C573" s="17"/>
      <c r="D573" s="17"/>
      <c r="E573" s="6"/>
      <c r="F573" s="101"/>
      <c r="G573" s="101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</row>
    <row r="574" spans="1:65" ht="13">
      <c r="A574" s="17"/>
      <c r="B574" s="17"/>
      <c r="C574" s="17"/>
      <c r="D574" s="17"/>
      <c r="E574" s="6"/>
      <c r="F574" s="101"/>
      <c r="G574" s="101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</row>
    <row r="575" spans="1:65" ht="13">
      <c r="A575" s="17"/>
      <c r="B575" s="17"/>
      <c r="C575" s="17"/>
      <c r="D575" s="17"/>
      <c r="E575" s="6"/>
      <c r="F575" s="101"/>
      <c r="G575" s="101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</row>
    <row r="576" spans="1:65" ht="13">
      <c r="A576" s="17"/>
      <c r="B576" s="17"/>
      <c r="C576" s="17"/>
      <c r="D576" s="17"/>
      <c r="E576" s="6"/>
      <c r="F576" s="101"/>
      <c r="G576" s="101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</row>
    <row r="577" spans="1:65" ht="13">
      <c r="A577" s="17"/>
      <c r="B577" s="17"/>
      <c r="C577" s="17"/>
      <c r="D577" s="17"/>
      <c r="E577" s="6"/>
      <c r="F577" s="101"/>
      <c r="G577" s="101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</row>
    <row r="578" spans="1:65" ht="13">
      <c r="A578" s="17"/>
      <c r="B578" s="17"/>
      <c r="C578" s="17"/>
      <c r="D578" s="17"/>
      <c r="E578" s="6"/>
      <c r="F578" s="101"/>
      <c r="G578" s="101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</row>
    <row r="579" spans="1:65" ht="13">
      <c r="A579" s="17"/>
      <c r="B579" s="17"/>
      <c r="C579" s="17"/>
      <c r="D579" s="17"/>
      <c r="E579" s="6"/>
      <c r="F579" s="101"/>
      <c r="G579" s="101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</row>
    <row r="580" spans="1:65" ht="13">
      <c r="A580" s="17"/>
      <c r="B580" s="17"/>
      <c r="C580" s="17"/>
      <c r="D580" s="17"/>
      <c r="E580" s="6"/>
      <c r="F580" s="101"/>
      <c r="G580" s="101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</row>
    <row r="581" spans="1:65" ht="13">
      <c r="A581" s="17"/>
      <c r="B581" s="17"/>
      <c r="C581" s="17"/>
      <c r="D581" s="17"/>
      <c r="E581" s="6"/>
      <c r="F581" s="101"/>
      <c r="G581" s="101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</row>
    <row r="582" spans="1:65" ht="13">
      <c r="A582" s="17"/>
      <c r="B582" s="17"/>
      <c r="C582" s="17"/>
      <c r="D582" s="17"/>
      <c r="E582" s="6"/>
      <c r="F582" s="101"/>
      <c r="G582" s="101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</row>
    <row r="583" spans="1:65" ht="13">
      <c r="A583" s="17"/>
      <c r="B583" s="17"/>
      <c r="C583" s="17"/>
      <c r="D583" s="17"/>
      <c r="E583" s="6"/>
      <c r="F583" s="101"/>
      <c r="G583" s="101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</row>
    <row r="584" spans="1:65" ht="13">
      <c r="A584" s="17"/>
      <c r="B584" s="17"/>
      <c r="C584" s="17"/>
      <c r="D584" s="17"/>
      <c r="E584" s="6"/>
      <c r="F584" s="101"/>
      <c r="G584" s="101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</row>
    <row r="585" spans="1:65" ht="13">
      <c r="A585" s="17"/>
      <c r="B585" s="17"/>
      <c r="C585" s="17"/>
      <c r="D585" s="17"/>
      <c r="E585" s="6"/>
      <c r="F585" s="101"/>
      <c r="G585" s="101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</row>
    <row r="586" spans="1:65" ht="13">
      <c r="A586" s="17"/>
      <c r="B586" s="17"/>
      <c r="C586" s="17"/>
      <c r="D586" s="17"/>
      <c r="E586" s="6"/>
      <c r="F586" s="101"/>
      <c r="G586" s="101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</row>
    <row r="587" spans="1:65" ht="13">
      <c r="A587" s="17"/>
      <c r="B587" s="17"/>
      <c r="C587" s="17"/>
      <c r="D587" s="17"/>
      <c r="E587" s="6"/>
      <c r="F587" s="101"/>
      <c r="G587" s="101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</row>
    <row r="588" spans="1:65" ht="13">
      <c r="A588" s="17"/>
      <c r="B588" s="17"/>
      <c r="C588" s="17"/>
      <c r="D588" s="17"/>
      <c r="E588" s="6"/>
      <c r="F588" s="101"/>
      <c r="G588" s="101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</row>
    <row r="589" spans="1:65" ht="13">
      <c r="A589" s="17"/>
      <c r="B589" s="17"/>
      <c r="C589" s="17"/>
      <c r="D589" s="17"/>
      <c r="E589" s="6"/>
      <c r="F589" s="101"/>
      <c r="G589" s="101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</row>
    <row r="590" spans="1:65" ht="13">
      <c r="A590" s="17"/>
      <c r="B590" s="17"/>
      <c r="C590" s="17"/>
      <c r="D590" s="17"/>
      <c r="E590" s="6"/>
      <c r="F590" s="101"/>
      <c r="G590" s="101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</row>
    <row r="591" spans="1:65" ht="13">
      <c r="A591" s="17"/>
      <c r="B591" s="17"/>
      <c r="C591" s="17"/>
      <c r="D591" s="17"/>
      <c r="E591" s="6"/>
      <c r="F591" s="101"/>
      <c r="G591" s="101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</row>
    <row r="592" spans="1:65" ht="13">
      <c r="A592" s="17"/>
      <c r="B592" s="17"/>
      <c r="C592" s="17"/>
      <c r="D592" s="17"/>
      <c r="E592" s="6"/>
      <c r="F592" s="101"/>
      <c r="G592" s="101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</row>
    <row r="593" spans="1:65" ht="13">
      <c r="A593" s="17"/>
      <c r="B593" s="17"/>
      <c r="C593" s="17"/>
      <c r="D593" s="17"/>
      <c r="E593" s="6"/>
      <c r="F593" s="101"/>
      <c r="G593" s="101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</row>
    <row r="594" spans="1:65" ht="13">
      <c r="A594" s="17"/>
      <c r="B594" s="17"/>
      <c r="C594" s="17"/>
      <c r="D594" s="17"/>
      <c r="E594" s="6"/>
      <c r="F594" s="101"/>
      <c r="G594" s="101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</row>
    <row r="595" spans="1:65" ht="13">
      <c r="A595" s="17"/>
      <c r="B595" s="17"/>
      <c r="C595" s="17"/>
      <c r="D595" s="17"/>
      <c r="E595" s="6"/>
      <c r="F595" s="101"/>
      <c r="G595" s="101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</row>
    <row r="596" spans="1:65" ht="13">
      <c r="A596" s="17"/>
      <c r="B596" s="17"/>
      <c r="C596" s="17"/>
      <c r="D596" s="17"/>
      <c r="E596" s="6"/>
      <c r="F596" s="101"/>
      <c r="G596" s="101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</row>
    <row r="597" spans="1:65" ht="13">
      <c r="A597" s="17"/>
      <c r="B597" s="17"/>
      <c r="C597" s="17"/>
      <c r="D597" s="17"/>
      <c r="E597" s="6"/>
      <c r="F597" s="101"/>
      <c r="G597" s="101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</row>
    <row r="598" spans="1:65" ht="13">
      <c r="A598" s="17"/>
      <c r="B598" s="17"/>
      <c r="C598" s="17"/>
      <c r="D598" s="17"/>
      <c r="E598" s="6"/>
      <c r="F598" s="101"/>
      <c r="G598" s="101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</row>
    <row r="599" spans="1:65" ht="13">
      <c r="A599" s="17"/>
      <c r="B599" s="17"/>
      <c r="C599" s="17"/>
      <c r="D599" s="17"/>
      <c r="E599" s="6"/>
      <c r="F599" s="101"/>
      <c r="G599" s="101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</row>
    <row r="600" spans="1:65" ht="13">
      <c r="A600" s="17"/>
      <c r="B600" s="17"/>
      <c r="C600" s="17"/>
      <c r="D600" s="17"/>
      <c r="E600" s="6"/>
      <c r="F600" s="101"/>
      <c r="G600" s="101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</row>
    <row r="601" spans="1:65" ht="13">
      <c r="A601" s="17"/>
      <c r="B601" s="17"/>
      <c r="C601" s="17"/>
      <c r="D601" s="17"/>
      <c r="E601" s="6"/>
      <c r="F601" s="101"/>
      <c r="G601" s="101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</row>
    <row r="602" spans="1:65" ht="13">
      <c r="A602" s="17"/>
      <c r="B602" s="17"/>
      <c r="C602" s="17"/>
      <c r="D602" s="17"/>
      <c r="E602" s="6"/>
      <c r="F602" s="101"/>
      <c r="G602" s="101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</row>
    <row r="603" spans="1:65" ht="13">
      <c r="A603" s="17"/>
      <c r="B603" s="17"/>
      <c r="C603" s="17"/>
      <c r="D603" s="17"/>
      <c r="E603" s="6"/>
      <c r="F603" s="101"/>
      <c r="G603" s="101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</row>
    <row r="604" spans="1:65" ht="13">
      <c r="A604" s="17"/>
      <c r="B604" s="17"/>
      <c r="C604" s="17"/>
      <c r="D604" s="17"/>
      <c r="E604" s="6"/>
      <c r="F604" s="101"/>
      <c r="G604" s="101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</row>
    <row r="605" spans="1:65" ht="13">
      <c r="A605" s="17"/>
      <c r="B605" s="17"/>
      <c r="C605" s="17"/>
      <c r="D605" s="17"/>
      <c r="E605" s="6"/>
      <c r="F605" s="101"/>
      <c r="G605" s="101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</row>
    <row r="606" spans="1:65" ht="13">
      <c r="A606" s="17"/>
      <c r="B606" s="17"/>
      <c r="C606" s="17"/>
      <c r="D606" s="17"/>
      <c r="E606" s="6"/>
      <c r="F606" s="101"/>
      <c r="G606" s="101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</row>
    <row r="607" spans="1:65" ht="13">
      <c r="A607" s="17"/>
      <c r="B607" s="17"/>
      <c r="C607" s="17"/>
      <c r="D607" s="17"/>
      <c r="E607" s="6"/>
      <c r="F607" s="101"/>
      <c r="G607" s="101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</row>
    <row r="608" spans="1:65" ht="13">
      <c r="A608" s="17"/>
      <c r="B608" s="17"/>
      <c r="C608" s="17"/>
      <c r="D608" s="17"/>
      <c r="E608" s="6"/>
      <c r="F608" s="101"/>
      <c r="G608" s="101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</row>
    <row r="609" spans="1:65" ht="13">
      <c r="A609" s="17"/>
      <c r="B609" s="17"/>
      <c r="C609" s="17"/>
      <c r="D609" s="17"/>
      <c r="E609" s="6"/>
      <c r="F609" s="101"/>
      <c r="G609" s="101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</row>
    <row r="610" spans="1:65" ht="13">
      <c r="A610" s="17"/>
      <c r="B610" s="17"/>
      <c r="C610" s="17"/>
      <c r="D610" s="17"/>
      <c r="E610" s="6"/>
      <c r="F610" s="101"/>
      <c r="G610" s="101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</row>
    <row r="611" spans="1:65" ht="13">
      <c r="A611" s="17"/>
      <c r="B611" s="17"/>
      <c r="C611" s="17"/>
      <c r="D611" s="17"/>
      <c r="E611" s="6"/>
      <c r="F611" s="101"/>
      <c r="G611" s="101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</row>
    <row r="612" spans="1:65" ht="13">
      <c r="A612" s="17"/>
      <c r="B612" s="17"/>
      <c r="C612" s="17"/>
      <c r="D612" s="17"/>
      <c r="E612" s="6"/>
      <c r="F612" s="101"/>
      <c r="G612" s="101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</row>
    <row r="613" spans="1:65" ht="13">
      <c r="A613" s="17"/>
      <c r="B613" s="17"/>
      <c r="C613" s="17"/>
      <c r="D613" s="17"/>
      <c r="E613" s="6"/>
      <c r="F613" s="101"/>
      <c r="G613" s="101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</row>
    <row r="614" spans="1:65" ht="13">
      <c r="A614" s="17"/>
      <c r="B614" s="17"/>
      <c r="C614" s="17"/>
      <c r="D614" s="17"/>
      <c r="E614" s="6"/>
      <c r="F614" s="101"/>
      <c r="G614" s="101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</row>
    <row r="615" spans="1:65" ht="13">
      <c r="A615" s="17"/>
      <c r="B615" s="17"/>
      <c r="C615" s="17"/>
      <c r="D615" s="17"/>
      <c r="E615" s="6"/>
      <c r="F615" s="101"/>
      <c r="G615" s="101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</row>
    <row r="616" spans="1:65" ht="13">
      <c r="A616" s="17"/>
      <c r="B616" s="17"/>
      <c r="C616" s="17"/>
      <c r="D616" s="17"/>
      <c r="E616" s="6"/>
      <c r="F616" s="101"/>
      <c r="G616" s="101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</row>
    <row r="617" spans="1:65" ht="13">
      <c r="A617" s="17"/>
      <c r="B617" s="17"/>
      <c r="C617" s="17"/>
      <c r="D617" s="17"/>
      <c r="E617" s="6"/>
      <c r="F617" s="101"/>
      <c r="G617" s="101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</row>
    <row r="618" spans="1:65" ht="13">
      <c r="A618" s="17"/>
      <c r="B618" s="17"/>
      <c r="C618" s="17"/>
      <c r="D618" s="17"/>
      <c r="E618" s="6"/>
      <c r="F618" s="101"/>
      <c r="G618" s="101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</row>
    <row r="619" spans="1:65" ht="13">
      <c r="A619" s="17"/>
      <c r="B619" s="17"/>
      <c r="C619" s="17"/>
      <c r="D619" s="17"/>
      <c r="E619" s="6"/>
      <c r="F619" s="101"/>
      <c r="G619" s="101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</row>
    <row r="620" spans="1:65" ht="13">
      <c r="A620" s="17"/>
      <c r="B620" s="17"/>
      <c r="C620" s="17"/>
      <c r="D620" s="17"/>
      <c r="E620" s="6"/>
      <c r="F620" s="101"/>
      <c r="G620" s="101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</row>
    <row r="621" spans="1:65" ht="13">
      <c r="A621" s="17"/>
      <c r="B621" s="17"/>
      <c r="C621" s="17"/>
      <c r="D621" s="17"/>
      <c r="E621" s="6"/>
      <c r="F621" s="101"/>
      <c r="G621" s="101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</row>
    <row r="622" spans="1:65" ht="13">
      <c r="A622" s="17"/>
      <c r="B622" s="17"/>
      <c r="C622" s="17"/>
      <c r="D622" s="17"/>
      <c r="E622" s="6"/>
      <c r="F622" s="101"/>
      <c r="G622" s="101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</row>
    <row r="623" spans="1:65" ht="13">
      <c r="A623" s="17"/>
      <c r="B623" s="17"/>
      <c r="C623" s="17"/>
      <c r="D623" s="17"/>
      <c r="E623" s="6"/>
      <c r="F623" s="101"/>
      <c r="G623" s="101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</row>
    <row r="624" spans="1:65" ht="13">
      <c r="A624" s="17"/>
      <c r="B624" s="17"/>
      <c r="C624" s="17"/>
      <c r="D624" s="17"/>
      <c r="E624" s="6"/>
      <c r="F624" s="101"/>
      <c r="G624" s="101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</row>
    <row r="625" spans="1:65" ht="13">
      <c r="A625" s="17"/>
      <c r="B625" s="17"/>
      <c r="C625" s="17"/>
      <c r="D625" s="17"/>
      <c r="E625" s="6"/>
      <c r="F625" s="101"/>
      <c r="G625" s="101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</row>
    <row r="626" spans="1:65" ht="13">
      <c r="A626" s="17"/>
      <c r="B626" s="17"/>
      <c r="C626" s="17"/>
      <c r="D626" s="17"/>
      <c r="E626" s="6"/>
      <c r="F626" s="101"/>
      <c r="G626" s="101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</row>
    <row r="627" spans="1:65" ht="13">
      <c r="A627" s="17"/>
      <c r="B627" s="17"/>
      <c r="C627" s="17"/>
      <c r="D627" s="17"/>
      <c r="E627" s="6"/>
      <c r="F627" s="101"/>
      <c r="G627" s="101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</row>
    <row r="628" spans="1:65" ht="13">
      <c r="A628" s="17"/>
      <c r="B628" s="17"/>
      <c r="C628" s="17"/>
      <c r="D628" s="17"/>
      <c r="E628" s="6"/>
      <c r="F628" s="101"/>
      <c r="G628" s="101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</row>
    <row r="629" spans="1:65" ht="13">
      <c r="A629" s="17"/>
      <c r="B629" s="17"/>
      <c r="C629" s="17"/>
      <c r="D629" s="17"/>
      <c r="E629" s="6"/>
      <c r="F629" s="101"/>
      <c r="G629" s="101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</row>
    <row r="630" spans="1:65" ht="13">
      <c r="A630" s="17"/>
      <c r="B630" s="17"/>
      <c r="C630" s="17"/>
      <c r="D630" s="17"/>
      <c r="E630" s="6"/>
      <c r="F630" s="101"/>
      <c r="G630" s="101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</row>
    <row r="631" spans="1:65" ht="13">
      <c r="A631" s="17"/>
      <c r="B631" s="17"/>
      <c r="C631" s="17"/>
      <c r="D631" s="17"/>
      <c r="E631" s="6"/>
      <c r="F631" s="101"/>
      <c r="G631" s="101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</row>
    <row r="632" spans="1:65" ht="13">
      <c r="A632" s="17"/>
      <c r="B632" s="17"/>
      <c r="C632" s="17"/>
      <c r="D632" s="17"/>
      <c r="E632" s="6"/>
      <c r="F632" s="101"/>
      <c r="G632" s="101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</row>
    <row r="633" spans="1:65" ht="13">
      <c r="A633" s="17"/>
      <c r="B633" s="17"/>
      <c r="C633" s="17"/>
      <c r="D633" s="17"/>
      <c r="E633" s="6"/>
      <c r="F633" s="101"/>
      <c r="G633" s="101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</row>
    <row r="634" spans="1:65" ht="13">
      <c r="A634" s="17"/>
      <c r="B634" s="17"/>
      <c r="C634" s="17"/>
      <c r="D634" s="17"/>
      <c r="E634" s="6"/>
      <c r="F634" s="101"/>
      <c r="G634" s="101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</row>
    <row r="635" spans="1:65" ht="13">
      <c r="A635" s="17"/>
      <c r="B635" s="17"/>
      <c r="C635" s="17"/>
      <c r="D635" s="17"/>
      <c r="E635" s="6"/>
      <c r="F635" s="101"/>
      <c r="G635" s="101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</row>
    <row r="636" spans="1:65" ht="13">
      <c r="A636" s="17"/>
      <c r="B636" s="17"/>
      <c r="C636" s="17"/>
      <c r="D636" s="17"/>
      <c r="E636" s="6"/>
      <c r="F636" s="101"/>
      <c r="G636" s="101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</row>
    <row r="637" spans="1:65" ht="13">
      <c r="A637" s="17"/>
      <c r="B637" s="17"/>
      <c r="C637" s="17"/>
      <c r="D637" s="17"/>
      <c r="E637" s="6"/>
      <c r="F637" s="101"/>
      <c r="G637" s="101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</row>
    <row r="638" spans="1:65" ht="13">
      <c r="A638" s="17"/>
      <c r="B638" s="17"/>
      <c r="C638" s="17"/>
      <c r="D638" s="17"/>
      <c r="E638" s="6"/>
      <c r="F638" s="101"/>
      <c r="G638" s="101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</row>
    <row r="639" spans="1:65" ht="13">
      <c r="A639" s="17"/>
      <c r="B639" s="17"/>
      <c r="C639" s="17"/>
      <c r="D639" s="17"/>
      <c r="E639" s="6"/>
      <c r="F639" s="101"/>
      <c r="G639" s="101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</row>
    <row r="640" spans="1:65" ht="13">
      <c r="A640" s="17"/>
      <c r="B640" s="17"/>
      <c r="C640" s="17"/>
      <c r="D640" s="17"/>
      <c r="E640" s="6"/>
      <c r="F640" s="101"/>
      <c r="G640" s="101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</row>
    <row r="641" spans="1:65" ht="13">
      <c r="A641" s="17"/>
      <c r="B641" s="17"/>
      <c r="C641" s="17"/>
      <c r="D641" s="17"/>
      <c r="E641" s="6"/>
      <c r="F641" s="101"/>
      <c r="G641" s="101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</row>
    <row r="642" spans="1:65" ht="13">
      <c r="A642" s="17"/>
      <c r="B642" s="17"/>
      <c r="C642" s="17"/>
      <c r="D642" s="17"/>
      <c r="E642" s="6"/>
      <c r="F642" s="101"/>
      <c r="G642" s="101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</row>
    <row r="643" spans="1:65" ht="13">
      <c r="A643" s="17"/>
      <c r="B643" s="17"/>
      <c r="C643" s="17"/>
      <c r="D643" s="17"/>
      <c r="E643" s="6"/>
      <c r="F643" s="101"/>
      <c r="G643" s="101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</row>
    <row r="644" spans="1:65" ht="13">
      <c r="A644" s="17"/>
      <c r="B644" s="17"/>
      <c r="C644" s="17"/>
      <c r="D644" s="17"/>
      <c r="E644" s="6"/>
      <c r="F644" s="101"/>
      <c r="G644" s="101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</row>
    <row r="645" spans="1:65" ht="13">
      <c r="A645" s="17"/>
      <c r="B645" s="17"/>
      <c r="C645" s="17"/>
      <c r="D645" s="17"/>
      <c r="E645" s="6"/>
      <c r="F645" s="101"/>
      <c r="G645" s="101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</row>
    <row r="646" spans="1:65" ht="13">
      <c r="A646" s="17"/>
      <c r="B646" s="17"/>
      <c r="C646" s="17"/>
      <c r="D646" s="17"/>
      <c r="E646" s="6"/>
      <c r="F646" s="101"/>
      <c r="G646" s="101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</row>
    <row r="647" spans="1:65" ht="13">
      <c r="A647" s="17"/>
      <c r="B647" s="17"/>
      <c r="C647" s="17"/>
      <c r="D647" s="17"/>
      <c r="E647" s="6"/>
      <c r="F647" s="101"/>
      <c r="G647" s="101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</row>
    <row r="648" spans="1:65" ht="13">
      <c r="A648" s="17"/>
      <c r="B648" s="17"/>
      <c r="C648" s="17"/>
      <c r="D648" s="17"/>
      <c r="E648" s="6"/>
      <c r="F648" s="101"/>
      <c r="G648" s="101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</row>
    <row r="649" spans="1:65" ht="13">
      <c r="A649" s="17"/>
      <c r="B649" s="17"/>
      <c r="C649" s="17"/>
      <c r="D649" s="17"/>
      <c r="E649" s="6"/>
      <c r="F649" s="101"/>
      <c r="G649" s="101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</row>
    <row r="650" spans="1:65" ht="13">
      <c r="A650" s="17"/>
      <c r="B650" s="17"/>
      <c r="C650" s="17"/>
      <c r="D650" s="17"/>
      <c r="E650" s="6"/>
      <c r="F650" s="101"/>
      <c r="G650" s="101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</row>
    <row r="651" spans="1:65" ht="13">
      <c r="A651" s="17"/>
      <c r="B651" s="17"/>
      <c r="C651" s="17"/>
      <c r="D651" s="17"/>
      <c r="E651" s="6"/>
      <c r="F651" s="101"/>
      <c r="G651" s="101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</row>
    <row r="652" spans="1:65" ht="13">
      <c r="A652" s="17"/>
      <c r="B652" s="17"/>
      <c r="C652" s="17"/>
      <c r="D652" s="17"/>
      <c r="E652" s="6"/>
      <c r="F652" s="101"/>
      <c r="G652" s="101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</row>
    <row r="653" spans="1:65" ht="13">
      <c r="A653" s="17"/>
      <c r="B653" s="17"/>
      <c r="C653" s="17"/>
      <c r="D653" s="17"/>
      <c r="E653" s="6"/>
      <c r="F653" s="101"/>
      <c r="G653" s="101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</row>
    <row r="654" spans="1:65" ht="13">
      <c r="A654" s="17"/>
      <c r="B654" s="17"/>
      <c r="C654" s="17"/>
      <c r="D654" s="17"/>
      <c r="E654" s="6"/>
      <c r="F654" s="101"/>
      <c r="G654" s="101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</row>
    <row r="655" spans="1:65" ht="13">
      <c r="A655" s="17"/>
      <c r="B655" s="17"/>
      <c r="C655" s="17"/>
      <c r="D655" s="17"/>
      <c r="E655" s="6"/>
      <c r="F655" s="101"/>
      <c r="G655" s="101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</row>
    <row r="656" spans="1:65" ht="13">
      <c r="A656" s="17"/>
      <c r="B656" s="17"/>
      <c r="C656" s="17"/>
      <c r="D656" s="17"/>
      <c r="E656" s="6"/>
      <c r="F656" s="101"/>
      <c r="G656" s="101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</row>
    <row r="657" spans="1:65" ht="13">
      <c r="A657" s="17"/>
      <c r="B657" s="17"/>
      <c r="C657" s="17"/>
      <c r="D657" s="17"/>
      <c r="E657" s="6"/>
      <c r="F657" s="101"/>
      <c r="G657" s="101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</row>
    <row r="658" spans="1:65" ht="13">
      <c r="A658" s="17"/>
      <c r="B658" s="17"/>
      <c r="C658" s="17"/>
      <c r="D658" s="17"/>
      <c r="E658" s="6"/>
      <c r="F658" s="101"/>
      <c r="G658" s="101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</row>
    <row r="659" spans="1:65" ht="13">
      <c r="A659" s="17"/>
      <c r="B659" s="17"/>
      <c r="C659" s="17"/>
      <c r="D659" s="17"/>
      <c r="E659" s="6"/>
      <c r="F659" s="101"/>
      <c r="G659" s="101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</row>
    <row r="660" spans="1:65" ht="13">
      <c r="A660" s="17"/>
      <c r="B660" s="17"/>
      <c r="C660" s="17"/>
      <c r="D660" s="17"/>
      <c r="E660" s="6"/>
      <c r="F660" s="101"/>
      <c r="G660" s="101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</row>
    <row r="661" spans="1:65" ht="13">
      <c r="A661" s="17"/>
      <c r="B661" s="17"/>
      <c r="C661" s="17"/>
      <c r="D661" s="17"/>
      <c r="E661" s="6"/>
      <c r="F661" s="101"/>
      <c r="G661" s="101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</row>
    <row r="662" spans="1:65" ht="13">
      <c r="A662" s="17"/>
      <c r="B662" s="17"/>
      <c r="C662" s="17"/>
      <c r="D662" s="17"/>
      <c r="E662" s="6"/>
      <c r="F662" s="101"/>
      <c r="G662" s="101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</row>
    <row r="663" spans="1:65" ht="13">
      <c r="A663" s="17"/>
      <c r="B663" s="17"/>
      <c r="C663" s="17"/>
      <c r="D663" s="17"/>
      <c r="E663" s="6"/>
      <c r="F663" s="101"/>
      <c r="G663" s="101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</row>
    <row r="664" spans="1:65" ht="13">
      <c r="A664" s="17"/>
      <c r="B664" s="17"/>
      <c r="C664" s="17"/>
      <c r="D664" s="17"/>
      <c r="E664" s="6"/>
      <c r="F664" s="101"/>
      <c r="G664" s="101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</row>
    <row r="665" spans="1:65" ht="13">
      <c r="A665" s="17"/>
      <c r="B665" s="17"/>
      <c r="C665" s="17"/>
      <c r="D665" s="17"/>
      <c r="E665" s="6"/>
      <c r="F665" s="101"/>
      <c r="G665" s="101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</row>
    <row r="666" spans="1:65" ht="13">
      <c r="A666" s="17"/>
      <c r="B666" s="17"/>
      <c r="C666" s="17"/>
      <c r="D666" s="17"/>
      <c r="E666" s="6"/>
      <c r="F666" s="101"/>
      <c r="G666" s="101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</row>
    <row r="667" spans="1:65" ht="13">
      <c r="A667" s="17"/>
      <c r="B667" s="17"/>
      <c r="C667" s="17"/>
      <c r="D667" s="17"/>
      <c r="E667" s="6"/>
      <c r="F667" s="101"/>
      <c r="G667" s="101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</row>
    <row r="668" spans="1:65" ht="13">
      <c r="A668" s="17"/>
      <c r="B668" s="17"/>
      <c r="C668" s="17"/>
      <c r="D668" s="17"/>
      <c r="E668" s="6"/>
      <c r="F668" s="101"/>
      <c r="G668" s="101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</row>
    <row r="669" spans="1:65" ht="13">
      <c r="A669" s="17"/>
      <c r="B669" s="17"/>
      <c r="C669" s="17"/>
      <c r="D669" s="17"/>
      <c r="E669" s="6"/>
      <c r="F669" s="101"/>
      <c r="G669" s="101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</row>
    <row r="670" spans="1:65" ht="13">
      <c r="A670" s="17"/>
      <c r="B670" s="17"/>
      <c r="C670" s="17"/>
      <c r="D670" s="17"/>
      <c r="E670" s="6"/>
      <c r="F670" s="101"/>
      <c r="G670" s="101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</row>
    <row r="671" spans="1:65" ht="13">
      <c r="A671" s="17"/>
      <c r="B671" s="17"/>
      <c r="C671" s="17"/>
      <c r="D671" s="17"/>
      <c r="E671" s="6"/>
      <c r="F671" s="101"/>
      <c r="G671" s="101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</row>
    <row r="672" spans="1:65" ht="13">
      <c r="A672" s="17"/>
      <c r="B672" s="17"/>
      <c r="C672" s="17"/>
      <c r="D672" s="17"/>
      <c r="E672" s="6"/>
      <c r="F672" s="101"/>
      <c r="G672" s="101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</row>
    <row r="673" spans="1:65" ht="13">
      <c r="A673" s="17"/>
      <c r="B673" s="17"/>
      <c r="C673" s="17"/>
      <c r="D673" s="17"/>
      <c r="E673" s="6"/>
      <c r="F673" s="101"/>
      <c r="G673" s="101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</row>
    <row r="674" spans="1:65" ht="13">
      <c r="A674" s="17"/>
      <c r="B674" s="17"/>
      <c r="C674" s="17"/>
      <c r="D674" s="17"/>
      <c r="E674" s="6"/>
      <c r="F674" s="101"/>
      <c r="G674" s="101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</row>
    <row r="675" spans="1:65" ht="13">
      <c r="A675" s="17"/>
      <c r="B675" s="17"/>
      <c r="C675" s="17"/>
      <c r="D675" s="17"/>
      <c r="E675" s="6"/>
      <c r="F675" s="101"/>
      <c r="G675" s="101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</row>
    <row r="676" spans="1:65" ht="13">
      <c r="A676" s="17"/>
      <c r="B676" s="17"/>
      <c r="C676" s="17"/>
      <c r="D676" s="17"/>
      <c r="E676" s="6"/>
      <c r="F676" s="101"/>
      <c r="G676" s="101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</row>
    <row r="677" spans="1:65" ht="13">
      <c r="A677" s="17"/>
      <c r="B677" s="17"/>
      <c r="C677" s="17"/>
      <c r="D677" s="17"/>
      <c r="E677" s="6"/>
      <c r="F677" s="101"/>
      <c r="G677" s="101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</row>
    <row r="678" spans="1:65" ht="13">
      <c r="A678" s="17"/>
      <c r="B678" s="17"/>
      <c r="C678" s="17"/>
      <c r="D678" s="17"/>
      <c r="E678" s="6"/>
      <c r="F678" s="101"/>
      <c r="G678" s="101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</row>
    <row r="679" spans="1:65" ht="13">
      <c r="A679" s="17"/>
      <c r="B679" s="17"/>
      <c r="C679" s="17"/>
      <c r="D679" s="17"/>
      <c r="E679" s="6"/>
      <c r="F679" s="101"/>
      <c r="G679" s="101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</row>
    <row r="680" spans="1:65" ht="13">
      <c r="A680" s="17"/>
      <c r="B680" s="17"/>
      <c r="C680" s="17"/>
      <c r="D680" s="17"/>
      <c r="E680" s="6"/>
      <c r="F680" s="101"/>
      <c r="G680" s="101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</row>
    <row r="681" spans="1:65" ht="13">
      <c r="A681" s="17"/>
      <c r="B681" s="17"/>
      <c r="C681" s="17"/>
      <c r="D681" s="17"/>
      <c r="E681" s="6"/>
      <c r="F681" s="101"/>
      <c r="G681" s="101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</row>
    <row r="682" spans="1:65" ht="13">
      <c r="A682" s="17"/>
      <c r="B682" s="17"/>
      <c r="C682" s="17"/>
      <c r="D682" s="17"/>
      <c r="E682" s="6"/>
      <c r="F682" s="101"/>
      <c r="G682" s="101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</row>
    <row r="683" spans="1:65" ht="13">
      <c r="A683" s="17"/>
      <c r="B683" s="17"/>
      <c r="C683" s="17"/>
      <c r="D683" s="17"/>
      <c r="E683" s="6"/>
      <c r="F683" s="101"/>
      <c r="G683" s="101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</row>
    <row r="684" spans="1:65" ht="13">
      <c r="A684" s="17"/>
      <c r="B684" s="17"/>
      <c r="C684" s="17"/>
      <c r="D684" s="17"/>
      <c r="E684" s="6"/>
      <c r="F684" s="101"/>
      <c r="G684" s="101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</row>
    <row r="685" spans="1:65" ht="13">
      <c r="A685" s="17"/>
      <c r="B685" s="17"/>
      <c r="C685" s="17"/>
      <c r="D685" s="17"/>
      <c r="E685" s="6"/>
      <c r="F685" s="101"/>
      <c r="G685" s="101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</row>
    <row r="686" spans="1:65" ht="13">
      <c r="A686" s="17"/>
      <c r="B686" s="17"/>
      <c r="C686" s="17"/>
      <c r="D686" s="17"/>
      <c r="E686" s="6"/>
      <c r="F686" s="101"/>
      <c r="G686" s="101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</row>
    <row r="687" spans="1:65" ht="13">
      <c r="A687" s="17"/>
      <c r="B687" s="17"/>
      <c r="C687" s="17"/>
      <c r="D687" s="17"/>
      <c r="E687" s="6"/>
      <c r="F687" s="101"/>
      <c r="G687" s="101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</row>
    <row r="688" spans="1:65" ht="13">
      <c r="A688" s="17"/>
      <c r="B688" s="17"/>
      <c r="C688" s="17"/>
      <c r="D688" s="17"/>
      <c r="E688" s="6"/>
      <c r="F688" s="101"/>
      <c r="G688" s="101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</row>
    <row r="689" spans="1:65" ht="13">
      <c r="A689" s="17"/>
      <c r="B689" s="17"/>
      <c r="C689" s="17"/>
      <c r="D689" s="17"/>
      <c r="E689" s="6"/>
      <c r="F689" s="101"/>
      <c r="G689" s="101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</row>
    <row r="690" spans="1:65" ht="13">
      <c r="A690" s="17"/>
      <c r="B690" s="17"/>
      <c r="C690" s="17"/>
      <c r="D690" s="17"/>
      <c r="E690" s="6"/>
      <c r="F690" s="101"/>
      <c r="G690" s="101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</row>
    <row r="691" spans="1:65" ht="13">
      <c r="A691" s="17"/>
      <c r="B691" s="17"/>
      <c r="C691" s="17"/>
      <c r="D691" s="17"/>
      <c r="E691" s="6"/>
      <c r="F691" s="101"/>
      <c r="G691" s="101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</row>
    <row r="692" spans="1:65" ht="13">
      <c r="A692" s="17"/>
      <c r="B692" s="17"/>
      <c r="C692" s="17"/>
      <c r="D692" s="17"/>
      <c r="E692" s="6"/>
      <c r="F692" s="101"/>
      <c r="G692" s="101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</row>
    <row r="693" spans="1:65" ht="13">
      <c r="A693" s="17"/>
      <c r="B693" s="17"/>
      <c r="C693" s="17"/>
      <c r="D693" s="17"/>
      <c r="E693" s="6"/>
      <c r="F693" s="101"/>
      <c r="G693" s="101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</row>
    <row r="694" spans="1:65" ht="13">
      <c r="A694" s="17"/>
      <c r="B694" s="17"/>
      <c r="C694" s="17"/>
      <c r="D694" s="17"/>
      <c r="E694" s="6"/>
      <c r="F694" s="101"/>
      <c r="G694" s="101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</row>
    <row r="695" spans="1:65" ht="13">
      <c r="A695" s="17"/>
      <c r="B695" s="17"/>
      <c r="C695" s="17"/>
      <c r="D695" s="17"/>
      <c r="E695" s="6"/>
      <c r="F695" s="101"/>
      <c r="G695" s="101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</row>
    <row r="696" spans="1:65" ht="13">
      <c r="A696" s="17"/>
      <c r="B696" s="17"/>
      <c r="C696" s="17"/>
      <c r="D696" s="17"/>
      <c r="E696" s="6"/>
      <c r="F696" s="101"/>
      <c r="G696" s="101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</row>
    <row r="697" spans="1:65" ht="13">
      <c r="A697" s="17"/>
      <c r="B697" s="17"/>
      <c r="C697" s="17"/>
      <c r="D697" s="17"/>
      <c r="E697" s="6"/>
      <c r="F697" s="101"/>
      <c r="G697" s="101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</row>
    <row r="698" spans="1:65" ht="13">
      <c r="A698" s="17"/>
      <c r="B698" s="17"/>
      <c r="C698" s="17"/>
      <c r="D698" s="17"/>
      <c r="E698" s="6"/>
      <c r="F698" s="101"/>
      <c r="G698" s="101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</row>
    <row r="699" spans="1:65" ht="13">
      <c r="A699" s="17"/>
      <c r="B699" s="17"/>
      <c r="C699" s="17"/>
      <c r="D699" s="17"/>
      <c r="E699" s="6"/>
      <c r="F699" s="101"/>
      <c r="G699" s="101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</row>
    <row r="700" spans="1:65" ht="13">
      <c r="A700" s="17"/>
      <c r="B700" s="17"/>
      <c r="C700" s="17"/>
      <c r="D700" s="17"/>
      <c r="E700" s="6"/>
      <c r="F700" s="101"/>
      <c r="G700" s="101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</row>
    <row r="701" spans="1:65" ht="13">
      <c r="A701" s="17"/>
      <c r="B701" s="17"/>
      <c r="C701" s="17"/>
      <c r="D701" s="17"/>
      <c r="E701" s="6"/>
      <c r="F701" s="101"/>
      <c r="G701" s="101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</row>
    <row r="702" spans="1:65" ht="13">
      <c r="A702" s="17"/>
      <c r="B702" s="17"/>
      <c r="C702" s="17"/>
      <c r="D702" s="17"/>
      <c r="E702" s="6"/>
      <c r="F702" s="101"/>
      <c r="G702" s="101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</row>
    <row r="703" spans="1:65" ht="13">
      <c r="A703" s="17"/>
      <c r="B703" s="17"/>
      <c r="C703" s="17"/>
      <c r="D703" s="17"/>
      <c r="E703" s="6"/>
      <c r="F703" s="101"/>
      <c r="G703" s="101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</row>
    <row r="704" spans="1:65" ht="13">
      <c r="A704" s="17"/>
      <c r="B704" s="17"/>
      <c r="C704" s="17"/>
      <c r="D704" s="17"/>
      <c r="E704" s="6"/>
      <c r="F704" s="101"/>
      <c r="G704" s="101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</row>
    <row r="705" spans="1:65" ht="13">
      <c r="A705" s="17"/>
      <c r="B705" s="17"/>
      <c r="C705" s="17"/>
      <c r="D705" s="17"/>
      <c r="E705" s="6"/>
      <c r="F705" s="101"/>
      <c r="G705" s="101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</row>
    <row r="706" spans="1:65" ht="13">
      <c r="A706" s="17"/>
      <c r="B706" s="17"/>
      <c r="C706" s="17"/>
      <c r="D706" s="17"/>
      <c r="E706" s="6"/>
      <c r="F706" s="101"/>
      <c r="G706" s="101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</row>
    <row r="707" spans="1:65" ht="13">
      <c r="A707" s="17"/>
      <c r="B707" s="17"/>
      <c r="C707" s="17"/>
      <c r="D707" s="17"/>
      <c r="E707" s="6"/>
      <c r="F707" s="101"/>
      <c r="G707" s="101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</row>
    <row r="708" spans="1:65" ht="13">
      <c r="A708" s="17"/>
      <c r="B708" s="17"/>
      <c r="C708" s="17"/>
      <c r="D708" s="17"/>
      <c r="E708" s="6"/>
      <c r="F708" s="101"/>
      <c r="G708" s="101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</row>
    <row r="709" spans="1:65" ht="13">
      <c r="A709" s="17"/>
      <c r="B709" s="17"/>
      <c r="C709" s="17"/>
      <c r="D709" s="17"/>
      <c r="E709" s="6"/>
      <c r="F709" s="101"/>
      <c r="G709" s="101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</row>
    <row r="710" spans="1:65" ht="13">
      <c r="A710" s="17"/>
      <c r="B710" s="17"/>
      <c r="C710" s="17"/>
      <c r="D710" s="17"/>
      <c r="E710" s="6"/>
      <c r="F710" s="101"/>
      <c r="G710" s="101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</row>
    <row r="711" spans="1:65" ht="13">
      <c r="A711" s="17"/>
      <c r="B711" s="17"/>
      <c r="C711" s="17"/>
      <c r="D711" s="17"/>
      <c r="E711" s="6"/>
      <c r="F711" s="101"/>
      <c r="G711" s="101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</row>
    <row r="712" spans="1:65" ht="13">
      <c r="A712" s="17"/>
      <c r="B712" s="17"/>
      <c r="C712" s="17"/>
      <c r="D712" s="17"/>
      <c r="E712" s="6"/>
      <c r="F712" s="101"/>
      <c r="G712" s="101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</row>
    <row r="713" spans="1:65" ht="13">
      <c r="A713" s="17"/>
      <c r="B713" s="17"/>
      <c r="C713" s="17"/>
      <c r="D713" s="17"/>
      <c r="E713" s="6"/>
      <c r="F713" s="101"/>
      <c r="G713" s="101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</row>
    <row r="714" spans="1:65" ht="13">
      <c r="A714" s="17"/>
      <c r="B714" s="17"/>
      <c r="C714" s="17"/>
      <c r="D714" s="17"/>
      <c r="E714" s="6"/>
      <c r="F714" s="101"/>
      <c r="G714" s="101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</row>
    <row r="715" spans="1:65" ht="13">
      <c r="A715" s="17"/>
      <c r="B715" s="17"/>
      <c r="C715" s="17"/>
      <c r="D715" s="17"/>
      <c r="E715" s="6"/>
      <c r="F715" s="101"/>
      <c r="G715" s="101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</row>
    <row r="716" spans="1:65" ht="13">
      <c r="A716" s="17"/>
      <c r="B716" s="17"/>
      <c r="C716" s="17"/>
      <c r="D716" s="17"/>
      <c r="E716" s="6"/>
      <c r="F716" s="101"/>
      <c r="G716" s="101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</row>
    <row r="717" spans="1:65" ht="13">
      <c r="A717" s="17"/>
      <c r="B717" s="17"/>
      <c r="C717" s="17"/>
      <c r="D717" s="17"/>
      <c r="E717" s="6"/>
      <c r="F717" s="101"/>
      <c r="G717" s="101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</row>
    <row r="718" spans="1:65" ht="13">
      <c r="A718" s="17"/>
      <c r="B718" s="17"/>
      <c r="C718" s="17"/>
      <c r="D718" s="17"/>
      <c r="E718" s="6"/>
      <c r="F718" s="101"/>
      <c r="G718" s="101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</row>
    <row r="719" spans="1:65" ht="13">
      <c r="A719" s="17"/>
      <c r="B719" s="17"/>
      <c r="C719" s="17"/>
      <c r="D719" s="17"/>
      <c r="E719" s="6"/>
      <c r="F719" s="101"/>
      <c r="G719" s="101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</row>
    <row r="720" spans="1:65" ht="13">
      <c r="A720" s="17"/>
      <c r="B720" s="17"/>
      <c r="C720" s="17"/>
      <c r="D720" s="17"/>
      <c r="E720" s="6"/>
      <c r="F720" s="101"/>
      <c r="G720" s="101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</row>
    <row r="721" spans="1:65" ht="13">
      <c r="A721" s="17"/>
      <c r="B721" s="17"/>
      <c r="C721" s="17"/>
      <c r="D721" s="17"/>
      <c r="E721" s="6"/>
      <c r="F721" s="101"/>
      <c r="G721" s="101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</row>
    <row r="722" spans="1:65" ht="13">
      <c r="A722" s="17"/>
      <c r="B722" s="17"/>
      <c r="C722" s="17"/>
      <c r="D722" s="17"/>
      <c r="E722" s="6"/>
      <c r="F722" s="101"/>
      <c r="G722" s="101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</row>
    <row r="723" spans="1:65" ht="13">
      <c r="A723" s="17"/>
      <c r="B723" s="17"/>
      <c r="C723" s="17"/>
      <c r="D723" s="17"/>
      <c r="E723" s="6"/>
      <c r="F723" s="101"/>
      <c r="G723" s="101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</row>
    <row r="724" spans="1:65" ht="13">
      <c r="A724" s="17"/>
      <c r="B724" s="17"/>
      <c r="C724" s="17"/>
      <c r="D724" s="17"/>
      <c r="E724" s="6"/>
      <c r="F724" s="101"/>
      <c r="G724" s="101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</row>
    <row r="725" spans="1:65" ht="13">
      <c r="A725" s="17"/>
      <c r="B725" s="17"/>
      <c r="C725" s="17"/>
      <c r="D725" s="17"/>
      <c r="E725" s="6"/>
      <c r="F725" s="101"/>
      <c r="G725" s="101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</row>
    <row r="726" spans="1:65" ht="13">
      <c r="A726" s="17"/>
      <c r="B726" s="17"/>
      <c r="C726" s="17"/>
      <c r="D726" s="17"/>
      <c r="E726" s="6"/>
      <c r="F726" s="101"/>
      <c r="G726" s="101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</row>
    <row r="727" spans="1:65" ht="13">
      <c r="A727" s="17"/>
      <c r="B727" s="17"/>
      <c r="C727" s="17"/>
      <c r="D727" s="17"/>
      <c r="E727" s="6"/>
      <c r="F727" s="101"/>
      <c r="G727" s="101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</row>
    <row r="728" spans="1:65" ht="13">
      <c r="A728" s="17"/>
      <c r="B728" s="17"/>
      <c r="C728" s="17"/>
      <c r="D728" s="17"/>
      <c r="E728" s="6"/>
      <c r="F728" s="101"/>
      <c r="G728" s="101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</row>
    <row r="729" spans="1:65" ht="13">
      <c r="A729" s="17"/>
      <c r="B729" s="17"/>
      <c r="C729" s="17"/>
      <c r="D729" s="17"/>
      <c r="E729" s="6"/>
      <c r="F729" s="101"/>
      <c r="G729" s="101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</row>
    <row r="730" spans="1:65" ht="13">
      <c r="A730" s="17"/>
      <c r="B730" s="17"/>
      <c r="C730" s="17"/>
      <c r="D730" s="17"/>
      <c r="E730" s="6"/>
      <c r="F730" s="101"/>
      <c r="G730" s="101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</row>
    <row r="731" spans="1:65" ht="13">
      <c r="A731" s="17"/>
      <c r="B731" s="17"/>
      <c r="C731" s="17"/>
      <c r="D731" s="17"/>
      <c r="E731" s="6"/>
      <c r="F731" s="101"/>
      <c r="G731" s="101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</row>
    <row r="732" spans="1:65" ht="13">
      <c r="A732" s="17"/>
      <c r="B732" s="17"/>
      <c r="C732" s="17"/>
      <c r="D732" s="17"/>
      <c r="E732" s="6"/>
      <c r="F732" s="101"/>
      <c r="G732" s="101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</row>
    <row r="733" spans="1:65" ht="13">
      <c r="A733" s="17"/>
      <c r="B733" s="17"/>
      <c r="C733" s="17"/>
      <c r="D733" s="17"/>
      <c r="E733" s="6"/>
      <c r="F733" s="101"/>
      <c r="G733" s="101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</row>
    <row r="734" spans="1:65" ht="13">
      <c r="A734" s="17"/>
      <c r="B734" s="17"/>
      <c r="C734" s="17"/>
      <c r="D734" s="17"/>
      <c r="E734" s="6"/>
      <c r="F734" s="101"/>
      <c r="G734" s="101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</row>
    <row r="735" spans="1:65" ht="13">
      <c r="A735" s="17"/>
      <c r="B735" s="17"/>
      <c r="C735" s="17"/>
      <c r="D735" s="17"/>
      <c r="E735" s="6"/>
      <c r="F735" s="101"/>
      <c r="G735" s="101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</row>
    <row r="736" spans="1:65" ht="13">
      <c r="A736" s="17"/>
      <c r="B736" s="17"/>
      <c r="C736" s="17"/>
      <c r="D736" s="17"/>
      <c r="E736" s="6"/>
      <c r="F736" s="101"/>
      <c r="G736" s="101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</row>
    <row r="737" spans="1:65" ht="13">
      <c r="A737" s="17"/>
      <c r="B737" s="17"/>
      <c r="C737" s="17"/>
      <c r="D737" s="17"/>
      <c r="E737" s="6"/>
      <c r="F737" s="101"/>
      <c r="G737" s="101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</row>
    <row r="738" spans="1:65" ht="13">
      <c r="A738" s="17"/>
      <c r="B738" s="17"/>
      <c r="C738" s="17"/>
      <c r="D738" s="17"/>
      <c r="E738" s="6"/>
      <c r="F738" s="101"/>
      <c r="G738" s="101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</row>
    <row r="739" spans="1:65" ht="13">
      <c r="A739" s="17"/>
      <c r="B739" s="17"/>
      <c r="C739" s="17"/>
      <c r="D739" s="17"/>
      <c r="E739" s="6"/>
      <c r="F739" s="101"/>
      <c r="G739" s="101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</row>
    <row r="740" spans="1:65" ht="13">
      <c r="A740" s="17"/>
      <c r="B740" s="17"/>
      <c r="C740" s="17"/>
      <c r="D740" s="17"/>
      <c r="E740" s="6"/>
      <c r="F740" s="101"/>
      <c r="G740" s="101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</row>
    <row r="741" spans="1:65" ht="13">
      <c r="A741" s="17"/>
      <c r="B741" s="17"/>
      <c r="C741" s="17"/>
      <c r="D741" s="17"/>
      <c r="E741" s="6"/>
      <c r="F741" s="101"/>
      <c r="G741" s="101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</row>
    <row r="742" spans="1:65" ht="13">
      <c r="A742" s="17"/>
      <c r="B742" s="17"/>
      <c r="C742" s="17"/>
      <c r="D742" s="17"/>
      <c r="E742" s="6"/>
      <c r="F742" s="101"/>
      <c r="G742" s="101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</row>
    <row r="743" spans="1:65" ht="13">
      <c r="A743" s="17"/>
      <c r="B743" s="17"/>
      <c r="C743" s="17"/>
      <c r="D743" s="17"/>
      <c r="E743" s="6"/>
      <c r="F743" s="101"/>
      <c r="G743" s="101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</row>
    <row r="744" spans="1:65" ht="13">
      <c r="A744" s="17"/>
      <c r="B744" s="17"/>
      <c r="C744" s="17"/>
      <c r="D744" s="17"/>
      <c r="E744" s="6"/>
      <c r="F744" s="101"/>
      <c r="G744" s="101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</row>
    <row r="745" spans="1:65" ht="13">
      <c r="A745" s="17"/>
      <c r="B745" s="17"/>
      <c r="C745" s="17"/>
      <c r="D745" s="17"/>
      <c r="E745" s="6"/>
      <c r="F745" s="101"/>
      <c r="G745" s="101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</row>
    <row r="746" spans="1:65" ht="13">
      <c r="A746" s="17"/>
      <c r="B746" s="17"/>
      <c r="C746" s="17"/>
      <c r="D746" s="17"/>
      <c r="E746" s="6"/>
      <c r="F746" s="101"/>
      <c r="G746" s="101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</row>
    <row r="747" spans="1:65" ht="13">
      <c r="A747" s="17"/>
      <c r="B747" s="17"/>
      <c r="C747" s="17"/>
      <c r="D747" s="17"/>
      <c r="E747" s="6"/>
      <c r="F747" s="101"/>
      <c r="G747" s="101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</row>
    <row r="748" spans="1:65" ht="13">
      <c r="A748" s="17"/>
      <c r="B748" s="17"/>
      <c r="C748" s="17"/>
      <c r="D748" s="17"/>
      <c r="E748" s="6"/>
      <c r="F748" s="101"/>
      <c r="G748" s="101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</row>
    <row r="749" spans="1:65" ht="13">
      <c r="A749" s="17"/>
      <c r="B749" s="17"/>
      <c r="C749" s="17"/>
      <c r="D749" s="17"/>
      <c r="E749" s="6"/>
      <c r="F749" s="101"/>
      <c r="G749" s="101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</row>
    <row r="750" spans="1:65" ht="13">
      <c r="A750" s="17"/>
      <c r="B750" s="17"/>
      <c r="C750" s="17"/>
      <c r="D750" s="17"/>
      <c r="E750" s="6"/>
      <c r="F750" s="101"/>
      <c r="G750" s="101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</row>
    <row r="751" spans="1:65" ht="13">
      <c r="A751" s="17"/>
      <c r="B751" s="17"/>
      <c r="C751" s="17"/>
      <c r="D751" s="17"/>
      <c r="E751" s="6"/>
      <c r="F751" s="101"/>
      <c r="G751" s="101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</row>
    <row r="752" spans="1:65" ht="13">
      <c r="A752" s="17"/>
      <c r="B752" s="17"/>
      <c r="C752" s="17"/>
      <c r="D752" s="17"/>
      <c r="E752" s="6"/>
      <c r="F752" s="101"/>
      <c r="G752" s="101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</row>
    <row r="753" spans="1:65" ht="13">
      <c r="A753" s="17"/>
      <c r="B753" s="17"/>
      <c r="C753" s="17"/>
      <c r="D753" s="17"/>
      <c r="E753" s="6"/>
      <c r="F753" s="101"/>
      <c r="G753" s="101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</row>
    <row r="754" spans="1:65" ht="13">
      <c r="A754" s="17"/>
      <c r="B754" s="17"/>
      <c r="C754" s="17"/>
      <c r="D754" s="17"/>
      <c r="E754" s="6"/>
      <c r="F754" s="101"/>
      <c r="G754" s="101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</row>
    <row r="755" spans="1:65" ht="13">
      <c r="A755" s="17"/>
      <c r="B755" s="17"/>
      <c r="C755" s="17"/>
      <c r="D755" s="17"/>
      <c r="E755" s="6"/>
      <c r="F755" s="101"/>
      <c r="G755" s="101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</row>
    <row r="756" spans="1:65" ht="13">
      <c r="A756" s="17"/>
      <c r="B756" s="17"/>
      <c r="C756" s="17"/>
      <c r="D756" s="17"/>
      <c r="E756" s="6"/>
      <c r="F756" s="101"/>
      <c r="G756" s="101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</row>
    <row r="757" spans="1:65" ht="13">
      <c r="A757" s="17"/>
      <c r="B757" s="17"/>
      <c r="C757" s="17"/>
      <c r="D757" s="17"/>
      <c r="E757" s="6"/>
      <c r="F757" s="101"/>
      <c r="G757" s="101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</row>
    <row r="758" spans="1:65" ht="13">
      <c r="A758" s="17"/>
      <c r="B758" s="17"/>
      <c r="C758" s="17"/>
      <c r="D758" s="17"/>
      <c r="E758" s="6"/>
      <c r="F758" s="101"/>
      <c r="G758" s="101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</row>
    <row r="759" spans="1:65" ht="13">
      <c r="A759" s="17"/>
      <c r="B759" s="17"/>
      <c r="C759" s="17"/>
      <c r="D759" s="17"/>
      <c r="E759" s="6"/>
      <c r="F759" s="101"/>
      <c r="G759" s="101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</row>
    <row r="760" spans="1:65" ht="13">
      <c r="A760" s="17"/>
      <c r="B760" s="17"/>
      <c r="C760" s="17"/>
      <c r="D760" s="17"/>
      <c r="E760" s="6"/>
      <c r="F760" s="101"/>
      <c r="G760" s="101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</row>
    <row r="761" spans="1:65" ht="13">
      <c r="A761" s="17"/>
      <c r="B761" s="17"/>
      <c r="C761" s="17"/>
      <c r="D761" s="17"/>
      <c r="E761" s="6"/>
      <c r="F761" s="101"/>
      <c r="G761" s="101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</row>
    <row r="762" spans="1:65" ht="13">
      <c r="A762" s="17"/>
      <c r="B762" s="17"/>
      <c r="C762" s="17"/>
      <c r="D762" s="17"/>
      <c r="E762" s="6"/>
      <c r="F762" s="101"/>
      <c r="G762" s="101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</row>
    <row r="763" spans="1:65" ht="13">
      <c r="A763" s="17"/>
      <c r="B763" s="17"/>
      <c r="C763" s="17"/>
      <c r="D763" s="17"/>
      <c r="E763" s="6"/>
      <c r="F763" s="101"/>
      <c r="G763" s="101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</row>
    <row r="764" spans="1:65" ht="13">
      <c r="A764" s="17"/>
      <c r="B764" s="17"/>
      <c r="C764" s="17"/>
      <c r="D764" s="17"/>
      <c r="E764" s="6"/>
      <c r="F764" s="101"/>
      <c r="G764" s="101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</row>
    <row r="765" spans="1:65" ht="13">
      <c r="A765" s="17"/>
      <c r="B765" s="17"/>
      <c r="C765" s="17"/>
      <c r="D765" s="17"/>
      <c r="E765" s="6"/>
      <c r="F765" s="101"/>
      <c r="G765" s="101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</row>
    <row r="766" spans="1:65" ht="13">
      <c r="A766" s="17"/>
      <c r="B766" s="17"/>
      <c r="C766" s="17"/>
      <c r="D766" s="17"/>
      <c r="E766" s="6"/>
      <c r="F766" s="101"/>
      <c r="G766" s="101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</row>
    <row r="767" spans="1:65" ht="13">
      <c r="A767" s="17"/>
      <c r="B767" s="17"/>
      <c r="C767" s="17"/>
      <c r="D767" s="17"/>
      <c r="E767" s="6"/>
      <c r="F767" s="101"/>
      <c r="G767" s="101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</row>
    <row r="768" spans="1:65" ht="13">
      <c r="A768" s="17"/>
      <c r="B768" s="17"/>
      <c r="C768" s="17"/>
      <c r="D768" s="17"/>
      <c r="E768" s="6"/>
      <c r="F768" s="101"/>
      <c r="G768" s="101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</row>
    <row r="769" spans="1:65" ht="13">
      <c r="A769" s="17"/>
      <c r="B769" s="17"/>
      <c r="C769" s="17"/>
      <c r="D769" s="17"/>
      <c r="E769" s="6"/>
      <c r="F769" s="101"/>
      <c r="G769" s="101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</row>
    <row r="770" spans="1:65" ht="13">
      <c r="A770" s="17"/>
      <c r="B770" s="17"/>
      <c r="C770" s="17"/>
      <c r="D770" s="17"/>
      <c r="E770" s="6"/>
      <c r="F770" s="101"/>
      <c r="G770" s="101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</row>
    <row r="771" spans="1:65" ht="13">
      <c r="A771" s="17"/>
      <c r="B771" s="17"/>
      <c r="C771" s="17"/>
      <c r="D771" s="17"/>
      <c r="E771" s="6"/>
      <c r="F771" s="101"/>
      <c r="G771" s="101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</row>
    <row r="772" spans="1:65" ht="13">
      <c r="A772" s="17"/>
      <c r="B772" s="17"/>
      <c r="C772" s="17"/>
      <c r="D772" s="17"/>
      <c r="E772" s="6"/>
      <c r="F772" s="101"/>
      <c r="G772" s="101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</row>
    <row r="773" spans="1:65" ht="13">
      <c r="A773" s="17"/>
      <c r="B773" s="17"/>
      <c r="C773" s="17"/>
      <c r="D773" s="17"/>
      <c r="E773" s="6"/>
      <c r="F773" s="101"/>
      <c r="G773" s="101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</row>
    <row r="774" spans="1:65" ht="13">
      <c r="A774" s="17"/>
      <c r="B774" s="17"/>
      <c r="C774" s="17"/>
      <c r="D774" s="17"/>
      <c r="E774" s="6"/>
      <c r="F774" s="101"/>
      <c r="G774" s="101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</row>
    <row r="775" spans="1:65" ht="13">
      <c r="A775" s="17"/>
      <c r="B775" s="17"/>
      <c r="C775" s="17"/>
      <c r="D775" s="17"/>
      <c r="E775" s="6"/>
      <c r="F775" s="101"/>
      <c r="G775" s="101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</row>
    <row r="776" spans="1:65" ht="13">
      <c r="A776" s="17"/>
      <c r="B776" s="17"/>
      <c r="C776" s="17"/>
      <c r="D776" s="17"/>
      <c r="E776" s="6"/>
      <c r="F776" s="101"/>
      <c r="G776" s="101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</row>
    <row r="777" spans="1:65" ht="13">
      <c r="A777" s="17"/>
      <c r="B777" s="17"/>
      <c r="C777" s="17"/>
      <c r="D777" s="17"/>
      <c r="E777" s="6"/>
      <c r="F777" s="101"/>
      <c r="G777" s="101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</row>
    <row r="778" spans="1:65" ht="13">
      <c r="A778" s="17"/>
      <c r="B778" s="17"/>
      <c r="C778" s="17"/>
      <c r="D778" s="17"/>
      <c r="E778" s="6"/>
      <c r="F778" s="101"/>
      <c r="G778" s="101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</row>
    <row r="779" spans="1:65" ht="13">
      <c r="A779" s="17"/>
      <c r="B779" s="17"/>
      <c r="C779" s="17"/>
      <c r="D779" s="17"/>
      <c r="E779" s="6"/>
      <c r="F779" s="101"/>
      <c r="G779" s="101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</row>
    <row r="780" spans="1:65" ht="13">
      <c r="A780" s="17"/>
      <c r="B780" s="17"/>
      <c r="C780" s="17"/>
      <c r="D780" s="17"/>
      <c r="E780" s="6"/>
      <c r="F780" s="101"/>
      <c r="G780" s="101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</row>
    <row r="781" spans="1:65" ht="13">
      <c r="A781" s="17"/>
      <c r="B781" s="17"/>
      <c r="C781" s="17"/>
      <c r="D781" s="17"/>
      <c r="E781" s="6"/>
      <c r="F781" s="101"/>
      <c r="G781" s="101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</row>
    <row r="782" spans="1:65" ht="13">
      <c r="A782" s="17"/>
      <c r="B782" s="17"/>
      <c r="C782" s="17"/>
      <c r="D782" s="17"/>
      <c r="E782" s="6"/>
      <c r="F782" s="101"/>
      <c r="G782" s="101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</row>
    <row r="783" spans="1:65" ht="13">
      <c r="A783" s="17"/>
      <c r="B783" s="17"/>
      <c r="C783" s="17"/>
      <c r="D783" s="17"/>
      <c r="E783" s="6"/>
      <c r="F783" s="101"/>
      <c r="G783" s="101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</row>
    <row r="784" spans="1:65" ht="13">
      <c r="A784" s="17"/>
      <c r="B784" s="17"/>
      <c r="C784" s="17"/>
      <c r="D784" s="17"/>
      <c r="E784" s="6"/>
      <c r="F784" s="101"/>
      <c r="G784" s="101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</row>
    <row r="785" spans="1:65" ht="13">
      <c r="A785" s="17"/>
      <c r="B785" s="17"/>
      <c r="C785" s="17"/>
      <c r="D785" s="17"/>
      <c r="E785" s="6"/>
      <c r="F785" s="101"/>
      <c r="G785" s="101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</row>
    <row r="786" spans="1:65" ht="13">
      <c r="A786" s="17"/>
      <c r="B786" s="17"/>
      <c r="C786" s="17"/>
      <c r="D786" s="17"/>
      <c r="E786" s="6"/>
      <c r="F786" s="101"/>
      <c r="G786" s="101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</row>
    <row r="787" spans="1:65" ht="13">
      <c r="A787" s="17"/>
      <c r="B787" s="17"/>
      <c r="C787" s="17"/>
      <c r="D787" s="17"/>
      <c r="E787" s="6"/>
      <c r="F787" s="101"/>
      <c r="G787" s="101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</row>
    <row r="788" spans="1:65" ht="13">
      <c r="A788" s="17"/>
      <c r="B788" s="17"/>
      <c r="C788" s="17"/>
      <c r="D788" s="17"/>
      <c r="E788" s="6"/>
      <c r="F788" s="101"/>
      <c r="G788" s="101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</row>
    <row r="789" spans="1:65" ht="13">
      <c r="A789" s="17"/>
      <c r="B789" s="17"/>
      <c r="C789" s="17"/>
      <c r="D789" s="17"/>
      <c r="E789" s="6"/>
      <c r="F789" s="101"/>
      <c r="G789" s="101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</row>
    <row r="790" spans="1:65" ht="13">
      <c r="A790" s="17"/>
      <c r="B790" s="17"/>
      <c r="C790" s="17"/>
      <c r="D790" s="17"/>
      <c r="E790" s="6"/>
      <c r="F790" s="101"/>
      <c r="G790" s="101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</row>
    <row r="791" spans="1:65" ht="13">
      <c r="A791" s="17"/>
      <c r="B791" s="17"/>
      <c r="C791" s="17"/>
      <c r="D791" s="17"/>
      <c r="E791" s="6"/>
      <c r="F791" s="101"/>
      <c r="G791" s="101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</row>
    <row r="792" spans="1:65" ht="13">
      <c r="A792" s="17"/>
      <c r="B792" s="17"/>
      <c r="C792" s="17"/>
      <c r="D792" s="17"/>
      <c r="E792" s="6"/>
      <c r="F792" s="101"/>
      <c r="G792" s="101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</row>
    <row r="793" spans="1:65" ht="13">
      <c r="A793" s="17"/>
      <c r="B793" s="17"/>
      <c r="C793" s="17"/>
      <c r="D793" s="17"/>
      <c r="E793" s="6"/>
      <c r="F793" s="101"/>
      <c r="G793" s="101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</row>
    <row r="794" spans="1:65" ht="13">
      <c r="A794" s="17"/>
      <c r="B794" s="17"/>
      <c r="C794" s="17"/>
      <c r="D794" s="17"/>
      <c r="E794" s="6"/>
      <c r="F794" s="101"/>
      <c r="G794" s="101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</row>
    <row r="795" spans="1:65" ht="13">
      <c r="A795" s="17"/>
      <c r="B795" s="17"/>
      <c r="C795" s="17"/>
      <c r="D795" s="17"/>
      <c r="E795" s="6"/>
      <c r="F795" s="101"/>
      <c r="G795" s="101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</row>
    <row r="796" spans="1:65" ht="13">
      <c r="A796" s="17"/>
      <c r="B796" s="17"/>
      <c r="C796" s="17"/>
      <c r="D796" s="17"/>
      <c r="E796" s="6"/>
      <c r="F796" s="101"/>
      <c r="G796" s="101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</row>
    <row r="797" spans="1:65" ht="13">
      <c r="A797" s="17"/>
      <c r="B797" s="17"/>
      <c r="C797" s="17"/>
      <c r="D797" s="17"/>
      <c r="E797" s="6"/>
      <c r="F797" s="101"/>
      <c r="G797" s="101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</row>
    <row r="798" spans="1:65" ht="13">
      <c r="A798" s="17"/>
      <c r="B798" s="17"/>
      <c r="C798" s="17"/>
      <c r="D798" s="17"/>
      <c r="E798" s="6"/>
      <c r="F798" s="101"/>
      <c r="G798" s="101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</row>
    <row r="799" spans="1:65" ht="13">
      <c r="A799" s="17"/>
      <c r="B799" s="17"/>
      <c r="C799" s="17"/>
      <c r="D799" s="17"/>
      <c r="E799" s="6"/>
      <c r="F799" s="101"/>
      <c r="G799" s="101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</row>
    <row r="800" spans="1:65" ht="13">
      <c r="A800" s="17"/>
      <c r="B800" s="17"/>
      <c r="C800" s="17"/>
      <c r="D800" s="17"/>
      <c r="E800" s="6"/>
      <c r="F800" s="101"/>
      <c r="G800" s="101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</row>
    <row r="801" spans="1:65" ht="13">
      <c r="A801" s="17"/>
      <c r="B801" s="17"/>
      <c r="C801" s="17"/>
      <c r="D801" s="17"/>
      <c r="E801" s="6"/>
      <c r="F801" s="101"/>
      <c r="G801" s="101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</row>
    <row r="802" spans="1:65" ht="13">
      <c r="A802" s="17"/>
      <c r="B802" s="17"/>
      <c r="C802" s="17"/>
      <c r="D802" s="17"/>
      <c r="E802" s="6"/>
      <c r="F802" s="101"/>
      <c r="G802" s="101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</row>
    <row r="803" spans="1:65" ht="13">
      <c r="A803" s="17"/>
      <c r="B803" s="17"/>
      <c r="C803" s="17"/>
      <c r="D803" s="17"/>
      <c r="E803" s="6"/>
      <c r="F803" s="101"/>
      <c r="G803" s="101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</row>
    <row r="804" spans="1:65" ht="13">
      <c r="A804" s="17"/>
      <c r="B804" s="17"/>
      <c r="C804" s="17"/>
      <c r="D804" s="17"/>
      <c r="E804" s="6"/>
      <c r="F804" s="101"/>
      <c r="G804" s="101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</row>
    <row r="805" spans="1:65" ht="13">
      <c r="A805" s="17"/>
      <c r="B805" s="17"/>
      <c r="C805" s="17"/>
      <c r="D805" s="17"/>
      <c r="E805" s="6"/>
      <c r="F805" s="101"/>
      <c r="G805" s="101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</row>
    <row r="806" spans="1:65" ht="13">
      <c r="A806" s="17"/>
      <c r="B806" s="17"/>
      <c r="C806" s="17"/>
      <c r="D806" s="17"/>
      <c r="E806" s="6"/>
      <c r="F806" s="101"/>
      <c r="G806" s="101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</row>
    <row r="807" spans="1:65" ht="13">
      <c r="A807" s="17"/>
      <c r="B807" s="17"/>
      <c r="C807" s="17"/>
      <c r="D807" s="17"/>
      <c r="E807" s="6"/>
      <c r="F807" s="101"/>
      <c r="G807" s="101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</row>
    <row r="808" spans="1:65" ht="13">
      <c r="A808" s="17"/>
      <c r="B808" s="17"/>
      <c r="C808" s="17"/>
      <c r="D808" s="17"/>
      <c r="E808" s="6"/>
      <c r="F808" s="101"/>
      <c r="G808" s="101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</row>
    <row r="809" spans="1:65" ht="13">
      <c r="A809" s="17"/>
      <c r="B809" s="17"/>
      <c r="C809" s="17"/>
      <c r="D809" s="17"/>
      <c r="E809" s="6"/>
      <c r="F809" s="101"/>
      <c r="G809" s="101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</row>
    <row r="810" spans="1:65" ht="13">
      <c r="A810" s="17"/>
      <c r="B810" s="17"/>
      <c r="C810" s="17"/>
      <c r="D810" s="17"/>
      <c r="E810" s="6"/>
      <c r="F810" s="101"/>
      <c r="G810" s="101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</row>
    <row r="811" spans="1:65" ht="13">
      <c r="A811" s="17"/>
      <c r="B811" s="17"/>
      <c r="C811" s="17"/>
      <c r="D811" s="17"/>
      <c r="E811" s="6"/>
      <c r="F811" s="101"/>
      <c r="G811" s="101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</row>
    <row r="812" spans="1:65" ht="13">
      <c r="A812" s="17"/>
      <c r="B812" s="17"/>
      <c r="C812" s="17"/>
      <c r="D812" s="17"/>
      <c r="E812" s="6"/>
      <c r="F812" s="101"/>
      <c r="G812" s="101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</row>
    <row r="813" spans="1:65" ht="13">
      <c r="A813" s="17"/>
      <c r="B813" s="17"/>
      <c r="C813" s="17"/>
      <c r="D813" s="17"/>
      <c r="E813" s="6"/>
      <c r="F813" s="101"/>
      <c r="G813" s="101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</row>
    <row r="814" spans="1:65" ht="13">
      <c r="A814" s="17"/>
      <c r="B814" s="17"/>
      <c r="C814" s="17"/>
      <c r="D814" s="17"/>
      <c r="E814" s="6"/>
      <c r="F814" s="101"/>
      <c r="G814" s="101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</row>
    <row r="815" spans="1:65" ht="13">
      <c r="A815" s="17"/>
      <c r="B815" s="17"/>
      <c r="C815" s="17"/>
      <c r="D815" s="17"/>
      <c r="E815" s="6"/>
      <c r="F815" s="101"/>
      <c r="G815" s="101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</row>
    <row r="816" spans="1:65" ht="13">
      <c r="A816" s="17"/>
      <c r="B816" s="17"/>
      <c r="C816" s="17"/>
      <c r="D816" s="17"/>
      <c r="E816" s="6"/>
      <c r="F816" s="101"/>
      <c r="G816" s="101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</row>
    <row r="817" spans="1:65" ht="13">
      <c r="A817" s="17"/>
      <c r="B817" s="17"/>
      <c r="C817" s="17"/>
      <c r="D817" s="17"/>
      <c r="E817" s="6"/>
      <c r="F817" s="101"/>
      <c r="G817" s="101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</row>
    <row r="818" spans="1:65" ht="13">
      <c r="A818" s="17"/>
      <c r="B818" s="17"/>
      <c r="C818" s="17"/>
      <c r="D818" s="17"/>
      <c r="E818" s="6"/>
      <c r="F818" s="101"/>
      <c r="G818" s="101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</row>
    <row r="819" spans="1:65" ht="13">
      <c r="A819" s="17"/>
      <c r="B819" s="17"/>
      <c r="C819" s="17"/>
      <c r="D819" s="17"/>
      <c r="E819" s="6"/>
      <c r="F819" s="101"/>
      <c r="G819" s="101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</row>
    <row r="820" spans="1:65" ht="13">
      <c r="A820" s="17"/>
      <c r="B820" s="17"/>
      <c r="C820" s="17"/>
      <c r="D820" s="17"/>
      <c r="E820" s="6"/>
      <c r="F820" s="101"/>
      <c r="G820" s="101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</row>
    <row r="821" spans="1:65" ht="13">
      <c r="A821" s="17"/>
      <c r="B821" s="17"/>
      <c r="C821" s="17"/>
      <c r="D821" s="17"/>
      <c r="E821" s="6"/>
      <c r="F821" s="101"/>
      <c r="G821" s="101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</row>
    <row r="822" spans="1:65" ht="13">
      <c r="A822" s="17"/>
      <c r="B822" s="17"/>
      <c r="C822" s="17"/>
      <c r="D822" s="17"/>
      <c r="E822" s="6"/>
      <c r="F822" s="101"/>
      <c r="G822" s="101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</row>
    <row r="823" spans="1:65" ht="13">
      <c r="A823" s="17"/>
      <c r="B823" s="17"/>
      <c r="C823" s="17"/>
      <c r="D823" s="17"/>
      <c r="E823" s="6"/>
      <c r="F823" s="101"/>
      <c r="G823" s="101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</row>
    <row r="824" spans="1:65" ht="13">
      <c r="A824" s="17"/>
      <c r="B824" s="17"/>
      <c r="C824" s="17"/>
      <c r="D824" s="17"/>
      <c r="E824" s="6"/>
      <c r="F824" s="101"/>
      <c r="G824" s="101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</row>
    <row r="825" spans="1:65" ht="13">
      <c r="A825" s="17"/>
      <c r="B825" s="17"/>
      <c r="C825" s="17"/>
      <c r="D825" s="17"/>
      <c r="E825" s="6"/>
      <c r="F825" s="101"/>
      <c r="G825" s="101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</row>
    <row r="826" spans="1:65" ht="13">
      <c r="A826" s="17"/>
      <c r="B826" s="17"/>
      <c r="C826" s="17"/>
      <c r="D826" s="17"/>
      <c r="E826" s="6"/>
      <c r="F826" s="101"/>
      <c r="G826" s="101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</row>
    <row r="827" spans="1:65" ht="13">
      <c r="A827" s="17"/>
      <c r="B827" s="17"/>
      <c r="C827" s="17"/>
      <c r="D827" s="17"/>
      <c r="E827" s="6"/>
      <c r="F827" s="101"/>
      <c r="G827" s="101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</row>
    <row r="828" spans="1:65" ht="13">
      <c r="A828" s="17"/>
      <c r="B828" s="17"/>
      <c r="C828" s="17"/>
      <c r="D828" s="17"/>
      <c r="E828" s="6"/>
      <c r="F828" s="101"/>
      <c r="G828" s="101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</row>
    <row r="829" spans="1:65" ht="13">
      <c r="A829" s="17"/>
      <c r="B829" s="17"/>
      <c r="C829" s="17"/>
      <c r="D829" s="17"/>
      <c r="E829" s="6"/>
      <c r="F829" s="101"/>
      <c r="G829" s="101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</row>
    <row r="830" spans="1:65" ht="13">
      <c r="A830" s="17"/>
      <c r="B830" s="17"/>
      <c r="C830" s="17"/>
      <c r="D830" s="17"/>
      <c r="E830" s="6"/>
      <c r="F830" s="101"/>
      <c r="G830" s="101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</row>
    <row r="831" spans="1:65" ht="13">
      <c r="A831" s="17"/>
      <c r="B831" s="17"/>
      <c r="C831" s="17"/>
      <c r="D831" s="17"/>
      <c r="E831" s="6"/>
      <c r="F831" s="101"/>
      <c r="G831" s="101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</row>
    <row r="832" spans="1:65" ht="13">
      <c r="A832" s="17"/>
      <c r="B832" s="17"/>
      <c r="C832" s="17"/>
      <c r="D832" s="17"/>
      <c r="E832" s="6"/>
      <c r="F832" s="101"/>
      <c r="G832" s="101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</row>
    <row r="833" spans="1:65" ht="13">
      <c r="A833" s="17"/>
      <c r="B833" s="17"/>
      <c r="C833" s="17"/>
      <c r="D833" s="17"/>
      <c r="E833" s="6"/>
      <c r="F833" s="101"/>
      <c r="G833" s="101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</row>
    <row r="834" spans="1:65" ht="13">
      <c r="A834" s="17"/>
      <c r="B834" s="17"/>
      <c r="C834" s="17"/>
      <c r="D834" s="17"/>
      <c r="E834" s="6"/>
      <c r="F834" s="101"/>
      <c r="G834" s="101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</row>
    <row r="835" spans="1:65" ht="13">
      <c r="A835" s="17"/>
      <c r="B835" s="17"/>
      <c r="C835" s="17"/>
      <c r="D835" s="17"/>
      <c r="E835" s="6"/>
      <c r="F835" s="101"/>
      <c r="G835" s="101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</row>
    <row r="836" spans="1:65" ht="13">
      <c r="A836" s="17"/>
      <c r="B836" s="17"/>
      <c r="C836" s="17"/>
      <c r="D836" s="17"/>
      <c r="E836" s="6"/>
      <c r="F836" s="101"/>
      <c r="G836" s="101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</row>
    <row r="837" spans="1:65" ht="13">
      <c r="A837" s="17"/>
      <c r="B837" s="17"/>
      <c r="C837" s="17"/>
      <c r="D837" s="17"/>
      <c r="E837" s="6"/>
      <c r="F837" s="101"/>
      <c r="G837" s="101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</row>
    <row r="838" spans="1:65" ht="13">
      <c r="A838" s="17"/>
      <c r="B838" s="17"/>
      <c r="C838" s="17"/>
      <c r="D838" s="17"/>
      <c r="E838" s="6"/>
      <c r="F838" s="101"/>
      <c r="G838" s="101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</row>
    <row r="839" spans="1:65" ht="13">
      <c r="A839" s="17"/>
      <c r="B839" s="17"/>
      <c r="C839" s="17"/>
      <c r="D839" s="17"/>
      <c r="E839" s="6"/>
      <c r="F839" s="101"/>
      <c r="G839" s="101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</row>
    <row r="840" spans="1:65" ht="13">
      <c r="A840" s="17"/>
      <c r="B840" s="17"/>
      <c r="C840" s="17"/>
      <c r="D840" s="17"/>
      <c r="E840" s="6"/>
      <c r="F840" s="101"/>
      <c r="G840" s="101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</row>
    <row r="841" spans="1:65" ht="13">
      <c r="A841" s="17"/>
      <c r="B841" s="17"/>
      <c r="C841" s="17"/>
      <c r="D841" s="17"/>
      <c r="E841" s="6"/>
      <c r="F841" s="101"/>
      <c r="G841" s="101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</row>
    <row r="842" spans="1:65" ht="13">
      <c r="A842" s="17"/>
      <c r="B842" s="17"/>
      <c r="C842" s="17"/>
      <c r="D842" s="17"/>
      <c r="E842" s="6"/>
      <c r="F842" s="101"/>
      <c r="G842" s="101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</row>
    <row r="843" spans="1:65" ht="13">
      <c r="A843" s="17"/>
      <c r="B843" s="17"/>
      <c r="C843" s="17"/>
      <c r="D843" s="17"/>
      <c r="E843" s="6"/>
      <c r="F843" s="101"/>
      <c r="G843" s="101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</row>
    <row r="844" spans="1:65" ht="13">
      <c r="A844" s="17"/>
      <c r="B844" s="17"/>
      <c r="C844" s="17"/>
      <c r="D844" s="17"/>
      <c r="E844" s="6"/>
      <c r="F844" s="101"/>
      <c r="G844" s="101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</row>
    <row r="845" spans="1:65" ht="13">
      <c r="A845" s="17"/>
      <c r="B845" s="17"/>
      <c r="C845" s="17"/>
      <c r="D845" s="17"/>
      <c r="E845" s="6"/>
      <c r="F845" s="101"/>
      <c r="G845" s="101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</row>
    <row r="846" spans="1:65" ht="13">
      <c r="A846" s="17"/>
      <c r="B846" s="17"/>
      <c r="C846" s="17"/>
      <c r="D846" s="17"/>
      <c r="E846" s="6"/>
      <c r="F846" s="101"/>
      <c r="G846" s="101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</row>
    <row r="847" spans="1:65" ht="13">
      <c r="A847" s="17"/>
      <c r="B847" s="17"/>
      <c r="C847" s="17"/>
      <c r="D847" s="17"/>
      <c r="E847" s="6"/>
      <c r="F847" s="101"/>
      <c r="G847" s="101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</row>
    <row r="848" spans="1:65" ht="13">
      <c r="A848" s="17"/>
      <c r="B848" s="17"/>
      <c r="C848" s="17"/>
      <c r="D848" s="17"/>
      <c r="E848" s="6"/>
      <c r="F848" s="101"/>
      <c r="G848" s="101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</row>
    <row r="849" spans="1:65" ht="13">
      <c r="A849" s="17"/>
      <c r="B849" s="17"/>
      <c r="C849" s="17"/>
      <c r="D849" s="17"/>
      <c r="E849" s="6"/>
      <c r="F849" s="101"/>
      <c r="G849" s="101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</row>
    <row r="850" spans="1:65" ht="13">
      <c r="A850" s="17"/>
      <c r="B850" s="17"/>
      <c r="C850" s="17"/>
      <c r="D850" s="17"/>
      <c r="E850" s="6"/>
      <c r="F850" s="101"/>
      <c r="G850" s="101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</row>
    <row r="851" spans="1:65" ht="13">
      <c r="A851" s="17"/>
      <c r="B851" s="17"/>
      <c r="C851" s="17"/>
      <c r="D851" s="17"/>
      <c r="E851" s="6"/>
      <c r="F851" s="101"/>
      <c r="G851" s="101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</row>
    <row r="852" spans="1:65" ht="13">
      <c r="A852" s="17"/>
      <c r="B852" s="17"/>
      <c r="C852" s="17"/>
      <c r="D852" s="17"/>
      <c r="E852" s="6"/>
      <c r="F852" s="101"/>
      <c r="G852" s="101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</row>
    <row r="853" spans="1:65" ht="13">
      <c r="A853" s="17"/>
      <c r="B853" s="17"/>
      <c r="C853" s="17"/>
      <c r="D853" s="17"/>
      <c r="E853" s="6"/>
      <c r="F853" s="101"/>
      <c r="G853" s="101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</row>
    <row r="854" spans="1:65" ht="13">
      <c r="A854" s="17"/>
      <c r="B854" s="17"/>
      <c r="C854" s="17"/>
      <c r="D854" s="17"/>
      <c r="E854" s="6"/>
      <c r="F854" s="101"/>
      <c r="G854" s="101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</row>
    <row r="855" spans="1:65" ht="13">
      <c r="A855" s="17"/>
      <c r="B855" s="17"/>
      <c r="C855" s="17"/>
      <c r="D855" s="17"/>
      <c r="E855" s="6"/>
      <c r="F855" s="101"/>
      <c r="G855" s="101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</row>
    <row r="856" spans="1:65" ht="13">
      <c r="A856" s="17"/>
      <c r="B856" s="17"/>
      <c r="C856" s="17"/>
      <c r="D856" s="17"/>
      <c r="E856" s="6"/>
      <c r="F856" s="101"/>
      <c r="G856" s="101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</row>
    <row r="857" spans="1:65" ht="13">
      <c r="A857" s="17"/>
      <c r="B857" s="17"/>
      <c r="C857" s="17"/>
      <c r="D857" s="17"/>
      <c r="E857" s="6"/>
      <c r="F857" s="101"/>
      <c r="G857" s="101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</row>
    <row r="858" spans="1:65" ht="13">
      <c r="A858" s="17"/>
      <c r="B858" s="17"/>
      <c r="C858" s="17"/>
      <c r="D858" s="17"/>
      <c r="E858" s="6"/>
      <c r="F858" s="101"/>
      <c r="G858" s="101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</row>
    <row r="859" spans="1:65" ht="13">
      <c r="A859" s="17"/>
      <c r="B859" s="17"/>
      <c r="C859" s="17"/>
      <c r="D859" s="17"/>
      <c r="E859" s="6"/>
      <c r="F859" s="101"/>
      <c r="G859" s="101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</row>
    <row r="860" spans="1:65" ht="13">
      <c r="A860" s="17"/>
      <c r="B860" s="17"/>
      <c r="C860" s="17"/>
      <c r="D860" s="17"/>
      <c r="E860" s="6"/>
      <c r="F860" s="101"/>
      <c r="G860" s="101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</row>
    <row r="861" spans="1:65" ht="13">
      <c r="A861" s="17"/>
      <c r="B861" s="17"/>
      <c r="C861" s="17"/>
      <c r="D861" s="17"/>
      <c r="E861" s="6"/>
      <c r="F861" s="101"/>
      <c r="G861" s="101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</row>
    <row r="862" spans="1:65" ht="13">
      <c r="A862" s="17"/>
      <c r="B862" s="17"/>
      <c r="C862" s="17"/>
      <c r="D862" s="17"/>
      <c r="E862" s="6"/>
      <c r="F862" s="101"/>
      <c r="G862" s="101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</row>
    <row r="863" spans="1:65" ht="13">
      <c r="A863" s="17"/>
      <c r="B863" s="17"/>
      <c r="C863" s="17"/>
      <c r="D863" s="17"/>
      <c r="E863" s="6"/>
      <c r="F863" s="101"/>
      <c r="G863" s="101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</row>
    <row r="864" spans="1:65" ht="13">
      <c r="A864" s="17"/>
      <c r="B864" s="17"/>
      <c r="C864" s="17"/>
      <c r="D864" s="17"/>
      <c r="E864" s="6"/>
      <c r="F864" s="101"/>
      <c r="G864" s="101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</row>
    <row r="865" spans="1:65" ht="13">
      <c r="A865" s="17"/>
      <c r="B865" s="17"/>
      <c r="C865" s="17"/>
      <c r="D865" s="17"/>
      <c r="E865" s="6"/>
      <c r="F865" s="101"/>
      <c r="G865" s="101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</row>
    <row r="866" spans="1:65" ht="13">
      <c r="A866" s="17"/>
      <c r="B866" s="17"/>
      <c r="C866" s="17"/>
      <c r="D866" s="17"/>
      <c r="E866" s="6"/>
      <c r="F866" s="101"/>
      <c r="G866" s="101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</row>
    <row r="867" spans="1:65" ht="13">
      <c r="A867" s="17"/>
      <c r="B867" s="17"/>
      <c r="C867" s="17"/>
      <c r="D867" s="17"/>
      <c r="E867" s="6"/>
      <c r="F867" s="101"/>
      <c r="G867" s="101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</row>
    <row r="868" spans="1:65" ht="13">
      <c r="A868" s="17"/>
      <c r="B868" s="17"/>
      <c r="C868" s="17"/>
      <c r="D868" s="17"/>
      <c r="E868" s="6"/>
      <c r="F868" s="101"/>
      <c r="G868" s="101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</row>
    <row r="869" spans="1:65" ht="13">
      <c r="A869" s="17"/>
      <c r="B869" s="17"/>
      <c r="C869" s="17"/>
      <c r="D869" s="17"/>
      <c r="E869" s="6"/>
      <c r="F869" s="101"/>
      <c r="G869" s="101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</row>
    <row r="870" spans="1:65" ht="13">
      <c r="A870" s="17"/>
      <c r="B870" s="17"/>
      <c r="C870" s="17"/>
      <c r="D870" s="17"/>
      <c r="E870" s="6"/>
      <c r="F870" s="101"/>
      <c r="G870" s="101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</row>
    <row r="871" spans="1:65" ht="13">
      <c r="A871" s="17"/>
      <c r="B871" s="17"/>
      <c r="C871" s="17"/>
      <c r="D871" s="17"/>
      <c r="E871" s="6"/>
      <c r="F871" s="101"/>
      <c r="G871" s="101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</row>
    <row r="872" spans="1:65" ht="13">
      <c r="A872" s="17"/>
      <c r="B872" s="17"/>
      <c r="C872" s="17"/>
      <c r="D872" s="17"/>
      <c r="E872" s="6"/>
      <c r="F872" s="101"/>
      <c r="G872" s="101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</row>
    <row r="873" spans="1:65" ht="13">
      <c r="A873" s="17"/>
      <c r="B873" s="17"/>
      <c r="C873" s="17"/>
      <c r="D873" s="17"/>
      <c r="E873" s="6"/>
      <c r="F873" s="101"/>
      <c r="G873" s="101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</row>
    <row r="874" spans="1:65" ht="13">
      <c r="A874" s="17"/>
      <c r="B874" s="17"/>
      <c r="C874" s="17"/>
      <c r="D874" s="17"/>
      <c r="E874" s="6"/>
      <c r="F874" s="101"/>
      <c r="G874" s="101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</row>
    <row r="875" spans="1:65" ht="13">
      <c r="A875" s="17"/>
      <c r="B875" s="17"/>
      <c r="C875" s="17"/>
      <c r="D875" s="17"/>
      <c r="E875" s="6"/>
      <c r="F875" s="101"/>
      <c r="G875" s="101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</row>
    <row r="876" spans="1:65" ht="13">
      <c r="A876" s="17"/>
      <c r="B876" s="17"/>
      <c r="C876" s="17"/>
      <c r="D876" s="17"/>
      <c r="E876" s="6"/>
      <c r="F876" s="101"/>
      <c r="G876" s="101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</row>
    <row r="877" spans="1:65" ht="13">
      <c r="A877" s="17"/>
      <c r="B877" s="17"/>
      <c r="C877" s="17"/>
      <c r="D877" s="17"/>
      <c r="E877" s="6"/>
      <c r="F877" s="101"/>
      <c r="G877" s="101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</row>
    <row r="878" spans="1:65" ht="13">
      <c r="A878" s="17"/>
      <c r="B878" s="17"/>
      <c r="C878" s="17"/>
      <c r="D878" s="17"/>
      <c r="E878" s="6"/>
      <c r="F878" s="101"/>
      <c r="G878" s="101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</row>
    <row r="879" spans="1:65" ht="13">
      <c r="A879" s="17"/>
      <c r="B879" s="17"/>
      <c r="C879" s="17"/>
      <c r="D879" s="17"/>
      <c r="E879" s="6"/>
      <c r="F879" s="101"/>
      <c r="G879" s="101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</row>
    <row r="880" spans="1:65" ht="13">
      <c r="A880" s="17"/>
      <c r="B880" s="17"/>
      <c r="C880" s="17"/>
      <c r="D880" s="17"/>
      <c r="E880" s="6"/>
      <c r="F880" s="101"/>
      <c r="G880" s="101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</row>
    <row r="881" spans="1:65" ht="13">
      <c r="A881" s="17"/>
      <c r="B881" s="17"/>
      <c r="C881" s="17"/>
      <c r="D881" s="17"/>
      <c r="E881" s="6"/>
      <c r="F881" s="101"/>
      <c r="G881" s="101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</row>
    <row r="882" spans="1:65" ht="13">
      <c r="A882" s="17"/>
      <c r="B882" s="17"/>
      <c r="C882" s="17"/>
      <c r="D882" s="17"/>
      <c r="E882" s="6"/>
      <c r="F882" s="101"/>
      <c r="G882" s="101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</row>
    <row r="883" spans="1:65" ht="13">
      <c r="A883" s="17"/>
      <c r="B883" s="17"/>
      <c r="C883" s="17"/>
      <c r="D883" s="17"/>
      <c r="E883" s="6"/>
      <c r="F883" s="101"/>
      <c r="G883" s="101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</row>
    <row r="884" spans="1:65" ht="13">
      <c r="A884" s="17"/>
      <c r="B884" s="17"/>
      <c r="C884" s="17"/>
      <c r="D884" s="17"/>
      <c r="E884" s="6"/>
      <c r="F884" s="101"/>
      <c r="G884" s="101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</row>
    <row r="885" spans="1:65" ht="13">
      <c r="A885" s="17"/>
      <c r="B885" s="17"/>
      <c r="C885" s="17"/>
      <c r="D885" s="17"/>
      <c r="E885" s="6"/>
      <c r="F885" s="101"/>
      <c r="G885" s="101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</row>
    <row r="886" spans="1:65" ht="13">
      <c r="A886" s="17"/>
      <c r="B886" s="17"/>
      <c r="C886" s="17"/>
      <c r="D886" s="17"/>
      <c r="E886" s="6"/>
      <c r="F886" s="101"/>
      <c r="G886" s="101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</row>
    <row r="887" spans="1:65" ht="13">
      <c r="A887" s="17"/>
      <c r="B887" s="17"/>
      <c r="C887" s="17"/>
      <c r="D887" s="17"/>
      <c r="E887" s="6"/>
      <c r="F887" s="101"/>
      <c r="G887" s="101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</row>
    <row r="888" spans="1:65" ht="13">
      <c r="A888" s="17"/>
      <c r="B888" s="17"/>
      <c r="C888" s="17"/>
      <c r="D888" s="17"/>
      <c r="E888" s="6"/>
      <c r="F888" s="101"/>
      <c r="G888" s="101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</row>
    <row r="889" spans="1:65" ht="13">
      <c r="A889" s="17"/>
      <c r="B889" s="17"/>
      <c r="C889" s="17"/>
      <c r="D889" s="17"/>
      <c r="E889" s="6"/>
      <c r="F889" s="101"/>
      <c r="G889" s="101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</row>
    <row r="890" spans="1:65" ht="13">
      <c r="A890" s="17"/>
      <c r="B890" s="17"/>
      <c r="C890" s="17"/>
      <c r="D890" s="17"/>
      <c r="E890" s="6"/>
      <c r="F890" s="101"/>
      <c r="G890" s="101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</row>
    <row r="891" spans="1:65" ht="13">
      <c r="A891" s="17"/>
      <c r="B891" s="17"/>
      <c r="C891" s="17"/>
      <c r="D891" s="17"/>
      <c r="E891" s="6"/>
      <c r="F891" s="101"/>
      <c r="G891" s="101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</row>
    <row r="892" spans="1:65" ht="13">
      <c r="A892" s="17"/>
      <c r="B892" s="17"/>
      <c r="C892" s="17"/>
      <c r="D892" s="17"/>
      <c r="E892" s="6"/>
      <c r="F892" s="101"/>
      <c r="G892" s="101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</row>
    <row r="893" spans="1:65" ht="13">
      <c r="A893" s="17"/>
      <c r="B893" s="17"/>
      <c r="C893" s="17"/>
      <c r="D893" s="17"/>
      <c r="E893" s="6"/>
      <c r="F893" s="101"/>
      <c r="G893" s="101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</row>
    <row r="894" spans="1:65" ht="13">
      <c r="A894" s="17"/>
      <c r="B894" s="17"/>
      <c r="C894" s="17"/>
      <c r="D894" s="17"/>
      <c r="E894" s="6"/>
      <c r="F894" s="101"/>
      <c r="G894" s="101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</row>
    <row r="895" spans="1:65" ht="13">
      <c r="A895" s="17"/>
      <c r="B895" s="17"/>
      <c r="C895" s="17"/>
      <c r="D895" s="17"/>
      <c r="E895" s="6"/>
      <c r="F895" s="101"/>
      <c r="G895" s="101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</row>
    <row r="896" spans="1:65" ht="13">
      <c r="A896" s="17"/>
      <c r="B896" s="17"/>
      <c r="C896" s="17"/>
      <c r="D896" s="17"/>
      <c r="E896" s="6"/>
      <c r="F896" s="101"/>
      <c r="G896" s="101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</row>
    <row r="897" spans="1:65" ht="13">
      <c r="A897" s="17"/>
      <c r="B897" s="17"/>
      <c r="C897" s="17"/>
      <c r="D897" s="17"/>
      <c r="E897" s="6"/>
      <c r="F897" s="101"/>
      <c r="G897" s="101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</row>
    <row r="898" spans="1:65" ht="13">
      <c r="A898" s="17"/>
      <c r="B898" s="17"/>
      <c r="C898" s="17"/>
      <c r="D898" s="17"/>
      <c r="E898" s="6"/>
      <c r="F898" s="101"/>
      <c r="G898" s="101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</row>
    <row r="899" spans="1:65" ht="13">
      <c r="A899" s="17"/>
      <c r="B899" s="17"/>
      <c r="C899" s="17"/>
      <c r="D899" s="17"/>
      <c r="E899" s="6"/>
      <c r="F899" s="101"/>
      <c r="G899" s="101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</row>
    <row r="900" spans="1:65" ht="13">
      <c r="A900" s="17"/>
      <c r="B900" s="17"/>
      <c r="C900" s="17"/>
      <c r="D900" s="17"/>
      <c r="E900" s="6"/>
      <c r="F900" s="101"/>
      <c r="G900" s="101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</row>
    <row r="901" spans="1:65" ht="13">
      <c r="A901" s="17"/>
      <c r="B901" s="17"/>
      <c r="C901" s="17"/>
      <c r="D901" s="17"/>
      <c r="E901" s="6"/>
      <c r="F901" s="101"/>
      <c r="G901" s="101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</row>
    <row r="902" spans="1:65" ht="13">
      <c r="A902" s="17"/>
      <c r="B902" s="17"/>
      <c r="C902" s="17"/>
      <c r="D902" s="17"/>
      <c r="E902" s="6"/>
      <c r="F902" s="101"/>
      <c r="G902" s="101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</row>
    <row r="903" spans="1:65" ht="13">
      <c r="A903" s="17"/>
      <c r="B903" s="17"/>
      <c r="C903" s="17"/>
      <c r="D903" s="17"/>
      <c r="E903" s="6"/>
      <c r="F903" s="101"/>
      <c r="G903" s="101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</row>
    <row r="904" spans="1:65" ht="13">
      <c r="A904" s="17"/>
      <c r="B904" s="17"/>
      <c r="C904" s="17"/>
      <c r="D904" s="17"/>
      <c r="E904" s="6"/>
      <c r="F904" s="101"/>
      <c r="G904" s="101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</row>
    <row r="905" spans="1:65" ht="13">
      <c r="A905" s="17"/>
      <c r="B905" s="17"/>
      <c r="C905" s="17"/>
      <c r="D905" s="17"/>
      <c r="E905" s="6"/>
      <c r="F905" s="101"/>
      <c r="G905" s="101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</row>
    <row r="906" spans="1:65" ht="13">
      <c r="A906" s="17"/>
      <c r="B906" s="17"/>
      <c r="C906" s="17"/>
      <c r="D906" s="17"/>
      <c r="E906" s="6"/>
      <c r="F906" s="101"/>
      <c r="G906" s="101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</row>
    <row r="907" spans="1:65" ht="13">
      <c r="A907" s="17"/>
      <c r="B907" s="17"/>
      <c r="C907" s="17"/>
      <c r="D907" s="17"/>
      <c r="E907" s="6"/>
      <c r="F907" s="101"/>
      <c r="G907" s="101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</row>
    <row r="908" spans="1:65" ht="13">
      <c r="A908" s="17"/>
      <c r="B908" s="17"/>
      <c r="C908" s="17"/>
      <c r="D908" s="17"/>
      <c r="E908" s="6"/>
      <c r="F908" s="101"/>
      <c r="G908" s="101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</row>
    <row r="909" spans="1:65" ht="13">
      <c r="A909" s="17"/>
      <c r="B909" s="17"/>
      <c r="C909" s="17"/>
      <c r="D909" s="17"/>
      <c r="E909" s="6"/>
      <c r="F909" s="101"/>
      <c r="G909" s="101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</row>
    <row r="910" spans="1:65" ht="13">
      <c r="A910" s="17"/>
      <c r="B910" s="17"/>
      <c r="C910" s="17"/>
      <c r="D910" s="17"/>
      <c r="E910" s="6"/>
      <c r="F910" s="101"/>
      <c r="G910" s="101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</row>
    <row r="911" spans="1:65" ht="13">
      <c r="A911" s="17"/>
      <c r="B911" s="17"/>
      <c r="C911" s="17"/>
      <c r="D911" s="17"/>
      <c r="E911" s="6"/>
      <c r="F911" s="101"/>
      <c r="G911" s="101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</row>
    <row r="912" spans="1:65" ht="13">
      <c r="A912" s="17"/>
      <c r="B912" s="17"/>
      <c r="C912" s="17"/>
      <c r="D912" s="17"/>
      <c r="E912" s="6"/>
      <c r="F912" s="101"/>
      <c r="G912" s="101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</row>
    <row r="913" spans="1:65" ht="13">
      <c r="A913" s="17"/>
      <c r="B913" s="17"/>
      <c r="C913" s="17"/>
      <c r="D913" s="17"/>
      <c r="E913" s="6"/>
      <c r="F913" s="101"/>
      <c r="G913" s="101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</row>
    <row r="914" spans="1:65" ht="13">
      <c r="A914" s="17"/>
      <c r="B914" s="17"/>
      <c r="C914" s="17"/>
      <c r="D914" s="17"/>
      <c r="E914" s="6"/>
      <c r="F914" s="101"/>
      <c r="G914" s="101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</row>
    <row r="915" spans="1:65" ht="13">
      <c r="A915" s="17"/>
      <c r="B915" s="17"/>
      <c r="C915" s="17"/>
      <c r="D915" s="17"/>
      <c r="E915" s="6"/>
      <c r="F915" s="101"/>
      <c r="G915" s="101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</row>
    <row r="916" spans="1:65" ht="13">
      <c r="A916" s="17"/>
      <c r="B916" s="17"/>
      <c r="C916" s="17"/>
      <c r="D916" s="17"/>
      <c r="E916" s="6"/>
      <c r="F916" s="101"/>
      <c r="G916" s="101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</row>
    <row r="917" spans="1:65" ht="13">
      <c r="A917" s="17"/>
      <c r="B917" s="17"/>
      <c r="C917" s="17"/>
      <c r="D917" s="17"/>
      <c r="E917" s="6"/>
      <c r="F917" s="101"/>
      <c r="G917" s="101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</row>
    <row r="918" spans="1:65" ht="13">
      <c r="A918" s="17"/>
      <c r="B918" s="17"/>
      <c r="C918" s="17"/>
      <c r="D918" s="17"/>
      <c r="E918" s="6"/>
      <c r="F918" s="101"/>
      <c r="G918" s="101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</row>
    <row r="919" spans="1:65" ht="13">
      <c r="A919" s="17"/>
      <c r="B919" s="17"/>
      <c r="C919" s="17"/>
      <c r="D919" s="17"/>
      <c r="E919" s="6"/>
      <c r="F919" s="101"/>
      <c r="G919" s="101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</row>
    <row r="920" spans="1:65" ht="13">
      <c r="A920" s="17"/>
      <c r="B920" s="17"/>
      <c r="C920" s="17"/>
      <c r="D920" s="17"/>
      <c r="E920" s="6"/>
      <c r="F920" s="101"/>
      <c r="G920" s="101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</row>
    <row r="921" spans="1:65" ht="13">
      <c r="A921" s="17"/>
      <c r="B921" s="17"/>
      <c r="C921" s="17"/>
      <c r="D921" s="17"/>
      <c r="E921" s="6"/>
      <c r="F921" s="101"/>
      <c r="G921" s="101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</row>
    <row r="922" spans="1:65" ht="13">
      <c r="A922" s="17"/>
      <c r="B922" s="17"/>
      <c r="C922" s="17"/>
      <c r="D922" s="17"/>
      <c r="E922" s="6"/>
      <c r="F922" s="101"/>
      <c r="G922" s="101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</row>
    <row r="923" spans="1:65" ht="13">
      <c r="A923" s="17"/>
      <c r="B923" s="17"/>
      <c r="C923" s="17"/>
      <c r="D923" s="17"/>
      <c r="E923" s="6"/>
      <c r="F923" s="101"/>
      <c r="G923" s="101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</row>
    <row r="924" spans="1:65" ht="13">
      <c r="A924" s="17"/>
      <c r="B924" s="17"/>
      <c r="C924" s="17"/>
      <c r="D924" s="17"/>
      <c r="E924" s="6"/>
      <c r="F924" s="101"/>
      <c r="G924" s="101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</row>
    <row r="925" spans="1:65" ht="13">
      <c r="A925" s="17"/>
      <c r="B925" s="17"/>
      <c r="C925" s="17"/>
      <c r="D925" s="17"/>
      <c r="E925" s="6"/>
      <c r="F925" s="101"/>
      <c r="G925" s="101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</row>
    <row r="926" spans="1:65" ht="13">
      <c r="A926" s="17"/>
      <c r="B926" s="17"/>
      <c r="C926" s="17"/>
      <c r="D926" s="17"/>
      <c r="E926" s="6"/>
      <c r="F926" s="101"/>
      <c r="G926" s="101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</row>
    <row r="927" spans="1:65" ht="13">
      <c r="A927" s="17"/>
      <c r="B927" s="17"/>
      <c r="C927" s="17"/>
      <c r="D927" s="17"/>
      <c r="E927" s="6"/>
      <c r="F927" s="101"/>
      <c r="G927" s="101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</row>
    <row r="928" spans="1:65" ht="13">
      <c r="A928" s="17"/>
      <c r="B928" s="17"/>
      <c r="C928" s="17"/>
      <c r="D928" s="17"/>
      <c r="E928" s="6"/>
      <c r="F928" s="101"/>
      <c r="G928" s="101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</row>
    <row r="929" spans="1:65" ht="13">
      <c r="A929" s="17"/>
      <c r="B929" s="17"/>
      <c r="C929" s="17"/>
      <c r="D929" s="17"/>
      <c r="E929" s="6"/>
      <c r="F929" s="101"/>
      <c r="G929" s="101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</row>
    <row r="930" spans="1:65" ht="13">
      <c r="A930" s="17"/>
      <c r="B930" s="17"/>
      <c r="C930" s="17"/>
      <c r="D930" s="17"/>
      <c r="E930" s="6"/>
      <c r="F930" s="101"/>
      <c r="G930" s="101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</row>
    <row r="931" spans="1:65" ht="13">
      <c r="A931" s="17"/>
      <c r="B931" s="17"/>
      <c r="C931" s="17"/>
      <c r="D931" s="17"/>
      <c r="E931" s="6"/>
      <c r="F931" s="101"/>
      <c r="G931" s="101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</row>
    <row r="932" spans="1:65" ht="13">
      <c r="A932" s="17"/>
      <c r="B932" s="17"/>
      <c r="C932" s="17"/>
      <c r="D932" s="17"/>
      <c r="E932" s="6"/>
      <c r="F932" s="101"/>
      <c r="G932" s="101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</row>
    <row r="933" spans="1:65" ht="13">
      <c r="A933" s="17"/>
      <c r="B933" s="17"/>
      <c r="C933" s="17"/>
      <c r="D933" s="17"/>
      <c r="E933" s="6"/>
      <c r="F933" s="101"/>
      <c r="G933" s="101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</row>
    <row r="934" spans="1:65" ht="13">
      <c r="A934" s="17"/>
      <c r="B934" s="17"/>
      <c r="C934" s="17"/>
      <c r="D934" s="17"/>
      <c r="E934" s="6"/>
      <c r="F934" s="101"/>
      <c r="G934" s="101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</row>
    <row r="935" spans="1:65" ht="13">
      <c r="A935" s="17"/>
      <c r="B935" s="17"/>
      <c r="C935" s="17"/>
      <c r="D935" s="17"/>
      <c r="E935" s="6"/>
      <c r="F935" s="101"/>
      <c r="G935" s="101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</row>
    <row r="936" spans="1:65" ht="13">
      <c r="A936" s="17"/>
      <c r="B936" s="17"/>
      <c r="C936" s="17"/>
      <c r="D936" s="17"/>
      <c r="E936" s="6"/>
      <c r="F936" s="101"/>
      <c r="G936" s="101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</row>
    <row r="937" spans="1:65" ht="13">
      <c r="A937" s="17"/>
      <c r="B937" s="17"/>
      <c r="C937" s="17"/>
      <c r="D937" s="17"/>
      <c r="E937" s="6"/>
      <c r="F937" s="101"/>
      <c r="G937" s="101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</row>
    <row r="938" spans="1:65" ht="13">
      <c r="A938" s="17"/>
      <c r="B938" s="17"/>
      <c r="C938" s="17"/>
      <c r="D938" s="17"/>
      <c r="E938" s="6"/>
      <c r="F938" s="101"/>
      <c r="G938" s="101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</row>
    <row r="939" spans="1:65" ht="13">
      <c r="A939" s="17"/>
      <c r="B939" s="17"/>
      <c r="C939" s="17"/>
      <c r="D939" s="17"/>
      <c r="E939" s="6"/>
      <c r="F939" s="101"/>
      <c r="G939" s="101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</row>
    <row r="940" spans="1:65" ht="13">
      <c r="A940" s="17"/>
      <c r="B940" s="17"/>
      <c r="C940" s="17"/>
      <c r="D940" s="17"/>
      <c r="E940" s="6"/>
      <c r="F940" s="101"/>
      <c r="G940" s="101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</row>
    <row r="941" spans="1:65" ht="13">
      <c r="A941" s="17"/>
      <c r="B941" s="17"/>
      <c r="C941" s="17"/>
      <c r="D941" s="17"/>
      <c r="E941" s="6"/>
      <c r="F941" s="101"/>
      <c r="G941" s="101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</row>
    <row r="942" spans="1:65" ht="13">
      <c r="A942" s="17"/>
      <c r="B942" s="17"/>
      <c r="C942" s="17"/>
      <c r="D942" s="17"/>
      <c r="E942" s="6"/>
      <c r="F942" s="101"/>
      <c r="G942" s="101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</row>
    <row r="943" spans="1:65" ht="13">
      <c r="A943" s="17"/>
      <c r="B943" s="17"/>
      <c r="C943" s="17"/>
      <c r="D943" s="17"/>
      <c r="E943" s="6"/>
      <c r="F943" s="101"/>
      <c r="G943" s="101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</row>
    <row r="944" spans="1:65" ht="13">
      <c r="A944" s="17"/>
      <c r="B944" s="17"/>
      <c r="C944" s="17"/>
      <c r="D944" s="17"/>
      <c r="E944" s="6"/>
      <c r="F944" s="101"/>
      <c r="G944" s="101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</row>
    <row r="945" spans="1:65" ht="13">
      <c r="A945" s="17"/>
      <c r="B945" s="17"/>
      <c r="C945" s="17"/>
      <c r="D945" s="17"/>
      <c r="E945" s="6"/>
      <c r="F945" s="101"/>
      <c r="G945" s="101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</row>
    <row r="946" spans="1:65" ht="13">
      <c r="A946" s="17"/>
      <c r="B946" s="17"/>
      <c r="C946" s="17"/>
      <c r="D946" s="17"/>
      <c r="E946" s="6"/>
      <c r="F946" s="101"/>
      <c r="G946" s="101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</row>
    <row r="947" spans="1:65" ht="13">
      <c r="A947" s="17"/>
      <c r="B947" s="17"/>
      <c r="C947" s="17"/>
      <c r="D947" s="17"/>
      <c r="E947" s="6"/>
      <c r="F947" s="101"/>
      <c r="G947" s="101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</row>
    <row r="948" spans="1:65" ht="13">
      <c r="A948" s="17"/>
      <c r="B948" s="17"/>
      <c r="C948" s="17"/>
      <c r="D948" s="17"/>
      <c r="E948" s="6"/>
      <c r="F948" s="101"/>
      <c r="G948" s="101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</row>
    <row r="949" spans="1:65" ht="13">
      <c r="A949" s="17"/>
      <c r="B949" s="17"/>
      <c r="C949" s="17"/>
      <c r="D949" s="17"/>
      <c r="E949" s="6"/>
      <c r="F949" s="101"/>
      <c r="G949" s="101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</row>
    <row r="950" spans="1:65" ht="13">
      <c r="A950" s="17"/>
      <c r="B950" s="17"/>
      <c r="C950" s="17"/>
      <c r="D950" s="17"/>
      <c r="E950" s="6"/>
      <c r="F950" s="101"/>
      <c r="G950" s="101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</row>
    <row r="951" spans="1:65" ht="13">
      <c r="A951" s="17"/>
      <c r="B951" s="17"/>
      <c r="C951" s="17"/>
      <c r="D951" s="17"/>
      <c r="E951" s="6"/>
      <c r="F951" s="101"/>
      <c r="G951" s="101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</row>
    <row r="952" spans="1:65" ht="13">
      <c r="A952" s="17"/>
      <c r="B952" s="17"/>
      <c r="C952" s="17"/>
      <c r="D952" s="17"/>
      <c r="E952" s="6"/>
      <c r="F952" s="101"/>
      <c r="G952" s="101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</row>
    <row r="953" spans="1:65" ht="13">
      <c r="A953" s="17"/>
      <c r="B953" s="17"/>
      <c r="C953" s="17"/>
      <c r="D953" s="17"/>
      <c r="E953" s="6"/>
      <c r="F953" s="101"/>
      <c r="G953" s="101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</row>
    <row r="954" spans="1:65" ht="13">
      <c r="A954" s="17"/>
      <c r="B954" s="17"/>
      <c r="C954" s="17"/>
      <c r="D954" s="17"/>
      <c r="E954" s="6"/>
      <c r="F954" s="101"/>
      <c r="G954" s="101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</row>
    <row r="955" spans="1:65" ht="13">
      <c r="A955" s="17"/>
      <c r="B955" s="17"/>
      <c r="C955" s="17"/>
      <c r="D955" s="17"/>
      <c r="E955" s="6"/>
      <c r="F955" s="101"/>
      <c r="G955" s="101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</row>
    <row r="956" spans="1:65" ht="13">
      <c r="A956" s="17"/>
      <c r="B956" s="17"/>
      <c r="C956" s="17"/>
      <c r="D956" s="17"/>
      <c r="E956" s="6"/>
      <c r="F956" s="101"/>
      <c r="G956" s="101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</row>
    <row r="957" spans="1:65" ht="13">
      <c r="A957" s="17"/>
      <c r="B957" s="17"/>
      <c r="C957" s="17"/>
      <c r="D957" s="17"/>
      <c r="E957" s="6"/>
      <c r="F957" s="101"/>
      <c r="G957" s="101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</row>
    <row r="958" spans="1:65" ht="13">
      <c r="A958" s="17"/>
      <c r="B958" s="17"/>
      <c r="C958" s="17"/>
      <c r="D958" s="17"/>
      <c r="E958" s="6"/>
      <c r="F958" s="101"/>
      <c r="G958" s="101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</row>
    <row r="959" spans="1:65" ht="13">
      <c r="A959" s="17"/>
      <c r="B959" s="17"/>
      <c r="C959" s="17"/>
      <c r="D959" s="17"/>
      <c r="E959" s="6"/>
      <c r="F959" s="101"/>
      <c r="G959" s="101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</row>
    <row r="960" spans="1:65" ht="13">
      <c r="A960" s="17"/>
      <c r="B960" s="17"/>
      <c r="C960" s="17"/>
      <c r="D960" s="17"/>
      <c r="E960" s="6"/>
      <c r="F960" s="101"/>
      <c r="G960" s="101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</row>
    <row r="961" spans="1:65" ht="13">
      <c r="A961" s="17"/>
      <c r="B961" s="17"/>
      <c r="C961" s="17"/>
      <c r="D961" s="17"/>
      <c r="E961" s="6"/>
      <c r="F961" s="101"/>
      <c r="G961" s="101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</row>
    <row r="962" spans="1:65" ht="13">
      <c r="A962" s="17"/>
      <c r="B962" s="17"/>
      <c r="C962" s="17"/>
      <c r="D962" s="17"/>
      <c r="E962" s="6"/>
      <c r="F962" s="101"/>
      <c r="G962" s="101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</row>
    <row r="963" spans="1:65" ht="13">
      <c r="A963" s="17"/>
      <c r="B963" s="17"/>
      <c r="C963" s="17"/>
      <c r="D963" s="17"/>
      <c r="E963" s="6"/>
      <c r="F963" s="101"/>
      <c r="G963" s="101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</row>
    <row r="964" spans="1:65" ht="13">
      <c r="A964" s="17"/>
      <c r="B964" s="17"/>
      <c r="C964" s="17"/>
      <c r="D964" s="17"/>
      <c r="E964" s="6"/>
      <c r="F964" s="101"/>
      <c r="G964" s="101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</row>
    <row r="965" spans="1:65" ht="13">
      <c r="A965" s="17"/>
      <c r="B965" s="17"/>
      <c r="C965" s="17"/>
      <c r="D965" s="17"/>
      <c r="E965" s="6"/>
      <c r="F965" s="101"/>
      <c r="G965" s="101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</row>
    <row r="966" spans="1:65" ht="13">
      <c r="A966" s="17"/>
      <c r="B966" s="17"/>
      <c r="C966" s="17"/>
      <c r="D966" s="17"/>
      <c r="E966" s="6"/>
      <c r="F966" s="101"/>
      <c r="G966" s="101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</row>
    <row r="967" spans="1:65" ht="13">
      <c r="A967" s="17"/>
      <c r="B967" s="17"/>
      <c r="C967" s="17"/>
      <c r="D967" s="17"/>
      <c r="E967" s="6"/>
      <c r="F967" s="101"/>
      <c r="G967" s="101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</row>
    <row r="968" spans="1:65" ht="13">
      <c r="A968" s="17"/>
      <c r="B968" s="17"/>
      <c r="C968" s="17"/>
      <c r="D968" s="17"/>
      <c r="E968" s="6"/>
      <c r="F968" s="101"/>
      <c r="G968" s="101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</row>
    <row r="969" spans="1:65" ht="13">
      <c r="A969" s="17"/>
      <c r="B969" s="17"/>
      <c r="C969" s="17"/>
      <c r="D969" s="17"/>
      <c r="E969" s="6"/>
      <c r="F969" s="101"/>
      <c r="G969" s="101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</row>
    <row r="970" spans="1:65" ht="13">
      <c r="A970" s="17"/>
      <c r="B970" s="17"/>
      <c r="C970" s="17"/>
      <c r="D970" s="17"/>
      <c r="E970" s="6"/>
      <c r="F970" s="101"/>
      <c r="G970" s="101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</row>
    <row r="971" spans="1:65" ht="13">
      <c r="A971" s="17"/>
      <c r="B971" s="17"/>
      <c r="C971" s="17"/>
      <c r="D971" s="17"/>
      <c r="E971" s="6"/>
      <c r="F971" s="101"/>
      <c r="G971" s="101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</row>
    <row r="972" spans="1:65" ht="13">
      <c r="A972" s="17"/>
      <c r="B972" s="17"/>
      <c r="C972" s="17"/>
      <c r="D972" s="17"/>
      <c r="E972" s="6"/>
      <c r="F972" s="101"/>
      <c r="G972" s="101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</row>
    <row r="973" spans="1:65" ht="13">
      <c r="A973" s="17"/>
      <c r="B973" s="17"/>
      <c r="C973" s="17"/>
      <c r="D973" s="17"/>
      <c r="E973" s="6"/>
      <c r="F973" s="101"/>
      <c r="G973" s="101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</row>
    <row r="974" spans="1:65" ht="13">
      <c r="A974" s="17"/>
      <c r="B974" s="17"/>
      <c r="C974" s="17"/>
      <c r="D974" s="17"/>
      <c r="E974" s="6"/>
      <c r="F974" s="101"/>
      <c r="G974" s="101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</row>
    <row r="975" spans="1:65" ht="13">
      <c r="A975" s="17"/>
      <c r="B975" s="17"/>
      <c r="C975" s="17"/>
      <c r="D975" s="17"/>
      <c r="E975" s="6"/>
      <c r="F975" s="101"/>
      <c r="G975" s="101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</row>
    <row r="976" spans="1:65" ht="13">
      <c r="A976" s="17"/>
      <c r="B976" s="17"/>
      <c r="C976" s="17"/>
      <c r="D976" s="17"/>
      <c r="E976" s="6"/>
      <c r="F976" s="101"/>
      <c r="G976" s="101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</row>
    <row r="977" spans="1:65" ht="13">
      <c r="A977" s="17"/>
      <c r="B977" s="17"/>
      <c r="C977" s="17"/>
      <c r="D977" s="17"/>
      <c r="E977" s="6"/>
      <c r="F977" s="101"/>
      <c r="G977" s="101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</row>
    <row r="978" spans="1:65" ht="13">
      <c r="A978" s="17"/>
      <c r="B978" s="17"/>
      <c r="C978" s="17"/>
      <c r="D978" s="17"/>
      <c r="E978" s="6"/>
      <c r="F978" s="101"/>
      <c r="G978" s="101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</row>
    <row r="979" spans="1:65" ht="13">
      <c r="A979" s="17"/>
      <c r="B979" s="17"/>
      <c r="C979" s="17"/>
      <c r="D979" s="17"/>
      <c r="E979" s="6"/>
      <c r="F979" s="101"/>
      <c r="G979" s="101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</row>
    <row r="980" spans="1:65" ht="13">
      <c r="A980" s="17"/>
      <c r="B980" s="17"/>
      <c r="C980" s="17"/>
      <c r="D980" s="17"/>
      <c r="E980" s="6"/>
      <c r="F980" s="101"/>
      <c r="G980" s="101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</row>
    <row r="981" spans="1:65" ht="13">
      <c r="A981" s="17"/>
      <c r="B981" s="17"/>
      <c r="C981" s="17"/>
      <c r="D981" s="17"/>
      <c r="E981" s="6"/>
      <c r="F981" s="101"/>
      <c r="G981" s="101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</row>
    <row r="982" spans="1:65" ht="13">
      <c r="A982" s="17"/>
      <c r="B982" s="17"/>
      <c r="C982" s="17"/>
      <c r="D982" s="17"/>
      <c r="E982" s="6"/>
      <c r="F982" s="101"/>
      <c r="G982" s="101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</row>
    <row r="983" spans="1:65" ht="13">
      <c r="A983" s="17"/>
      <c r="B983" s="17"/>
      <c r="C983" s="17"/>
      <c r="D983" s="17"/>
      <c r="E983" s="6"/>
      <c r="F983" s="101"/>
      <c r="G983" s="101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</row>
    <row r="984" spans="1:65" ht="13">
      <c r="A984" s="17"/>
      <c r="B984" s="17"/>
      <c r="C984" s="17"/>
      <c r="D984" s="17"/>
      <c r="E984" s="6"/>
      <c r="F984" s="101"/>
      <c r="G984" s="101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</row>
    <row r="985" spans="1:65" ht="13">
      <c r="A985" s="17"/>
      <c r="B985" s="17"/>
      <c r="C985" s="17"/>
      <c r="D985" s="17"/>
      <c r="E985" s="6"/>
      <c r="F985" s="101"/>
      <c r="G985" s="101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</row>
    <row r="986" spans="1:65" ht="13">
      <c r="A986" s="17"/>
      <c r="B986" s="17"/>
      <c r="C986" s="17"/>
      <c r="D986" s="17"/>
      <c r="E986" s="6"/>
      <c r="F986" s="101"/>
      <c r="G986" s="101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</row>
    <row r="987" spans="1:65" ht="13">
      <c r="A987" s="17"/>
      <c r="B987" s="17"/>
      <c r="C987" s="17"/>
      <c r="D987" s="17"/>
      <c r="E987" s="6"/>
      <c r="F987" s="101"/>
      <c r="G987" s="101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</row>
    <row r="988" spans="1:65" ht="13">
      <c r="A988" s="17"/>
      <c r="B988" s="17"/>
      <c r="C988" s="17"/>
      <c r="D988" s="17"/>
      <c r="E988" s="6"/>
      <c r="F988" s="101"/>
      <c r="G988" s="101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</row>
    <row r="989" spans="1:65" ht="13">
      <c r="A989" s="17"/>
      <c r="B989" s="17"/>
      <c r="C989" s="17"/>
      <c r="D989" s="17"/>
      <c r="E989" s="6"/>
      <c r="F989" s="101"/>
      <c r="G989" s="101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</row>
    <row r="990" spans="1:65" ht="13">
      <c r="A990" s="17"/>
      <c r="B990" s="17"/>
      <c r="C990" s="17"/>
      <c r="D990" s="17"/>
      <c r="E990" s="6"/>
      <c r="F990" s="101"/>
      <c r="G990" s="101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</row>
    <row r="991" spans="1:65" ht="13">
      <c r="A991" s="17"/>
      <c r="B991" s="17"/>
      <c r="C991" s="17"/>
      <c r="D991" s="17"/>
      <c r="E991" s="6"/>
      <c r="F991" s="101"/>
      <c r="G991" s="101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</row>
    <row r="992" spans="1:65" ht="13">
      <c r="A992" s="17"/>
      <c r="B992" s="17"/>
      <c r="C992" s="17"/>
      <c r="D992" s="17"/>
      <c r="E992" s="6"/>
      <c r="F992" s="101"/>
      <c r="G992" s="101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</row>
    <row r="993" spans="1:65" ht="13">
      <c r="A993" s="17"/>
      <c r="B993" s="17"/>
      <c r="C993" s="17"/>
      <c r="D993" s="17"/>
      <c r="E993" s="6"/>
      <c r="F993" s="101"/>
      <c r="G993" s="101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</row>
    <row r="994" spans="1:65" ht="13">
      <c r="A994" s="17"/>
      <c r="B994" s="17"/>
      <c r="C994" s="17"/>
      <c r="D994" s="17"/>
      <c r="E994" s="6"/>
      <c r="F994" s="101"/>
      <c r="G994" s="101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</row>
    <row r="995" spans="1:65" ht="13">
      <c r="A995" s="17"/>
      <c r="B995" s="17"/>
      <c r="C995" s="17"/>
      <c r="D995" s="17"/>
      <c r="E995" s="6"/>
      <c r="F995" s="101"/>
      <c r="G995" s="101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</row>
    <row r="996" spans="1:65" ht="13">
      <c r="A996" s="17"/>
      <c r="B996" s="17"/>
      <c r="C996" s="17"/>
      <c r="D996" s="17"/>
      <c r="E996" s="6"/>
      <c r="F996" s="101"/>
      <c r="G996" s="101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</row>
    <row r="997" spans="1:65" ht="13">
      <c r="A997" s="17"/>
      <c r="B997" s="17"/>
      <c r="C997" s="17"/>
      <c r="D997" s="17"/>
      <c r="E997" s="6"/>
      <c r="F997" s="101"/>
      <c r="G997" s="101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</row>
    <row r="998" spans="1:65" ht="13">
      <c r="A998" s="17"/>
      <c r="B998" s="17"/>
      <c r="C998" s="17"/>
      <c r="D998" s="17"/>
      <c r="E998" s="6"/>
      <c r="F998" s="101"/>
      <c r="G998" s="101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</row>
    <row r="999" spans="1:65" ht="13">
      <c r="A999" s="17"/>
      <c r="B999" s="17"/>
      <c r="C999" s="17"/>
      <c r="D999" s="17"/>
      <c r="E999" s="6"/>
      <c r="F999" s="101"/>
      <c r="G999" s="101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</row>
    <row r="1000" spans="1:65" ht="13">
      <c r="A1000" s="17"/>
      <c r="B1000" s="17"/>
      <c r="C1000" s="17"/>
      <c r="D1000" s="17"/>
      <c r="E1000" s="6"/>
      <c r="F1000" s="101"/>
      <c r="G1000" s="101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</row>
    <row r="1001" spans="1:65" ht="13">
      <c r="A1001" s="17"/>
      <c r="B1001" s="17"/>
      <c r="C1001" s="17"/>
      <c r="D1001" s="17"/>
      <c r="E1001" s="6"/>
      <c r="F1001" s="101"/>
      <c r="G1001" s="101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  <c r="BA1001" s="17"/>
      <c r="BB1001" s="17"/>
      <c r="BC1001" s="17"/>
      <c r="BD1001" s="17"/>
      <c r="BE1001" s="17"/>
      <c r="BF1001" s="17"/>
      <c r="BG1001" s="17"/>
      <c r="BH1001" s="17"/>
      <c r="BI1001" s="17"/>
      <c r="BJ1001" s="17"/>
      <c r="BK1001" s="17"/>
      <c r="BL1001" s="17"/>
      <c r="BM1001" s="17"/>
    </row>
    <row r="1002" spans="1:65" ht="13">
      <c r="A1002" s="17"/>
      <c r="B1002" s="17"/>
      <c r="C1002" s="17"/>
      <c r="D1002" s="17"/>
      <c r="E1002" s="6"/>
      <c r="F1002" s="101"/>
      <c r="G1002" s="101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  <c r="BA1002" s="17"/>
      <c r="BB1002" s="17"/>
      <c r="BC1002" s="17"/>
      <c r="BD1002" s="17"/>
      <c r="BE1002" s="17"/>
      <c r="BF1002" s="17"/>
      <c r="BG1002" s="17"/>
      <c r="BH1002" s="17"/>
      <c r="BI1002" s="17"/>
      <c r="BJ1002" s="17"/>
      <c r="BK1002" s="17"/>
      <c r="BL1002" s="17"/>
      <c r="BM1002" s="17"/>
    </row>
    <row r="1003" spans="1:65" ht="13">
      <c r="A1003" s="17"/>
      <c r="B1003" s="17"/>
      <c r="C1003" s="17"/>
      <c r="D1003" s="17"/>
      <c r="E1003" s="6"/>
      <c r="F1003" s="101"/>
      <c r="G1003" s="101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  <c r="BA1003" s="17"/>
      <c r="BB1003" s="17"/>
      <c r="BC1003" s="17"/>
      <c r="BD1003" s="17"/>
      <c r="BE1003" s="17"/>
      <c r="BF1003" s="17"/>
      <c r="BG1003" s="17"/>
      <c r="BH1003" s="17"/>
      <c r="BI1003" s="17"/>
      <c r="BJ1003" s="17"/>
      <c r="BK1003" s="17"/>
      <c r="BL1003" s="17"/>
      <c r="BM1003" s="17"/>
    </row>
    <row r="1004" spans="1:65" ht="13">
      <c r="A1004" s="17"/>
      <c r="B1004" s="17"/>
      <c r="C1004" s="17"/>
      <c r="D1004" s="17"/>
      <c r="E1004" s="6"/>
      <c r="F1004" s="101"/>
      <c r="G1004" s="101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  <c r="BA1004" s="17"/>
      <c r="BB1004" s="17"/>
      <c r="BC1004" s="17"/>
      <c r="BD1004" s="17"/>
      <c r="BE1004" s="17"/>
      <c r="BF1004" s="17"/>
      <c r="BG1004" s="17"/>
      <c r="BH1004" s="17"/>
      <c r="BI1004" s="17"/>
      <c r="BJ1004" s="17"/>
      <c r="BK1004" s="17"/>
      <c r="BL1004" s="17"/>
      <c r="BM1004" s="17"/>
    </row>
  </sheetData>
  <conditionalFormatting sqref="F16">
    <cfRule type="notContainsBlanks" dxfId="16" priority="1">
      <formula>LEN(TRIM(F16))&gt;0</formula>
    </cfRule>
  </conditionalFormatting>
  <conditionalFormatting sqref="B2:G32 I2:X32 AD2:AD32">
    <cfRule type="expression" dxfId="15" priority="2">
      <formula>SUM($M2:$X2) &gt;0</formula>
    </cfRule>
  </conditionalFormatting>
  <conditionalFormatting sqref="AC2:AC31">
    <cfRule type="colorScale" priority="3">
      <colorScale>
        <cfvo type="min"/>
        <cfvo type="max"/>
        <color rgb="FF999999"/>
        <color rgb="FFFFFFFF"/>
      </colorScale>
    </cfRule>
  </conditionalFormatting>
  <printOptions horizontalCentered="1" gridLines="1"/>
  <pageMargins left="0.7" right="0.7" top="0.75" bottom="0.75" header="0" footer="0"/>
  <pageSetup pageOrder="overThenDown" orientation="landscape" cellComments="atEnd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N100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min="1" max="1" width="9.83203125" customWidth="1"/>
    <col min="2" max="2" width="5.6640625" customWidth="1"/>
    <col min="3" max="3" width="6.6640625" customWidth="1"/>
    <col min="4" max="4" width="11.33203125" customWidth="1"/>
    <col min="5" max="6" width="8.1640625" customWidth="1"/>
    <col min="7" max="7" width="8" customWidth="1"/>
    <col min="8" max="8" width="7.1640625" customWidth="1"/>
    <col min="9" max="9" width="8.1640625" customWidth="1"/>
    <col min="10" max="10" width="7.5" customWidth="1"/>
    <col min="11" max="11" width="7.6640625" customWidth="1"/>
    <col min="12" max="12" width="17.33203125" customWidth="1"/>
    <col min="13" max="14" width="8" customWidth="1"/>
    <col min="15" max="15" width="9.5" customWidth="1"/>
    <col min="16" max="20" width="9.1640625" customWidth="1"/>
    <col min="21" max="21" width="8.6640625" customWidth="1"/>
    <col min="22" max="22" width="8.5" customWidth="1"/>
    <col min="23" max="25" width="9.6640625" customWidth="1"/>
    <col min="26" max="26" width="8.83203125" customWidth="1"/>
    <col min="27" max="27" width="14.1640625" customWidth="1"/>
    <col min="28" max="28" width="13.83203125" customWidth="1"/>
    <col min="29" max="29" width="7.1640625" hidden="1" customWidth="1"/>
    <col min="30" max="30" width="36.1640625" customWidth="1"/>
  </cols>
  <sheetData>
    <row r="1" spans="1:66" ht="15.75" customHeight="1">
      <c r="A1" s="97" t="s">
        <v>0</v>
      </c>
      <c r="B1" s="97" t="s">
        <v>1</v>
      </c>
      <c r="C1" s="97" t="s">
        <v>2</v>
      </c>
      <c r="D1" s="97" t="s">
        <v>3</v>
      </c>
      <c r="E1" s="98" t="s">
        <v>4</v>
      </c>
      <c r="F1" s="97" t="s">
        <v>5</v>
      </c>
      <c r="G1" s="97" t="s">
        <v>6</v>
      </c>
      <c r="H1" s="97" t="s">
        <v>59</v>
      </c>
      <c r="I1" s="98" t="s">
        <v>8</v>
      </c>
      <c r="J1" s="98" t="s">
        <v>60</v>
      </c>
      <c r="K1" s="98" t="s">
        <v>61</v>
      </c>
      <c r="L1" s="97" t="s">
        <v>11</v>
      </c>
      <c r="M1" s="98" t="s">
        <v>12</v>
      </c>
      <c r="N1" s="98" t="s">
        <v>13</v>
      </c>
      <c r="O1" s="98" t="s">
        <v>62</v>
      </c>
      <c r="P1" s="98" t="s">
        <v>63</v>
      </c>
      <c r="Q1" s="98" t="s">
        <v>117</v>
      </c>
      <c r="R1" s="98" t="s">
        <v>118</v>
      </c>
      <c r="S1" s="98" t="s">
        <v>66</v>
      </c>
      <c r="T1" s="98" t="s">
        <v>67</v>
      </c>
      <c r="U1" s="98" t="s">
        <v>68</v>
      </c>
      <c r="V1" s="98" t="s">
        <v>119</v>
      </c>
      <c r="W1" s="98" t="s">
        <v>120</v>
      </c>
      <c r="X1" s="98" t="s">
        <v>121</v>
      </c>
      <c r="Y1" s="98" t="s">
        <v>72</v>
      </c>
      <c r="Z1" s="98" t="s">
        <v>73</v>
      </c>
      <c r="AA1" s="98" t="s">
        <v>26</v>
      </c>
      <c r="AB1" s="98" t="s">
        <v>27</v>
      </c>
      <c r="AC1" s="98" t="s">
        <v>28</v>
      </c>
      <c r="AD1" s="97" t="s">
        <v>29</v>
      </c>
      <c r="AE1" s="1"/>
      <c r="AF1" s="123"/>
      <c r="AG1" s="123"/>
      <c r="AH1" s="123"/>
      <c r="AI1" s="123"/>
      <c r="AJ1" s="123"/>
      <c r="AK1" s="123"/>
      <c r="AL1" s="123"/>
      <c r="AM1" s="123"/>
      <c r="AN1" s="123"/>
      <c r="AO1" s="123"/>
      <c r="AP1" s="123"/>
      <c r="AQ1" s="123"/>
      <c r="AR1" s="123"/>
      <c r="AS1" s="123"/>
      <c r="AT1" s="123"/>
      <c r="AU1" s="123"/>
      <c r="AV1" s="123"/>
      <c r="AW1" s="123"/>
      <c r="AX1" s="123"/>
      <c r="AY1" s="123"/>
      <c r="AZ1" s="123"/>
      <c r="BA1" s="123"/>
      <c r="BB1" s="123"/>
      <c r="BC1" s="123"/>
      <c r="BD1" s="123"/>
      <c r="BE1" s="123"/>
      <c r="BF1" s="123"/>
      <c r="BG1" s="123"/>
      <c r="BH1" s="123"/>
      <c r="BI1" s="123"/>
      <c r="BJ1" s="123"/>
      <c r="BK1" s="123"/>
      <c r="BL1" s="123"/>
      <c r="BM1" s="123"/>
      <c r="BN1" s="123"/>
    </row>
    <row r="2" spans="1:66" ht="15.75" customHeight="1">
      <c r="A2" s="18">
        <v>43070</v>
      </c>
      <c r="B2" s="17">
        <v>1629</v>
      </c>
      <c r="C2" s="17">
        <v>1702</v>
      </c>
      <c r="D2" s="9" t="str">
        <f t="shared" ref="D2:D5" si="0">CHOOSE(WEEKDAY(A2),"Fred/Anne", "Jane", "Phil","Sue/Panos","Shawn/Owens","Jeff", "Rob")</f>
        <v>Jeff</v>
      </c>
      <c r="E2" s="100" t="s">
        <v>30</v>
      </c>
      <c r="F2" s="10">
        <v>0.72916666666666663</v>
      </c>
      <c r="G2" s="10">
        <v>0.80208333333333337</v>
      </c>
      <c r="H2" s="11">
        <f t="shared" ref="H2:H32" si="1">G2-F2</f>
        <v>7.2916666666666741E-2</v>
      </c>
      <c r="I2" s="102">
        <v>1.75</v>
      </c>
      <c r="J2" s="9">
        <v>47</v>
      </c>
      <c r="K2" s="9">
        <v>46</v>
      </c>
      <c r="L2" s="9" t="s">
        <v>122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12">
        <f t="shared" ref="Y2:Y32" si="2">SUM(M2:P2)</f>
        <v>0</v>
      </c>
      <c r="Z2" s="12">
        <f t="shared" ref="Z2:Z32" si="3">SUM(Q2:U2)</f>
        <v>0</v>
      </c>
      <c r="AA2" s="13">
        <f t="shared" ref="AA2:AA32" si="4">SUM(M2:N2)</f>
        <v>0</v>
      </c>
      <c r="AB2" s="13">
        <f t="shared" ref="AB2:AB32" si="5">SUM(Q2:R2,U2)</f>
        <v>0</v>
      </c>
      <c r="AC2" s="14">
        <v>0.92</v>
      </c>
      <c r="AD2" s="9" t="s">
        <v>123</v>
      </c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</row>
    <row r="3" spans="1:66" ht="15.75" customHeight="1">
      <c r="A3" s="18">
        <v>43071</v>
      </c>
      <c r="B3" s="19">
        <v>1628</v>
      </c>
      <c r="C3" s="19">
        <v>1702</v>
      </c>
      <c r="D3" s="20" t="str">
        <f t="shared" si="0"/>
        <v>Rob</v>
      </c>
      <c r="E3" s="104" t="s">
        <v>40</v>
      </c>
      <c r="F3" s="21">
        <v>0.70833333333333337</v>
      </c>
      <c r="G3" s="21">
        <v>0.75</v>
      </c>
      <c r="H3" s="11">
        <f t="shared" si="1"/>
        <v>4.166666666666663E-2</v>
      </c>
      <c r="I3" s="106">
        <v>1</v>
      </c>
      <c r="J3" s="20">
        <v>44</v>
      </c>
      <c r="K3" s="20">
        <v>42</v>
      </c>
      <c r="L3" s="20" t="s">
        <v>124</v>
      </c>
      <c r="M3" s="20">
        <v>0</v>
      </c>
      <c r="N3" s="20">
        <v>0</v>
      </c>
      <c r="O3" s="20">
        <v>0</v>
      </c>
      <c r="P3" s="20">
        <v>0</v>
      </c>
      <c r="Q3" s="20">
        <v>0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12">
        <f t="shared" si="2"/>
        <v>0</v>
      </c>
      <c r="Z3" s="12">
        <f t="shared" si="3"/>
        <v>0</v>
      </c>
      <c r="AA3" s="13">
        <f t="shared" si="4"/>
        <v>0</v>
      </c>
      <c r="AB3" s="13">
        <f t="shared" si="5"/>
        <v>0</v>
      </c>
      <c r="AC3" s="14">
        <v>0.97</v>
      </c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</row>
    <row r="4" spans="1:66" ht="15.75" customHeight="1">
      <c r="A4" s="124">
        <v>43072</v>
      </c>
      <c r="B4" s="17">
        <v>1628</v>
      </c>
      <c r="C4" s="17">
        <v>1702</v>
      </c>
      <c r="D4" s="9" t="str">
        <f t="shared" si="0"/>
        <v>Fred/Anne</v>
      </c>
      <c r="E4" s="100" t="s">
        <v>30</v>
      </c>
      <c r="F4" s="26">
        <v>0.70486111111111116</v>
      </c>
      <c r="G4" s="10">
        <v>0.71527777777777779</v>
      </c>
      <c r="H4" s="11">
        <f t="shared" si="1"/>
        <v>1.041666666666663E-2</v>
      </c>
      <c r="I4" s="102">
        <v>0.25</v>
      </c>
      <c r="J4" s="9">
        <v>41</v>
      </c>
      <c r="K4" s="9">
        <v>41</v>
      </c>
      <c r="L4" s="9" t="s">
        <v>125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12">
        <f t="shared" si="2"/>
        <v>0</v>
      </c>
      <c r="Z4" s="12">
        <f t="shared" si="3"/>
        <v>0</v>
      </c>
      <c r="AA4" s="13">
        <f t="shared" si="4"/>
        <v>0</v>
      </c>
      <c r="AB4" s="13">
        <f t="shared" si="5"/>
        <v>0</v>
      </c>
      <c r="AC4" s="14">
        <v>1</v>
      </c>
      <c r="AD4" s="9" t="s">
        <v>126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</row>
    <row r="5" spans="1:66" ht="15.75" customHeight="1">
      <c r="A5" s="124">
        <v>43073</v>
      </c>
      <c r="B5" s="19">
        <v>1628</v>
      </c>
      <c r="C5" s="19">
        <v>1701</v>
      </c>
      <c r="D5" s="20" t="str">
        <f t="shared" si="0"/>
        <v>Jane</v>
      </c>
      <c r="E5" s="104" t="s">
        <v>33</v>
      </c>
      <c r="F5" s="21"/>
      <c r="G5" s="21"/>
      <c r="H5" s="11">
        <f t="shared" si="1"/>
        <v>0</v>
      </c>
      <c r="I5" s="106">
        <v>0</v>
      </c>
      <c r="J5" s="20">
        <v>44</v>
      </c>
      <c r="K5" s="20"/>
      <c r="L5" s="20" t="s">
        <v>34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12">
        <f t="shared" si="2"/>
        <v>0</v>
      </c>
      <c r="Z5" s="12">
        <f t="shared" si="3"/>
        <v>0</v>
      </c>
      <c r="AA5" s="13">
        <f t="shared" si="4"/>
        <v>0</v>
      </c>
      <c r="AB5" s="13">
        <f t="shared" si="5"/>
        <v>0</v>
      </c>
      <c r="AC5" s="14">
        <v>0.99</v>
      </c>
      <c r="AD5" s="20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</row>
    <row r="6" spans="1:66" ht="15.75" customHeight="1">
      <c r="A6" s="125">
        <v>43074</v>
      </c>
      <c r="B6" s="17">
        <v>1627</v>
      </c>
      <c r="C6" s="17">
        <v>1701</v>
      </c>
      <c r="D6" s="9" t="str">
        <f>CHOOSE(WEEKDAY(A6),"Fred/Anne", "Jane", "Phil/Tom","Sue/Panos","Shawn/Owens","Jeff", "Rob")</f>
        <v>Phil/Tom</v>
      </c>
      <c r="E6" s="100" t="s">
        <v>33</v>
      </c>
      <c r="F6" s="10">
        <v>0.70833333333333337</v>
      </c>
      <c r="G6" s="10">
        <v>0.70833333333333337</v>
      </c>
      <c r="H6" s="11">
        <f t="shared" si="1"/>
        <v>0</v>
      </c>
      <c r="I6" s="102">
        <v>0</v>
      </c>
      <c r="J6" s="9">
        <v>45</v>
      </c>
      <c r="K6" s="9">
        <v>45</v>
      </c>
      <c r="L6" s="20" t="s">
        <v>127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12">
        <f t="shared" si="2"/>
        <v>0</v>
      </c>
      <c r="Z6" s="12">
        <f t="shared" si="3"/>
        <v>0</v>
      </c>
      <c r="AA6" s="13">
        <f t="shared" si="4"/>
        <v>0</v>
      </c>
      <c r="AB6" s="13">
        <f t="shared" si="5"/>
        <v>0</v>
      </c>
      <c r="AC6" s="14">
        <v>0.96</v>
      </c>
      <c r="AD6" s="9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</row>
    <row r="7" spans="1:66" ht="15.75" customHeight="1">
      <c r="A7" s="125">
        <v>43075</v>
      </c>
      <c r="B7" s="19">
        <v>1627</v>
      </c>
      <c r="C7" s="19">
        <v>1701</v>
      </c>
      <c r="D7" s="20" t="str">
        <f>CHOOSE(WEEKDAY(A7),"Fred/Anne", "Jane", "Phil","Sue/Panos","Shawn/Owens","Jeff", "Rob")</f>
        <v>Sue/Panos</v>
      </c>
      <c r="E7" s="104" t="s">
        <v>33</v>
      </c>
      <c r="F7" s="10">
        <v>0.70833333333333337</v>
      </c>
      <c r="G7" s="10">
        <v>0.70833333333333337</v>
      </c>
      <c r="H7" s="11">
        <f t="shared" si="1"/>
        <v>0</v>
      </c>
      <c r="I7" s="106"/>
      <c r="J7" s="20">
        <v>48</v>
      </c>
      <c r="K7" s="20">
        <v>48</v>
      </c>
      <c r="L7" s="20" t="s">
        <v>128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12">
        <f t="shared" si="2"/>
        <v>0</v>
      </c>
      <c r="Z7" s="12">
        <f t="shared" si="3"/>
        <v>0</v>
      </c>
      <c r="AA7" s="13">
        <f t="shared" si="4"/>
        <v>0</v>
      </c>
      <c r="AB7" s="13">
        <f t="shared" si="5"/>
        <v>0</v>
      </c>
      <c r="AC7" s="14">
        <v>0.9</v>
      </c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</row>
    <row r="8" spans="1:66" ht="15.75" customHeight="1">
      <c r="A8" s="125">
        <v>43076</v>
      </c>
      <c r="B8" s="17">
        <v>1627</v>
      </c>
      <c r="C8" s="17">
        <v>1701</v>
      </c>
      <c r="D8" s="9" t="str">
        <f>CHOOSE(WEEKDAY(A8),"Fred/Anne", "Jane", "Phil","Sue/Panos","Shawn/Orem","Jeff", "Rob")</f>
        <v>Shawn/Orem</v>
      </c>
      <c r="E8" s="100" t="s">
        <v>33</v>
      </c>
      <c r="F8" s="10">
        <v>0.70833333333333337</v>
      </c>
      <c r="G8" s="10">
        <v>0.70833333333333337</v>
      </c>
      <c r="H8" s="11">
        <f t="shared" si="1"/>
        <v>0</v>
      </c>
      <c r="I8" s="102"/>
      <c r="J8" s="9">
        <v>42</v>
      </c>
      <c r="K8" s="9"/>
      <c r="L8" s="9" t="s">
        <v>129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12">
        <f t="shared" si="2"/>
        <v>0</v>
      </c>
      <c r="Z8" s="12">
        <f t="shared" si="3"/>
        <v>0</v>
      </c>
      <c r="AA8" s="13">
        <f t="shared" si="4"/>
        <v>0</v>
      </c>
      <c r="AB8" s="13">
        <f t="shared" si="5"/>
        <v>0</v>
      </c>
      <c r="AC8" s="14">
        <v>0.81</v>
      </c>
      <c r="AD8" s="9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</row>
    <row r="9" spans="1:66" ht="15.75" customHeight="1">
      <c r="A9" s="126">
        <v>43077</v>
      </c>
      <c r="B9" s="19">
        <v>1627</v>
      </c>
      <c r="C9" s="19">
        <v>1701</v>
      </c>
      <c r="D9" s="20" t="str">
        <f t="shared" ref="D9:D12" si="6">CHOOSE(WEEKDAY(A9),"Fred/Anne", "Jane", "Phil","Sue/Panos","Shawn/Owens","Jeff", "Rob")</f>
        <v>Jeff</v>
      </c>
      <c r="E9" s="104" t="s">
        <v>33</v>
      </c>
      <c r="F9" s="21">
        <v>0.77083333333333337</v>
      </c>
      <c r="G9" s="21">
        <v>0.77083333333333337</v>
      </c>
      <c r="H9" s="11">
        <f t="shared" si="1"/>
        <v>0</v>
      </c>
      <c r="I9" s="106">
        <v>0</v>
      </c>
      <c r="J9" s="20">
        <v>39</v>
      </c>
      <c r="K9" s="20"/>
      <c r="L9" s="20" t="s">
        <v>130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12">
        <f t="shared" si="2"/>
        <v>0</v>
      </c>
      <c r="Z9" s="12">
        <f t="shared" si="3"/>
        <v>0</v>
      </c>
      <c r="AA9" s="13">
        <f t="shared" si="4"/>
        <v>0</v>
      </c>
      <c r="AB9" s="13">
        <f t="shared" si="5"/>
        <v>0</v>
      </c>
      <c r="AC9" s="14">
        <v>0.71</v>
      </c>
      <c r="AD9" s="20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</row>
    <row r="10" spans="1:66" ht="15.75" customHeight="1">
      <c r="A10" s="126">
        <v>43078</v>
      </c>
      <c r="B10" s="17">
        <v>1627</v>
      </c>
      <c r="C10" s="17">
        <v>1701</v>
      </c>
      <c r="D10" s="9" t="str">
        <f t="shared" si="6"/>
        <v>Rob</v>
      </c>
      <c r="E10" s="100" t="s">
        <v>91</v>
      </c>
      <c r="F10" s="10"/>
      <c r="G10" s="37"/>
      <c r="H10" s="11">
        <f t="shared" si="1"/>
        <v>0</v>
      </c>
      <c r="I10" s="102"/>
      <c r="J10" s="9">
        <v>39</v>
      </c>
      <c r="K10" s="9"/>
      <c r="L10" s="9" t="s">
        <v>129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12">
        <f t="shared" si="2"/>
        <v>0</v>
      </c>
      <c r="Z10" s="12">
        <f t="shared" si="3"/>
        <v>0</v>
      </c>
      <c r="AA10" s="13">
        <f t="shared" si="4"/>
        <v>0</v>
      </c>
      <c r="AB10" s="13">
        <f t="shared" si="5"/>
        <v>0</v>
      </c>
      <c r="AC10" s="14">
        <v>0.61</v>
      </c>
      <c r="AD10" s="9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</row>
    <row r="11" spans="1:66" ht="15.75" customHeight="1">
      <c r="A11" s="126">
        <v>43079</v>
      </c>
      <c r="B11" s="19">
        <v>1627</v>
      </c>
      <c r="C11" s="19">
        <v>1701</v>
      </c>
      <c r="D11" s="20" t="str">
        <f t="shared" si="6"/>
        <v>Fred/Anne</v>
      </c>
      <c r="E11" s="104" t="s">
        <v>33</v>
      </c>
      <c r="F11" s="21">
        <v>0.70833333333333337</v>
      </c>
      <c r="G11" s="21">
        <v>0.70833333333333337</v>
      </c>
      <c r="H11" s="11">
        <f t="shared" si="1"/>
        <v>0</v>
      </c>
      <c r="I11" s="106"/>
      <c r="J11" s="20">
        <v>38</v>
      </c>
      <c r="K11" s="20"/>
      <c r="L11" s="20" t="s">
        <v>130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12">
        <f t="shared" si="2"/>
        <v>0</v>
      </c>
      <c r="Z11" s="12">
        <f t="shared" si="3"/>
        <v>0</v>
      </c>
      <c r="AA11" s="13">
        <f t="shared" si="4"/>
        <v>0</v>
      </c>
      <c r="AB11" s="13">
        <f t="shared" si="5"/>
        <v>0</v>
      </c>
      <c r="AC11" s="14">
        <v>0.5</v>
      </c>
      <c r="AD11" s="20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</row>
    <row r="12" spans="1:66" ht="15.75" customHeight="1">
      <c r="A12" s="126">
        <v>43080</v>
      </c>
      <c r="B12" s="17">
        <v>1627</v>
      </c>
      <c r="C12" s="17">
        <v>1701</v>
      </c>
      <c r="D12" s="9" t="str">
        <f t="shared" si="6"/>
        <v>Jane</v>
      </c>
      <c r="E12" s="100" t="s">
        <v>33</v>
      </c>
      <c r="F12" s="10"/>
      <c r="G12" s="10"/>
      <c r="H12" s="11">
        <f t="shared" si="1"/>
        <v>0</v>
      </c>
      <c r="I12" s="102">
        <v>0</v>
      </c>
      <c r="J12" s="9">
        <v>36</v>
      </c>
      <c r="K12" s="9"/>
      <c r="L12" s="9" t="s">
        <v>130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12">
        <f t="shared" si="2"/>
        <v>0</v>
      </c>
      <c r="Z12" s="12">
        <f t="shared" si="3"/>
        <v>0</v>
      </c>
      <c r="AA12" s="13">
        <f t="shared" si="4"/>
        <v>0</v>
      </c>
      <c r="AB12" s="13">
        <f t="shared" si="5"/>
        <v>0</v>
      </c>
      <c r="AC12" s="14">
        <v>0.4</v>
      </c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</row>
    <row r="13" spans="1:66" ht="15.75" customHeight="1">
      <c r="A13" s="126">
        <v>43081</v>
      </c>
      <c r="B13" s="19">
        <v>1627</v>
      </c>
      <c r="C13" s="19">
        <v>1701</v>
      </c>
      <c r="D13" s="127" t="str">
        <f>CHOOSE(WEEKDAY(A13),"Fred/Anne", "Jane", "Phil/Tom","Sue/Panos","Shawn/Owens","Jeff", "Rob")</f>
        <v>Phil/Tom</v>
      </c>
      <c r="E13" s="104" t="s">
        <v>33</v>
      </c>
      <c r="F13" s="21">
        <v>0.70833333333333337</v>
      </c>
      <c r="G13" s="21">
        <v>0.70833333333333337</v>
      </c>
      <c r="H13" s="11">
        <f t="shared" si="1"/>
        <v>0</v>
      </c>
      <c r="I13" s="106">
        <v>0</v>
      </c>
      <c r="J13" s="20">
        <v>40</v>
      </c>
      <c r="K13" s="20">
        <v>40</v>
      </c>
      <c r="L13" s="20" t="s">
        <v>127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12">
        <f t="shared" si="2"/>
        <v>0</v>
      </c>
      <c r="Z13" s="12">
        <f t="shared" si="3"/>
        <v>0</v>
      </c>
      <c r="AA13" s="13">
        <f t="shared" si="4"/>
        <v>0</v>
      </c>
      <c r="AB13" s="13">
        <f t="shared" si="5"/>
        <v>0</v>
      </c>
      <c r="AC13" s="14">
        <v>0.3</v>
      </c>
      <c r="AD13" s="20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</row>
    <row r="14" spans="1:66" ht="15.75" customHeight="1">
      <c r="A14" s="128">
        <v>43082</v>
      </c>
      <c r="B14" s="17">
        <v>1627</v>
      </c>
      <c r="C14" s="17">
        <v>1701</v>
      </c>
      <c r="D14" s="9" t="str">
        <f>CHOOSE(WEEKDAY(A14),"Fred/Anne", "Jane", "Phil","Sue/Panos","Shawn/Owens","Jeff", "Rob")</f>
        <v>Sue/Panos</v>
      </c>
      <c r="E14" s="100" t="s">
        <v>33</v>
      </c>
      <c r="F14" s="21">
        <v>0.70833333333333337</v>
      </c>
      <c r="G14" s="21">
        <v>0.70833333333333337</v>
      </c>
      <c r="H14" s="11">
        <f t="shared" si="1"/>
        <v>0</v>
      </c>
      <c r="I14" s="102"/>
      <c r="J14" s="9">
        <v>39</v>
      </c>
      <c r="K14" s="9">
        <v>39</v>
      </c>
      <c r="L14" s="9" t="s">
        <v>131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12">
        <f t="shared" si="2"/>
        <v>0</v>
      </c>
      <c r="Z14" s="12">
        <f t="shared" si="3"/>
        <v>0</v>
      </c>
      <c r="AA14" s="13">
        <f t="shared" si="4"/>
        <v>0</v>
      </c>
      <c r="AB14" s="13">
        <f t="shared" si="5"/>
        <v>0</v>
      </c>
      <c r="AC14" s="14">
        <v>0.21</v>
      </c>
      <c r="AD14" s="9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</row>
    <row r="15" spans="1:66" ht="15.75" customHeight="1">
      <c r="A15" s="128">
        <v>43083</v>
      </c>
      <c r="B15" s="19">
        <v>1627</v>
      </c>
      <c r="C15" s="19">
        <v>1702</v>
      </c>
      <c r="D15" s="20" t="str">
        <f>CHOOSE(WEEKDAY(A15),"Fred/Anne", "Jane", "Phil","Sue/Panos","Shawn/Orem","Jeff", "Rob")</f>
        <v>Shawn/Orem</v>
      </c>
      <c r="E15" s="104" t="s">
        <v>33</v>
      </c>
      <c r="F15" s="21">
        <v>0.70833333333333337</v>
      </c>
      <c r="G15" s="21">
        <v>0.70833333333333337</v>
      </c>
      <c r="H15" s="11">
        <f t="shared" si="1"/>
        <v>0</v>
      </c>
      <c r="I15" s="106"/>
      <c r="J15" s="20">
        <v>40</v>
      </c>
      <c r="K15" s="20"/>
      <c r="L15" s="20" t="s">
        <v>129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12">
        <f t="shared" si="2"/>
        <v>0</v>
      </c>
      <c r="Z15" s="12">
        <f t="shared" si="3"/>
        <v>0</v>
      </c>
      <c r="AA15" s="13">
        <f t="shared" si="4"/>
        <v>0</v>
      </c>
      <c r="AB15" s="13">
        <f t="shared" si="5"/>
        <v>0</v>
      </c>
      <c r="AC15" s="14">
        <v>0.14000000000000001</v>
      </c>
      <c r="AD15" s="20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</row>
    <row r="16" spans="1:66" ht="15.75" customHeight="1">
      <c r="A16" s="128">
        <v>43084</v>
      </c>
      <c r="B16" s="17">
        <v>1628</v>
      </c>
      <c r="C16" s="17">
        <v>1702</v>
      </c>
      <c r="D16" s="9" t="str">
        <f t="shared" ref="D16:D19" si="7">CHOOSE(WEEKDAY(A16),"Fred/Anne", "Jane", "Phil","Sue/Panos","Shawn/Owens","Jeff", "Rob")</f>
        <v>Jeff</v>
      </c>
      <c r="E16" s="100" t="s">
        <v>33</v>
      </c>
      <c r="F16" s="10">
        <v>0.70833333333333337</v>
      </c>
      <c r="G16" s="10">
        <v>0.70833333333333337</v>
      </c>
      <c r="H16" s="11">
        <f t="shared" si="1"/>
        <v>0</v>
      </c>
      <c r="I16" s="102">
        <v>0</v>
      </c>
      <c r="J16" s="9">
        <v>39</v>
      </c>
      <c r="K16" s="9">
        <v>39</v>
      </c>
      <c r="L16" s="9" t="s">
        <v>132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12">
        <f t="shared" si="2"/>
        <v>0</v>
      </c>
      <c r="Z16" s="12">
        <f t="shared" si="3"/>
        <v>0</v>
      </c>
      <c r="AA16" s="13">
        <f t="shared" si="4"/>
        <v>0</v>
      </c>
      <c r="AB16" s="13">
        <f t="shared" si="5"/>
        <v>0</v>
      </c>
      <c r="AC16" s="14">
        <v>0.08</v>
      </c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</row>
    <row r="17" spans="1:66" ht="15.75" customHeight="1">
      <c r="A17" s="128">
        <v>43085</v>
      </c>
      <c r="B17" s="19">
        <v>1628</v>
      </c>
      <c r="C17" s="19">
        <v>1702</v>
      </c>
      <c r="D17" s="20" t="str">
        <f t="shared" si="7"/>
        <v>Rob</v>
      </c>
      <c r="E17" s="104" t="s">
        <v>40</v>
      </c>
      <c r="F17" s="21">
        <v>0.69791666666666663</v>
      </c>
      <c r="G17" s="21">
        <v>0.71875</v>
      </c>
      <c r="H17" s="11">
        <f t="shared" si="1"/>
        <v>2.083333333333337E-2</v>
      </c>
      <c r="I17" s="106">
        <v>0.5</v>
      </c>
      <c r="J17" s="20">
        <v>42</v>
      </c>
      <c r="K17" s="20">
        <v>41</v>
      </c>
      <c r="L17" s="20" t="s">
        <v>133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12">
        <f t="shared" si="2"/>
        <v>0</v>
      </c>
      <c r="Z17" s="12">
        <f t="shared" si="3"/>
        <v>0</v>
      </c>
      <c r="AA17" s="13">
        <f t="shared" si="4"/>
        <v>0</v>
      </c>
      <c r="AB17" s="13">
        <f t="shared" si="5"/>
        <v>0</v>
      </c>
      <c r="AC17" s="14">
        <v>0.04</v>
      </c>
      <c r="AD17" s="20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</row>
    <row r="18" spans="1:66" ht="15.75" customHeight="1">
      <c r="A18" s="34">
        <v>43086</v>
      </c>
      <c r="B18" s="17">
        <v>1628</v>
      </c>
      <c r="C18" s="17">
        <v>1703</v>
      </c>
      <c r="D18" s="9" t="str">
        <f t="shared" si="7"/>
        <v>Fred/Anne</v>
      </c>
      <c r="E18" s="100" t="s">
        <v>30</v>
      </c>
      <c r="F18" s="26">
        <v>0.70138888888888884</v>
      </c>
      <c r="G18" s="10">
        <v>0.75</v>
      </c>
      <c r="H18" s="11">
        <f t="shared" si="1"/>
        <v>4.861111111111116E-2</v>
      </c>
      <c r="I18" s="102">
        <v>1.1000000000000001</v>
      </c>
      <c r="J18" s="9">
        <v>46</v>
      </c>
      <c r="K18" s="9">
        <v>41</v>
      </c>
      <c r="L18" s="9" t="s">
        <v>134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12">
        <f t="shared" si="2"/>
        <v>0</v>
      </c>
      <c r="Z18" s="12">
        <f t="shared" si="3"/>
        <v>0</v>
      </c>
      <c r="AA18" s="13">
        <f t="shared" si="4"/>
        <v>0</v>
      </c>
      <c r="AB18" s="13">
        <f t="shared" si="5"/>
        <v>0</v>
      </c>
      <c r="AC18" s="14">
        <v>0.01</v>
      </c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</row>
    <row r="19" spans="1:66" ht="15.75" customHeight="1">
      <c r="A19" s="34">
        <v>43087</v>
      </c>
      <c r="B19" s="19">
        <v>1629</v>
      </c>
      <c r="C19" s="19">
        <v>1703</v>
      </c>
      <c r="D19" s="20" t="str">
        <f t="shared" si="7"/>
        <v>Jane</v>
      </c>
      <c r="E19" s="104" t="s">
        <v>30</v>
      </c>
      <c r="F19" s="21">
        <v>0.69444444444444442</v>
      </c>
      <c r="G19" s="21">
        <v>0.85416666666666663</v>
      </c>
      <c r="H19" s="11">
        <f t="shared" si="1"/>
        <v>0.15972222222222221</v>
      </c>
      <c r="I19" s="111">
        <v>0.46527777777777779</v>
      </c>
      <c r="J19" s="20">
        <v>49</v>
      </c>
      <c r="K19" s="20">
        <v>48</v>
      </c>
      <c r="L19" s="20" t="s">
        <v>135</v>
      </c>
      <c r="M19" s="20">
        <v>0</v>
      </c>
      <c r="N19" s="20">
        <v>1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12">
        <f t="shared" si="2"/>
        <v>1</v>
      </c>
      <c r="Z19" s="12">
        <f t="shared" si="3"/>
        <v>0</v>
      </c>
      <c r="AA19" s="13">
        <f t="shared" si="4"/>
        <v>1</v>
      </c>
      <c r="AB19" s="13">
        <f t="shared" si="5"/>
        <v>0</v>
      </c>
      <c r="AC19" s="14">
        <v>0</v>
      </c>
      <c r="AD19" s="20" t="s">
        <v>136</v>
      </c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</row>
    <row r="20" spans="1:66" ht="15.75" customHeight="1">
      <c r="A20" s="34">
        <v>43088</v>
      </c>
      <c r="B20" s="17">
        <v>1629</v>
      </c>
      <c r="C20" s="17">
        <v>1703</v>
      </c>
      <c r="D20" s="9" t="str">
        <f>CHOOSE(WEEKDAY(A20),"Fred/Anne", "Jane", "Phil/Tom","Sue/Panos","Shawn/Owens","Jeff", "Rob")</f>
        <v>Phil/Tom</v>
      </c>
      <c r="E20" s="100" t="s">
        <v>30</v>
      </c>
      <c r="F20" s="26">
        <v>0.64583333333333337</v>
      </c>
      <c r="G20" s="10">
        <v>0.69791666666666663</v>
      </c>
      <c r="H20" s="11">
        <f t="shared" si="1"/>
        <v>5.2083333333333259E-2</v>
      </c>
      <c r="I20" s="102">
        <v>7</v>
      </c>
      <c r="J20" s="9">
        <v>40</v>
      </c>
      <c r="K20" s="9">
        <v>40</v>
      </c>
      <c r="L20" s="9" t="s">
        <v>137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12">
        <f t="shared" si="2"/>
        <v>0</v>
      </c>
      <c r="Z20" s="12">
        <f t="shared" si="3"/>
        <v>0</v>
      </c>
      <c r="AA20" s="13">
        <f t="shared" si="4"/>
        <v>0</v>
      </c>
      <c r="AB20" s="13">
        <f t="shared" si="5"/>
        <v>0</v>
      </c>
      <c r="AC20" s="14">
        <v>0.01</v>
      </c>
      <c r="AD20" s="9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</row>
    <row r="21" spans="1:66" ht="15.75" customHeight="1">
      <c r="A21" s="36">
        <v>43089</v>
      </c>
      <c r="B21" s="19">
        <v>1630</v>
      </c>
      <c r="C21" s="19">
        <v>1704</v>
      </c>
      <c r="D21" s="20" t="str">
        <f>CHOOSE(WEEKDAY(A21),"Fred/Anne", "Jane", "Phil","Sue/Panos","Shawn/Owens","Jeff", "Rob")</f>
        <v>Sue/Panos</v>
      </c>
      <c r="E21" s="104" t="s">
        <v>33</v>
      </c>
      <c r="F21" s="10">
        <v>0.70833333333333337</v>
      </c>
      <c r="G21" s="10">
        <v>0.70833333333333337</v>
      </c>
      <c r="H21" s="11">
        <f t="shared" si="1"/>
        <v>0</v>
      </c>
      <c r="I21" s="106"/>
      <c r="J21" s="20">
        <v>42</v>
      </c>
      <c r="K21" s="20">
        <v>42</v>
      </c>
      <c r="L21" s="20" t="s">
        <v>138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12">
        <f t="shared" si="2"/>
        <v>0</v>
      </c>
      <c r="Z21" s="12">
        <f t="shared" si="3"/>
        <v>0</v>
      </c>
      <c r="AA21" s="13">
        <f t="shared" si="4"/>
        <v>0</v>
      </c>
      <c r="AB21" s="13">
        <f t="shared" si="5"/>
        <v>0</v>
      </c>
      <c r="AC21" s="14">
        <v>0.04</v>
      </c>
      <c r="AD21" s="20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</row>
    <row r="22" spans="1:66" ht="15.75" customHeight="1">
      <c r="A22" s="36">
        <v>43090</v>
      </c>
      <c r="B22" s="17">
        <v>1630</v>
      </c>
      <c r="C22" s="17">
        <v>1704</v>
      </c>
      <c r="D22" s="9" t="str">
        <f>CHOOSE(WEEKDAY(A22),"Fred/Anne", "Jane", "Phil","Sue/Panos","Shawn/Orem","Jeff", "Rob")</f>
        <v>Shawn/Orem</v>
      </c>
      <c r="E22" s="100" t="s">
        <v>33</v>
      </c>
      <c r="F22" s="10">
        <v>0.70833333333333337</v>
      </c>
      <c r="G22" s="10">
        <v>0.70833333333333337</v>
      </c>
      <c r="H22" s="11">
        <f t="shared" si="1"/>
        <v>0</v>
      </c>
      <c r="I22" s="9"/>
      <c r="J22" s="9">
        <v>33</v>
      </c>
      <c r="K22" s="9"/>
      <c r="L22" s="9" t="s">
        <v>139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12">
        <f t="shared" si="2"/>
        <v>0</v>
      </c>
      <c r="Z22" s="12">
        <f t="shared" si="3"/>
        <v>0</v>
      </c>
      <c r="AA22" s="13">
        <f t="shared" si="4"/>
        <v>0</v>
      </c>
      <c r="AB22" s="13">
        <f t="shared" si="5"/>
        <v>0</v>
      </c>
      <c r="AC22" s="14">
        <v>0.08</v>
      </c>
      <c r="AD22" s="9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</row>
    <row r="23" spans="1:66" ht="15.75" customHeight="1">
      <c r="A23" s="36">
        <v>43091</v>
      </c>
      <c r="B23" s="19">
        <v>1631</v>
      </c>
      <c r="C23" s="19">
        <v>1705</v>
      </c>
      <c r="D23" s="20" t="str">
        <f t="shared" ref="D23:D26" si="8">CHOOSE(WEEKDAY(A23),"Fred/Anne", "Jane", "Phil","Sue/Panos","Shawn/Owens","Jeff", "Rob")</f>
        <v>Jeff</v>
      </c>
      <c r="E23" s="104" t="s">
        <v>33</v>
      </c>
      <c r="F23" s="20"/>
      <c r="G23" s="21"/>
      <c r="H23" s="11">
        <f t="shared" si="1"/>
        <v>0</v>
      </c>
      <c r="I23" s="106"/>
      <c r="J23" s="20">
        <v>37</v>
      </c>
      <c r="K23" s="20"/>
      <c r="L23" s="20" t="s">
        <v>122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12">
        <f t="shared" si="2"/>
        <v>0</v>
      </c>
      <c r="Z23" s="12">
        <f t="shared" si="3"/>
        <v>0</v>
      </c>
      <c r="AA23" s="13">
        <f t="shared" si="4"/>
        <v>0</v>
      </c>
      <c r="AB23" s="13">
        <f t="shared" si="5"/>
        <v>0</v>
      </c>
      <c r="AC23" s="14">
        <v>0.14000000000000001</v>
      </c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</row>
    <row r="24" spans="1:66" ht="15.75" customHeight="1">
      <c r="A24" s="36">
        <v>43092</v>
      </c>
      <c r="B24" s="17">
        <v>1631</v>
      </c>
      <c r="C24" s="17">
        <v>1705</v>
      </c>
      <c r="D24" s="9" t="str">
        <f t="shared" si="8"/>
        <v>Rob</v>
      </c>
      <c r="E24" s="100" t="s">
        <v>91</v>
      </c>
      <c r="F24" s="10"/>
      <c r="G24" s="10"/>
      <c r="H24" s="11">
        <f t="shared" si="1"/>
        <v>0</v>
      </c>
      <c r="I24" s="102"/>
      <c r="J24" s="9">
        <v>34</v>
      </c>
      <c r="K24" s="9"/>
      <c r="L24" s="9" t="s">
        <v>140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12">
        <f t="shared" si="2"/>
        <v>0</v>
      </c>
      <c r="Z24" s="12">
        <f t="shared" si="3"/>
        <v>0</v>
      </c>
      <c r="AA24" s="13">
        <f t="shared" si="4"/>
        <v>0</v>
      </c>
      <c r="AB24" s="13">
        <f t="shared" si="5"/>
        <v>0</v>
      </c>
      <c r="AC24" s="14">
        <v>0.21</v>
      </c>
      <c r="AD24" s="9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</row>
    <row r="25" spans="1:66" ht="15.75" customHeight="1">
      <c r="A25" s="38">
        <v>43093</v>
      </c>
      <c r="B25" s="19">
        <v>1632</v>
      </c>
      <c r="C25" s="19">
        <v>1706</v>
      </c>
      <c r="D25" s="20" t="str">
        <f t="shared" si="8"/>
        <v>Fred/Anne</v>
      </c>
      <c r="E25" s="104"/>
      <c r="F25" s="21"/>
      <c r="G25" s="21"/>
      <c r="H25" s="11">
        <f t="shared" si="1"/>
        <v>0</v>
      </c>
      <c r="I25" s="106"/>
      <c r="J25" s="20"/>
      <c r="K25" s="20"/>
      <c r="L25" s="20"/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12">
        <f t="shared" si="2"/>
        <v>0</v>
      </c>
      <c r="Z25" s="12">
        <f t="shared" si="3"/>
        <v>0</v>
      </c>
      <c r="AA25" s="13">
        <f t="shared" si="4"/>
        <v>0</v>
      </c>
      <c r="AB25" s="13">
        <f t="shared" si="5"/>
        <v>0</v>
      </c>
      <c r="AC25" s="14">
        <v>0.3</v>
      </c>
      <c r="AD25" s="20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</row>
    <row r="26" spans="1:66" ht="15.75" customHeight="1">
      <c r="A26" s="38">
        <v>43094</v>
      </c>
      <c r="B26" s="17">
        <v>1632</v>
      </c>
      <c r="C26" s="17">
        <v>1707</v>
      </c>
      <c r="D26" s="9" t="str">
        <f t="shared" si="8"/>
        <v>Jane</v>
      </c>
      <c r="E26" s="100" t="s">
        <v>33</v>
      </c>
      <c r="F26" s="10">
        <v>0.70833333333333337</v>
      </c>
      <c r="G26" s="10">
        <v>0.70833333333333337</v>
      </c>
      <c r="H26" s="11">
        <f t="shared" si="1"/>
        <v>0</v>
      </c>
      <c r="I26" s="102"/>
      <c r="J26" s="9">
        <v>31</v>
      </c>
      <c r="K26" s="9"/>
      <c r="L26" s="9" t="s">
        <v>35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/>
      <c r="X26" s="9">
        <v>0</v>
      </c>
      <c r="Y26" s="12">
        <f t="shared" si="2"/>
        <v>0</v>
      </c>
      <c r="Z26" s="12">
        <f t="shared" si="3"/>
        <v>0</v>
      </c>
      <c r="AA26" s="13">
        <f t="shared" si="4"/>
        <v>0</v>
      </c>
      <c r="AB26" s="13">
        <f t="shared" si="5"/>
        <v>0</v>
      </c>
      <c r="AC26" s="14">
        <v>0.39</v>
      </c>
      <c r="AD26" s="9"/>
      <c r="AE26" s="9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</row>
    <row r="27" spans="1:66" ht="15.75" customHeight="1">
      <c r="A27" s="38">
        <v>43095</v>
      </c>
      <c r="B27" s="19">
        <v>1633</v>
      </c>
      <c r="C27" s="19">
        <v>1707</v>
      </c>
      <c r="D27" s="20" t="str">
        <f>CHOOSE(WEEKDAY(A27),"Fred/Anne", "Jane", "Phil/Tom","Sue/Panos","Shawn/Owens","Jeff", "Rob")</f>
        <v>Phil/Tom</v>
      </c>
      <c r="E27" s="104" t="s">
        <v>33</v>
      </c>
      <c r="F27" s="21"/>
      <c r="G27" s="21"/>
      <c r="H27" s="11">
        <f t="shared" si="1"/>
        <v>0</v>
      </c>
      <c r="I27" s="106"/>
      <c r="J27" s="20">
        <v>33</v>
      </c>
      <c r="K27" s="20"/>
      <c r="L27" s="20"/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12">
        <f t="shared" si="2"/>
        <v>0</v>
      </c>
      <c r="Z27" s="12">
        <f t="shared" si="3"/>
        <v>0</v>
      </c>
      <c r="AA27" s="13">
        <f t="shared" si="4"/>
        <v>0</v>
      </c>
      <c r="AB27" s="13">
        <f t="shared" si="5"/>
        <v>0</v>
      </c>
      <c r="AC27" s="14">
        <v>0.5</v>
      </c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</row>
    <row r="28" spans="1:66" ht="15.75" customHeight="1">
      <c r="A28" s="38">
        <v>43096</v>
      </c>
      <c r="B28" s="17">
        <v>1634</v>
      </c>
      <c r="C28" s="17">
        <v>1708</v>
      </c>
      <c r="D28" s="9" t="str">
        <f>CHOOSE(WEEKDAY(A28),"Fred/Anne", "Jane", "Phil","Sue/Panos","Shawn/Owens","Jeff", "Rob")</f>
        <v>Sue/Panos</v>
      </c>
      <c r="E28" s="100" t="s">
        <v>33</v>
      </c>
      <c r="F28" s="10">
        <v>0.70833333333333337</v>
      </c>
      <c r="G28" s="10">
        <v>0.70833333333333337</v>
      </c>
      <c r="H28" s="11">
        <f t="shared" si="1"/>
        <v>0</v>
      </c>
      <c r="I28" s="102"/>
      <c r="J28" s="9">
        <v>34</v>
      </c>
      <c r="K28" s="9">
        <v>34</v>
      </c>
      <c r="L28" s="9" t="s">
        <v>141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12">
        <f t="shared" si="2"/>
        <v>0</v>
      </c>
      <c r="Z28" s="12">
        <f t="shared" si="3"/>
        <v>0</v>
      </c>
      <c r="AA28" s="13">
        <f t="shared" si="4"/>
        <v>0</v>
      </c>
      <c r="AB28" s="13">
        <f t="shared" si="5"/>
        <v>0</v>
      </c>
      <c r="AC28" s="14">
        <v>0.6</v>
      </c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</row>
    <row r="29" spans="1:66" ht="15.75" customHeight="1">
      <c r="A29" s="38">
        <v>43097</v>
      </c>
      <c r="B29" s="19">
        <v>1635</v>
      </c>
      <c r="C29" s="19">
        <v>1709</v>
      </c>
      <c r="D29" s="20" t="str">
        <f>CHOOSE(WEEKDAY(A29),"Fred/Anne", "Jane", "Phil","Sue/Panos","Shawn/Orem","Jeff", "Rob")</f>
        <v>Shawn/Orem</v>
      </c>
      <c r="E29" s="104" t="s">
        <v>30</v>
      </c>
      <c r="F29" s="21">
        <v>0.6875</v>
      </c>
      <c r="G29" s="21">
        <v>0.97916666666666663</v>
      </c>
      <c r="H29" s="11">
        <f t="shared" si="1"/>
        <v>0.29166666666666663</v>
      </c>
      <c r="I29" s="106">
        <v>18</v>
      </c>
      <c r="J29" s="20">
        <v>45</v>
      </c>
      <c r="K29" s="20">
        <v>48</v>
      </c>
      <c r="L29" s="20" t="s">
        <v>142</v>
      </c>
      <c r="M29" s="20">
        <v>0</v>
      </c>
      <c r="N29" s="20">
        <v>36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1</v>
      </c>
      <c r="X29" s="20">
        <v>0</v>
      </c>
      <c r="Y29" s="12">
        <f t="shared" si="2"/>
        <v>36</v>
      </c>
      <c r="Z29" s="12">
        <f t="shared" si="3"/>
        <v>0</v>
      </c>
      <c r="AA29" s="13">
        <f t="shared" si="4"/>
        <v>36</v>
      </c>
      <c r="AB29" s="13">
        <f t="shared" si="5"/>
        <v>0</v>
      </c>
      <c r="AC29" s="14">
        <v>0.7</v>
      </c>
      <c r="AD29" s="20" t="s">
        <v>143</v>
      </c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</row>
    <row r="30" spans="1:66" ht="15.75" customHeight="1">
      <c r="A30" s="39">
        <v>43098</v>
      </c>
      <c r="B30" s="17">
        <v>1635</v>
      </c>
      <c r="C30" s="17">
        <v>1710</v>
      </c>
      <c r="D30" s="9" t="str">
        <f t="shared" ref="D30:D32" si="9">CHOOSE(WEEKDAY(A30),"Fred/Anne", "Jane", "Phil","Sue/Panos","Shawn/Owens","Jeff", "Rob")</f>
        <v>Jeff</v>
      </c>
      <c r="E30" s="100" t="s">
        <v>30</v>
      </c>
      <c r="F30" s="10">
        <v>0.6875</v>
      </c>
      <c r="G30" s="10">
        <v>0.91666666666666663</v>
      </c>
      <c r="H30" s="11">
        <f t="shared" si="1"/>
        <v>0.22916666666666663</v>
      </c>
      <c r="I30" s="102">
        <v>30.7</v>
      </c>
      <c r="J30" s="9">
        <v>51</v>
      </c>
      <c r="K30" s="9">
        <v>46</v>
      </c>
      <c r="L30" s="9" t="s">
        <v>144</v>
      </c>
      <c r="M30" s="9">
        <v>20</v>
      </c>
      <c r="N30" s="9">
        <v>160</v>
      </c>
      <c r="O30" s="9">
        <v>0</v>
      </c>
      <c r="P30" s="9">
        <v>1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2</v>
      </c>
      <c r="X30" s="9">
        <v>0</v>
      </c>
      <c r="Y30" s="12">
        <f t="shared" si="2"/>
        <v>181</v>
      </c>
      <c r="Z30" s="12">
        <f t="shared" si="3"/>
        <v>0</v>
      </c>
      <c r="AA30" s="13">
        <f t="shared" si="4"/>
        <v>180</v>
      </c>
      <c r="AB30" s="13">
        <f t="shared" si="5"/>
        <v>0</v>
      </c>
      <c r="AC30" s="14">
        <v>0.8</v>
      </c>
      <c r="AD30" s="17"/>
      <c r="AE30" s="9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</row>
    <row r="31" spans="1:66" ht="15.75" customHeight="1">
      <c r="A31" s="39">
        <v>43099</v>
      </c>
      <c r="B31" s="19">
        <v>1636</v>
      </c>
      <c r="C31" s="19">
        <v>1710</v>
      </c>
      <c r="D31" s="20" t="str">
        <f t="shared" si="9"/>
        <v>Rob</v>
      </c>
      <c r="E31" s="104" t="s">
        <v>40</v>
      </c>
      <c r="F31" s="21">
        <v>0.69791666666666663</v>
      </c>
      <c r="G31" s="21">
        <v>0.72916666666666663</v>
      </c>
      <c r="H31" s="11">
        <f t="shared" si="1"/>
        <v>3.125E-2</v>
      </c>
      <c r="I31" s="106">
        <v>1.25</v>
      </c>
      <c r="J31" s="20">
        <v>42</v>
      </c>
      <c r="K31" s="20">
        <v>38</v>
      </c>
      <c r="L31" s="20" t="s">
        <v>145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12">
        <f t="shared" si="2"/>
        <v>0</v>
      </c>
      <c r="Z31" s="12">
        <f t="shared" si="3"/>
        <v>0</v>
      </c>
      <c r="AA31" s="13">
        <f t="shared" si="4"/>
        <v>0</v>
      </c>
      <c r="AB31" s="13">
        <f t="shared" si="5"/>
        <v>0</v>
      </c>
      <c r="AC31" s="14">
        <v>0.89</v>
      </c>
      <c r="AD31" s="20"/>
      <c r="AE31" s="20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</row>
    <row r="32" spans="1:66" ht="15.75" customHeight="1">
      <c r="A32" s="39">
        <v>43100</v>
      </c>
      <c r="B32" s="17">
        <v>1637</v>
      </c>
      <c r="C32" s="17">
        <v>1711</v>
      </c>
      <c r="D32" s="9" t="str">
        <f t="shared" si="9"/>
        <v>Fred/Anne</v>
      </c>
      <c r="E32" s="100" t="s">
        <v>30</v>
      </c>
      <c r="F32" s="10">
        <v>0.70833333333333337</v>
      </c>
      <c r="G32" s="10">
        <v>0.71875</v>
      </c>
      <c r="H32" s="11">
        <f t="shared" si="1"/>
        <v>1.041666666666663E-2</v>
      </c>
      <c r="I32" s="102"/>
      <c r="J32" s="9">
        <v>39</v>
      </c>
      <c r="K32" s="9">
        <v>39</v>
      </c>
      <c r="L32" s="9" t="s">
        <v>146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12">
        <f t="shared" si="2"/>
        <v>0</v>
      </c>
      <c r="Z32" s="12">
        <f t="shared" si="3"/>
        <v>0</v>
      </c>
      <c r="AA32" s="13">
        <f t="shared" si="4"/>
        <v>0</v>
      </c>
      <c r="AB32" s="13">
        <f t="shared" si="5"/>
        <v>0</v>
      </c>
      <c r="AC32" s="14">
        <v>0.95</v>
      </c>
      <c r="AD32" s="9" t="s">
        <v>147</v>
      </c>
      <c r="AE32" s="9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</row>
    <row r="33" spans="1:65" ht="15.75" customHeight="1">
      <c r="B33" s="129"/>
      <c r="C33" s="129"/>
      <c r="D33" s="129"/>
      <c r="E33" s="52" t="s">
        <v>52</v>
      </c>
      <c r="F33" s="130"/>
      <c r="H33" s="53">
        <f>SUM(H3:H32)</f>
        <v>0.89583333333333315</v>
      </c>
      <c r="I33" s="119">
        <f>SUM(I2:I32)</f>
        <v>62.015277777777776</v>
      </c>
      <c r="J33" s="129"/>
      <c r="K33" s="129"/>
      <c r="L33" s="129"/>
      <c r="M33" s="57">
        <f t="shared" ref="M33:X33" si="10">SUM(M2:M32)</f>
        <v>20</v>
      </c>
      <c r="N33" s="57">
        <f t="shared" si="10"/>
        <v>197</v>
      </c>
      <c r="O33" s="57">
        <f t="shared" si="10"/>
        <v>0</v>
      </c>
      <c r="P33" s="57">
        <f t="shared" si="10"/>
        <v>1</v>
      </c>
      <c r="Q33" s="57">
        <f t="shared" si="10"/>
        <v>0</v>
      </c>
      <c r="R33" s="57">
        <f t="shared" si="10"/>
        <v>0</v>
      </c>
      <c r="S33" s="57">
        <f t="shared" si="10"/>
        <v>0</v>
      </c>
      <c r="T33" s="57">
        <f t="shared" si="10"/>
        <v>0</v>
      </c>
      <c r="U33" s="57">
        <f t="shared" si="10"/>
        <v>0</v>
      </c>
      <c r="V33" s="57">
        <f t="shared" si="10"/>
        <v>0</v>
      </c>
      <c r="W33" s="57">
        <f t="shared" si="10"/>
        <v>3</v>
      </c>
      <c r="X33" s="57">
        <f t="shared" si="10"/>
        <v>0</v>
      </c>
      <c r="Y33" s="57">
        <f t="shared" ref="Y33:Z33" si="11">SUM(Y2:Y32)</f>
        <v>218</v>
      </c>
      <c r="Z33" s="57">
        <f t="shared" si="11"/>
        <v>0</v>
      </c>
      <c r="AA33" s="57">
        <f t="shared" ref="AA33:AB33" si="12">SUM(AA2:AA32)</f>
        <v>217</v>
      </c>
      <c r="AB33" s="57">
        <f t="shared" si="12"/>
        <v>0</v>
      </c>
    </row>
    <row r="34" spans="1:65" ht="15.75" customHeight="1">
      <c r="B34" s="129"/>
      <c r="C34" s="129"/>
      <c r="D34" s="129"/>
      <c r="E34" s="58" t="s">
        <v>53</v>
      </c>
      <c r="F34" s="59"/>
      <c r="H34" s="60">
        <f>'November 2017'!H$33+'December 2017'!H$33</f>
        <v>1.5506944444444439</v>
      </c>
      <c r="I34" s="61">
        <f>'November 2017'!I$33+'December 2017'!I$33</f>
        <v>103.74527777777777</v>
      </c>
      <c r="J34" s="51"/>
      <c r="K34" s="51"/>
      <c r="L34" s="51"/>
      <c r="M34" s="62">
        <f>'November 2017'!M$33+'December 2017'!M$33</f>
        <v>23</v>
      </c>
      <c r="N34" s="62">
        <f>'November 2017'!N$33+'December 2017'!N$33</f>
        <v>204</v>
      </c>
      <c r="O34" s="62">
        <f>'November 2017'!O$33+'December 2017'!O$33</f>
        <v>0</v>
      </c>
      <c r="P34" s="62">
        <f>'November 2017'!P$33+'December 2017'!P$33</f>
        <v>1</v>
      </c>
      <c r="Q34" s="62">
        <f>'November 2017'!Q$33+'December 2017'!Q$33</f>
        <v>0</v>
      </c>
      <c r="R34" s="62">
        <f>'November 2017'!R$33+'December 2017'!R$33</f>
        <v>0</v>
      </c>
      <c r="S34" s="62">
        <f>'November 2017'!S$33+'December 2017'!S$33</f>
        <v>0</v>
      </c>
      <c r="T34" s="62">
        <f>'November 2017'!T$33+'December 2017'!T$33</f>
        <v>0</v>
      </c>
      <c r="U34" s="62">
        <f>'November 2017'!U$33+'December 2017'!U$33</f>
        <v>0</v>
      </c>
      <c r="V34" s="62">
        <f>'November 2017'!V$33+'December 2017'!V$33</f>
        <v>0</v>
      </c>
      <c r="W34" s="62">
        <f>'November 2017'!W$33+'December 2017'!W$33</f>
        <v>4</v>
      </c>
      <c r="X34" s="62">
        <f>'November 2017'!X$33+'December 2017'!X$33</f>
        <v>0</v>
      </c>
      <c r="Y34" s="62">
        <f>'November 2017'!Y$33+'December 2017'!Y$33</f>
        <v>228</v>
      </c>
      <c r="Z34" s="62">
        <f>'November 2017'!Z$33+'December 2017'!Z$33</f>
        <v>0</v>
      </c>
      <c r="AA34" s="63">
        <f>'November 2017'!AA33+'December 2017'!AA33</f>
        <v>227</v>
      </c>
      <c r="AB34" s="131">
        <f>'November 2017'!AB33+'December 2017'!AB33</f>
        <v>0</v>
      </c>
    </row>
    <row r="35" spans="1:65" ht="15.75" customHeight="1">
      <c r="B35" s="129"/>
      <c r="C35" s="129"/>
      <c r="D35" s="129"/>
      <c r="E35" s="58" t="s">
        <v>54</v>
      </c>
      <c r="F35" s="59"/>
      <c r="H35" s="60">
        <f>'November 2017'!H$33+'December 2017'!H$33+'January 2018'!H$33+'February 2018'!H$33+'March 2018'!H$33+'April 2018'!H$33</f>
        <v>5.1930555555555555</v>
      </c>
      <c r="I35" s="61">
        <f>'November 2017'!I33+'December 2017'!I33+'January 2018'!I33+'February 2018'!I33+'March 2018'!I33+'April 2018'!I33</f>
        <v>486.30986111111122</v>
      </c>
      <c r="J35" s="51"/>
      <c r="K35" s="51"/>
      <c r="L35" s="51"/>
      <c r="M35" s="62">
        <f>'November 2017'!M33+'December 2017'!M33+'January 2018'!M33+'February 2018'!M33+'March 2018'!M33+'April 2018'!M33</f>
        <v>135</v>
      </c>
      <c r="N35" s="62">
        <f>'November 2017'!N33+'December 2017'!N33+'January 2018'!N33+'February 2018'!N33+'March 2018'!N33+'April 2018'!N33</f>
        <v>281</v>
      </c>
      <c r="O35" s="62">
        <f>'November 2017'!O33+'December 2017'!O33+'January 2018'!O33+'February 2018'!O33+'March 2018'!O33+'April 2018'!O33</f>
        <v>7</v>
      </c>
      <c r="P35" s="62">
        <f>'November 2017'!P33+'December 2017'!P33+'January 2018'!P33+'February 2018'!P33+'March 2018'!P33+'April 2018'!P33</f>
        <v>10</v>
      </c>
      <c r="Q35" s="62">
        <f>'November 2017'!Q33+'December 2017'!Q33+'January 2018'!Q33+'February 2018'!Q33+'March 2018'!Q33+'April 2018'!Q33</f>
        <v>104</v>
      </c>
      <c r="R35" s="62">
        <f>'November 2017'!R33+'December 2017'!R33+'January 2018'!R33+'February 2018'!R33+'March 2018'!R33+'April 2018'!R33</f>
        <v>165</v>
      </c>
      <c r="S35" s="62">
        <f>'November 2017'!S33+'December 2017'!S33+'January 2018'!S33+'February 2018'!S33+'March 2018'!S33+'April 2018'!S33</f>
        <v>9</v>
      </c>
      <c r="T35" s="62">
        <f>'November 2017'!T33+'December 2017'!T33+'January 2018'!T33+'February 2018'!T33+'March 2018'!T33+'April 2018'!T33</f>
        <v>7</v>
      </c>
      <c r="U35" s="62">
        <f>'November 2017'!U33+'December 2017'!U33+'January 2018'!U33+'February 2018'!U33+'March 2018'!U33+'April 2018'!U33</f>
        <v>12</v>
      </c>
      <c r="V35" s="62">
        <f>'November 2017'!V33+'December 2017'!V33+'January 2018'!V33+'February 2018'!V33+'March 2018'!V33+'April 2018'!V33</f>
        <v>8</v>
      </c>
      <c r="W35" s="62">
        <f>'November 2017'!W33+'December 2017'!W33+'January 2018'!W33+'February 2018'!W33+'March 2018'!W33+'April 2018'!W33</f>
        <v>17</v>
      </c>
      <c r="X35" s="62">
        <f>'November 2017'!X33+'December 2017'!X33+'January 2018'!X33+'February 2018'!X33+'March 2018'!X33+'April 2018'!X33</f>
        <v>14</v>
      </c>
      <c r="Y35" s="62">
        <f>'November 2017'!Y33+'December 2017'!Y33+'January 2018'!Y33+'February 2018'!Y33+'March 2018'!Y33+'April 2018'!Y33</f>
        <v>433</v>
      </c>
      <c r="Z35" s="62">
        <f>'November 2017'!Z33+'December 2017'!Z33+'January 2018'!Z33+'February 2018'!Z33+'March 2018'!Z33+'April 2018'!Z33</f>
        <v>297</v>
      </c>
      <c r="AA35" s="62">
        <f>'November 2017'!AA33+'December 2017'!AA33+'January 2018'!AA33+'February 2018'!AA33+'March 2018'!AA33+'April 2018'!AA33</f>
        <v>416</v>
      </c>
      <c r="AB35" s="62">
        <f>'November 2017'!AB33+'December 2017'!AB33+'January 2018'!AB33+'February 2018'!AB33+'March 2018'!AB33+'April 2018'!AB33</f>
        <v>282</v>
      </c>
    </row>
    <row r="36" spans="1:65" ht="15.75" customHeight="1">
      <c r="A36" s="51"/>
      <c r="B36" s="51"/>
      <c r="C36" s="51"/>
      <c r="D36" s="51"/>
      <c r="E36" s="52" t="s">
        <v>55</v>
      </c>
      <c r="F36" s="51"/>
      <c r="G36" s="51"/>
      <c r="H36" s="51"/>
      <c r="I36" s="51"/>
      <c r="J36" s="51"/>
      <c r="K36" s="51"/>
      <c r="L36" s="51"/>
      <c r="M36" s="66"/>
      <c r="N36" s="67"/>
      <c r="O36" s="67"/>
      <c r="P36" s="68"/>
      <c r="Q36" s="68"/>
      <c r="R36" s="68"/>
      <c r="S36" s="68"/>
      <c r="T36" s="69"/>
      <c r="U36" s="70"/>
      <c r="V36" s="69"/>
      <c r="W36" s="69"/>
      <c r="X36" s="71"/>
      <c r="Y36" s="68">
        <v>834</v>
      </c>
      <c r="Z36" s="68">
        <v>751</v>
      </c>
      <c r="AA36" s="68"/>
      <c r="AB36" s="71"/>
      <c r="AC36" s="71"/>
      <c r="AD36" s="71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7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17"/>
      <c r="BL36" s="17"/>
      <c r="BM36" s="17"/>
    </row>
    <row r="37" spans="1:65" ht="15.75" customHeight="1">
      <c r="A37" s="51"/>
      <c r="B37" s="51"/>
      <c r="C37" s="51"/>
      <c r="D37" s="51"/>
      <c r="E37" s="52" t="s">
        <v>56</v>
      </c>
      <c r="F37" s="51"/>
      <c r="G37" s="51"/>
      <c r="H37" s="51"/>
      <c r="I37" s="51"/>
      <c r="J37" s="51"/>
      <c r="K37" s="51"/>
      <c r="L37" s="51"/>
      <c r="M37" s="66"/>
      <c r="N37" s="67"/>
      <c r="O37" s="67"/>
      <c r="P37" s="68"/>
      <c r="Q37" s="68"/>
      <c r="R37" s="68"/>
      <c r="S37" s="68"/>
      <c r="T37" s="69"/>
      <c r="U37" s="70"/>
      <c r="V37" s="69"/>
      <c r="W37" s="69"/>
      <c r="X37" s="71"/>
      <c r="Y37" s="68">
        <v>688</v>
      </c>
      <c r="Z37" s="68">
        <v>1040</v>
      </c>
      <c r="AA37" s="68"/>
      <c r="AB37" s="71"/>
      <c r="AC37" s="71"/>
      <c r="AD37" s="71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7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17"/>
      <c r="BL37" s="17"/>
      <c r="BM37" s="17"/>
    </row>
    <row r="38" spans="1:65" ht="15.75" customHeight="1">
      <c r="A38" s="51"/>
      <c r="B38" s="51"/>
      <c r="C38" s="51"/>
      <c r="D38" s="72"/>
      <c r="E38" s="52" t="s">
        <v>57</v>
      </c>
      <c r="F38" s="51"/>
      <c r="G38" s="51"/>
      <c r="H38" s="51"/>
      <c r="I38" s="51"/>
      <c r="J38" s="51"/>
      <c r="K38" s="51"/>
      <c r="L38" s="72"/>
      <c r="M38" s="73"/>
      <c r="N38" s="74"/>
      <c r="O38" s="74"/>
      <c r="P38" s="75"/>
      <c r="Q38" s="75"/>
      <c r="R38" s="76"/>
      <c r="S38" s="76"/>
      <c r="T38" s="77"/>
      <c r="U38" s="78"/>
      <c r="V38" s="75"/>
      <c r="W38" s="75"/>
      <c r="X38" s="79"/>
      <c r="Y38" s="75">
        <v>695</v>
      </c>
      <c r="Z38" s="75">
        <v>750</v>
      </c>
      <c r="AA38" s="75"/>
      <c r="AB38" s="79"/>
      <c r="AC38" s="79"/>
      <c r="AD38" s="79"/>
      <c r="AE38" s="52"/>
      <c r="AF38" s="52"/>
      <c r="AG38" s="52"/>
      <c r="AH38" s="52"/>
      <c r="AI38" s="52"/>
      <c r="AJ38" s="52"/>
      <c r="AK38" s="75"/>
      <c r="AL38" s="75"/>
      <c r="AM38" s="80"/>
      <c r="AN38" s="80"/>
      <c r="AO38" s="80"/>
      <c r="AP38" s="79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17"/>
      <c r="BL38" s="17"/>
      <c r="BM38" s="17"/>
    </row>
    <row r="39" spans="1:65" ht="15.75" customHeight="1">
      <c r="A39" s="51"/>
      <c r="B39" s="51"/>
      <c r="C39" s="51"/>
      <c r="D39" s="72"/>
      <c r="E39" s="52" t="s">
        <v>58</v>
      </c>
      <c r="F39" s="51"/>
      <c r="G39" s="51"/>
      <c r="H39" s="51"/>
      <c r="I39" s="51"/>
      <c r="J39" s="51"/>
      <c r="K39" s="51"/>
      <c r="L39" s="72"/>
      <c r="M39" s="73"/>
      <c r="N39" s="74"/>
      <c r="O39" s="74"/>
      <c r="P39" s="75"/>
      <c r="Q39" s="75"/>
      <c r="R39" s="76"/>
      <c r="S39" s="76"/>
      <c r="T39" s="77"/>
      <c r="U39" s="78"/>
      <c r="V39" s="75"/>
      <c r="W39" s="75"/>
      <c r="X39" s="79"/>
      <c r="Y39" s="75">
        <v>580</v>
      </c>
      <c r="Z39" s="75">
        <v>572</v>
      </c>
      <c r="AA39" s="75"/>
      <c r="AB39" s="79"/>
      <c r="AC39" s="79"/>
      <c r="AD39" s="79"/>
      <c r="AE39" s="52"/>
      <c r="AF39" s="52"/>
      <c r="AG39" s="52"/>
      <c r="AH39" s="52"/>
      <c r="AI39" s="52"/>
      <c r="AJ39" s="52"/>
      <c r="AK39" s="75"/>
      <c r="AL39" s="75"/>
      <c r="AM39" s="80"/>
      <c r="AN39" s="80"/>
      <c r="AO39" s="80"/>
      <c r="AP39" s="79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17"/>
      <c r="BL39" s="17"/>
      <c r="BM39" s="17"/>
    </row>
    <row r="40" spans="1:65" ht="15.75" customHeight="1">
      <c r="F40" s="132"/>
      <c r="G40" s="132"/>
    </row>
    <row r="41" spans="1:65" ht="15.75" customHeight="1">
      <c r="F41" s="132"/>
      <c r="G41" s="132"/>
    </row>
    <row r="42" spans="1:65" ht="15.75" customHeight="1">
      <c r="F42" s="132"/>
      <c r="G42" s="132"/>
    </row>
    <row r="43" spans="1:65" ht="15.75" customHeight="1">
      <c r="F43" s="132"/>
      <c r="G43" s="132"/>
    </row>
    <row r="44" spans="1:65" ht="15.75" customHeight="1">
      <c r="F44" s="132"/>
      <c r="G44" s="132"/>
    </row>
    <row r="45" spans="1:65" ht="15.75" customHeight="1">
      <c r="F45" s="132"/>
      <c r="G45" s="132"/>
    </row>
    <row r="46" spans="1:65" ht="15.75" customHeight="1">
      <c r="F46" s="132"/>
      <c r="G46" s="132"/>
    </row>
    <row r="47" spans="1:65" ht="15.75" customHeight="1">
      <c r="F47" s="132"/>
      <c r="G47" s="132"/>
    </row>
    <row r="48" spans="1:65" ht="15.75" customHeight="1">
      <c r="F48" s="132"/>
      <c r="G48" s="132"/>
    </row>
    <row r="49" spans="6:7" ht="15.75" customHeight="1">
      <c r="F49" s="132"/>
      <c r="G49" s="132"/>
    </row>
    <row r="50" spans="6:7" ht="15.75" customHeight="1">
      <c r="F50" s="132"/>
      <c r="G50" s="132"/>
    </row>
    <row r="51" spans="6:7" ht="15.75" customHeight="1">
      <c r="F51" s="132"/>
      <c r="G51" s="132"/>
    </row>
    <row r="52" spans="6:7" ht="15.75" customHeight="1">
      <c r="F52" s="132"/>
      <c r="G52" s="132"/>
    </row>
    <row r="53" spans="6:7" ht="15.75" customHeight="1">
      <c r="F53" s="132"/>
      <c r="G53" s="132"/>
    </row>
    <row r="54" spans="6:7" ht="13">
      <c r="F54" s="132"/>
      <c r="G54" s="132"/>
    </row>
    <row r="55" spans="6:7" ht="13">
      <c r="F55" s="132"/>
      <c r="G55" s="132"/>
    </row>
    <row r="56" spans="6:7" ht="13">
      <c r="F56" s="132"/>
      <c r="G56" s="132"/>
    </row>
    <row r="57" spans="6:7" ht="13">
      <c r="F57" s="132"/>
      <c r="G57" s="132"/>
    </row>
    <row r="58" spans="6:7" ht="13">
      <c r="F58" s="132"/>
      <c r="G58" s="132"/>
    </row>
    <row r="59" spans="6:7" ht="13">
      <c r="F59" s="132"/>
      <c r="G59" s="132"/>
    </row>
    <row r="60" spans="6:7" ht="13">
      <c r="F60" s="132"/>
      <c r="G60" s="132"/>
    </row>
    <row r="61" spans="6:7" ht="13">
      <c r="F61" s="132"/>
      <c r="G61" s="132"/>
    </row>
    <row r="62" spans="6:7" ht="13">
      <c r="F62" s="132"/>
      <c r="G62" s="132"/>
    </row>
    <row r="63" spans="6:7" ht="13">
      <c r="F63" s="132"/>
      <c r="G63" s="132"/>
    </row>
    <row r="64" spans="6:7" ht="13">
      <c r="F64" s="132"/>
      <c r="G64" s="132"/>
    </row>
    <row r="65" spans="6:7" ht="13">
      <c r="F65" s="132"/>
      <c r="G65" s="132"/>
    </row>
    <row r="66" spans="6:7" ht="13">
      <c r="F66" s="132"/>
      <c r="G66" s="132"/>
    </row>
    <row r="67" spans="6:7" ht="13">
      <c r="F67" s="132"/>
      <c r="G67" s="132"/>
    </row>
    <row r="68" spans="6:7" ht="13">
      <c r="F68" s="132"/>
      <c r="G68" s="132"/>
    </row>
    <row r="69" spans="6:7" ht="13">
      <c r="F69" s="132"/>
      <c r="G69" s="132"/>
    </row>
    <row r="70" spans="6:7" ht="13">
      <c r="F70" s="132"/>
      <c r="G70" s="132"/>
    </row>
    <row r="71" spans="6:7" ht="13">
      <c r="F71" s="132"/>
      <c r="G71" s="132"/>
    </row>
    <row r="72" spans="6:7" ht="13">
      <c r="F72" s="132"/>
      <c r="G72" s="132"/>
    </row>
    <row r="73" spans="6:7" ht="13">
      <c r="F73" s="132"/>
      <c r="G73" s="132"/>
    </row>
    <row r="74" spans="6:7" ht="13">
      <c r="F74" s="132"/>
      <c r="G74" s="132"/>
    </row>
    <row r="75" spans="6:7" ht="13">
      <c r="F75" s="132"/>
      <c r="G75" s="132"/>
    </row>
    <row r="76" spans="6:7" ht="13">
      <c r="F76" s="132"/>
      <c r="G76" s="132"/>
    </row>
    <row r="77" spans="6:7" ht="13">
      <c r="F77" s="132"/>
      <c r="G77" s="132"/>
    </row>
    <row r="78" spans="6:7" ht="13">
      <c r="F78" s="132"/>
      <c r="G78" s="132"/>
    </row>
    <row r="79" spans="6:7" ht="13">
      <c r="F79" s="132"/>
      <c r="G79" s="132"/>
    </row>
    <row r="80" spans="6:7" ht="13">
      <c r="F80" s="132"/>
      <c r="G80" s="132"/>
    </row>
    <row r="81" spans="6:7" ht="13">
      <c r="F81" s="132"/>
      <c r="G81" s="132"/>
    </row>
    <row r="82" spans="6:7" ht="13">
      <c r="F82" s="132"/>
      <c r="G82" s="132"/>
    </row>
    <row r="83" spans="6:7" ht="13">
      <c r="F83" s="132"/>
      <c r="G83" s="132"/>
    </row>
    <row r="84" spans="6:7" ht="13">
      <c r="F84" s="132"/>
      <c r="G84" s="132"/>
    </row>
    <row r="85" spans="6:7" ht="13">
      <c r="F85" s="132"/>
      <c r="G85" s="132"/>
    </row>
    <row r="86" spans="6:7" ht="13">
      <c r="F86" s="132"/>
      <c r="G86" s="132"/>
    </row>
    <row r="87" spans="6:7" ht="13">
      <c r="F87" s="132"/>
      <c r="G87" s="132"/>
    </row>
    <row r="88" spans="6:7" ht="13">
      <c r="F88" s="132"/>
      <c r="G88" s="132"/>
    </row>
    <row r="89" spans="6:7" ht="13">
      <c r="F89" s="132"/>
      <c r="G89" s="132"/>
    </row>
    <row r="90" spans="6:7" ht="13">
      <c r="F90" s="132"/>
      <c r="G90" s="132"/>
    </row>
    <row r="91" spans="6:7" ht="13">
      <c r="F91" s="132"/>
      <c r="G91" s="132"/>
    </row>
    <row r="92" spans="6:7" ht="13">
      <c r="F92" s="132"/>
      <c r="G92" s="132"/>
    </row>
    <row r="93" spans="6:7" ht="13">
      <c r="F93" s="132"/>
      <c r="G93" s="132"/>
    </row>
    <row r="94" spans="6:7" ht="13">
      <c r="F94" s="132"/>
      <c r="G94" s="132"/>
    </row>
    <row r="95" spans="6:7" ht="13">
      <c r="F95" s="132"/>
      <c r="G95" s="132"/>
    </row>
    <row r="96" spans="6:7" ht="13">
      <c r="F96" s="132"/>
      <c r="G96" s="132"/>
    </row>
    <row r="97" spans="6:7" ht="13">
      <c r="F97" s="132"/>
      <c r="G97" s="132"/>
    </row>
    <row r="98" spans="6:7" ht="13">
      <c r="F98" s="132"/>
      <c r="G98" s="132"/>
    </row>
    <row r="99" spans="6:7" ht="13">
      <c r="F99" s="132"/>
      <c r="G99" s="132"/>
    </row>
    <row r="100" spans="6:7" ht="13">
      <c r="F100" s="132"/>
      <c r="G100" s="132"/>
    </row>
    <row r="101" spans="6:7" ht="13">
      <c r="F101" s="132"/>
      <c r="G101" s="132"/>
    </row>
    <row r="102" spans="6:7" ht="13">
      <c r="F102" s="132"/>
      <c r="G102" s="132"/>
    </row>
    <row r="103" spans="6:7" ht="13">
      <c r="F103" s="132"/>
      <c r="G103" s="132"/>
    </row>
    <row r="104" spans="6:7" ht="13">
      <c r="F104" s="132"/>
      <c r="G104" s="132"/>
    </row>
    <row r="105" spans="6:7" ht="13">
      <c r="F105" s="132"/>
      <c r="G105" s="132"/>
    </row>
    <row r="106" spans="6:7" ht="13">
      <c r="F106" s="132"/>
      <c r="G106" s="132"/>
    </row>
    <row r="107" spans="6:7" ht="13">
      <c r="F107" s="132"/>
      <c r="G107" s="132"/>
    </row>
    <row r="108" spans="6:7" ht="13">
      <c r="F108" s="132"/>
      <c r="G108" s="132"/>
    </row>
    <row r="109" spans="6:7" ht="13">
      <c r="F109" s="132"/>
      <c r="G109" s="132"/>
    </row>
    <row r="110" spans="6:7" ht="13">
      <c r="F110" s="132"/>
      <c r="G110" s="132"/>
    </row>
    <row r="111" spans="6:7" ht="13">
      <c r="F111" s="132"/>
      <c r="G111" s="132"/>
    </row>
    <row r="112" spans="6:7" ht="13">
      <c r="F112" s="132"/>
      <c r="G112" s="132"/>
    </row>
    <row r="113" spans="6:7" ht="13">
      <c r="F113" s="132"/>
      <c r="G113" s="132"/>
    </row>
    <row r="114" spans="6:7" ht="13">
      <c r="F114" s="132"/>
      <c r="G114" s="132"/>
    </row>
    <row r="115" spans="6:7" ht="13">
      <c r="F115" s="132"/>
      <c r="G115" s="132"/>
    </row>
    <row r="116" spans="6:7" ht="13">
      <c r="F116" s="132"/>
      <c r="G116" s="132"/>
    </row>
    <row r="117" spans="6:7" ht="13">
      <c r="F117" s="132"/>
      <c r="G117" s="132"/>
    </row>
    <row r="118" spans="6:7" ht="13">
      <c r="F118" s="132"/>
      <c r="G118" s="132"/>
    </row>
    <row r="119" spans="6:7" ht="13">
      <c r="F119" s="132"/>
      <c r="G119" s="132"/>
    </row>
    <row r="120" spans="6:7" ht="13">
      <c r="F120" s="132"/>
      <c r="G120" s="132"/>
    </row>
    <row r="121" spans="6:7" ht="13">
      <c r="F121" s="132"/>
      <c r="G121" s="132"/>
    </row>
    <row r="122" spans="6:7" ht="13">
      <c r="F122" s="132"/>
      <c r="G122" s="132"/>
    </row>
    <row r="123" spans="6:7" ht="13">
      <c r="F123" s="132"/>
      <c r="G123" s="132"/>
    </row>
    <row r="124" spans="6:7" ht="13">
      <c r="F124" s="132"/>
      <c r="G124" s="132"/>
    </row>
    <row r="125" spans="6:7" ht="13">
      <c r="F125" s="132"/>
      <c r="G125" s="132"/>
    </row>
    <row r="126" spans="6:7" ht="13">
      <c r="F126" s="132"/>
      <c r="G126" s="132"/>
    </row>
    <row r="127" spans="6:7" ht="13">
      <c r="F127" s="132"/>
      <c r="G127" s="132"/>
    </row>
    <row r="128" spans="6:7" ht="13">
      <c r="F128" s="132"/>
      <c r="G128" s="132"/>
    </row>
    <row r="129" spans="6:7" ht="13">
      <c r="F129" s="132"/>
      <c r="G129" s="132"/>
    </row>
    <row r="130" spans="6:7" ht="13">
      <c r="F130" s="132"/>
      <c r="G130" s="132"/>
    </row>
    <row r="131" spans="6:7" ht="13">
      <c r="F131" s="132"/>
      <c r="G131" s="132"/>
    </row>
    <row r="132" spans="6:7" ht="13">
      <c r="F132" s="132"/>
      <c r="G132" s="132"/>
    </row>
    <row r="133" spans="6:7" ht="13">
      <c r="F133" s="132"/>
      <c r="G133" s="132"/>
    </row>
    <row r="134" spans="6:7" ht="13">
      <c r="F134" s="132"/>
      <c r="G134" s="132"/>
    </row>
    <row r="135" spans="6:7" ht="13">
      <c r="F135" s="132"/>
      <c r="G135" s="132"/>
    </row>
    <row r="136" spans="6:7" ht="13">
      <c r="F136" s="132"/>
      <c r="G136" s="132"/>
    </row>
    <row r="137" spans="6:7" ht="13">
      <c r="F137" s="132"/>
      <c r="G137" s="132"/>
    </row>
    <row r="138" spans="6:7" ht="13">
      <c r="F138" s="132"/>
      <c r="G138" s="132"/>
    </row>
    <row r="139" spans="6:7" ht="13">
      <c r="F139" s="132"/>
      <c r="G139" s="132"/>
    </row>
    <row r="140" spans="6:7" ht="13">
      <c r="F140" s="132"/>
      <c r="G140" s="132"/>
    </row>
    <row r="141" spans="6:7" ht="13">
      <c r="F141" s="132"/>
      <c r="G141" s="132"/>
    </row>
    <row r="142" spans="6:7" ht="13">
      <c r="F142" s="132"/>
      <c r="G142" s="132"/>
    </row>
    <row r="143" spans="6:7" ht="13">
      <c r="F143" s="132"/>
      <c r="G143" s="132"/>
    </row>
    <row r="144" spans="6:7" ht="13">
      <c r="F144" s="132"/>
      <c r="G144" s="132"/>
    </row>
    <row r="145" spans="6:7" ht="13">
      <c r="F145" s="132"/>
      <c r="G145" s="132"/>
    </row>
    <row r="146" spans="6:7" ht="13">
      <c r="F146" s="132"/>
      <c r="G146" s="132"/>
    </row>
    <row r="147" spans="6:7" ht="13">
      <c r="F147" s="132"/>
      <c r="G147" s="132"/>
    </row>
    <row r="148" spans="6:7" ht="13">
      <c r="F148" s="132"/>
      <c r="G148" s="132"/>
    </row>
    <row r="149" spans="6:7" ht="13">
      <c r="F149" s="132"/>
      <c r="G149" s="132"/>
    </row>
    <row r="150" spans="6:7" ht="13">
      <c r="F150" s="132"/>
      <c r="G150" s="132"/>
    </row>
    <row r="151" spans="6:7" ht="13">
      <c r="F151" s="132"/>
      <c r="G151" s="132"/>
    </row>
    <row r="152" spans="6:7" ht="13">
      <c r="F152" s="132"/>
      <c r="G152" s="132"/>
    </row>
    <row r="153" spans="6:7" ht="13">
      <c r="F153" s="132"/>
      <c r="G153" s="132"/>
    </row>
    <row r="154" spans="6:7" ht="13">
      <c r="F154" s="132"/>
      <c r="G154" s="132"/>
    </row>
    <row r="155" spans="6:7" ht="13">
      <c r="F155" s="132"/>
      <c r="G155" s="132"/>
    </row>
    <row r="156" spans="6:7" ht="13">
      <c r="F156" s="132"/>
      <c r="G156" s="132"/>
    </row>
    <row r="157" spans="6:7" ht="13">
      <c r="F157" s="132"/>
      <c r="G157" s="132"/>
    </row>
    <row r="158" spans="6:7" ht="13">
      <c r="F158" s="132"/>
      <c r="G158" s="132"/>
    </row>
    <row r="159" spans="6:7" ht="13">
      <c r="F159" s="132"/>
      <c r="G159" s="132"/>
    </row>
    <row r="160" spans="6:7" ht="13">
      <c r="F160" s="132"/>
      <c r="G160" s="132"/>
    </row>
    <row r="161" spans="6:7" ht="13">
      <c r="F161" s="132"/>
      <c r="G161" s="132"/>
    </row>
    <row r="162" spans="6:7" ht="13">
      <c r="F162" s="132"/>
      <c r="G162" s="132"/>
    </row>
    <row r="163" spans="6:7" ht="13">
      <c r="F163" s="132"/>
      <c r="G163" s="132"/>
    </row>
    <row r="164" spans="6:7" ht="13">
      <c r="F164" s="132"/>
      <c r="G164" s="132"/>
    </row>
    <row r="165" spans="6:7" ht="13">
      <c r="F165" s="132"/>
      <c r="G165" s="132"/>
    </row>
    <row r="166" spans="6:7" ht="13">
      <c r="F166" s="132"/>
      <c r="G166" s="132"/>
    </row>
    <row r="167" spans="6:7" ht="13">
      <c r="F167" s="132"/>
      <c r="G167" s="132"/>
    </row>
    <row r="168" spans="6:7" ht="13">
      <c r="F168" s="132"/>
      <c r="G168" s="132"/>
    </row>
    <row r="169" spans="6:7" ht="13">
      <c r="F169" s="132"/>
      <c r="G169" s="132"/>
    </row>
    <row r="170" spans="6:7" ht="13">
      <c r="F170" s="132"/>
      <c r="G170" s="132"/>
    </row>
    <row r="171" spans="6:7" ht="13">
      <c r="F171" s="132"/>
      <c r="G171" s="132"/>
    </row>
    <row r="172" spans="6:7" ht="13">
      <c r="F172" s="132"/>
      <c r="G172" s="132"/>
    </row>
    <row r="173" spans="6:7" ht="13">
      <c r="F173" s="132"/>
      <c r="G173" s="132"/>
    </row>
    <row r="174" spans="6:7" ht="13">
      <c r="F174" s="132"/>
      <c r="G174" s="132"/>
    </row>
    <row r="175" spans="6:7" ht="13">
      <c r="F175" s="132"/>
      <c r="G175" s="132"/>
    </row>
    <row r="176" spans="6:7" ht="13">
      <c r="F176" s="132"/>
      <c r="G176" s="132"/>
    </row>
    <row r="177" spans="6:7" ht="13">
      <c r="F177" s="132"/>
      <c r="G177" s="132"/>
    </row>
    <row r="178" spans="6:7" ht="13">
      <c r="F178" s="132"/>
      <c r="G178" s="132"/>
    </row>
    <row r="179" spans="6:7" ht="13">
      <c r="F179" s="132"/>
      <c r="G179" s="132"/>
    </row>
    <row r="180" spans="6:7" ht="13">
      <c r="F180" s="132"/>
      <c r="G180" s="132"/>
    </row>
    <row r="181" spans="6:7" ht="13">
      <c r="F181" s="132"/>
      <c r="G181" s="132"/>
    </row>
    <row r="182" spans="6:7" ht="13">
      <c r="F182" s="132"/>
      <c r="G182" s="132"/>
    </row>
    <row r="183" spans="6:7" ht="13">
      <c r="F183" s="132"/>
      <c r="G183" s="132"/>
    </row>
    <row r="184" spans="6:7" ht="13">
      <c r="F184" s="132"/>
      <c r="G184" s="132"/>
    </row>
    <row r="185" spans="6:7" ht="13">
      <c r="F185" s="132"/>
      <c r="G185" s="132"/>
    </row>
    <row r="186" spans="6:7" ht="13">
      <c r="F186" s="132"/>
      <c r="G186" s="132"/>
    </row>
    <row r="187" spans="6:7" ht="13">
      <c r="F187" s="132"/>
      <c r="G187" s="132"/>
    </row>
    <row r="188" spans="6:7" ht="13">
      <c r="F188" s="132"/>
      <c r="G188" s="132"/>
    </row>
    <row r="189" spans="6:7" ht="13">
      <c r="F189" s="132"/>
      <c r="G189" s="132"/>
    </row>
    <row r="190" spans="6:7" ht="13">
      <c r="F190" s="132"/>
      <c r="G190" s="132"/>
    </row>
    <row r="191" spans="6:7" ht="13">
      <c r="F191" s="132"/>
      <c r="G191" s="132"/>
    </row>
    <row r="192" spans="6:7" ht="13">
      <c r="F192" s="132"/>
      <c r="G192" s="132"/>
    </row>
    <row r="193" spans="6:7" ht="13">
      <c r="F193" s="132"/>
      <c r="G193" s="132"/>
    </row>
    <row r="194" spans="6:7" ht="13">
      <c r="F194" s="132"/>
      <c r="G194" s="132"/>
    </row>
    <row r="195" spans="6:7" ht="13">
      <c r="F195" s="132"/>
      <c r="G195" s="132"/>
    </row>
    <row r="196" spans="6:7" ht="13">
      <c r="F196" s="132"/>
      <c r="G196" s="132"/>
    </row>
    <row r="197" spans="6:7" ht="13">
      <c r="F197" s="132"/>
      <c r="G197" s="132"/>
    </row>
    <row r="198" spans="6:7" ht="13">
      <c r="F198" s="132"/>
      <c r="G198" s="132"/>
    </row>
    <row r="199" spans="6:7" ht="13">
      <c r="F199" s="132"/>
      <c r="G199" s="132"/>
    </row>
    <row r="200" spans="6:7" ht="13">
      <c r="F200" s="132"/>
      <c r="G200" s="132"/>
    </row>
    <row r="201" spans="6:7" ht="13">
      <c r="F201" s="132"/>
      <c r="G201" s="132"/>
    </row>
    <row r="202" spans="6:7" ht="13">
      <c r="F202" s="132"/>
      <c r="G202" s="132"/>
    </row>
    <row r="203" spans="6:7" ht="13">
      <c r="F203" s="132"/>
      <c r="G203" s="132"/>
    </row>
    <row r="204" spans="6:7" ht="13">
      <c r="F204" s="132"/>
      <c r="G204" s="132"/>
    </row>
    <row r="205" spans="6:7" ht="13">
      <c r="F205" s="132"/>
      <c r="G205" s="132"/>
    </row>
    <row r="206" spans="6:7" ht="13">
      <c r="F206" s="132"/>
      <c r="G206" s="132"/>
    </row>
    <row r="207" spans="6:7" ht="13">
      <c r="F207" s="132"/>
      <c r="G207" s="132"/>
    </row>
    <row r="208" spans="6:7" ht="13">
      <c r="F208" s="132"/>
      <c r="G208" s="132"/>
    </row>
    <row r="209" spans="6:7" ht="13">
      <c r="F209" s="132"/>
      <c r="G209" s="132"/>
    </row>
    <row r="210" spans="6:7" ht="13">
      <c r="F210" s="132"/>
      <c r="G210" s="132"/>
    </row>
    <row r="211" spans="6:7" ht="13">
      <c r="F211" s="132"/>
      <c r="G211" s="132"/>
    </row>
    <row r="212" spans="6:7" ht="13">
      <c r="F212" s="132"/>
      <c r="G212" s="132"/>
    </row>
    <row r="213" spans="6:7" ht="13">
      <c r="F213" s="132"/>
      <c r="G213" s="132"/>
    </row>
    <row r="214" spans="6:7" ht="13">
      <c r="F214" s="132"/>
      <c r="G214" s="132"/>
    </row>
    <row r="215" spans="6:7" ht="13">
      <c r="F215" s="132"/>
      <c r="G215" s="132"/>
    </row>
    <row r="216" spans="6:7" ht="13">
      <c r="F216" s="132"/>
      <c r="G216" s="132"/>
    </row>
    <row r="217" spans="6:7" ht="13">
      <c r="F217" s="132"/>
      <c r="G217" s="132"/>
    </row>
    <row r="218" spans="6:7" ht="13">
      <c r="F218" s="132"/>
      <c r="G218" s="132"/>
    </row>
    <row r="219" spans="6:7" ht="13">
      <c r="F219" s="132"/>
      <c r="G219" s="132"/>
    </row>
    <row r="220" spans="6:7" ht="13">
      <c r="F220" s="132"/>
      <c r="G220" s="132"/>
    </row>
    <row r="221" spans="6:7" ht="13">
      <c r="F221" s="132"/>
      <c r="G221" s="132"/>
    </row>
    <row r="222" spans="6:7" ht="13">
      <c r="F222" s="132"/>
      <c r="G222" s="132"/>
    </row>
    <row r="223" spans="6:7" ht="13">
      <c r="F223" s="132"/>
      <c r="G223" s="132"/>
    </row>
    <row r="224" spans="6:7" ht="13">
      <c r="F224" s="132"/>
      <c r="G224" s="132"/>
    </row>
    <row r="225" spans="6:7" ht="13">
      <c r="F225" s="132"/>
      <c r="G225" s="132"/>
    </row>
    <row r="226" spans="6:7" ht="13">
      <c r="F226" s="132"/>
      <c r="G226" s="132"/>
    </row>
    <row r="227" spans="6:7" ht="13">
      <c r="F227" s="132"/>
      <c r="G227" s="132"/>
    </row>
    <row r="228" spans="6:7" ht="13">
      <c r="F228" s="132"/>
      <c r="G228" s="132"/>
    </row>
    <row r="229" spans="6:7" ht="13">
      <c r="F229" s="132"/>
      <c r="G229" s="132"/>
    </row>
    <row r="230" spans="6:7" ht="13">
      <c r="F230" s="132"/>
      <c r="G230" s="132"/>
    </row>
    <row r="231" spans="6:7" ht="13">
      <c r="F231" s="132"/>
      <c r="G231" s="132"/>
    </row>
    <row r="232" spans="6:7" ht="13">
      <c r="F232" s="132"/>
      <c r="G232" s="132"/>
    </row>
    <row r="233" spans="6:7" ht="13">
      <c r="F233" s="132"/>
      <c r="G233" s="132"/>
    </row>
    <row r="234" spans="6:7" ht="13">
      <c r="F234" s="132"/>
      <c r="G234" s="132"/>
    </row>
    <row r="235" spans="6:7" ht="13">
      <c r="F235" s="132"/>
      <c r="G235" s="132"/>
    </row>
    <row r="236" spans="6:7" ht="13">
      <c r="F236" s="132"/>
      <c r="G236" s="132"/>
    </row>
    <row r="237" spans="6:7" ht="13">
      <c r="F237" s="132"/>
      <c r="G237" s="132"/>
    </row>
    <row r="238" spans="6:7" ht="13">
      <c r="F238" s="132"/>
      <c r="G238" s="132"/>
    </row>
    <row r="239" spans="6:7" ht="13">
      <c r="F239" s="132"/>
      <c r="G239" s="132"/>
    </row>
    <row r="240" spans="6:7" ht="13">
      <c r="F240" s="132"/>
      <c r="G240" s="132"/>
    </row>
    <row r="241" spans="6:7" ht="13">
      <c r="F241" s="132"/>
      <c r="G241" s="132"/>
    </row>
    <row r="242" spans="6:7" ht="13">
      <c r="F242" s="132"/>
      <c r="G242" s="132"/>
    </row>
    <row r="243" spans="6:7" ht="13">
      <c r="F243" s="132"/>
      <c r="G243" s="132"/>
    </row>
    <row r="244" spans="6:7" ht="13">
      <c r="F244" s="132"/>
      <c r="G244" s="132"/>
    </row>
    <row r="245" spans="6:7" ht="13">
      <c r="F245" s="132"/>
      <c r="G245" s="132"/>
    </row>
    <row r="246" spans="6:7" ht="13">
      <c r="F246" s="132"/>
      <c r="G246" s="132"/>
    </row>
    <row r="247" spans="6:7" ht="13">
      <c r="F247" s="132"/>
      <c r="G247" s="132"/>
    </row>
    <row r="248" spans="6:7" ht="13">
      <c r="F248" s="132"/>
      <c r="G248" s="132"/>
    </row>
    <row r="249" spans="6:7" ht="13">
      <c r="F249" s="132"/>
      <c r="G249" s="132"/>
    </row>
    <row r="250" spans="6:7" ht="13">
      <c r="F250" s="132"/>
      <c r="G250" s="132"/>
    </row>
    <row r="251" spans="6:7" ht="13">
      <c r="F251" s="132"/>
      <c r="G251" s="132"/>
    </row>
    <row r="252" spans="6:7" ht="13">
      <c r="F252" s="132"/>
      <c r="G252" s="132"/>
    </row>
    <row r="253" spans="6:7" ht="13">
      <c r="F253" s="132"/>
      <c r="G253" s="132"/>
    </row>
    <row r="254" spans="6:7" ht="13">
      <c r="F254" s="132"/>
      <c r="G254" s="132"/>
    </row>
    <row r="255" spans="6:7" ht="13">
      <c r="F255" s="132"/>
      <c r="G255" s="132"/>
    </row>
    <row r="256" spans="6:7" ht="13">
      <c r="F256" s="132"/>
      <c r="G256" s="132"/>
    </row>
    <row r="257" spans="6:7" ht="13">
      <c r="F257" s="132"/>
      <c r="G257" s="132"/>
    </row>
    <row r="258" spans="6:7" ht="13">
      <c r="F258" s="132"/>
      <c r="G258" s="132"/>
    </row>
    <row r="259" spans="6:7" ht="13">
      <c r="F259" s="132"/>
      <c r="G259" s="132"/>
    </row>
    <row r="260" spans="6:7" ht="13">
      <c r="F260" s="132"/>
      <c r="G260" s="132"/>
    </row>
    <row r="261" spans="6:7" ht="13">
      <c r="F261" s="132"/>
      <c r="G261" s="132"/>
    </row>
    <row r="262" spans="6:7" ht="13">
      <c r="F262" s="132"/>
      <c r="G262" s="132"/>
    </row>
    <row r="263" spans="6:7" ht="13">
      <c r="F263" s="132"/>
      <c r="G263" s="132"/>
    </row>
    <row r="264" spans="6:7" ht="13">
      <c r="F264" s="132"/>
      <c r="G264" s="132"/>
    </row>
    <row r="265" spans="6:7" ht="13">
      <c r="F265" s="132"/>
      <c r="G265" s="132"/>
    </row>
    <row r="266" spans="6:7" ht="13">
      <c r="F266" s="132"/>
      <c r="G266" s="132"/>
    </row>
    <row r="267" spans="6:7" ht="13">
      <c r="F267" s="132"/>
      <c r="G267" s="132"/>
    </row>
    <row r="268" spans="6:7" ht="13">
      <c r="F268" s="132"/>
      <c r="G268" s="132"/>
    </row>
    <row r="269" spans="6:7" ht="13">
      <c r="F269" s="132"/>
      <c r="G269" s="132"/>
    </row>
    <row r="270" spans="6:7" ht="13">
      <c r="F270" s="132"/>
      <c r="G270" s="132"/>
    </row>
    <row r="271" spans="6:7" ht="13">
      <c r="F271" s="132"/>
      <c r="G271" s="132"/>
    </row>
    <row r="272" spans="6:7" ht="13">
      <c r="F272" s="132"/>
      <c r="G272" s="132"/>
    </row>
    <row r="273" spans="6:7" ht="13">
      <c r="F273" s="132"/>
      <c r="G273" s="132"/>
    </row>
    <row r="274" spans="6:7" ht="13">
      <c r="F274" s="132"/>
      <c r="G274" s="132"/>
    </row>
    <row r="275" spans="6:7" ht="13">
      <c r="F275" s="132"/>
      <c r="G275" s="132"/>
    </row>
    <row r="276" spans="6:7" ht="13">
      <c r="F276" s="132"/>
      <c r="G276" s="132"/>
    </row>
    <row r="277" spans="6:7" ht="13">
      <c r="F277" s="132"/>
      <c r="G277" s="132"/>
    </row>
    <row r="278" spans="6:7" ht="13">
      <c r="F278" s="132"/>
      <c r="G278" s="132"/>
    </row>
    <row r="279" spans="6:7" ht="13">
      <c r="F279" s="132"/>
      <c r="G279" s="132"/>
    </row>
    <row r="280" spans="6:7" ht="13">
      <c r="F280" s="132"/>
      <c r="G280" s="132"/>
    </row>
    <row r="281" spans="6:7" ht="13">
      <c r="F281" s="132"/>
      <c r="G281" s="132"/>
    </row>
    <row r="282" spans="6:7" ht="13">
      <c r="F282" s="132"/>
      <c r="G282" s="132"/>
    </row>
    <row r="283" spans="6:7" ht="13">
      <c r="F283" s="132"/>
      <c r="G283" s="132"/>
    </row>
    <row r="284" spans="6:7" ht="13">
      <c r="F284" s="132"/>
      <c r="G284" s="132"/>
    </row>
    <row r="285" spans="6:7" ht="13">
      <c r="F285" s="132"/>
      <c r="G285" s="132"/>
    </row>
    <row r="286" spans="6:7" ht="13">
      <c r="F286" s="132"/>
      <c r="G286" s="132"/>
    </row>
    <row r="287" spans="6:7" ht="13">
      <c r="F287" s="132"/>
      <c r="G287" s="132"/>
    </row>
    <row r="288" spans="6:7" ht="13">
      <c r="F288" s="132"/>
      <c r="G288" s="132"/>
    </row>
    <row r="289" spans="6:7" ht="13">
      <c r="F289" s="132"/>
      <c r="G289" s="132"/>
    </row>
    <row r="290" spans="6:7" ht="13">
      <c r="F290" s="132"/>
      <c r="G290" s="132"/>
    </row>
    <row r="291" spans="6:7" ht="13">
      <c r="F291" s="132"/>
      <c r="G291" s="132"/>
    </row>
    <row r="292" spans="6:7" ht="13">
      <c r="F292" s="132"/>
      <c r="G292" s="132"/>
    </row>
    <row r="293" spans="6:7" ht="13">
      <c r="F293" s="132"/>
      <c r="G293" s="132"/>
    </row>
    <row r="294" spans="6:7" ht="13">
      <c r="F294" s="132"/>
      <c r="G294" s="132"/>
    </row>
    <row r="295" spans="6:7" ht="13">
      <c r="F295" s="132"/>
      <c r="G295" s="132"/>
    </row>
    <row r="296" spans="6:7" ht="13">
      <c r="F296" s="132"/>
      <c r="G296" s="132"/>
    </row>
    <row r="297" spans="6:7" ht="13">
      <c r="F297" s="132"/>
      <c r="G297" s="132"/>
    </row>
    <row r="298" spans="6:7" ht="13">
      <c r="F298" s="132"/>
      <c r="G298" s="132"/>
    </row>
    <row r="299" spans="6:7" ht="13">
      <c r="F299" s="132"/>
      <c r="G299" s="132"/>
    </row>
    <row r="300" spans="6:7" ht="13">
      <c r="F300" s="132"/>
      <c r="G300" s="132"/>
    </row>
    <row r="301" spans="6:7" ht="13">
      <c r="F301" s="132"/>
      <c r="G301" s="132"/>
    </row>
    <row r="302" spans="6:7" ht="13">
      <c r="F302" s="132"/>
      <c r="G302" s="132"/>
    </row>
    <row r="303" spans="6:7" ht="13">
      <c r="F303" s="132"/>
      <c r="G303" s="132"/>
    </row>
    <row r="304" spans="6:7" ht="13">
      <c r="F304" s="132"/>
      <c r="G304" s="132"/>
    </row>
    <row r="305" spans="6:7" ht="13">
      <c r="F305" s="132"/>
      <c r="G305" s="132"/>
    </row>
    <row r="306" spans="6:7" ht="13">
      <c r="F306" s="132"/>
      <c r="G306" s="132"/>
    </row>
    <row r="307" spans="6:7" ht="13">
      <c r="F307" s="132"/>
      <c r="G307" s="132"/>
    </row>
    <row r="308" spans="6:7" ht="13">
      <c r="F308" s="132"/>
      <c r="G308" s="132"/>
    </row>
    <row r="309" spans="6:7" ht="13">
      <c r="F309" s="132"/>
      <c r="G309" s="132"/>
    </row>
    <row r="310" spans="6:7" ht="13">
      <c r="F310" s="132"/>
      <c r="G310" s="132"/>
    </row>
    <row r="311" spans="6:7" ht="13">
      <c r="F311" s="132"/>
      <c r="G311" s="132"/>
    </row>
    <row r="312" spans="6:7" ht="13">
      <c r="F312" s="132"/>
      <c r="G312" s="132"/>
    </row>
    <row r="313" spans="6:7" ht="13">
      <c r="F313" s="132"/>
      <c r="G313" s="132"/>
    </row>
    <row r="314" spans="6:7" ht="13">
      <c r="F314" s="132"/>
      <c r="G314" s="132"/>
    </row>
    <row r="315" spans="6:7" ht="13">
      <c r="F315" s="132"/>
      <c r="G315" s="132"/>
    </row>
    <row r="316" spans="6:7" ht="13">
      <c r="F316" s="132"/>
      <c r="G316" s="132"/>
    </row>
    <row r="317" spans="6:7" ht="13">
      <c r="F317" s="132"/>
      <c r="G317" s="132"/>
    </row>
    <row r="318" spans="6:7" ht="13">
      <c r="F318" s="132"/>
      <c r="G318" s="132"/>
    </row>
    <row r="319" spans="6:7" ht="13">
      <c r="F319" s="132"/>
      <c r="G319" s="132"/>
    </row>
    <row r="320" spans="6:7" ht="13">
      <c r="F320" s="132"/>
      <c r="G320" s="132"/>
    </row>
    <row r="321" spans="6:7" ht="13">
      <c r="F321" s="132"/>
      <c r="G321" s="132"/>
    </row>
    <row r="322" spans="6:7" ht="13">
      <c r="F322" s="132"/>
      <c r="G322" s="132"/>
    </row>
    <row r="323" spans="6:7" ht="13">
      <c r="F323" s="132"/>
      <c r="G323" s="132"/>
    </row>
    <row r="324" spans="6:7" ht="13">
      <c r="F324" s="132"/>
      <c r="G324" s="132"/>
    </row>
    <row r="325" spans="6:7" ht="13">
      <c r="F325" s="132"/>
      <c r="G325" s="132"/>
    </row>
    <row r="326" spans="6:7" ht="13">
      <c r="F326" s="132"/>
      <c r="G326" s="132"/>
    </row>
    <row r="327" spans="6:7" ht="13">
      <c r="F327" s="132"/>
      <c r="G327" s="132"/>
    </row>
    <row r="328" spans="6:7" ht="13">
      <c r="F328" s="132"/>
      <c r="G328" s="132"/>
    </row>
    <row r="329" spans="6:7" ht="13">
      <c r="F329" s="132"/>
      <c r="G329" s="132"/>
    </row>
    <row r="330" spans="6:7" ht="13">
      <c r="F330" s="132"/>
      <c r="G330" s="132"/>
    </row>
    <row r="331" spans="6:7" ht="13">
      <c r="F331" s="132"/>
      <c r="G331" s="132"/>
    </row>
    <row r="332" spans="6:7" ht="13">
      <c r="F332" s="132"/>
      <c r="G332" s="132"/>
    </row>
    <row r="333" spans="6:7" ht="13">
      <c r="F333" s="132"/>
      <c r="G333" s="132"/>
    </row>
    <row r="334" spans="6:7" ht="13">
      <c r="F334" s="132"/>
      <c r="G334" s="132"/>
    </row>
    <row r="335" spans="6:7" ht="13">
      <c r="F335" s="132"/>
      <c r="G335" s="132"/>
    </row>
    <row r="336" spans="6:7" ht="13">
      <c r="F336" s="132"/>
      <c r="G336" s="132"/>
    </row>
    <row r="337" spans="6:7" ht="13">
      <c r="F337" s="132"/>
      <c r="G337" s="132"/>
    </row>
    <row r="338" spans="6:7" ht="13">
      <c r="F338" s="132"/>
      <c r="G338" s="132"/>
    </row>
    <row r="339" spans="6:7" ht="13">
      <c r="F339" s="132"/>
      <c r="G339" s="132"/>
    </row>
    <row r="340" spans="6:7" ht="13">
      <c r="F340" s="132"/>
      <c r="G340" s="132"/>
    </row>
    <row r="341" spans="6:7" ht="13">
      <c r="F341" s="132"/>
      <c r="G341" s="132"/>
    </row>
    <row r="342" spans="6:7" ht="13">
      <c r="F342" s="132"/>
      <c r="G342" s="132"/>
    </row>
    <row r="343" spans="6:7" ht="13">
      <c r="F343" s="132"/>
      <c r="G343" s="132"/>
    </row>
    <row r="344" spans="6:7" ht="13">
      <c r="F344" s="132"/>
      <c r="G344" s="132"/>
    </row>
    <row r="345" spans="6:7" ht="13">
      <c r="F345" s="132"/>
      <c r="G345" s="132"/>
    </row>
    <row r="346" spans="6:7" ht="13">
      <c r="F346" s="132"/>
      <c r="G346" s="132"/>
    </row>
    <row r="347" spans="6:7" ht="13">
      <c r="F347" s="132"/>
      <c r="G347" s="132"/>
    </row>
    <row r="348" spans="6:7" ht="13">
      <c r="F348" s="132"/>
      <c r="G348" s="132"/>
    </row>
    <row r="349" spans="6:7" ht="13">
      <c r="F349" s="132"/>
      <c r="G349" s="132"/>
    </row>
    <row r="350" spans="6:7" ht="13">
      <c r="F350" s="132"/>
      <c r="G350" s="132"/>
    </row>
    <row r="351" spans="6:7" ht="13">
      <c r="F351" s="132"/>
      <c r="G351" s="132"/>
    </row>
    <row r="352" spans="6:7" ht="13">
      <c r="F352" s="132"/>
      <c r="G352" s="132"/>
    </row>
    <row r="353" spans="6:7" ht="13">
      <c r="F353" s="132"/>
      <c r="G353" s="132"/>
    </row>
    <row r="354" spans="6:7" ht="13">
      <c r="F354" s="132"/>
      <c r="G354" s="132"/>
    </row>
    <row r="355" spans="6:7" ht="13">
      <c r="F355" s="132"/>
      <c r="G355" s="132"/>
    </row>
    <row r="356" spans="6:7" ht="13">
      <c r="F356" s="132"/>
      <c r="G356" s="132"/>
    </row>
    <row r="357" spans="6:7" ht="13">
      <c r="F357" s="132"/>
      <c r="G357" s="132"/>
    </row>
    <row r="358" spans="6:7" ht="13">
      <c r="F358" s="132"/>
      <c r="G358" s="132"/>
    </row>
    <row r="359" spans="6:7" ht="13">
      <c r="F359" s="132"/>
      <c r="G359" s="132"/>
    </row>
    <row r="360" spans="6:7" ht="13">
      <c r="F360" s="132"/>
      <c r="G360" s="132"/>
    </row>
    <row r="361" spans="6:7" ht="13">
      <c r="F361" s="132"/>
      <c r="G361" s="132"/>
    </row>
    <row r="362" spans="6:7" ht="13">
      <c r="F362" s="132"/>
      <c r="G362" s="132"/>
    </row>
    <row r="363" spans="6:7" ht="13">
      <c r="F363" s="132"/>
      <c r="G363" s="132"/>
    </row>
    <row r="364" spans="6:7" ht="13">
      <c r="F364" s="132"/>
      <c r="G364" s="132"/>
    </row>
    <row r="365" spans="6:7" ht="13">
      <c r="F365" s="132"/>
      <c r="G365" s="132"/>
    </row>
    <row r="366" spans="6:7" ht="13">
      <c r="F366" s="132"/>
      <c r="G366" s="132"/>
    </row>
    <row r="367" spans="6:7" ht="13">
      <c r="F367" s="132"/>
      <c r="G367" s="132"/>
    </row>
    <row r="368" spans="6:7" ht="13">
      <c r="F368" s="132"/>
      <c r="G368" s="132"/>
    </row>
    <row r="369" spans="6:7" ht="13">
      <c r="F369" s="132"/>
      <c r="G369" s="132"/>
    </row>
    <row r="370" spans="6:7" ht="13">
      <c r="F370" s="132"/>
      <c r="G370" s="132"/>
    </row>
    <row r="371" spans="6:7" ht="13">
      <c r="F371" s="132"/>
      <c r="G371" s="132"/>
    </row>
    <row r="372" spans="6:7" ht="13">
      <c r="F372" s="132"/>
      <c r="G372" s="132"/>
    </row>
    <row r="373" spans="6:7" ht="13">
      <c r="F373" s="132"/>
      <c r="G373" s="132"/>
    </row>
    <row r="374" spans="6:7" ht="13">
      <c r="F374" s="132"/>
      <c r="G374" s="132"/>
    </row>
    <row r="375" spans="6:7" ht="13">
      <c r="F375" s="132"/>
      <c r="G375" s="132"/>
    </row>
    <row r="376" spans="6:7" ht="13">
      <c r="F376" s="132"/>
      <c r="G376" s="132"/>
    </row>
    <row r="377" spans="6:7" ht="13">
      <c r="F377" s="132"/>
      <c r="G377" s="132"/>
    </row>
    <row r="378" spans="6:7" ht="13">
      <c r="F378" s="132"/>
      <c r="G378" s="132"/>
    </row>
    <row r="379" spans="6:7" ht="13">
      <c r="F379" s="132"/>
      <c r="G379" s="132"/>
    </row>
    <row r="380" spans="6:7" ht="13">
      <c r="F380" s="132"/>
      <c r="G380" s="132"/>
    </row>
    <row r="381" spans="6:7" ht="13">
      <c r="F381" s="132"/>
      <c r="G381" s="132"/>
    </row>
    <row r="382" spans="6:7" ht="13">
      <c r="F382" s="132"/>
      <c r="G382" s="132"/>
    </row>
    <row r="383" spans="6:7" ht="13">
      <c r="F383" s="132"/>
      <c r="G383" s="132"/>
    </row>
    <row r="384" spans="6:7" ht="13">
      <c r="F384" s="132"/>
      <c r="G384" s="132"/>
    </row>
    <row r="385" spans="6:7" ht="13">
      <c r="F385" s="132"/>
      <c r="G385" s="132"/>
    </row>
    <row r="386" spans="6:7" ht="13">
      <c r="F386" s="132"/>
      <c r="G386" s="132"/>
    </row>
    <row r="387" spans="6:7" ht="13">
      <c r="F387" s="132"/>
      <c r="G387" s="132"/>
    </row>
    <row r="388" spans="6:7" ht="13">
      <c r="F388" s="132"/>
      <c r="G388" s="132"/>
    </row>
    <row r="389" spans="6:7" ht="13">
      <c r="F389" s="132"/>
      <c r="G389" s="132"/>
    </row>
    <row r="390" spans="6:7" ht="13">
      <c r="F390" s="132"/>
      <c r="G390" s="132"/>
    </row>
    <row r="391" spans="6:7" ht="13">
      <c r="F391" s="132"/>
      <c r="G391" s="132"/>
    </row>
    <row r="392" spans="6:7" ht="13">
      <c r="F392" s="132"/>
      <c r="G392" s="132"/>
    </row>
    <row r="393" spans="6:7" ht="13">
      <c r="F393" s="132"/>
      <c r="G393" s="132"/>
    </row>
    <row r="394" spans="6:7" ht="13">
      <c r="F394" s="132"/>
      <c r="G394" s="132"/>
    </row>
    <row r="395" spans="6:7" ht="13">
      <c r="F395" s="132"/>
      <c r="G395" s="132"/>
    </row>
    <row r="396" spans="6:7" ht="13">
      <c r="F396" s="132"/>
      <c r="G396" s="132"/>
    </row>
    <row r="397" spans="6:7" ht="13">
      <c r="F397" s="132"/>
      <c r="G397" s="132"/>
    </row>
    <row r="398" spans="6:7" ht="13">
      <c r="F398" s="132"/>
      <c r="G398" s="132"/>
    </row>
    <row r="399" spans="6:7" ht="13">
      <c r="F399" s="132"/>
      <c r="G399" s="132"/>
    </row>
    <row r="400" spans="6:7" ht="13">
      <c r="F400" s="132"/>
      <c r="G400" s="132"/>
    </row>
    <row r="401" spans="6:7" ht="13">
      <c r="F401" s="132"/>
      <c r="G401" s="132"/>
    </row>
    <row r="402" spans="6:7" ht="13">
      <c r="F402" s="132"/>
      <c r="G402" s="132"/>
    </row>
    <row r="403" spans="6:7" ht="13">
      <c r="F403" s="132"/>
      <c r="G403" s="132"/>
    </row>
    <row r="404" spans="6:7" ht="13">
      <c r="F404" s="132"/>
      <c r="G404" s="132"/>
    </row>
    <row r="405" spans="6:7" ht="13">
      <c r="F405" s="132"/>
      <c r="G405" s="132"/>
    </row>
    <row r="406" spans="6:7" ht="13">
      <c r="F406" s="132"/>
      <c r="G406" s="132"/>
    </row>
    <row r="407" spans="6:7" ht="13">
      <c r="F407" s="132"/>
      <c r="G407" s="132"/>
    </row>
    <row r="408" spans="6:7" ht="13">
      <c r="F408" s="132"/>
      <c r="G408" s="132"/>
    </row>
    <row r="409" spans="6:7" ht="13">
      <c r="F409" s="132"/>
      <c r="G409" s="132"/>
    </row>
    <row r="410" spans="6:7" ht="13">
      <c r="F410" s="132"/>
      <c r="G410" s="132"/>
    </row>
    <row r="411" spans="6:7" ht="13">
      <c r="F411" s="132"/>
      <c r="G411" s="132"/>
    </row>
    <row r="412" spans="6:7" ht="13">
      <c r="F412" s="132"/>
      <c r="G412" s="132"/>
    </row>
    <row r="413" spans="6:7" ht="13">
      <c r="F413" s="132"/>
      <c r="G413" s="132"/>
    </row>
    <row r="414" spans="6:7" ht="13">
      <c r="F414" s="132"/>
      <c r="G414" s="132"/>
    </row>
    <row r="415" spans="6:7" ht="13">
      <c r="F415" s="132"/>
      <c r="G415" s="132"/>
    </row>
    <row r="416" spans="6:7" ht="13">
      <c r="F416" s="132"/>
      <c r="G416" s="132"/>
    </row>
    <row r="417" spans="6:7" ht="13">
      <c r="F417" s="132"/>
      <c r="G417" s="132"/>
    </row>
    <row r="418" spans="6:7" ht="13">
      <c r="F418" s="132"/>
      <c r="G418" s="132"/>
    </row>
    <row r="419" spans="6:7" ht="13">
      <c r="F419" s="132"/>
      <c r="G419" s="132"/>
    </row>
    <row r="420" spans="6:7" ht="13">
      <c r="F420" s="132"/>
      <c r="G420" s="132"/>
    </row>
    <row r="421" spans="6:7" ht="13">
      <c r="F421" s="132"/>
      <c r="G421" s="132"/>
    </row>
    <row r="422" spans="6:7" ht="13">
      <c r="F422" s="132"/>
      <c r="G422" s="132"/>
    </row>
    <row r="423" spans="6:7" ht="13">
      <c r="F423" s="132"/>
      <c r="G423" s="132"/>
    </row>
    <row r="424" spans="6:7" ht="13">
      <c r="F424" s="132"/>
      <c r="G424" s="132"/>
    </row>
    <row r="425" spans="6:7" ht="13">
      <c r="F425" s="132"/>
      <c r="G425" s="132"/>
    </row>
    <row r="426" spans="6:7" ht="13">
      <c r="F426" s="132"/>
      <c r="G426" s="132"/>
    </row>
    <row r="427" spans="6:7" ht="13">
      <c r="F427" s="132"/>
      <c r="G427" s="132"/>
    </row>
    <row r="428" spans="6:7" ht="13">
      <c r="F428" s="132"/>
      <c r="G428" s="132"/>
    </row>
    <row r="429" spans="6:7" ht="13">
      <c r="F429" s="132"/>
      <c r="G429" s="132"/>
    </row>
    <row r="430" spans="6:7" ht="13">
      <c r="F430" s="132"/>
      <c r="G430" s="132"/>
    </row>
    <row r="431" spans="6:7" ht="13">
      <c r="F431" s="132"/>
      <c r="G431" s="132"/>
    </row>
    <row r="432" spans="6:7" ht="13">
      <c r="F432" s="132"/>
      <c r="G432" s="132"/>
    </row>
    <row r="433" spans="6:7" ht="13">
      <c r="F433" s="132"/>
      <c r="G433" s="132"/>
    </row>
    <row r="434" spans="6:7" ht="13">
      <c r="F434" s="132"/>
      <c r="G434" s="132"/>
    </row>
    <row r="435" spans="6:7" ht="13">
      <c r="F435" s="132"/>
      <c r="G435" s="132"/>
    </row>
    <row r="436" spans="6:7" ht="13">
      <c r="F436" s="132"/>
      <c r="G436" s="132"/>
    </row>
    <row r="437" spans="6:7" ht="13">
      <c r="F437" s="132"/>
      <c r="G437" s="132"/>
    </row>
    <row r="438" spans="6:7" ht="13">
      <c r="F438" s="132"/>
      <c r="G438" s="132"/>
    </row>
    <row r="439" spans="6:7" ht="13">
      <c r="F439" s="132"/>
      <c r="G439" s="132"/>
    </row>
    <row r="440" spans="6:7" ht="13">
      <c r="F440" s="132"/>
      <c r="G440" s="132"/>
    </row>
    <row r="441" spans="6:7" ht="13">
      <c r="F441" s="132"/>
      <c r="G441" s="132"/>
    </row>
    <row r="442" spans="6:7" ht="13">
      <c r="F442" s="132"/>
      <c r="G442" s="132"/>
    </row>
    <row r="443" spans="6:7" ht="13">
      <c r="F443" s="132"/>
      <c r="G443" s="132"/>
    </row>
    <row r="444" spans="6:7" ht="13">
      <c r="F444" s="132"/>
      <c r="G444" s="132"/>
    </row>
    <row r="445" spans="6:7" ht="13">
      <c r="F445" s="132"/>
      <c r="G445" s="132"/>
    </row>
    <row r="446" spans="6:7" ht="13">
      <c r="F446" s="132"/>
      <c r="G446" s="132"/>
    </row>
    <row r="447" spans="6:7" ht="13">
      <c r="F447" s="132"/>
      <c r="G447" s="132"/>
    </row>
    <row r="448" spans="6:7" ht="13">
      <c r="F448" s="132"/>
      <c r="G448" s="132"/>
    </row>
    <row r="449" spans="6:7" ht="13">
      <c r="F449" s="132"/>
      <c r="G449" s="132"/>
    </row>
    <row r="450" spans="6:7" ht="13">
      <c r="F450" s="132"/>
      <c r="G450" s="132"/>
    </row>
    <row r="451" spans="6:7" ht="13">
      <c r="F451" s="132"/>
      <c r="G451" s="132"/>
    </row>
    <row r="452" spans="6:7" ht="13">
      <c r="F452" s="132"/>
      <c r="G452" s="132"/>
    </row>
    <row r="453" spans="6:7" ht="13">
      <c r="F453" s="132"/>
      <c r="G453" s="132"/>
    </row>
    <row r="454" spans="6:7" ht="13">
      <c r="F454" s="132"/>
      <c r="G454" s="132"/>
    </row>
    <row r="455" spans="6:7" ht="13">
      <c r="F455" s="132"/>
      <c r="G455" s="132"/>
    </row>
    <row r="456" spans="6:7" ht="13">
      <c r="F456" s="132"/>
      <c r="G456" s="132"/>
    </row>
    <row r="457" spans="6:7" ht="13">
      <c r="F457" s="132"/>
      <c r="G457" s="132"/>
    </row>
    <row r="458" spans="6:7" ht="13">
      <c r="F458" s="132"/>
      <c r="G458" s="132"/>
    </row>
    <row r="459" spans="6:7" ht="13">
      <c r="F459" s="132"/>
      <c r="G459" s="132"/>
    </row>
    <row r="460" spans="6:7" ht="13">
      <c r="F460" s="132"/>
      <c r="G460" s="132"/>
    </row>
    <row r="461" spans="6:7" ht="13">
      <c r="F461" s="132"/>
      <c r="G461" s="132"/>
    </row>
    <row r="462" spans="6:7" ht="13">
      <c r="F462" s="132"/>
      <c r="G462" s="132"/>
    </row>
    <row r="463" spans="6:7" ht="13">
      <c r="F463" s="132"/>
      <c r="G463" s="132"/>
    </row>
    <row r="464" spans="6:7" ht="13">
      <c r="F464" s="132"/>
      <c r="G464" s="132"/>
    </row>
    <row r="465" spans="6:7" ht="13">
      <c r="F465" s="132"/>
      <c r="G465" s="132"/>
    </row>
    <row r="466" spans="6:7" ht="13">
      <c r="F466" s="132"/>
      <c r="G466" s="132"/>
    </row>
    <row r="467" spans="6:7" ht="13">
      <c r="F467" s="132"/>
      <c r="G467" s="132"/>
    </row>
    <row r="468" spans="6:7" ht="13">
      <c r="F468" s="132"/>
      <c r="G468" s="132"/>
    </row>
    <row r="469" spans="6:7" ht="13">
      <c r="F469" s="132"/>
      <c r="G469" s="132"/>
    </row>
    <row r="470" spans="6:7" ht="13">
      <c r="F470" s="132"/>
      <c r="G470" s="132"/>
    </row>
    <row r="471" spans="6:7" ht="13">
      <c r="F471" s="132"/>
      <c r="G471" s="132"/>
    </row>
    <row r="472" spans="6:7" ht="13">
      <c r="F472" s="132"/>
      <c r="G472" s="132"/>
    </row>
    <row r="473" spans="6:7" ht="13">
      <c r="F473" s="132"/>
      <c r="G473" s="132"/>
    </row>
    <row r="474" spans="6:7" ht="13">
      <c r="F474" s="132"/>
      <c r="G474" s="132"/>
    </row>
    <row r="475" spans="6:7" ht="13">
      <c r="F475" s="132"/>
      <c r="G475" s="132"/>
    </row>
    <row r="476" spans="6:7" ht="13">
      <c r="F476" s="132"/>
      <c r="G476" s="132"/>
    </row>
    <row r="477" spans="6:7" ht="13">
      <c r="F477" s="132"/>
      <c r="G477" s="132"/>
    </row>
    <row r="478" spans="6:7" ht="13">
      <c r="F478" s="132"/>
      <c r="G478" s="132"/>
    </row>
    <row r="479" spans="6:7" ht="13">
      <c r="F479" s="132"/>
      <c r="G479" s="132"/>
    </row>
    <row r="480" spans="6:7" ht="13">
      <c r="F480" s="132"/>
      <c r="G480" s="132"/>
    </row>
    <row r="481" spans="6:7" ht="13">
      <c r="F481" s="132"/>
      <c r="G481" s="132"/>
    </row>
    <row r="482" spans="6:7" ht="13">
      <c r="F482" s="132"/>
      <c r="G482" s="132"/>
    </row>
    <row r="483" spans="6:7" ht="13">
      <c r="F483" s="132"/>
      <c r="G483" s="132"/>
    </row>
    <row r="484" spans="6:7" ht="13">
      <c r="F484" s="132"/>
      <c r="G484" s="132"/>
    </row>
    <row r="485" spans="6:7" ht="13">
      <c r="F485" s="132"/>
      <c r="G485" s="132"/>
    </row>
    <row r="486" spans="6:7" ht="13">
      <c r="F486" s="132"/>
      <c r="G486" s="132"/>
    </row>
    <row r="487" spans="6:7" ht="13">
      <c r="F487" s="132"/>
      <c r="G487" s="132"/>
    </row>
    <row r="488" spans="6:7" ht="13">
      <c r="F488" s="132"/>
      <c r="G488" s="132"/>
    </row>
    <row r="489" spans="6:7" ht="13">
      <c r="F489" s="132"/>
      <c r="G489" s="132"/>
    </row>
    <row r="490" spans="6:7" ht="13">
      <c r="F490" s="132"/>
      <c r="G490" s="132"/>
    </row>
    <row r="491" spans="6:7" ht="13">
      <c r="F491" s="132"/>
      <c r="G491" s="132"/>
    </row>
    <row r="492" spans="6:7" ht="13">
      <c r="F492" s="132"/>
      <c r="G492" s="132"/>
    </row>
    <row r="493" spans="6:7" ht="13">
      <c r="F493" s="132"/>
      <c r="G493" s="132"/>
    </row>
    <row r="494" spans="6:7" ht="13">
      <c r="F494" s="132"/>
      <c r="G494" s="132"/>
    </row>
    <row r="495" spans="6:7" ht="13">
      <c r="F495" s="132"/>
      <c r="G495" s="132"/>
    </row>
    <row r="496" spans="6:7" ht="13">
      <c r="F496" s="132"/>
      <c r="G496" s="132"/>
    </row>
    <row r="497" spans="6:7" ht="13">
      <c r="F497" s="132"/>
      <c r="G497" s="132"/>
    </row>
    <row r="498" spans="6:7" ht="13">
      <c r="F498" s="132"/>
      <c r="G498" s="132"/>
    </row>
    <row r="499" spans="6:7" ht="13">
      <c r="F499" s="132"/>
      <c r="G499" s="132"/>
    </row>
    <row r="500" spans="6:7" ht="13">
      <c r="F500" s="132"/>
      <c r="G500" s="132"/>
    </row>
    <row r="501" spans="6:7" ht="13">
      <c r="F501" s="132"/>
      <c r="G501" s="132"/>
    </row>
    <row r="502" spans="6:7" ht="13">
      <c r="F502" s="132"/>
      <c r="G502" s="132"/>
    </row>
    <row r="503" spans="6:7" ht="13">
      <c r="F503" s="132"/>
      <c r="G503" s="132"/>
    </row>
    <row r="504" spans="6:7" ht="13">
      <c r="F504" s="132"/>
      <c r="G504" s="132"/>
    </row>
    <row r="505" spans="6:7" ht="13">
      <c r="F505" s="132"/>
      <c r="G505" s="132"/>
    </row>
    <row r="506" spans="6:7" ht="13">
      <c r="F506" s="132"/>
      <c r="G506" s="132"/>
    </row>
    <row r="507" spans="6:7" ht="13">
      <c r="F507" s="132"/>
      <c r="G507" s="132"/>
    </row>
    <row r="508" spans="6:7" ht="13">
      <c r="F508" s="132"/>
      <c r="G508" s="132"/>
    </row>
    <row r="509" spans="6:7" ht="13">
      <c r="F509" s="132"/>
      <c r="G509" s="132"/>
    </row>
    <row r="510" spans="6:7" ht="13">
      <c r="F510" s="132"/>
      <c r="G510" s="132"/>
    </row>
    <row r="511" spans="6:7" ht="13">
      <c r="F511" s="132"/>
      <c r="G511" s="132"/>
    </row>
    <row r="512" spans="6:7" ht="13">
      <c r="F512" s="132"/>
      <c r="G512" s="132"/>
    </row>
    <row r="513" spans="6:7" ht="13">
      <c r="F513" s="132"/>
      <c r="G513" s="132"/>
    </row>
    <row r="514" spans="6:7" ht="13">
      <c r="F514" s="132"/>
      <c r="G514" s="132"/>
    </row>
    <row r="515" spans="6:7" ht="13">
      <c r="F515" s="132"/>
      <c r="G515" s="132"/>
    </row>
    <row r="516" spans="6:7" ht="13">
      <c r="F516" s="132"/>
      <c r="G516" s="132"/>
    </row>
    <row r="517" spans="6:7" ht="13">
      <c r="F517" s="132"/>
      <c r="G517" s="132"/>
    </row>
    <row r="518" spans="6:7" ht="13">
      <c r="F518" s="132"/>
      <c r="G518" s="132"/>
    </row>
    <row r="519" spans="6:7" ht="13">
      <c r="F519" s="132"/>
      <c r="G519" s="132"/>
    </row>
    <row r="520" spans="6:7" ht="13">
      <c r="F520" s="132"/>
      <c r="G520" s="132"/>
    </row>
    <row r="521" spans="6:7" ht="13">
      <c r="F521" s="132"/>
      <c r="G521" s="132"/>
    </row>
    <row r="522" spans="6:7" ht="13">
      <c r="F522" s="132"/>
      <c r="G522" s="132"/>
    </row>
    <row r="523" spans="6:7" ht="13">
      <c r="F523" s="132"/>
      <c r="G523" s="132"/>
    </row>
    <row r="524" spans="6:7" ht="13">
      <c r="F524" s="132"/>
      <c r="G524" s="132"/>
    </row>
    <row r="525" spans="6:7" ht="13">
      <c r="F525" s="132"/>
      <c r="G525" s="132"/>
    </row>
    <row r="526" spans="6:7" ht="13">
      <c r="F526" s="132"/>
      <c r="G526" s="132"/>
    </row>
    <row r="527" spans="6:7" ht="13">
      <c r="F527" s="132"/>
      <c r="G527" s="132"/>
    </row>
    <row r="528" spans="6:7" ht="13">
      <c r="F528" s="132"/>
      <c r="G528" s="132"/>
    </row>
    <row r="529" spans="6:7" ht="13">
      <c r="F529" s="132"/>
      <c r="G529" s="132"/>
    </row>
    <row r="530" spans="6:7" ht="13">
      <c r="F530" s="132"/>
      <c r="G530" s="132"/>
    </row>
    <row r="531" spans="6:7" ht="13">
      <c r="F531" s="132"/>
      <c r="G531" s="132"/>
    </row>
    <row r="532" spans="6:7" ht="13">
      <c r="F532" s="132"/>
      <c r="G532" s="132"/>
    </row>
    <row r="533" spans="6:7" ht="13">
      <c r="F533" s="132"/>
      <c r="G533" s="132"/>
    </row>
    <row r="534" spans="6:7" ht="13">
      <c r="F534" s="132"/>
      <c r="G534" s="132"/>
    </row>
    <row r="535" spans="6:7" ht="13">
      <c r="F535" s="132"/>
      <c r="G535" s="132"/>
    </row>
    <row r="536" spans="6:7" ht="13">
      <c r="F536" s="132"/>
      <c r="G536" s="132"/>
    </row>
    <row r="537" spans="6:7" ht="13">
      <c r="F537" s="132"/>
      <c r="G537" s="132"/>
    </row>
    <row r="538" spans="6:7" ht="13">
      <c r="F538" s="132"/>
      <c r="G538" s="132"/>
    </row>
    <row r="539" spans="6:7" ht="13">
      <c r="F539" s="132"/>
      <c r="G539" s="132"/>
    </row>
    <row r="540" spans="6:7" ht="13">
      <c r="F540" s="132"/>
      <c r="G540" s="132"/>
    </row>
    <row r="541" spans="6:7" ht="13">
      <c r="F541" s="132"/>
      <c r="G541" s="132"/>
    </row>
    <row r="542" spans="6:7" ht="13">
      <c r="F542" s="132"/>
      <c r="G542" s="132"/>
    </row>
    <row r="543" spans="6:7" ht="13">
      <c r="F543" s="132"/>
      <c r="G543" s="132"/>
    </row>
    <row r="544" spans="6:7" ht="13">
      <c r="F544" s="132"/>
      <c r="G544" s="132"/>
    </row>
    <row r="545" spans="6:7" ht="13">
      <c r="F545" s="132"/>
      <c r="G545" s="132"/>
    </row>
    <row r="546" spans="6:7" ht="13">
      <c r="F546" s="132"/>
      <c r="G546" s="132"/>
    </row>
    <row r="547" spans="6:7" ht="13">
      <c r="F547" s="132"/>
      <c r="G547" s="132"/>
    </row>
    <row r="548" spans="6:7" ht="13">
      <c r="F548" s="132"/>
      <c r="G548" s="132"/>
    </row>
    <row r="549" spans="6:7" ht="13">
      <c r="F549" s="132"/>
      <c r="G549" s="132"/>
    </row>
    <row r="550" spans="6:7" ht="13">
      <c r="F550" s="132"/>
      <c r="G550" s="132"/>
    </row>
    <row r="551" spans="6:7" ht="13">
      <c r="F551" s="132"/>
      <c r="G551" s="132"/>
    </row>
    <row r="552" spans="6:7" ht="13">
      <c r="F552" s="132"/>
      <c r="G552" s="132"/>
    </row>
    <row r="553" spans="6:7" ht="13">
      <c r="F553" s="132"/>
      <c r="G553" s="132"/>
    </row>
    <row r="554" spans="6:7" ht="13">
      <c r="F554" s="132"/>
      <c r="G554" s="132"/>
    </row>
    <row r="555" spans="6:7" ht="13">
      <c r="F555" s="132"/>
      <c r="G555" s="132"/>
    </row>
    <row r="556" spans="6:7" ht="13">
      <c r="F556" s="132"/>
      <c r="G556" s="132"/>
    </row>
    <row r="557" spans="6:7" ht="13">
      <c r="F557" s="132"/>
      <c r="G557" s="132"/>
    </row>
    <row r="558" spans="6:7" ht="13">
      <c r="F558" s="132"/>
      <c r="G558" s="132"/>
    </row>
    <row r="559" spans="6:7" ht="13">
      <c r="F559" s="132"/>
      <c r="G559" s="132"/>
    </row>
    <row r="560" spans="6:7" ht="13">
      <c r="F560" s="132"/>
      <c r="G560" s="132"/>
    </row>
    <row r="561" spans="6:7" ht="13">
      <c r="F561" s="132"/>
      <c r="G561" s="132"/>
    </row>
    <row r="562" spans="6:7" ht="13">
      <c r="F562" s="132"/>
      <c r="G562" s="132"/>
    </row>
    <row r="563" spans="6:7" ht="13">
      <c r="F563" s="132"/>
      <c r="G563" s="132"/>
    </row>
    <row r="564" spans="6:7" ht="13">
      <c r="F564" s="132"/>
      <c r="G564" s="132"/>
    </row>
    <row r="565" spans="6:7" ht="13">
      <c r="F565" s="132"/>
      <c r="G565" s="132"/>
    </row>
    <row r="566" spans="6:7" ht="13">
      <c r="F566" s="132"/>
      <c r="G566" s="132"/>
    </row>
    <row r="567" spans="6:7" ht="13">
      <c r="F567" s="132"/>
      <c r="G567" s="132"/>
    </row>
    <row r="568" spans="6:7" ht="13">
      <c r="F568" s="132"/>
      <c r="G568" s="132"/>
    </row>
    <row r="569" spans="6:7" ht="13">
      <c r="F569" s="132"/>
      <c r="G569" s="132"/>
    </row>
    <row r="570" spans="6:7" ht="13">
      <c r="F570" s="132"/>
      <c r="G570" s="132"/>
    </row>
    <row r="571" spans="6:7" ht="13">
      <c r="F571" s="132"/>
      <c r="G571" s="132"/>
    </row>
    <row r="572" spans="6:7" ht="13">
      <c r="F572" s="132"/>
      <c r="G572" s="132"/>
    </row>
    <row r="573" spans="6:7" ht="13">
      <c r="F573" s="132"/>
      <c r="G573" s="132"/>
    </row>
    <row r="574" spans="6:7" ht="13">
      <c r="F574" s="132"/>
      <c r="G574" s="132"/>
    </row>
    <row r="575" spans="6:7" ht="13">
      <c r="F575" s="132"/>
      <c r="G575" s="132"/>
    </row>
    <row r="576" spans="6:7" ht="13">
      <c r="F576" s="132"/>
      <c r="G576" s="132"/>
    </row>
    <row r="577" spans="6:7" ht="13">
      <c r="F577" s="132"/>
      <c r="G577" s="132"/>
    </row>
    <row r="578" spans="6:7" ht="13">
      <c r="F578" s="132"/>
      <c r="G578" s="132"/>
    </row>
    <row r="579" spans="6:7" ht="13">
      <c r="F579" s="132"/>
      <c r="G579" s="132"/>
    </row>
    <row r="580" spans="6:7" ht="13">
      <c r="F580" s="132"/>
      <c r="G580" s="132"/>
    </row>
    <row r="581" spans="6:7" ht="13">
      <c r="F581" s="132"/>
      <c r="G581" s="132"/>
    </row>
    <row r="582" spans="6:7" ht="13">
      <c r="F582" s="132"/>
      <c r="G582" s="132"/>
    </row>
    <row r="583" spans="6:7" ht="13">
      <c r="F583" s="132"/>
      <c r="G583" s="132"/>
    </row>
    <row r="584" spans="6:7" ht="13">
      <c r="F584" s="132"/>
      <c r="G584" s="132"/>
    </row>
    <row r="585" spans="6:7" ht="13">
      <c r="F585" s="132"/>
      <c r="G585" s="132"/>
    </row>
    <row r="586" spans="6:7" ht="13">
      <c r="F586" s="132"/>
      <c r="G586" s="132"/>
    </row>
    <row r="587" spans="6:7" ht="13">
      <c r="F587" s="132"/>
      <c r="G587" s="132"/>
    </row>
    <row r="588" spans="6:7" ht="13">
      <c r="F588" s="132"/>
      <c r="G588" s="132"/>
    </row>
    <row r="589" spans="6:7" ht="13">
      <c r="F589" s="132"/>
      <c r="G589" s="132"/>
    </row>
    <row r="590" spans="6:7" ht="13">
      <c r="F590" s="132"/>
      <c r="G590" s="132"/>
    </row>
    <row r="591" spans="6:7" ht="13">
      <c r="F591" s="132"/>
      <c r="G591" s="132"/>
    </row>
    <row r="592" spans="6:7" ht="13">
      <c r="F592" s="132"/>
      <c r="G592" s="132"/>
    </row>
    <row r="593" spans="6:7" ht="13">
      <c r="F593" s="132"/>
      <c r="G593" s="132"/>
    </row>
    <row r="594" spans="6:7" ht="13">
      <c r="F594" s="132"/>
      <c r="G594" s="132"/>
    </row>
    <row r="595" spans="6:7" ht="13">
      <c r="F595" s="132"/>
      <c r="G595" s="132"/>
    </row>
    <row r="596" spans="6:7" ht="13">
      <c r="F596" s="132"/>
      <c r="G596" s="132"/>
    </row>
    <row r="597" spans="6:7" ht="13">
      <c r="F597" s="132"/>
      <c r="G597" s="132"/>
    </row>
    <row r="598" spans="6:7" ht="13">
      <c r="F598" s="132"/>
      <c r="G598" s="132"/>
    </row>
    <row r="599" spans="6:7" ht="13">
      <c r="F599" s="132"/>
      <c r="G599" s="132"/>
    </row>
    <row r="600" spans="6:7" ht="13">
      <c r="F600" s="132"/>
      <c r="G600" s="132"/>
    </row>
    <row r="601" spans="6:7" ht="13">
      <c r="F601" s="132"/>
      <c r="G601" s="132"/>
    </row>
    <row r="602" spans="6:7" ht="13">
      <c r="F602" s="132"/>
      <c r="G602" s="132"/>
    </row>
    <row r="603" spans="6:7" ht="13">
      <c r="F603" s="132"/>
      <c r="G603" s="132"/>
    </row>
    <row r="604" spans="6:7" ht="13">
      <c r="F604" s="132"/>
      <c r="G604" s="132"/>
    </row>
    <row r="605" spans="6:7" ht="13">
      <c r="F605" s="132"/>
      <c r="G605" s="132"/>
    </row>
    <row r="606" spans="6:7" ht="13">
      <c r="F606" s="132"/>
      <c r="G606" s="132"/>
    </row>
    <row r="607" spans="6:7" ht="13">
      <c r="F607" s="132"/>
      <c r="G607" s="132"/>
    </row>
    <row r="608" spans="6:7" ht="13">
      <c r="F608" s="132"/>
      <c r="G608" s="132"/>
    </row>
    <row r="609" spans="6:7" ht="13">
      <c r="F609" s="132"/>
      <c r="G609" s="132"/>
    </row>
    <row r="610" spans="6:7" ht="13">
      <c r="F610" s="132"/>
      <c r="G610" s="132"/>
    </row>
    <row r="611" spans="6:7" ht="13">
      <c r="F611" s="132"/>
      <c r="G611" s="132"/>
    </row>
    <row r="612" spans="6:7" ht="13">
      <c r="F612" s="132"/>
      <c r="G612" s="132"/>
    </row>
    <row r="613" spans="6:7" ht="13">
      <c r="F613" s="132"/>
      <c r="G613" s="132"/>
    </row>
    <row r="614" spans="6:7" ht="13">
      <c r="F614" s="132"/>
      <c r="G614" s="132"/>
    </row>
    <row r="615" spans="6:7" ht="13">
      <c r="F615" s="132"/>
      <c r="G615" s="132"/>
    </row>
    <row r="616" spans="6:7" ht="13">
      <c r="F616" s="132"/>
      <c r="G616" s="132"/>
    </row>
    <row r="617" spans="6:7" ht="13">
      <c r="F617" s="132"/>
      <c r="G617" s="132"/>
    </row>
    <row r="618" spans="6:7" ht="13">
      <c r="F618" s="132"/>
      <c r="G618" s="132"/>
    </row>
    <row r="619" spans="6:7" ht="13">
      <c r="F619" s="132"/>
      <c r="G619" s="132"/>
    </row>
    <row r="620" spans="6:7" ht="13">
      <c r="F620" s="132"/>
      <c r="G620" s="132"/>
    </row>
    <row r="621" spans="6:7" ht="13">
      <c r="F621" s="132"/>
      <c r="G621" s="132"/>
    </row>
    <row r="622" spans="6:7" ht="13">
      <c r="F622" s="132"/>
      <c r="G622" s="132"/>
    </row>
    <row r="623" spans="6:7" ht="13">
      <c r="F623" s="132"/>
      <c r="G623" s="132"/>
    </row>
    <row r="624" spans="6:7" ht="13">
      <c r="F624" s="132"/>
      <c r="G624" s="132"/>
    </row>
    <row r="625" spans="6:7" ht="13">
      <c r="F625" s="132"/>
      <c r="G625" s="132"/>
    </row>
    <row r="626" spans="6:7" ht="13">
      <c r="F626" s="132"/>
      <c r="G626" s="132"/>
    </row>
    <row r="627" spans="6:7" ht="13">
      <c r="F627" s="132"/>
      <c r="G627" s="132"/>
    </row>
    <row r="628" spans="6:7" ht="13">
      <c r="F628" s="132"/>
      <c r="G628" s="132"/>
    </row>
    <row r="629" spans="6:7" ht="13">
      <c r="F629" s="132"/>
      <c r="G629" s="132"/>
    </row>
    <row r="630" spans="6:7" ht="13">
      <c r="F630" s="132"/>
      <c r="G630" s="132"/>
    </row>
    <row r="631" spans="6:7" ht="13">
      <c r="F631" s="132"/>
      <c r="G631" s="132"/>
    </row>
    <row r="632" spans="6:7" ht="13">
      <c r="F632" s="132"/>
      <c r="G632" s="132"/>
    </row>
    <row r="633" spans="6:7" ht="13">
      <c r="F633" s="132"/>
      <c r="G633" s="132"/>
    </row>
    <row r="634" spans="6:7" ht="13">
      <c r="F634" s="132"/>
      <c r="G634" s="132"/>
    </row>
    <row r="635" spans="6:7" ht="13">
      <c r="F635" s="132"/>
      <c r="G635" s="132"/>
    </row>
    <row r="636" spans="6:7" ht="13">
      <c r="F636" s="132"/>
      <c r="G636" s="132"/>
    </row>
    <row r="637" spans="6:7" ht="13">
      <c r="F637" s="132"/>
      <c r="G637" s="132"/>
    </row>
    <row r="638" spans="6:7" ht="13">
      <c r="F638" s="132"/>
      <c r="G638" s="132"/>
    </row>
    <row r="639" spans="6:7" ht="13">
      <c r="F639" s="132"/>
      <c r="G639" s="132"/>
    </row>
    <row r="640" spans="6:7" ht="13">
      <c r="F640" s="132"/>
      <c r="G640" s="132"/>
    </row>
    <row r="641" spans="6:7" ht="13">
      <c r="F641" s="132"/>
      <c r="G641" s="132"/>
    </row>
    <row r="642" spans="6:7" ht="13">
      <c r="F642" s="132"/>
      <c r="G642" s="132"/>
    </row>
    <row r="643" spans="6:7" ht="13">
      <c r="F643" s="132"/>
      <c r="G643" s="132"/>
    </row>
    <row r="644" spans="6:7" ht="13">
      <c r="F644" s="132"/>
      <c r="G644" s="132"/>
    </row>
    <row r="645" spans="6:7" ht="13">
      <c r="F645" s="132"/>
      <c r="G645" s="132"/>
    </row>
    <row r="646" spans="6:7" ht="13">
      <c r="F646" s="132"/>
      <c r="G646" s="132"/>
    </row>
    <row r="647" spans="6:7" ht="13">
      <c r="F647" s="132"/>
      <c r="G647" s="132"/>
    </row>
    <row r="648" spans="6:7" ht="13">
      <c r="F648" s="132"/>
      <c r="G648" s="132"/>
    </row>
    <row r="649" spans="6:7" ht="13">
      <c r="F649" s="132"/>
      <c r="G649" s="132"/>
    </row>
    <row r="650" spans="6:7" ht="13">
      <c r="F650" s="132"/>
      <c r="G650" s="132"/>
    </row>
    <row r="651" spans="6:7" ht="13">
      <c r="F651" s="132"/>
      <c r="G651" s="132"/>
    </row>
    <row r="652" spans="6:7" ht="13">
      <c r="F652" s="132"/>
      <c r="G652" s="132"/>
    </row>
    <row r="653" spans="6:7" ht="13">
      <c r="F653" s="132"/>
      <c r="G653" s="132"/>
    </row>
    <row r="654" spans="6:7" ht="13">
      <c r="F654" s="132"/>
      <c r="G654" s="132"/>
    </row>
    <row r="655" spans="6:7" ht="13">
      <c r="F655" s="132"/>
      <c r="G655" s="132"/>
    </row>
    <row r="656" spans="6:7" ht="13">
      <c r="F656" s="132"/>
      <c r="G656" s="132"/>
    </row>
    <row r="657" spans="6:7" ht="13">
      <c r="F657" s="132"/>
      <c r="G657" s="132"/>
    </row>
    <row r="658" spans="6:7" ht="13">
      <c r="F658" s="132"/>
      <c r="G658" s="132"/>
    </row>
    <row r="659" spans="6:7" ht="13">
      <c r="F659" s="132"/>
      <c r="G659" s="132"/>
    </row>
    <row r="660" spans="6:7" ht="13">
      <c r="F660" s="132"/>
      <c r="G660" s="132"/>
    </row>
    <row r="661" spans="6:7" ht="13">
      <c r="F661" s="132"/>
      <c r="G661" s="132"/>
    </row>
    <row r="662" spans="6:7" ht="13">
      <c r="F662" s="132"/>
      <c r="G662" s="132"/>
    </row>
    <row r="663" spans="6:7" ht="13">
      <c r="F663" s="132"/>
      <c r="G663" s="132"/>
    </row>
    <row r="664" spans="6:7" ht="13">
      <c r="F664" s="132"/>
      <c r="G664" s="132"/>
    </row>
    <row r="665" spans="6:7" ht="13">
      <c r="F665" s="132"/>
      <c r="G665" s="132"/>
    </row>
    <row r="666" spans="6:7" ht="13">
      <c r="F666" s="132"/>
      <c r="G666" s="132"/>
    </row>
    <row r="667" spans="6:7" ht="13">
      <c r="F667" s="132"/>
      <c r="G667" s="132"/>
    </row>
    <row r="668" spans="6:7" ht="13">
      <c r="F668" s="132"/>
      <c r="G668" s="132"/>
    </row>
    <row r="669" spans="6:7" ht="13">
      <c r="F669" s="132"/>
      <c r="G669" s="132"/>
    </row>
    <row r="670" spans="6:7" ht="13">
      <c r="F670" s="132"/>
      <c r="G670" s="132"/>
    </row>
    <row r="671" spans="6:7" ht="13">
      <c r="F671" s="132"/>
      <c r="G671" s="132"/>
    </row>
    <row r="672" spans="6:7" ht="13">
      <c r="F672" s="132"/>
      <c r="G672" s="132"/>
    </row>
    <row r="673" spans="6:7" ht="13">
      <c r="F673" s="132"/>
      <c r="G673" s="132"/>
    </row>
    <row r="674" spans="6:7" ht="13">
      <c r="F674" s="132"/>
      <c r="G674" s="132"/>
    </row>
    <row r="675" spans="6:7" ht="13">
      <c r="F675" s="132"/>
      <c r="G675" s="132"/>
    </row>
    <row r="676" spans="6:7" ht="13">
      <c r="F676" s="132"/>
      <c r="G676" s="132"/>
    </row>
    <row r="677" spans="6:7" ht="13">
      <c r="F677" s="132"/>
      <c r="G677" s="132"/>
    </row>
    <row r="678" spans="6:7" ht="13">
      <c r="F678" s="132"/>
      <c r="G678" s="132"/>
    </row>
    <row r="679" spans="6:7" ht="13">
      <c r="F679" s="132"/>
      <c r="G679" s="132"/>
    </row>
    <row r="680" spans="6:7" ht="13">
      <c r="F680" s="132"/>
      <c r="G680" s="132"/>
    </row>
    <row r="681" spans="6:7" ht="13">
      <c r="F681" s="132"/>
      <c r="G681" s="132"/>
    </row>
    <row r="682" spans="6:7" ht="13">
      <c r="F682" s="132"/>
      <c r="G682" s="132"/>
    </row>
    <row r="683" spans="6:7" ht="13">
      <c r="F683" s="132"/>
      <c r="G683" s="132"/>
    </row>
    <row r="684" spans="6:7" ht="13">
      <c r="F684" s="132"/>
      <c r="G684" s="132"/>
    </row>
    <row r="685" spans="6:7" ht="13">
      <c r="F685" s="132"/>
      <c r="G685" s="132"/>
    </row>
    <row r="686" spans="6:7" ht="13">
      <c r="F686" s="132"/>
      <c r="G686" s="132"/>
    </row>
    <row r="687" spans="6:7" ht="13">
      <c r="F687" s="132"/>
      <c r="G687" s="132"/>
    </row>
    <row r="688" spans="6:7" ht="13">
      <c r="F688" s="132"/>
      <c r="G688" s="132"/>
    </row>
    <row r="689" spans="6:7" ht="13">
      <c r="F689" s="132"/>
      <c r="G689" s="132"/>
    </row>
    <row r="690" spans="6:7" ht="13">
      <c r="F690" s="132"/>
      <c r="G690" s="132"/>
    </row>
    <row r="691" spans="6:7" ht="13">
      <c r="F691" s="132"/>
      <c r="G691" s="132"/>
    </row>
    <row r="692" spans="6:7" ht="13">
      <c r="F692" s="132"/>
      <c r="G692" s="132"/>
    </row>
    <row r="693" spans="6:7" ht="13">
      <c r="F693" s="132"/>
      <c r="G693" s="132"/>
    </row>
    <row r="694" spans="6:7" ht="13">
      <c r="F694" s="132"/>
      <c r="G694" s="132"/>
    </row>
    <row r="695" spans="6:7" ht="13">
      <c r="F695" s="132"/>
      <c r="G695" s="132"/>
    </row>
    <row r="696" spans="6:7" ht="13">
      <c r="F696" s="132"/>
      <c r="G696" s="132"/>
    </row>
    <row r="697" spans="6:7" ht="13">
      <c r="F697" s="132"/>
      <c r="G697" s="132"/>
    </row>
    <row r="698" spans="6:7" ht="13">
      <c r="F698" s="132"/>
      <c r="G698" s="132"/>
    </row>
    <row r="699" spans="6:7" ht="13">
      <c r="F699" s="132"/>
      <c r="G699" s="132"/>
    </row>
    <row r="700" spans="6:7" ht="13">
      <c r="F700" s="132"/>
      <c r="G700" s="132"/>
    </row>
    <row r="701" spans="6:7" ht="13">
      <c r="F701" s="132"/>
      <c r="G701" s="132"/>
    </row>
    <row r="702" spans="6:7" ht="13">
      <c r="F702" s="132"/>
      <c r="G702" s="132"/>
    </row>
    <row r="703" spans="6:7" ht="13">
      <c r="F703" s="132"/>
      <c r="G703" s="132"/>
    </row>
    <row r="704" spans="6:7" ht="13">
      <c r="F704" s="132"/>
      <c r="G704" s="132"/>
    </row>
    <row r="705" spans="6:7" ht="13">
      <c r="F705" s="132"/>
      <c r="G705" s="132"/>
    </row>
    <row r="706" spans="6:7" ht="13">
      <c r="F706" s="132"/>
      <c r="G706" s="132"/>
    </row>
    <row r="707" spans="6:7" ht="13">
      <c r="F707" s="132"/>
      <c r="G707" s="132"/>
    </row>
    <row r="708" spans="6:7" ht="13">
      <c r="F708" s="132"/>
      <c r="G708" s="132"/>
    </row>
    <row r="709" spans="6:7" ht="13">
      <c r="F709" s="132"/>
      <c r="G709" s="132"/>
    </row>
    <row r="710" spans="6:7" ht="13">
      <c r="F710" s="132"/>
      <c r="G710" s="132"/>
    </row>
    <row r="711" spans="6:7" ht="13">
      <c r="F711" s="132"/>
      <c r="G711" s="132"/>
    </row>
    <row r="712" spans="6:7" ht="13">
      <c r="F712" s="132"/>
      <c r="G712" s="132"/>
    </row>
    <row r="713" spans="6:7" ht="13">
      <c r="F713" s="132"/>
      <c r="G713" s="132"/>
    </row>
    <row r="714" spans="6:7" ht="13">
      <c r="F714" s="132"/>
      <c r="G714" s="132"/>
    </row>
    <row r="715" spans="6:7" ht="13">
      <c r="F715" s="132"/>
      <c r="G715" s="132"/>
    </row>
    <row r="716" spans="6:7" ht="13">
      <c r="F716" s="132"/>
      <c r="G716" s="132"/>
    </row>
    <row r="717" spans="6:7" ht="13">
      <c r="F717" s="132"/>
      <c r="G717" s="132"/>
    </row>
    <row r="718" spans="6:7" ht="13">
      <c r="F718" s="132"/>
      <c r="G718" s="132"/>
    </row>
    <row r="719" spans="6:7" ht="13">
      <c r="F719" s="132"/>
      <c r="G719" s="132"/>
    </row>
    <row r="720" spans="6:7" ht="13">
      <c r="F720" s="132"/>
      <c r="G720" s="132"/>
    </row>
    <row r="721" spans="6:7" ht="13">
      <c r="F721" s="132"/>
      <c r="G721" s="132"/>
    </row>
    <row r="722" spans="6:7" ht="13">
      <c r="F722" s="132"/>
      <c r="G722" s="132"/>
    </row>
    <row r="723" spans="6:7" ht="13">
      <c r="F723" s="132"/>
      <c r="G723" s="132"/>
    </row>
    <row r="724" spans="6:7" ht="13">
      <c r="F724" s="132"/>
      <c r="G724" s="132"/>
    </row>
    <row r="725" spans="6:7" ht="13">
      <c r="F725" s="132"/>
      <c r="G725" s="132"/>
    </row>
    <row r="726" spans="6:7" ht="13">
      <c r="F726" s="132"/>
      <c r="G726" s="132"/>
    </row>
    <row r="727" spans="6:7" ht="13">
      <c r="F727" s="132"/>
      <c r="G727" s="132"/>
    </row>
    <row r="728" spans="6:7" ht="13">
      <c r="F728" s="132"/>
      <c r="G728" s="132"/>
    </row>
    <row r="729" spans="6:7" ht="13">
      <c r="F729" s="132"/>
      <c r="G729" s="132"/>
    </row>
    <row r="730" spans="6:7" ht="13">
      <c r="F730" s="132"/>
      <c r="G730" s="132"/>
    </row>
    <row r="731" spans="6:7" ht="13">
      <c r="F731" s="132"/>
      <c r="G731" s="132"/>
    </row>
    <row r="732" spans="6:7" ht="13">
      <c r="F732" s="132"/>
      <c r="G732" s="132"/>
    </row>
    <row r="733" spans="6:7" ht="13">
      <c r="F733" s="132"/>
      <c r="G733" s="132"/>
    </row>
    <row r="734" spans="6:7" ht="13">
      <c r="F734" s="132"/>
      <c r="G734" s="132"/>
    </row>
    <row r="735" spans="6:7" ht="13">
      <c r="F735" s="132"/>
      <c r="G735" s="132"/>
    </row>
    <row r="736" spans="6:7" ht="13">
      <c r="F736" s="132"/>
      <c r="G736" s="132"/>
    </row>
    <row r="737" spans="6:7" ht="13">
      <c r="F737" s="132"/>
      <c r="G737" s="132"/>
    </row>
    <row r="738" spans="6:7" ht="13">
      <c r="F738" s="132"/>
      <c r="G738" s="132"/>
    </row>
    <row r="739" spans="6:7" ht="13">
      <c r="F739" s="132"/>
      <c r="G739" s="132"/>
    </row>
    <row r="740" spans="6:7" ht="13">
      <c r="F740" s="132"/>
      <c r="G740" s="132"/>
    </row>
    <row r="741" spans="6:7" ht="13">
      <c r="F741" s="132"/>
      <c r="G741" s="132"/>
    </row>
    <row r="742" spans="6:7" ht="13">
      <c r="F742" s="132"/>
      <c r="G742" s="132"/>
    </row>
    <row r="743" spans="6:7" ht="13">
      <c r="F743" s="132"/>
      <c r="G743" s="132"/>
    </row>
    <row r="744" spans="6:7" ht="13">
      <c r="F744" s="132"/>
      <c r="G744" s="132"/>
    </row>
    <row r="745" spans="6:7" ht="13">
      <c r="F745" s="132"/>
      <c r="G745" s="132"/>
    </row>
    <row r="746" spans="6:7" ht="13">
      <c r="F746" s="132"/>
      <c r="G746" s="132"/>
    </row>
    <row r="747" spans="6:7" ht="13">
      <c r="F747" s="132"/>
      <c r="G747" s="132"/>
    </row>
    <row r="748" spans="6:7" ht="13">
      <c r="F748" s="132"/>
      <c r="G748" s="132"/>
    </row>
    <row r="749" spans="6:7" ht="13">
      <c r="F749" s="132"/>
      <c r="G749" s="132"/>
    </row>
    <row r="750" spans="6:7" ht="13">
      <c r="F750" s="132"/>
      <c r="G750" s="132"/>
    </row>
    <row r="751" spans="6:7" ht="13">
      <c r="F751" s="132"/>
      <c r="G751" s="132"/>
    </row>
    <row r="752" spans="6:7" ht="13">
      <c r="F752" s="132"/>
      <c r="G752" s="132"/>
    </row>
    <row r="753" spans="6:7" ht="13">
      <c r="F753" s="132"/>
      <c r="G753" s="132"/>
    </row>
    <row r="754" spans="6:7" ht="13">
      <c r="F754" s="132"/>
      <c r="G754" s="132"/>
    </row>
    <row r="755" spans="6:7" ht="13">
      <c r="F755" s="132"/>
      <c r="G755" s="132"/>
    </row>
    <row r="756" spans="6:7" ht="13">
      <c r="F756" s="132"/>
      <c r="G756" s="132"/>
    </row>
    <row r="757" spans="6:7" ht="13">
      <c r="F757" s="132"/>
      <c r="G757" s="132"/>
    </row>
    <row r="758" spans="6:7" ht="13">
      <c r="F758" s="132"/>
      <c r="G758" s="132"/>
    </row>
    <row r="759" spans="6:7" ht="13">
      <c r="F759" s="132"/>
      <c r="G759" s="132"/>
    </row>
    <row r="760" spans="6:7" ht="13">
      <c r="F760" s="132"/>
      <c r="G760" s="132"/>
    </row>
    <row r="761" spans="6:7" ht="13">
      <c r="F761" s="132"/>
      <c r="G761" s="132"/>
    </row>
    <row r="762" spans="6:7" ht="13">
      <c r="F762" s="132"/>
      <c r="G762" s="132"/>
    </row>
    <row r="763" spans="6:7" ht="13">
      <c r="F763" s="132"/>
      <c r="G763" s="132"/>
    </row>
    <row r="764" spans="6:7" ht="13">
      <c r="F764" s="132"/>
      <c r="G764" s="132"/>
    </row>
    <row r="765" spans="6:7" ht="13">
      <c r="F765" s="132"/>
      <c r="G765" s="132"/>
    </row>
    <row r="766" spans="6:7" ht="13">
      <c r="F766" s="132"/>
      <c r="G766" s="132"/>
    </row>
    <row r="767" spans="6:7" ht="13">
      <c r="F767" s="132"/>
      <c r="G767" s="132"/>
    </row>
    <row r="768" spans="6:7" ht="13">
      <c r="F768" s="132"/>
      <c r="G768" s="132"/>
    </row>
    <row r="769" spans="6:7" ht="13">
      <c r="F769" s="132"/>
      <c r="G769" s="132"/>
    </row>
    <row r="770" spans="6:7" ht="13">
      <c r="F770" s="132"/>
      <c r="G770" s="132"/>
    </row>
    <row r="771" spans="6:7" ht="13">
      <c r="F771" s="132"/>
      <c r="G771" s="132"/>
    </row>
    <row r="772" spans="6:7" ht="13">
      <c r="F772" s="132"/>
      <c r="G772" s="132"/>
    </row>
    <row r="773" spans="6:7" ht="13">
      <c r="F773" s="132"/>
      <c r="G773" s="132"/>
    </row>
    <row r="774" spans="6:7" ht="13">
      <c r="F774" s="132"/>
      <c r="G774" s="132"/>
    </row>
    <row r="775" spans="6:7" ht="13">
      <c r="F775" s="132"/>
      <c r="G775" s="132"/>
    </row>
    <row r="776" spans="6:7" ht="13">
      <c r="F776" s="132"/>
      <c r="G776" s="132"/>
    </row>
    <row r="777" spans="6:7" ht="13">
      <c r="F777" s="132"/>
      <c r="G777" s="132"/>
    </row>
    <row r="778" spans="6:7" ht="13">
      <c r="F778" s="132"/>
      <c r="G778" s="132"/>
    </row>
    <row r="779" spans="6:7" ht="13">
      <c r="F779" s="132"/>
      <c r="G779" s="132"/>
    </row>
    <row r="780" spans="6:7" ht="13">
      <c r="F780" s="132"/>
      <c r="G780" s="132"/>
    </row>
    <row r="781" spans="6:7" ht="13">
      <c r="F781" s="132"/>
      <c r="G781" s="132"/>
    </row>
    <row r="782" spans="6:7" ht="13">
      <c r="F782" s="132"/>
      <c r="G782" s="132"/>
    </row>
    <row r="783" spans="6:7" ht="13">
      <c r="F783" s="132"/>
      <c r="G783" s="132"/>
    </row>
    <row r="784" spans="6:7" ht="13">
      <c r="F784" s="132"/>
      <c r="G784" s="132"/>
    </row>
    <row r="785" spans="6:7" ht="13">
      <c r="F785" s="132"/>
      <c r="G785" s="132"/>
    </row>
    <row r="786" spans="6:7" ht="13">
      <c r="F786" s="132"/>
      <c r="G786" s="132"/>
    </row>
    <row r="787" spans="6:7" ht="13">
      <c r="F787" s="132"/>
      <c r="G787" s="132"/>
    </row>
    <row r="788" spans="6:7" ht="13">
      <c r="F788" s="132"/>
      <c r="G788" s="132"/>
    </row>
    <row r="789" spans="6:7" ht="13">
      <c r="F789" s="132"/>
      <c r="G789" s="132"/>
    </row>
    <row r="790" spans="6:7" ht="13">
      <c r="F790" s="132"/>
      <c r="G790" s="132"/>
    </row>
    <row r="791" spans="6:7" ht="13">
      <c r="F791" s="132"/>
      <c r="G791" s="132"/>
    </row>
    <row r="792" spans="6:7" ht="13">
      <c r="F792" s="132"/>
      <c r="G792" s="132"/>
    </row>
    <row r="793" spans="6:7" ht="13">
      <c r="F793" s="132"/>
      <c r="G793" s="132"/>
    </row>
    <row r="794" spans="6:7" ht="13">
      <c r="F794" s="132"/>
      <c r="G794" s="132"/>
    </row>
    <row r="795" spans="6:7" ht="13">
      <c r="F795" s="132"/>
      <c r="G795" s="132"/>
    </row>
    <row r="796" spans="6:7" ht="13">
      <c r="F796" s="132"/>
      <c r="G796" s="132"/>
    </row>
    <row r="797" spans="6:7" ht="13">
      <c r="F797" s="132"/>
      <c r="G797" s="132"/>
    </row>
    <row r="798" spans="6:7" ht="13">
      <c r="F798" s="132"/>
      <c r="G798" s="132"/>
    </row>
    <row r="799" spans="6:7" ht="13">
      <c r="F799" s="132"/>
      <c r="G799" s="132"/>
    </row>
    <row r="800" spans="6:7" ht="13">
      <c r="F800" s="132"/>
      <c r="G800" s="132"/>
    </row>
    <row r="801" spans="6:7" ht="13">
      <c r="F801" s="132"/>
      <c r="G801" s="132"/>
    </row>
    <row r="802" spans="6:7" ht="13">
      <c r="F802" s="132"/>
      <c r="G802" s="132"/>
    </row>
    <row r="803" spans="6:7" ht="13">
      <c r="F803" s="132"/>
      <c r="G803" s="132"/>
    </row>
    <row r="804" spans="6:7" ht="13">
      <c r="F804" s="132"/>
      <c r="G804" s="132"/>
    </row>
    <row r="805" spans="6:7" ht="13">
      <c r="F805" s="132"/>
      <c r="G805" s="132"/>
    </row>
    <row r="806" spans="6:7" ht="13">
      <c r="F806" s="132"/>
      <c r="G806" s="132"/>
    </row>
    <row r="807" spans="6:7" ht="13">
      <c r="F807" s="132"/>
      <c r="G807" s="132"/>
    </row>
    <row r="808" spans="6:7" ht="13">
      <c r="F808" s="132"/>
      <c r="G808" s="132"/>
    </row>
    <row r="809" spans="6:7" ht="13">
      <c r="F809" s="132"/>
      <c r="G809" s="132"/>
    </row>
    <row r="810" spans="6:7" ht="13">
      <c r="F810" s="132"/>
      <c r="G810" s="132"/>
    </row>
    <row r="811" spans="6:7" ht="13">
      <c r="F811" s="132"/>
      <c r="G811" s="132"/>
    </row>
    <row r="812" spans="6:7" ht="13">
      <c r="F812" s="132"/>
      <c r="G812" s="132"/>
    </row>
    <row r="813" spans="6:7" ht="13">
      <c r="F813" s="132"/>
      <c r="G813" s="132"/>
    </row>
    <row r="814" spans="6:7" ht="13">
      <c r="F814" s="132"/>
      <c r="G814" s="132"/>
    </row>
    <row r="815" spans="6:7" ht="13">
      <c r="F815" s="132"/>
      <c r="G815" s="132"/>
    </row>
    <row r="816" spans="6:7" ht="13">
      <c r="F816" s="132"/>
      <c r="G816" s="132"/>
    </row>
    <row r="817" spans="6:7" ht="13">
      <c r="F817" s="132"/>
      <c r="G817" s="132"/>
    </row>
    <row r="818" spans="6:7" ht="13">
      <c r="F818" s="132"/>
      <c r="G818" s="132"/>
    </row>
    <row r="819" spans="6:7" ht="13">
      <c r="F819" s="132"/>
      <c r="G819" s="132"/>
    </row>
    <row r="820" spans="6:7" ht="13">
      <c r="F820" s="132"/>
      <c r="G820" s="132"/>
    </row>
    <row r="821" spans="6:7" ht="13">
      <c r="F821" s="132"/>
      <c r="G821" s="132"/>
    </row>
    <row r="822" spans="6:7" ht="13">
      <c r="F822" s="132"/>
      <c r="G822" s="132"/>
    </row>
    <row r="823" spans="6:7" ht="13">
      <c r="F823" s="132"/>
      <c r="G823" s="132"/>
    </row>
    <row r="824" spans="6:7" ht="13">
      <c r="F824" s="132"/>
      <c r="G824" s="132"/>
    </row>
    <row r="825" spans="6:7" ht="13">
      <c r="F825" s="132"/>
      <c r="G825" s="132"/>
    </row>
    <row r="826" spans="6:7" ht="13">
      <c r="F826" s="132"/>
      <c r="G826" s="132"/>
    </row>
    <row r="827" spans="6:7" ht="13">
      <c r="F827" s="132"/>
      <c r="G827" s="132"/>
    </row>
    <row r="828" spans="6:7" ht="13">
      <c r="F828" s="132"/>
      <c r="G828" s="132"/>
    </row>
    <row r="829" spans="6:7" ht="13">
      <c r="F829" s="132"/>
      <c r="G829" s="132"/>
    </row>
    <row r="830" spans="6:7" ht="13">
      <c r="F830" s="132"/>
      <c r="G830" s="132"/>
    </row>
    <row r="831" spans="6:7" ht="13">
      <c r="F831" s="132"/>
      <c r="G831" s="132"/>
    </row>
    <row r="832" spans="6:7" ht="13">
      <c r="F832" s="132"/>
      <c r="G832" s="132"/>
    </row>
    <row r="833" spans="6:7" ht="13">
      <c r="F833" s="132"/>
      <c r="G833" s="132"/>
    </row>
    <row r="834" spans="6:7" ht="13">
      <c r="F834" s="132"/>
      <c r="G834" s="132"/>
    </row>
    <row r="835" spans="6:7" ht="13">
      <c r="F835" s="132"/>
      <c r="G835" s="132"/>
    </row>
    <row r="836" spans="6:7" ht="13">
      <c r="F836" s="132"/>
      <c r="G836" s="132"/>
    </row>
    <row r="837" spans="6:7" ht="13">
      <c r="F837" s="132"/>
      <c r="G837" s="132"/>
    </row>
    <row r="838" spans="6:7" ht="13">
      <c r="F838" s="132"/>
      <c r="G838" s="132"/>
    </row>
    <row r="839" spans="6:7" ht="13">
      <c r="F839" s="132"/>
      <c r="G839" s="132"/>
    </row>
    <row r="840" spans="6:7" ht="13">
      <c r="F840" s="132"/>
      <c r="G840" s="132"/>
    </row>
    <row r="841" spans="6:7" ht="13">
      <c r="F841" s="132"/>
      <c r="G841" s="132"/>
    </row>
    <row r="842" spans="6:7" ht="13">
      <c r="F842" s="132"/>
      <c r="G842" s="132"/>
    </row>
    <row r="843" spans="6:7" ht="13">
      <c r="F843" s="132"/>
      <c r="G843" s="132"/>
    </row>
    <row r="844" spans="6:7" ht="13">
      <c r="F844" s="132"/>
      <c r="G844" s="132"/>
    </row>
    <row r="845" spans="6:7" ht="13">
      <c r="F845" s="132"/>
      <c r="G845" s="132"/>
    </row>
    <row r="846" spans="6:7" ht="13">
      <c r="F846" s="132"/>
      <c r="G846" s="132"/>
    </row>
    <row r="847" spans="6:7" ht="13">
      <c r="F847" s="132"/>
      <c r="G847" s="132"/>
    </row>
    <row r="848" spans="6:7" ht="13">
      <c r="F848" s="132"/>
      <c r="G848" s="132"/>
    </row>
    <row r="849" spans="6:7" ht="13">
      <c r="F849" s="132"/>
      <c r="G849" s="132"/>
    </row>
    <row r="850" spans="6:7" ht="13">
      <c r="F850" s="132"/>
      <c r="G850" s="132"/>
    </row>
    <row r="851" spans="6:7" ht="13">
      <c r="F851" s="132"/>
      <c r="G851" s="132"/>
    </row>
    <row r="852" spans="6:7" ht="13">
      <c r="F852" s="132"/>
      <c r="G852" s="132"/>
    </row>
    <row r="853" spans="6:7" ht="13">
      <c r="F853" s="132"/>
      <c r="G853" s="132"/>
    </row>
    <row r="854" spans="6:7" ht="13">
      <c r="F854" s="132"/>
      <c r="G854" s="132"/>
    </row>
    <row r="855" spans="6:7" ht="13">
      <c r="F855" s="132"/>
      <c r="G855" s="132"/>
    </row>
    <row r="856" spans="6:7" ht="13">
      <c r="F856" s="132"/>
      <c r="G856" s="132"/>
    </row>
    <row r="857" spans="6:7" ht="13">
      <c r="F857" s="132"/>
      <c r="G857" s="132"/>
    </row>
    <row r="858" spans="6:7" ht="13">
      <c r="F858" s="132"/>
      <c r="G858" s="132"/>
    </row>
    <row r="859" spans="6:7" ht="13">
      <c r="F859" s="132"/>
      <c r="G859" s="132"/>
    </row>
    <row r="860" spans="6:7" ht="13">
      <c r="F860" s="132"/>
      <c r="G860" s="132"/>
    </row>
    <row r="861" spans="6:7" ht="13">
      <c r="F861" s="132"/>
      <c r="G861" s="132"/>
    </row>
    <row r="862" spans="6:7" ht="13">
      <c r="F862" s="132"/>
      <c r="G862" s="132"/>
    </row>
    <row r="863" spans="6:7" ht="13">
      <c r="F863" s="132"/>
      <c r="G863" s="132"/>
    </row>
    <row r="864" spans="6:7" ht="13">
      <c r="F864" s="132"/>
      <c r="G864" s="132"/>
    </row>
    <row r="865" spans="6:7" ht="13">
      <c r="F865" s="132"/>
      <c r="G865" s="132"/>
    </row>
    <row r="866" spans="6:7" ht="13">
      <c r="F866" s="132"/>
      <c r="G866" s="132"/>
    </row>
    <row r="867" spans="6:7" ht="13">
      <c r="F867" s="132"/>
      <c r="G867" s="132"/>
    </row>
    <row r="868" spans="6:7" ht="13">
      <c r="F868" s="132"/>
      <c r="G868" s="132"/>
    </row>
    <row r="869" spans="6:7" ht="13">
      <c r="F869" s="132"/>
      <c r="G869" s="132"/>
    </row>
    <row r="870" spans="6:7" ht="13">
      <c r="F870" s="132"/>
      <c r="G870" s="132"/>
    </row>
    <row r="871" spans="6:7" ht="13">
      <c r="F871" s="132"/>
      <c r="G871" s="132"/>
    </row>
    <row r="872" spans="6:7" ht="13">
      <c r="F872" s="132"/>
      <c r="G872" s="132"/>
    </row>
    <row r="873" spans="6:7" ht="13">
      <c r="F873" s="132"/>
      <c r="G873" s="132"/>
    </row>
    <row r="874" spans="6:7" ht="13">
      <c r="F874" s="132"/>
      <c r="G874" s="132"/>
    </row>
    <row r="875" spans="6:7" ht="13">
      <c r="F875" s="132"/>
      <c r="G875" s="132"/>
    </row>
    <row r="876" spans="6:7" ht="13">
      <c r="F876" s="132"/>
      <c r="G876" s="132"/>
    </row>
    <row r="877" spans="6:7" ht="13">
      <c r="F877" s="132"/>
      <c r="G877" s="132"/>
    </row>
    <row r="878" spans="6:7" ht="13">
      <c r="F878" s="132"/>
      <c r="G878" s="132"/>
    </row>
    <row r="879" spans="6:7" ht="13">
      <c r="F879" s="132"/>
      <c r="G879" s="132"/>
    </row>
    <row r="880" spans="6:7" ht="13">
      <c r="F880" s="132"/>
      <c r="G880" s="132"/>
    </row>
    <row r="881" spans="6:7" ht="13">
      <c r="F881" s="132"/>
      <c r="G881" s="132"/>
    </row>
    <row r="882" spans="6:7" ht="13">
      <c r="F882" s="132"/>
      <c r="G882" s="132"/>
    </row>
    <row r="883" spans="6:7" ht="13">
      <c r="F883" s="132"/>
      <c r="G883" s="132"/>
    </row>
    <row r="884" spans="6:7" ht="13">
      <c r="F884" s="132"/>
      <c r="G884" s="132"/>
    </row>
    <row r="885" spans="6:7" ht="13">
      <c r="F885" s="132"/>
      <c r="G885" s="132"/>
    </row>
    <row r="886" spans="6:7" ht="13">
      <c r="F886" s="132"/>
      <c r="G886" s="132"/>
    </row>
    <row r="887" spans="6:7" ht="13">
      <c r="F887" s="132"/>
      <c r="G887" s="132"/>
    </row>
    <row r="888" spans="6:7" ht="13">
      <c r="F888" s="132"/>
      <c r="G888" s="132"/>
    </row>
    <row r="889" spans="6:7" ht="13">
      <c r="F889" s="132"/>
      <c r="G889" s="132"/>
    </row>
    <row r="890" spans="6:7" ht="13">
      <c r="F890" s="132"/>
      <c r="G890" s="132"/>
    </row>
    <row r="891" spans="6:7" ht="13">
      <c r="F891" s="132"/>
      <c r="G891" s="132"/>
    </row>
    <row r="892" spans="6:7" ht="13">
      <c r="F892" s="132"/>
      <c r="G892" s="132"/>
    </row>
    <row r="893" spans="6:7" ht="13">
      <c r="F893" s="132"/>
      <c r="G893" s="132"/>
    </row>
    <row r="894" spans="6:7" ht="13">
      <c r="F894" s="132"/>
      <c r="G894" s="132"/>
    </row>
    <row r="895" spans="6:7" ht="13">
      <c r="F895" s="132"/>
      <c r="G895" s="132"/>
    </row>
    <row r="896" spans="6:7" ht="13">
      <c r="F896" s="132"/>
      <c r="G896" s="132"/>
    </row>
    <row r="897" spans="6:7" ht="13">
      <c r="F897" s="132"/>
      <c r="G897" s="132"/>
    </row>
    <row r="898" spans="6:7" ht="13">
      <c r="F898" s="132"/>
      <c r="G898" s="132"/>
    </row>
    <row r="899" spans="6:7" ht="13">
      <c r="F899" s="132"/>
      <c r="G899" s="132"/>
    </row>
    <row r="900" spans="6:7" ht="13">
      <c r="F900" s="132"/>
      <c r="G900" s="132"/>
    </row>
    <row r="901" spans="6:7" ht="13">
      <c r="F901" s="132"/>
      <c r="G901" s="132"/>
    </row>
    <row r="902" spans="6:7" ht="13">
      <c r="F902" s="132"/>
      <c r="G902" s="132"/>
    </row>
    <row r="903" spans="6:7" ht="13">
      <c r="F903" s="132"/>
      <c r="G903" s="132"/>
    </row>
    <row r="904" spans="6:7" ht="13">
      <c r="F904" s="132"/>
      <c r="G904" s="132"/>
    </row>
    <row r="905" spans="6:7" ht="13">
      <c r="F905" s="132"/>
      <c r="G905" s="132"/>
    </row>
    <row r="906" spans="6:7" ht="13">
      <c r="F906" s="132"/>
      <c r="G906" s="132"/>
    </row>
    <row r="907" spans="6:7" ht="13">
      <c r="F907" s="132"/>
      <c r="G907" s="132"/>
    </row>
    <row r="908" spans="6:7" ht="13">
      <c r="F908" s="132"/>
      <c r="G908" s="132"/>
    </row>
    <row r="909" spans="6:7" ht="13">
      <c r="F909" s="132"/>
      <c r="G909" s="132"/>
    </row>
    <row r="910" spans="6:7" ht="13">
      <c r="F910" s="132"/>
      <c r="G910" s="132"/>
    </row>
    <row r="911" spans="6:7" ht="13">
      <c r="F911" s="132"/>
      <c r="G911" s="132"/>
    </row>
    <row r="912" spans="6:7" ht="13">
      <c r="F912" s="132"/>
      <c r="G912" s="132"/>
    </row>
    <row r="913" spans="6:7" ht="13">
      <c r="F913" s="132"/>
      <c r="G913" s="132"/>
    </row>
    <row r="914" spans="6:7" ht="13">
      <c r="F914" s="132"/>
      <c r="G914" s="132"/>
    </row>
    <row r="915" spans="6:7" ht="13">
      <c r="F915" s="132"/>
      <c r="G915" s="132"/>
    </row>
    <row r="916" spans="6:7" ht="13">
      <c r="F916" s="132"/>
      <c r="G916" s="132"/>
    </row>
    <row r="917" spans="6:7" ht="13">
      <c r="F917" s="132"/>
      <c r="G917" s="132"/>
    </row>
    <row r="918" spans="6:7" ht="13">
      <c r="F918" s="132"/>
      <c r="G918" s="132"/>
    </row>
    <row r="919" spans="6:7" ht="13">
      <c r="F919" s="132"/>
      <c r="G919" s="132"/>
    </row>
    <row r="920" spans="6:7" ht="13">
      <c r="F920" s="132"/>
      <c r="G920" s="132"/>
    </row>
    <row r="921" spans="6:7" ht="13">
      <c r="F921" s="132"/>
      <c r="G921" s="132"/>
    </row>
    <row r="922" spans="6:7" ht="13">
      <c r="F922" s="132"/>
      <c r="G922" s="132"/>
    </row>
    <row r="923" spans="6:7" ht="13">
      <c r="F923" s="132"/>
      <c r="G923" s="132"/>
    </row>
    <row r="924" spans="6:7" ht="13">
      <c r="F924" s="132"/>
      <c r="G924" s="132"/>
    </row>
    <row r="925" spans="6:7" ht="13">
      <c r="F925" s="132"/>
      <c r="G925" s="132"/>
    </row>
    <row r="926" spans="6:7" ht="13">
      <c r="F926" s="132"/>
      <c r="G926" s="132"/>
    </row>
    <row r="927" spans="6:7" ht="13">
      <c r="F927" s="132"/>
      <c r="G927" s="132"/>
    </row>
    <row r="928" spans="6:7" ht="13">
      <c r="F928" s="132"/>
      <c r="G928" s="132"/>
    </row>
    <row r="929" spans="6:7" ht="13">
      <c r="F929" s="132"/>
      <c r="G929" s="132"/>
    </row>
    <row r="930" spans="6:7" ht="13">
      <c r="F930" s="132"/>
      <c r="G930" s="132"/>
    </row>
    <row r="931" spans="6:7" ht="13">
      <c r="F931" s="132"/>
      <c r="G931" s="132"/>
    </row>
    <row r="932" spans="6:7" ht="13">
      <c r="F932" s="132"/>
      <c r="G932" s="132"/>
    </row>
    <row r="933" spans="6:7" ht="13">
      <c r="F933" s="132"/>
      <c r="G933" s="132"/>
    </row>
    <row r="934" spans="6:7" ht="13">
      <c r="F934" s="132"/>
      <c r="G934" s="132"/>
    </row>
    <row r="935" spans="6:7" ht="13">
      <c r="F935" s="132"/>
      <c r="G935" s="132"/>
    </row>
    <row r="936" spans="6:7" ht="13">
      <c r="F936" s="132"/>
      <c r="G936" s="132"/>
    </row>
    <row r="937" spans="6:7" ht="13">
      <c r="F937" s="132"/>
      <c r="G937" s="132"/>
    </row>
    <row r="938" spans="6:7" ht="13">
      <c r="F938" s="132"/>
      <c r="G938" s="132"/>
    </row>
    <row r="939" spans="6:7" ht="13">
      <c r="F939" s="132"/>
      <c r="G939" s="132"/>
    </row>
    <row r="940" spans="6:7" ht="13">
      <c r="F940" s="132"/>
      <c r="G940" s="132"/>
    </row>
    <row r="941" spans="6:7" ht="13">
      <c r="F941" s="132"/>
      <c r="G941" s="132"/>
    </row>
    <row r="942" spans="6:7" ht="13">
      <c r="F942" s="132"/>
      <c r="G942" s="132"/>
    </row>
    <row r="943" spans="6:7" ht="13">
      <c r="F943" s="132"/>
      <c r="G943" s="132"/>
    </row>
    <row r="944" spans="6:7" ht="13">
      <c r="F944" s="132"/>
      <c r="G944" s="132"/>
    </row>
    <row r="945" spans="6:7" ht="13">
      <c r="F945" s="132"/>
      <c r="G945" s="132"/>
    </row>
    <row r="946" spans="6:7" ht="13">
      <c r="F946" s="132"/>
      <c r="G946" s="132"/>
    </row>
    <row r="947" spans="6:7" ht="13">
      <c r="F947" s="132"/>
      <c r="G947" s="132"/>
    </row>
    <row r="948" spans="6:7" ht="13">
      <c r="F948" s="132"/>
      <c r="G948" s="132"/>
    </row>
    <row r="949" spans="6:7" ht="13">
      <c r="F949" s="132"/>
      <c r="G949" s="132"/>
    </row>
    <row r="950" spans="6:7" ht="13">
      <c r="F950" s="132"/>
      <c r="G950" s="132"/>
    </row>
    <row r="951" spans="6:7" ht="13">
      <c r="F951" s="132"/>
      <c r="G951" s="132"/>
    </row>
    <row r="952" spans="6:7" ht="13">
      <c r="F952" s="132"/>
      <c r="G952" s="132"/>
    </row>
    <row r="953" spans="6:7" ht="13">
      <c r="F953" s="132"/>
      <c r="G953" s="132"/>
    </row>
    <row r="954" spans="6:7" ht="13">
      <c r="F954" s="132"/>
      <c r="G954" s="132"/>
    </row>
    <row r="955" spans="6:7" ht="13">
      <c r="F955" s="132"/>
      <c r="G955" s="132"/>
    </row>
    <row r="956" spans="6:7" ht="13">
      <c r="F956" s="132"/>
      <c r="G956" s="132"/>
    </row>
    <row r="957" spans="6:7" ht="13">
      <c r="F957" s="132"/>
      <c r="G957" s="132"/>
    </row>
    <row r="958" spans="6:7" ht="13">
      <c r="F958" s="132"/>
      <c r="G958" s="132"/>
    </row>
    <row r="959" spans="6:7" ht="13">
      <c r="F959" s="132"/>
      <c r="G959" s="132"/>
    </row>
    <row r="960" spans="6:7" ht="13">
      <c r="F960" s="132"/>
      <c r="G960" s="132"/>
    </row>
    <row r="961" spans="6:7" ht="13">
      <c r="F961" s="132"/>
      <c r="G961" s="132"/>
    </row>
    <row r="962" spans="6:7" ht="13">
      <c r="F962" s="132"/>
      <c r="G962" s="132"/>
    </row>
    <row r="963" spans="6:7" ht="13">
      <c r="F963" s="132"/>
      <c r="G963" s="132"/>
    </row>
    <row r="964" spans="6:7" ht="13">
      <c r="F964" s="132"/>
      <c r="G964" s="132"/>
    </row>
    <row r="965" spans="6:7" ht="13">
      <c r="F965" s="132"/>
      <c r="G965" s="132"/>
    </row>
    <row r="966" spans="6:7" ht="13">
      <c r="F966" s="132"/>
      <c r="G966" s="132"/>
    </row>
    <row r="967" spans="6:7" ht="13">
      <c r="F967" s="132"/>
      <c r="G967" s="132"/>
    </row>
    <row r="968" spans="6:7" ht="13">
      <c r="F968" s="132"/>
      <c r="G968" s="132"/>
    </row>
    <row r="969" spans="6:7" ht="13">
      <c r="F969" s="132"/>
      <c r="G969" s="132"/>
    </row>
    <row r="970" spans="6:7" ht="13">
      <c r="F970" s="132"/>
      <c r="G970" s="132"/>
    </row>
    <row r="971" spans="6:7" ht="13">
      <c r="F971" s="132"/>
      <c r="G971" s="132"/>
    </row>
    <row r="972" spans="6:7" ht="13">
      <c r="F972" s="132"/>
      <c r="G972" s="132"/>
    </row>
    <row r="973" spans="6:7" ht="13">
      <c r="F973" s="132"/>
      <c r="G973" s="132"/>
    </row>
    <row r="974" spans="6:7" ht="13">
      <c r="F974" s="132"/>
      <c r="G974" s="132"/>
    </row>
    <row r="975" spans="6:7" ht="13">
      <c r="F975" s="132"/>
      <c r="G975" s="132"/>
    </row>
    <row r="976" spans="6:7" ht="13">
      <c r="F976" s="132"/>
      <c r="G976" s="132"/>
    </row>
    <row r="977" spans="6:7" ht="13">
      <c r="F977" s="132"/>
      <c r="G977" s="132"/>
    </row>
    <row r="978" spans="6:7" ht="13">
      <c r="F978" s="132"/>
      <c r="G978" s="132"/>
    </row>
    <row r="979" spans="6:7" ht="13">
      <c r="F979" s="132"/>
      <c r="G979" s="132"/>
    </row>
    <row r="980" spans="6:7" ht="13">
      <c r="F980" s="132"/>
      <c r="G980" s="132"/>
    </row>
    <row r="981" spans="6:7" ht="13">
      <c r="F981" s="132"/>
      <c r="G981" s="132"/>
    </row>
    <row r="982" spans="6:7" ht="13">
      <c r="F982" s="132"/>
      <c r="G982" s="132"/>
    </row>
    <row r="983" spans="6:7" ht="13">
      <c r="F983" s="132"/>
      <c r="G983" s="132"/>
    </row>
    <row r="984" spans="6:7" ht="13">
      <c r="F984" s="132"/>
      <c r="G984" s="132"/>
    </row>
    <row r="985" spans="6:7" ht="13">
      <c r="F985" s="132"/>
      <c r="G985" s="132"/>
    </row>
    <row r="986" spans="6:7" ht="13">
      <c r="F986" s="132"/>
      <c r="G986" s="132"/>
    </row>
    <row r="987" spans="6:7" ht="13">
      <c r="F987" s="132"/>
      <c r="G987" s="132"/>
    </row>
    <row r="988" spans="6:7" ht="13">
      <c r="F988" s="132"/>
      <c r="G988" s="132"/>
    </row>
    <row r="989" spans="6:7" ht="13">
      <c r="F989" s="132"/>
      <c r="G989" s="132"/>
    </row>
    <row r="990" spans="6:7" ht="13">
      <c r="F990" s="132"/>
      <c r="G990" s="132"/>
    </row>
    <row r="991" spans="6:7" ht="13">
      <c r="F991" s="132"/>
      <c r="G991" s="132"/>
    </row>
    <row r="992" spans="6:7" ht="13">
      <c r="F992" s="132"/>
      <c r="G992" s="132"/>
    </row>
    <row r="993" spans="6:7" ht="13">
      <c r="F993" s="132"/>
      <c r="G993" s="132"/>
    </row>
    <row r="994" spans="6:7" ht="13">
      <c r="F994" s="132"/>
      <c r="G994" s="132"/>
    </row>
    <row r="995" spans="6:7" ht="13">
      <c r="F995" s="132"/>
      <c r="G995" s="132"/>
    </row>
    <row r="996" spans="6:7" ht="13">
      <c r="F996" s="132"/>
      <c r="G996" s="132"/>
    </row>
    <row r="997" spans="6:7" ht="13">
      <c r="F997" s="132"/>
      <c r="G997" s="132"/>
    </row>
    <row r="998" spans="6:7" ht="13">
      <c r="F998" s="132"/>
      <c r="G998" s="132"/>
    </row>
    <row r="999" spans="6:7" ht="13">
      <c r="F999" s="132"/>
      <c r="G999" s="132"/>
    </row>
    <row r="1000" spans="6:7" ht="13">
      <c r="F1000" s="132"/>
      <c r="G1000" s="132"/>
    </row>
    <row r="1001" spans="6:7" ht="13">
      <c r="F1001" s="132"/>
      <c r="G1001" s="132"/>
    </row>
    <row r="1002" spans="6:7" ht="13">
      <c r="F1002" s="132"/>
      <c r="G1002" s="132"/>
    </row>
    <row r="1003" spans="6:7" ht="13">
      <c r="F1003" s="132"/>
      <c r="G1003" s="132"/>
    </row>
  </sheetData>
  <conditionalFormatting sqref="F17">
    <cfRule type="notContainsBlanks" dxfId="14" priority="1">
      <formula>LEN(TRIM(F17))&gt;0</formula>
    </cfRule>
  </conditionalFormatting>
  <conditionalFormatting sqref="B2:G32 I2:X32 AD2:AD32">
    <cfRule type="expression" dxfId="13" priority="2">
      <formula>SUM( $M2:$X2)&gt;0</formula>
    </cfRule>
  </conditionalFormatting>
  <conditionalFormatting sqref="AD11">
    <cfRule type="notContainsBlanks" dxfId="12" priority="3">
      <formula>LEN(TRIM(AD11))&gt;0</formula>
    </cfRule>
  </conditionalFormatting>
  <conditionalFormatting sqref="AC8:AC32">
    <cfRule type="colorScale" priority="4">
      <colorScale>
        <cfvo type="min"/>
        <cfvo type="max"/>
        <color rgb="FF999999"/>
        <color rgb="FFFFFFFF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M99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min="1" max="1" width="8.83203125" customWidth="1"/>
    <col min="2" max="2" width="6.1640625" customWidth="1"/>
    <col min="3" max="3" width="6.83203125" customWidth="1"/>
    <col min="4" max="4" width="11.33203125" customWidth="1"/>
    <col min="5" max="5" width="8.5" customWidth="1"/>
    <col min="6" max="6" width="6.6640625" customWidth="1"/>
    <col min="7" max="7" width="7.83203125" customWidth="1"/>
    <col min="8" max="8" width="10" customWidth="1"/>
    <col min="9" max="9" width="5.33203125" customWidth="1"/>
    <col min="10" max="10" width="5.6640625" customWidth="1"/>
    <col min="11" max="11" width="5.33203125" customWidth="1"/>
    <col min="12" max="12" width="17.5" customWidth="1"/>
    <col min="13" max="23" width="8.83203125" customWidth="1"/>
    <col min="24" max="24" width="7.6640625" customWidth="1"/>
    <col min="25" max="25" width="6" customWidth="1"/>
    <col min="26" max="26" width="6.33203125" customWidth="1"/>
    <col min="27" max="27" width="12.33203125" customWidth="1"/>
    <col min="28" max="28" width="9.6640625" customWidth="1"/>
    <col min="29" max="29" width="6.1640625" customWidth="1"/>
    <col min="30" max="30" width="54" customWidth="1"/>
  </cols>
  <sheetData>
    <row r="1" spans="1:65" ht="56">
      <c r="A1" s="133" t="s">
        <v>0</v>
      </c>
      <c r="B1" s="98" t="s">
        <v>1</v>
      </c>
      <c r="C1" s="97" t="s">
        <v>2</v>
      </c>
      <c r="D1" s="98" t="s">
        <v>3</v>
      </c>
      <c r="E1" s="98" t="s">
        <v>4</v>
      </c>
      <c r="F1" s="97" t="s">
        <v>5</v>
      </c>
      <c r="G1" s="1" t="s">
        <v>6</v>
      </c>
      <c r="H1" s="1" t="s">
        <v>148</v>
      </c>
      <c r="I1" s="98" t="s">
        <v>8</v>
      </c>
      <c r="J1" s="98" t="s">
        <v>149</v>
      </c>
      <c r="K1" s="98" t="s">
        <v>61</v>
      </c>
      <c r="L1" s="98" t="s">
        <v>11</v>
      </c>
      <c r="M1" s="134" t="s">
        <v>12</v>
      </c>
      <c r="N1" s="134" t="s">
        <v>13</v>
      </c>
      <c r="O1" s="134" t="s">
        <v>14</v>
      </c>
      <c r="P1" s="134" t="s">
        <v>15</v>
      </c>
      <c r="Q1" s="134" t="s">
        <v>150</v>
      </c>
      <c r="R1" s="134" t="s">
        <v>17</v>
      </c>
      <c r="S1" s="134" t="s">
        <v>18</v>
      </c>
      <c r="T1" s="134" t="s">
        <v>19</v>
      </c>
      <c r="U1" s="134" t="s">
        <v>151</v>
      </c>
      <c r="V1" s="134" t="s">
        <v>21</v>
      </c>
      <c r="W1" s="134" t="s">
        <v>152</v>
      </c>
      <c r="X1" s="98" t="s">
        <v>23</v>
      </c>
      <c r="Y1" s="98" t="s">
        <v>153</v>
      </c>
      <c r="Z1" s="98" t="s">
        <v>25</v>
      </c>
      <c r="AA1" s="98" t="s">
        <v>26</v>
      </c>
      <c r="AB1" s="98" t="s">
        <v>27</v>
      </c>
      <c r="AC1" s="98"/>
      <c r="AD1" s="98" t="s">
        <v>29</v>
      </c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35"/>
      <c r="AP1" s="135"/>
      <c r="AQ1" s="135"/>
      <c r="AR1" s="135"/>
      <c r="AS1" s="135"/>
      <c r="AT1" s="135"/>
      <c r="AU1" s="135"/>
      <c r="AV1" s="135"/>
      <c r="AW1" s="135"/>
      <c r="AX1" s="135"/>
      <c r="AY1" s="135"/>
      <c r="AZ1" s="135"/>
      <c r="BA1" s="135"/>
      <c r="BB1" s="135"/>
      <c r="BC1" s="135"/>
      <c r="BD1" s="135"/>
      <c r="BE1" s="135"/>
      <c r="BF1" s="135"/>
      <c r="BG1" s="135"/>
      <c r="BH1" s="135"/>
      <c r="BI1" s="135"/>
      <c r="BJ1" s="135"/>
      <c r="BK1" s="135"/>
      <c r="BL1" s="135"/>
      <c r="BM1" s="135"/>
    </row>
    <row r="2" spans="1:65" ht="13">
      <c r="A2" s="124">
        <v>43101</v>
      </c>
      <c r="B2">
        <v>1638</v>
      </c>
      <c r="C2">
        <v>1712</v>
      </c>
      <c r="D2" s="8" t="str">
        <f>CHOOSE(WEEKDAY(A2),"Fred/Anne", "Jane", "Phil","Sue/Panos","Shawn/Owens","Jeff", "Rob")</f>
        <v>Jane</v>
      </c>
      <c r="E2" s="1" t="s">
        <v>33</v>
      </c>
      <c r="F2" s="26">
        <v>0.70833333333333337</v>
      </c>
      <c r="G2" s="26">
        <v>0.70833333333333337</v>
      </c>
      <c r="H2" s="11">
        <f t="shared" ref="H2:H32" si="0">G2-F2</f>
        <v>0</v>
      </c>
      <c r="I2" s="136">
        <v>0</v>
      </c>
      <c r="J2" s="8">
        <v>35</v>
      </c>
      <c r="K2" s="8">
        <v>35</v>
      </c>
      <c r="L2" s="8" t="s">
        <v>35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12">
        <f t="shared" ref="Y2:Y32" si="1">SUM(M2:P2)</f>
        <v>0</v>
      </c>
      <c r="Z2" s="12">
        <f t="shared" ref="Z2:Z32" si="2">SUM(Q2:U2)</f>
        <v>0</v>
      </c>
      <c r="AA2" s="13">
        <f t="shared" ref="AA2:AA32" si="3">SUM(M2:N2)</f>
        <v>0</v>
      </c>
      <c r="AB2" s="13">
        <f t="shared" ref="AB2:AB30" si="4">SUM(Q2:R2,U2)</f>
        <v>0</v>
      </c>
      <c r="AC2" s="14"/>
      <c r="AD2" s="137"/>
    </row>
    <row r="3" spans="1:65" ht="13">
      <c r="A3" s="124">
        <v>43102</v>
      </c>
      <c r="B3" s="19">
        <v>1639</v>
      </c>
      <c r="C3" s="19">
        <v>1713</v>
      </c>
      <c r="D3" s="20" t="str">
        <f>CHOOSE(WEEKDAY(A3),"Fred/Anne", "Jane", "Phil/Tom","Sue/Panos","Shawn/Owens","Jeff", "Rob")</f>
        <v>Phil/Tom</v>
      </c>
      <c r="E3" s="104" t="s">
        <v>33</v>
      </c>
      <c r="F3" s="21">
        <v>0.70833333333333337</v>
      </c>
      <c r="G3" s="21">
        <v>0.70833333333333337</v>
      </c>
      <c r="H3" s="11">
        <f t="shared" si="0"/>
        <v>0</v>
      </c>
      <c r="I3" s="136">
        <v>0</v>
      </c>
      <c r="J3" s="20">
        <v>39</v>
      </c>
      <c r="K3" s="20">
        <v>39</v>
      </c>
      <c r="L3" s="20" t="s">
        <v>34</v>
      </c>
      <c r="M3" s="20">
        <v>0</v>
      </c>
      <c r="N3" s="20">
        <v>0</v>
      </c>
      <c r="O3" s="20">
        <v>0</v>
      </c>
      <c r="P3" s="20">
        <v>0</v>
      </c>
      <c r="Q3" s="20">
        <v>0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12">
        <f t="shared" si="1"/>
        <v>0</v>
      </c>
      <c r="Z3" s="12">
        <f t="shared" si="2"/>
        <v>0</v>
      </c>
      <c r="AA3" s="13">
        <f t="shared" si="3"/>
        <v>0</v>
      </c>
      <c r="AB3" s="13">
        <f t="shared" si="4"/>
        <v>0</v>
      </c>
      <c r="AC3" s="14"/>
      <c r="AD3" s="138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</row>
    <row r="4" spans="1:65" ht="13">
      <c r="A4" s="124">
        <v>43103</v>
      </c>
      <c r="B4">
        <v>1640</v>
      </c>
      <c r="C4">
        <v>1714</v>
      </c>
      <c r="D4" s="8" t="str">
        <f>CHOOSE(WEEKDAY(A4),"Fred/Anne", "Jane", "Phil","Sue/Panos","Shawn/Owens","Jeff", "Rob")</f>
        <v>Sue/Panos</v>
      </c>
      <c r="E4" s="1" t="s">
        <v>33</v>
      </c>
      <c r="F4" s="10">
        <v>0.70833333333333337</v>
      </c>
      <c r="G4" s="10">
        <v>0.70833333333333337</v>
      </c>
      <c r="H4" s="11">
        <f t="shared" si="0"/>
        <v>0</v>
      </c>
      <c r="I4" s="136">
        <v>0</v>
      </c>
      <c r="J4" s="8">
        <v>37</v>
      </c>
      <c r="K4" s="8">
        <v>37</v>
      </c>
      <c r="L4" s="8" t="s">
        <v>154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12">
        <f t="shared" si="1"/>
        <v>0</v>
      </c>
      <c r="Z4" s="12">
        <f t="shared" si="2"/>
        <v>0</v>
      </c>
      <c r="AA4" s="13">
        <f t="shared" si="3"/>
        <v>0</v>
      </c>
      <c r="AB4" s="13">
        <f t="shared" si="4"/>
        <v>0</v>
      </c>
      <c r="AC4" s="14"/>
      <c r="AD4" s="139"/>
    </row>
    <row r="5" spans="1:65" ht="14">
      <c r="A5" s="18">
        <v>43104</v>
      </c>
      <c r="B5" s="19">
        <v>1641</v>
      </c>
      <c r="C5" s="19">
        <v>1715</v>
      </c>
      <c r="D5" s="20" t="str">
        <f>CHOOSE(WEEKDAY(A5),"Fred/Anne", "Jane", "Phil","Sue/Panos","Shawn/Orem","Jeff", "Rob")</f>
        <v>Shawn/Orem</v>
      </c>
      <c r="E5" s="104" t="s">
        <v>30</v>
      </c>
      <c r="F5" s="21">
        <v>0.71180555555555558</v>
      </c>
      <c r="G5" s="21">
        <v>0.73263888888888884</v>
      </c>
      <c r="H5" s="11">
        <f t="shared" si="0"/>
        <v>2.0833333333333259E-2</v>
      </c>
      <c r="I5" s="136">
        <v>0.5</v>
      </c>
      <c r="J5" s="20">
        <v>44</v>
      </c>
      <c r="K5" s="20">
        <v>42</v>
      </c>
      <c r="L5" s="20" t="s">
        <v>122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12">
        <f t="shared" si="1"/>
        <v>0</v>
      </c>
      <c r="Z5" s="12">
        <f t="shared" si="2"/>
        <v>0</v>
      </c>
      <c r="AA5" s="13">
        <f t="shared" si="3"/>
        <v>0</v>
      </c>
      <c r="AB5" s="13">
        <f t="shared" si="4"/>
        <v>0</v>
      </c>
      <c r="AC5" s="14"/>
      <c r="AD5" s="138" t="s">
        <v>155</v>
      </c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</row>
    <row r="6" spans="1:65" ht="14">
      <c r="A6" s="18">
        <v>43105</v>
      </c>
      <c r="B6">
        <v>1642</v>
      </c>
      <c r="C6">
        <v>1716</v>
      </c>
      <c r="D6" s="8" t="str">
        <f t="shared" ref="D6:D9" si="5">CHOOSE(WEEKDAY(A6),"Fred/Anne", "Jane", "Phil","Sue/Panos","Shawn/Owens","Jeff", "Rob")</f>
        <v>Jeff</v>
      </c>
      <c r="E6" s="1" t="s">
        <v>30</v>
      </c>
      <c r="F6" s="10">
        <v>0.69791666666666663</v>
      </c>
      <c r="G6" s="10">
        <v>0.78472222222222221</v>
      </c>
      <c r="H6" s="11">
        <f t="shared" si="0"/>
        <v>8.680555555555558E-2</v>
      </c>
      <c r="I6" s="136"/>
      <c r="J6" s="8">
        <v>42</v>
      </c>
      <c r="K6" s="8">
        <v>44</v>
      </c>
      <c r="L6" s="8" t="s">
        <v>156</v>
      </c>
      <c r="M6" s="9">
        <v>0</v>
      </c>
      <c r="N6" s="9">
        <v>0</v>
      </c>
      <c r="O6" s="9">
        <v>0</v>
      </c>
      <c r="P6" s="9">
        <v>1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5</v>
      </c>
      <c r="X6" s="9">
        <v>0</v>
      </c>
      <c r="Y6" s="12">
        <f t="shared" si="1"/>
        <v>1</v>
      </c>
      <c r="Z6" s="12">
        <f t="shared" si="2"/>
        <v>0</v>
      </c>
      <c r="AA6" s="13">
        <f t="shared" si="3"/>
        <v>0</v>
      </c>
      <c r="AB6" s="13">
        <f t="shared" si="4"/>
        <v>0</v>
      </c>
      <c r="AC6" s="14"/>
      <c r="AD6" s="138" t="s">
        <v>157</v>
      </c>
    </row>
    <row r="7" spans="1:65" ht="13">
      <c r="A7" s="18">
        <v>43106</v>
      </c>
      <c r="B7" s="19">
        <v>1643</v>
      </c>
      <c r="C7" s="19">
        <v>1717</v>
      </c>
      <c r="D7" s="20" t="str">
        <f t="shared" si="5"/>
        <v>Rob</v>
      </c>
      <c r="E7" s="104" t="s">
        <v>40</v>
      </c>
      <c r="F7" s="21">
        <v>0.70833333333333337</v>
      </c>
      <c r="G7" s="21">
        <v>0.73958333333333337</v>
      </c>
      <c r="H7" s="11">
        <f t="shared" si="0"/>
        <v>3.125E-2</v>
      </c>
      <c r="I7" s="136">
        <v>0.75</v>
      </c>
      <c r="J7" s="20">
        <v>45</v>
      </c>
      <c r="K7" s="20">
        <v>42</v>
      </c>
      <c r="L7" s="20" t="s">
        <v>158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12">
        <f t="shared" si="1"/>
        <v>0</v>
      </c>
      <c r="Z7" s="12">
        <f t="shared" si="2"/>
        <v>0</v>
      </c>
      <c r="AA7" s="13">
        <f t="shared" si="3"/>
        <v>0</v>
      </c>
      <c r="AB7" s="13">
        <f t="shared" si="4"/>
        <v>0</v>
      </c>
      <c r="AC7" s="14"/>
      <c r="AD7" s="138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</row>
    <row r="8" spans="1:65" ht="13">
      <c r="A8" s="25">
        <v>43107</v>
      </c>
      <c r="B8">
        <v>1644</v>
      </c>
      <c r="C8">
        <v>1718</v>
      </c>
      <c r="D8" s="8" t="str">
        <f t="shared" si="5"/>
        <v>Fred/Anne</v>
      </c>
      <c r="E8" s="1" t="s">
        <v>159</v>
      </c>
      <c r="F8" s="26">
        <v>0.69791666666666663</v>
      </c>
      <c r="G8" s="10">
        <v>0.76388888888888884</v>
      </c>
      <c r="H8" s="11">
        <f t="shared" si="0"/>
        <v>6.597222222222221E-2</v>
      </c>
      <c r="I8" s="140">
        <v>6.5972222222222224E-2</v>
      </c>
      <c r="J8" s="8">
        <v>45</v>
      </c>
      <c r="K8" s="8">
        <v>44.2</v>
      </c>
      <c r="L8" s="8" t="s">
        <v>97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12">
        <f t="shared" si="1"/>
        <v>0</v>
      </c>
      <c r="Z8" s="12">
        <f t="shared" si="2"/>
        <v>0</v>
      </c>
      <c r="AA8" s="13">
        <f t="shared" si="3"/>
        <v>0</v>
      </c>
      <c r="AB8" s="13">
        <f t="shared" si="4"/>
        <v>0</v>
      </c>
      <c r="AC8" s="14"/>
      <c r="AD8" s="138"/>
    </row>
    <row r="9" spans="1:65" ht="13">
      <c r="A9" s="25">
        <v>43108</v>
      </c>
      <c r="B9" s="19">
        <v>1645</v>
      </c>
      <c r="C9" s="19">
        <v>1719</v>
      </c>
      <c r="D9" s="20" t="str">
        <f t="shared" si="5"/>
        <v>Jane</v>
      </c>
      <c r="E9" s="104" t="s">
        <v>30</v>
      </c>
      <c r="F9" s="21">
        <v>0.69444444444444442</v>
      </c>
      <c r="G9" s="21">
        <v>0.73611111111111116</v>
      </c>
      <c r="H9" s="11">
        <f t="shared" si="0"/>
        <v>4.1666666666666741E-2</v>
      </c>
      <c r="I9" s="136">
        <v>1</v>
      </c>
      <c r="J9" s="20">
        <v>44</v>
      </c>
      <c r="K9" s="20">
        <v>43</v>
      </c>
      <c r="L9" s="20" t="s">
        <v>160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12">
        <f t="shared" si="1"/>
        <v>0</v>
      </c>
      <c r="Z9" s="12">
        <f t="shared" si="2"/>
        <v>0</v>
      </c>
      <c r="AA9" s="13">
        <f t="shared" si="3"/>
        <v>0</v>
      </c>
      <c r="AB9" s="13">
        <f t="shared" si="4"/>
        <v>0</v>
      </c>
      <c r="AC9" s="14"/>
      <c r="AD9" s="13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</row>
    <row r="10" spans="1:65" ht="13">
      <c r="A10" s="25">
        <v>43109</v>
      </c>
      <c r="B10">
        <v>1646</v>
      </c>
      <c r="C10">
        <v>1720</v>
      </c>
      <c r="D10" s="9" t="str">
        <f>CHOOSE(WEEKDAY(A10),"Fred/Anne", "Jane", "Phil/Tom","Sue/Panos","Shawn/Owens","Jeff", "Rob")</f>
        <v>Phil/Tom</v>
      </c>
      <c r="E10" s="1" t="s">
        <v>30</v>
      </c>
      <c r="F10" s="10">
        <v>0.70833333333333337</v>
      </c>
      <c r="G10" s="10">
        <v>0.72916666666666663</v>
      </c>
      <c r="H10" s="11">
        <f t="shared" si="0"/>
        <v>2.0833333333333259E-2</v>
      </c>
      <c r="I10" s="136">
        <v>1.5</v>
      </c>
      <c r="J10" s="8">
        <v>44.7</v>
      </c>
      <c r="K10" s="8">
        <v>44.2</v>
      </c>
      <c r="L10" s="8" t="s">
        <v>161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12">
        <f t="shared" si="1"/>
        <v>0</v>
      </c>
      <c r="Z10" s="12">
        <f t="shared" si="2"/>
        <v>0</v>
      </c>
      <c r="AA10" s="13">
        <f t="shared" si="3"/>
        <v>0</v>
      </c>
      <c r="AB10" s="13">
        <f t="shared" si="4"/>
        <v>0</v>
      </c>
      <c r="AC10" s="14"/>
      <c r="AD10" s="139"/>
    </row>
    <row r="11" spans="1:65" ht="13">
      <c r="A11" s="25">
        <v>43110</v>
      </c>
      <c r="B11" s="19">
        <v>1648</v>
      </c>
      <c r="C11" s="19">
        <v>1721</v>
      </c>
      <c r="D11" s="20" t="str">
        <f>CHOOSE(WEEKDAY(A11),"Fred/Anne", "Jane", "Phil","Sue/Panos","Shawn/Owens","Jeff", "Rob")</f>
        <v>Sue/Panos</v>
      </c>
      <c r="E11" s="104" t="s">
        <v>30</v>
      </c>
      <c r="F11" s="42">
        <v>0.70833333333333337</v>
      </c>
      <c r="G11" s="42">
        <v>0.80208333333333337</v>
      </c>
      <c r="H11" s="11">
        <f t="shared" si="0"/>
        <v>9.375E-2</v>
      </c>
      <c r="I11" s="136">
        <v>9.1</v>
      </c>
      <c r="J11" s="20">
        <v>45.5</v>
      </c>
      <c r="K11" s="20">
        <v>45.3</v>
      </c>
      <c r="L11" s="20" t="s">
        <v>162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12">
        <f t="shared" si="1"/>
        <v>0</v>
      </c>
      <c r="Z11" s="12">
        <f t="shared" si="2"/>
        <v>0</v>
      </c>
      <c r="AA11" s="13">
        <f t="shared" si="3"/>
        <v>0</v>
      </c>
      <c r="AB11" s="13">
        <f t="shared" si="4"/>
        <v>0</v>
      </c>
      <c r="AC11" s="14"/>
      <c r="AD11" s="138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</row>
    <row r="12" spans="1:65" ht="14">
      <c r="A12" s="25">
        <v>43111</v>
      </c>
      <c r="B12" s="17">
        <v>1649</v>
      </c>
      <c r="C12" s="17">
        <v>1722</v>
      </c>
      <c r="D12" s="9" t="str">
        <f>CHOOSE(WEEKDAY(A12),"Fred/Anne", "Jane", "Phil","Sue/Panos","Shawn/Orem","Jeff", "Rob")</f>
        <v>Shawn/Orem</v>
      </c>
      <c r="E12" s="100" t="s">
        <v>30</v>
      </c>
      <c r="F12" s="10">
        <v>0.70138888888888884</v>
      </c>
      <c r="G12" s="10">
        <v>0.96180555555555558</v>
      </c>
      <c r="H12" s="11">
        <f t="shared" si="0"/>
        <v>0.26041666666666674</v>
      </c>
      <c r="I12" s="102">
        <v>29</v>
      </c>
      <c r="J12" s="9">
        <v>50</v>
      </c>
      <c r="K12" s="9">
        <v>50</v>
      </c>
      <c r="L12" s="9" t="s">
        <v>163</v>
      </c>
      <c r="M12" s="9">
        <v>24</v>
      </c>
      <c r="N12" s="9">
        <v>42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4</v>
      </c>
      <c r="X12" s="9">
        <v>4</v>
      </c>
      <c r="Y12" s="12">
        <f t="shared" si="1"/>
        <v>66</v>
      </c>
      <c r="Z12" s="12">
        <f t="shared" si="2"/>
        <v>0</v>
      </c>
      <c r="AA12" s="13">
        <f t="shared" si="3"/>
        <v>66</v>
      </c>
      <c r="AB12" s="13">
        <f t="shared" si="4"/>
        <v>0</v>
      </c>
      <c r="AC12" s="14"/>
      <c r="AD12" s="15" t="s">
        <v>164</v>
      </c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</row>
    <row r="13" spans="1:65" ht="16.5" customHeight="1">
      <c r="A13" s="33">
        <v>43112</v>
      </c>
      <c r="B13" s="19">
        <v>1650</v>
      </c>
      <c r="C13" s="19">
        <v>1723</v>
      </c>
      <c r="D13" s="20" t="str">
        <f t="shared" ref="D13:D16" si="6">CHOOSE(WEEKDAY(A13),"Fred/Anne", "Jane", "Phil","Sue/Panos","Shawn/Owens","Jeff", "Rob")</f>
        <v>Jeff</v>
      </c>
      <c r="E13" s="104" t="s">
        <v>30</v>
      </c>
      <c r="F13" s="21">
        <v>0.6875</v>
      </c>
      <c r="G13" s="21">
        <v>0.6875</v>
      </c>
      <c r="H13" s="11">
        <f t="shared" si="0"/>
        <v>0</v>
      </c>
      <c r="I13" s="136">
        <v>0</v>
      </c>
      <c r="J13" s="20">
        <v>49</v>
      </c>
      <c r="K13" s="20">
        <v>49</v>
      </c>
      <c r="L13" s="141" t="s">
        <v>165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12">
        <f t="shared" si="1"/>
        <v>0</v>
      </c>
      <c r="Z13" s="12">
        <f t="shared" si="2"/>
        <v>0</v>
      </c>
      <c r="AA13" s="13">
        <f t="shared" si="3"/>
        <v>0</v>
      </c>
      <c r="AB13" s="13">
        <f t="shared" si="4"/>
        <v>0</v>
      </c>
      <c r="AC13" s="14"/>
      <c r="AD13" s="138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</row>
    <row r="14" spans="1:65" ht="13">
      <c r="A14" s="33">
        <v>43113</v>
      </c>
      <c r="B14">
        <v>1651</v>
      </c>
      <c r="C14">
        <v>1725</v>
      </c>
      <c r="D14" s="8" t="str">
        <f t="shared" si="6"/>
        <v>Rob</v>
      </c>
      <c r="E14" s="1" t="s">
        <v>91</v>
      </c>
      <c r="F14" s="10"/>
      <c r="G14" s="10"/>
      <c r="H14" s="11">
        <f t="shared" si="0"/>
        <v>0</v>
      </c>
      <c r="I14" s="136"/>
      <c r="J14" s="8">
        <v>49</v>
      </c>
      <c r="K14" s="8"/>
      <c r="L14" s="8" t="s">
        <v>166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12">
        <f t="shared" si="1"/>
        <v>0</v>
      </c>
      <c r="Z14" s="12">
        <f t="shared" si="2"/>
        <v>0</v>
      </c>
      <c r="AA14" s="13">
        <f t="shared" si="3"/>
        <v>0</v>
      </c>
      <c r="AB14" s="13">
        <f t="shared" si="4"/>
        <v>0</v>
      </c>
      <c r="AC14" s="14"/>
      <c r="AD14" s="138"/>
    </row>
    <row r="15" spans="1:65" ht="13">
      <c r="A15" s="33">
        <v>43114</v>
      </c>
      <c r="B15" s="19">
        <v>1653</v>
      </c>
      <c r="C15" s="19">
        <v>1726</v>
      </c>
      <c r="D15" s="20" t="str">
        <f t="shared" si="6"/>
        <v>Fred/Anne</v>
      </c>
      <c r="E15" s="104" t="s">
        <v>30</v>
      </c>
      <c r="F15" s="21">
        <v>0.69791666666666663</v>
      </c>
      <c r="G15" s="21">
        <v>0.73958333333333337</v>
      </c>
      <c r="H15" s="11">
        <f t="shared" si="0"/>
        <v>4.1666666666666741E-2</v>
      </c>
      <c r="I15" s="140">
        <v>0.1076388888888889</v>
      </c>
      <c r="J15" s="20">
        <v>50.2</v>
      </c>
      <c r="K15" s="20">
        <v>49.7</v>
      </c>
      <c r="L15" s="20" t="s">
        <v>167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12">
        <f t="shared" si="1"/>
        <v>0</v>
      </c>
      <c r="Z15" s="12">
        <f t="shared" si="2"/>
        <v>0</v>
      </c>
      <c r="AA15" s="13">
        <f t="shared" si="3"/>
        <v>0</v>
      </c>
      <c r="AB15" s="13">
        <f t="shared" si="4"/>
        <v>0</v>
      </c>
      <c r="AC15" s="14"/>
      <c r="AD15" s="138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</row>
    <row r="16" spans="1:65" ht="13">
      <c r="A16" s="128">
        <v>43115</v>
      </c>
      <c r="B16" s="142">
        <v>1654</v>
      </c>
      <c r="C16" s="142">
        <v>1727</v>
      </c>
      <c r="D16" s="143" t="str">
        <f t="shared" si="6"/>
        <v>Jane</v>
      </c>
      <c r="E16" s="144" t="s">
        <v>159</v>
      </c>
      <c r="F16" s="145">
        <v>0.72916666666666663</v>
      </c>
      <c r="G16" s="145">
        <v>0.94791666666666663</v>
      </c>
      <c r="H16" s="146">
        <f t="shared" si="0"/>
        <v>0.21875</v>
      </c>
      <c r="I16" s="147">
        <v>0.92708333333333337</v>
      </c>
      <c r="J16" s="148">
        <v>48</v>
      </c>
      <c r="K16" s="143">
        <v>49</v>
      </c>
      <c r="L16" s="143" t="s">
        <v>168</v>
      </c>
      <c r="M16" s="143">
        <v>7</v>
      </c>
      <c r="N16" s="143">
        <v>0</v>
      </c>
      <c r="O16" s="143">
        <v>0</v>
      </c>
      <c r="P16" s="143">
        <v>0</v>
      </c>
      <c r="Q16" s="143">
        <v>0</v>
      </c>
      <c r="R16" s="143">
        <v>0</v>
      </c>
      <c r="S16" s="143">
        <v>0</v>
      </c>
      <c r="T16" s="143">
        <v>0</v>
      </c>
      <c r="U16" s="143">
        <v>0</v>
      </c>
      <c r="V16" s="143">
        <v>0</v>
      </c>
      <c r="W16" s="143">
        <v>0</v>
      </c>
      <c r="X16" s="143">
        <v>0</v>
      </c>
      <c r="Y16" s="149">
        <f t="shared" si="1"/>
        <v>7</v>
      </c>
      <c r="Z16" s="149">
        <f t="shared" si="2"/>
        <v>0</v>
      </c>
      <c r="AA16" s="150">
        <f t="shared" si="3"/>
        <v>7</v>
      </c>
      <c r="AB16" s="150">
        <f t="shared" si="4"/>
        <v>0</v>
      </c>
      <c r="AC16" s="14"/>
      <c r="AD16" s="151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</row>
    <row r="17" spans="1:65" ht="13">
      <c r="A17" s="34">
        <v>43116</v>
      </c>
      <c r="B17" s="19">
        <v>1655</v>
      </c>
      <c r="C17" s="19">
        <v>1728</v>
      </c>
      <c r="D17" s="20" t="str">
        <f>CHOOSE(WEEKDAY(A17),"Fred/Anne", "Jane", "Phil/Tom","Sue/Panos","Shawn/Owens","Jeff", "Rob")</f>
        <v>Phil/Tom</v>
      </c>
      <c r="E17" s="104" t="s">
        <v>30</v>
      </c>
      <c r="F17" s="21">
        <v>0.70833333333333337</v>
      </c>
      <c r="G17" s="21">
        <v>0.72916666666666663</v>
      </c>
      <c r="H17" s="11">
        <f t="shared" si="0"/>
        <v>2.0833333333333259E-2</v>
      </c>
      <c r="I17" s="136">
        <v>0.5</v>
      </c>
      <c r="J17" s="152">
        <v>48</v>
      </c>
      <c r="K17" s="20">
        <v>48</v>
      </c>
      <c r="L17" s="20" t="s">
        <v>166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12">
        <f t="shared" si="1"/>
        <v>0</v>
      </c>
      <c r="Z17" s="12">
        <f t="shared" si="2"/>
        <v>0</v>
      </c>
      <c r="AA17" s="13">
        <f t="shared" si="3"/>
        <v>0</v>
      </c>
      <c r="AB17" s="13">
        <f t="shared" si="4"/>
        <v>0</v>
      </c>
      <c r="AC17" s="14"/>
      <c r="AD17" s="138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</row>
    <row r="18" spans="1:65" ht="28">
      <c r="A18" s="34">
        <v>43117</v>
      </c>
      <c r="B18">
        <v>1656</v>
      </c>
      <c r="C18">
        <v>1729</v>
      </c>
      <c r="D18" s="8" t="str">
        <f>CHOOSE(WEEKDAY(A18),"Fred/Anne", "Jane", "Phil","Sue/Panos","Shawn/Owens","Jeff", "Rob")</f>
        <v>Sue/Panos</v>
      </c>
      <c r="E18" s="1" t="s">
        <v>30</v>
      </c>
      <c r="F18" s="153">
        <v>0.71875</v>
      </c>
      <c r="G18" s="153">
        <v>0.9375</v>
      </c>
      <c r="H18" s="11">
        <f t="shared" si="0"/>
        <v>0.21875</v>
      </c>
      <c r="I18" s="136">
        <v>26</v>
      </c>
      <c r="J18" s="154">
        <v>50</v>
      </c>
      <c r="K18" s="8">
        <v>47</v>
      </c>
      <c r="L18" s="8" t="s">
        <v>169</v>
      </c>
      <c r="M18" s="9">
        <v>25</v>
      </c>
      <c r="N18" s="9">
        <v>14</v>
      </c>
      <c r="O18" s="9">
        <v>3</v>
      </c>
      <c r="P18" s="9">
        <v>5</v>
      </c>
      <c r="Q18" s="9">
        <v>2</v>
      </c>
      <c r="R18" s="9">
        <v>0</v>
      </c>
      <c r="S18" s="9">
        <v>1</v>
      </c>
      <c r="T18" s="9">
        <v>0</v>
      </c>
      <c r="U18" s="9">
        <v>0</v>
      </c>
      <c r="V18" s="9">
        <v>4</v>
      </c>
      <c r="W18" s="9">
        <v>1</v>
      </c>
      <c r="X18" s="9">
        <v>3</v>
      </c>
      <c r="Y18" s="12">
        <f t="shared" si="1"/>
        <v>47</v>
      </c>
      <c r="Z18" s="12">
        <f t="shared" si="2"/>
        <v>3</v>
      </c>
      <c r="AA18" s="13">
        <f t="shared" si="3"/>
        <v>39</v>
      </c>
      <c r="AB18" s="13">
        <f t="shared" si="4"/>
        <v>2</v>
      </c>
      <c r="AC18" s="14"/>
      <c r="AD18" s="138" t="s">
        <v>170</v>
      </c>
    </row>
    <row r="19" spans="1:65" ht="13">
      <c r="A19" s="34">
        <v>43118</v>
      </c>
      <c r="B19" s="19">
        <v>1658</v>
      </c>
      <c r="C19" s="19">
        <v>1731</v>
      </c>
      <c r="D19" s="20" t="str">
        <f>CHOOSE(WEEKDAY(A19),"Fred/Anne", "Jane", "Phil","Sue/Panos","Shawn/Orem","Jeff", "Rob")</f>
        <v>Shawn/Orem</v>
      </c>
      <c r="E19" s="104" t="s">
        <v>30</v>
      </c>
      <c r="F19" s="21">
        <v>0.70833333333333337</v>
      </c>
      <c r="G19" s="21">
        <v>0.79166666666666663</v>
      </c>
      <c r="H19" s="11">
        <f t="shared" si="0"/>
        <v>8.3333333333333259E-2</v>
      </c>
      <c r="I19" s="136">
        <v>6.5</v>
      </c>
      <c r="J19" s="152">
        <v>46</v>
      </c>
      <c r="K19" s="20">
        <v>43</v>
      </c>
      <c r="L19" s="20" t="s">
        <v>171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12">
        <f t="shared" si="1"/>
        <v>0</v>
      </c>
      <c r="Z19" s="12">
        <f t="shared" si="2"/>
        <v>0</v>
      </c>
      <c r="AA19" s="13">
        <f t="shared" si="3"/>
        <v>0</v>
      </c>
      <c r="AB19" s="13">
        <f t="shared" si="4"/>
        <v>0</v>
      </c>
      <c r="AC19" s="14"/>
      <c r="AD19" s="138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</row>
    <row r="20" spans="1:65" ht="13">
      <c r="A20" s="36">
        <v>43119</v>
      </c>
      <c r="B20">
        <v>1659</v>
      </c>
      <c r="C20">
        <v>1732</v>
      </c>
      <c r="D20" s="8" t="str">
        <f t="shared" ref="D20:D24" si="7">CHOOSE(WEEKDAY(A20),"Fred/Anne", "Jane", "Phil","Sue/Panos","Shawn/Owens","Jeff", "Rob")</f>
        <v>Jeff</v>
      </c>
      <c r="E20" s="1" t="s">
        <v>30</v>
      </c>
      <c r="F20" s="26">
        <v>0.87847222222222221</v>
      </c>
      <c r="G20" s="10">
        <v>0.89236111111111116</v>
      </c>
      <c r="H20" s="11">
        <f t="shared" si="0"/>
        <v>1.3888888888888951E-2</v>
      </c>
      <c r="I20" s="136">
        <v>0.3</v>
      </c>
      <c r="J20" s="154">
        <v>43</v>
      </c>
      <c r="K20" s="8">
        <v>43</v>
      </c>
      <c r="L20" s="8" t="s">
        <v>172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12">
        <f t="shared" si="1"/>
        <v>0</v>
      </c>
      <c r="Z20" s="12">
        <f t="shared" si="2"/>
        <v>0</v>
      </c>
      <c r="AA20" s="13">
        <f t="shared" si="3"/>
        <v>0</v>
      </c>
      <c r="AB20" s="13">
        <f t="shared" si="4"/>
        <v>0</v>
      </c>
      <c r="AC20" s="14"/>
      <c r="AD20" s="138"/>
    </row>
    <row r="21" spans="1:65" ht="13">
      <c r="A21" s="36">
        <v>43120</v>
      </c>
      <c r="B21" s="19">
        <v>1700</v>
      </c>
      <c r="C21" s="19">
        <v>1733</v>
      </c>
      <c r="D21" s="20" t="str">
        <f t="shared" si="7"/>
        <v>Rob</v>
      </c>
      <c r="E21" s="104" t="s">
        <v>40</v>
      </c>
      <c r="F21" s="21">
        <v>0.70833333333333337</v>
      </c>
      <c r="G21" s="21">
        <v>0.8125</v>
      </c>
      <c r="H21" s="11">
        <f t="shared" si="0"/>
        <v>0.10416666666666663</v>
      </c>
      <c r="I21" s="136">
        <v>5.5</v>
      </c>
      <c r="J21" s="152">
        <v>44</v>
      </c>
      <c r="K21" s="20">
        <v>45</v>
      </c>
      <c r="L21" s="20" t="s">
        <v>173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12">
        <f t="shared" si="1"/>
        <v>0</v>
      </c>
      <c r="Z21" s="12">
        <f t="shared" si="2"/>
        <v>0</v>
      </c>
      <c r="AA21" s="13">
        <f t="shared" si="3"/>
        <v>0</v>
      </c>
      <c r="AB21" s="13">
        <f t="shared" si="4"/>
        <v>0</v>
      </c>
      <c r="AC21" s="14"/>
      <c r="AD21" s="138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</row>
    <row r="22" spans="1:65" ht="13">
      <c r="A22" s="36">
        <v>43121</v>
      </c>
      <c r="B22">
        <v>1702</v>
      </c>
      <c r="C22">
        <v>1734</v>
      </c>
      <c r="D22" s="8" t="str">
        <f t="shared" si="7"/>
        <v>Fred/Anne</v>
      </c>
      <c r="E22" s="100" t="s">
        <v>30</v>
      </c>
      <c r="F22" s="10">
        <v>0.70833333333333337</v>
      </c>
      <c r="G22" s="10">
        <v>0.76041666666666663</v>
      </c>
      <c r="H22" s="11">
        <f t="shared" si="0"/>
        <v>5.2083333333333259E-2</v>
      </c>
      <c r="I22" s="140">
        <v>0.15972222222222221</v>
      </c>
      <c r="J22" s="45">
        <v>43</v>
      </c>
      <c r="K22" s="9">
        <v>42</v>
      </c>
      <c r="L22" s="9" t="s">
        <v>174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12">
        <f t="shared" si="1"/>
        <v>0</v>
      </c>
      <c r="Z22" s="12">
        <f t="shared" si="2"/>
        <v>0</v>
      </c>
      <c r="AA22" s="13">
        <f t="shared" si="3"/>
        <v>0</v>
      </c>
      <c r="AB22" s="13">
        <f t="shared" si="4"/>
        <v>0</v>
      </c>
      <c r="AC22" s="14"/>
      <c r="AD22" s="138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</row>
    <row r="23" spans="1:65" ht="13">
      <c r="A23" s="36">
        <v>43122</v>
      </c>
      <c r="B23" s="19">
        <v>1703</v>
      </c>
      <c r="C23" s="19">
        <v>1736</v>
      </c>
      <c r="D23" s="20" t="str">
        <f t="shared" si="7"/>
        <v>Jane</v>
      </c>
      <c r="E23" s="104" t="s">
        <v>30</v>
      </c>
      <c r="F23" s="21">
        <v>0.73611111111111116</v>
      </c>
      <c r="G23" s="21">
        <v>0.75694444444444442</v>
      </c>
      <c r="H23" s="11">
        <f t="shared" si="0"/>
        <v>2.0833333333333259E-2</v>
      </c>
      <c r="I23" s="136">
        <v>0.4</v>
      </c>
      <c r="J23" s="152">
        <v>44</v>
      </c>
      <c r="K23" s="20">
        <v>43</v>
      </c>
      <c r="L23" s="20" t="s">
        <v>34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12">
        <f t="shared" si="1"/>
        <v>0</v>
      </c>
      <c r="Z23" s="12">
        <f t="shared" si="2"/>
        <v>0</v>
      </c>
      <c r="AA23" s="13">
        <f t="shared" si="3"/>
        <v>0</v>
      </c>
      <c r="AB23" s="13">
        <f t="shared" si="4"/>
        <v>0</v>
      </c>
      <c r="AC23" s="14"/>
      <c r="AD23" s="138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</row>
    <row r="24" spans="1:65" ht="14">
      <c r="A24" s="38">
        <v>43124</v>
      </c>
      <c r="B24" s="19">
        <v>1706</v>
      </c>
      <c r="C24" s="19">
        <v>1738</v>
      </c>
      <c r="D24" s="20" t="str">
        <f t="shared" si="7"/>
        <v>Sue/Panos</v>
      </c>
      <c r="E24" s="104" t="s">
        <v>33</v>
      </c>
      <c r="F24" s="21">
        <v>0.73611111111111116</v>
      </c>
      <c r="G24" s="21">
        <v>0.73611111111111116</v>
      </c>
      <c r="H24" s="11">
        <f t="shared" si="0"/>
        <v>0</v>
      </c>
      <c r="I24" s="136">
        <v>0</v>
      </c>
      <c r="J24" s="152">
        <v>44</v>
      </c>
      <c r="K24" s="20">
        <v>44</v>
      </c>
      <c r="L24" s="22" t="s">
        <v>175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12">
        <f t="shared" si="1"/>
        <v>0</v>
      </c>
      <c r="Z24" s="12">
        <f t="shared" si="2"/>
        <v>0</v>
      </c>
      <c r="AA24" s="13">
        <f t="shared" si="3"/>
        <v>0</v>
      </c>
      <c r="AB24" s="13">
        <f t="shared" si="4"/>
        <v>0</v>
      </c>
      <c r="AC24" s="14"/>
      <c r="AD24" s="138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</row>
    <row r="25" spans="1:65" ht="13">
      <c r="A25" s="38">
        <v>43123</v>
      </c>
      <c r="B25">
        <v>1705</v>
      </c>
      <c r="C25">
        <v>1737</v>
      </c>
      <c r="D25" s="9" t="str">
        <f>CHOOSE(WEEKDAY(A25),"Fred/Anne", "Jane", "Phil/Tom","Sue/Panos","Shawn/Owens","Jeff", "Rob")</f>
        <v>Phil/Tom</v>
      </c>
      <c r="E25" s="1" t="s">
        <v>30</v>
      </c>
      <c r="F25" s="10">
        <v>0.70833333333333337</v>
      </c>
      <c r="G25" s="10">
        <v>0.85416666666666663</v>
      </c>
      <c r="H25" s="11">
        <f t="shared" si="0"/>
        <v>0.14583333333333326</v>
      </c>
      <c r="I25" s="136">
        <v>34.75</v>
      </c>
      <c r="J25" s="154">
        <v>48</v>
      </c>
      <c r="K25" s="8">
        <v>45</v>
      </c>
      <c r="L25" s="8" t="s">
        <v>176</v>
      </c>
      <c r="M25" s="9">
        <v>3</v>
      </c>
      <c r="N25" s="9">
        <v>1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12">
        <f t="shared" si="1"/>
        <v>4</v>
      </c>
      <c r="Z25" s="12">
        <f t="shared" si="2"/>
        <v>0</v>
      </c>
      <c r="AA25" s="13">
        <f t="shared" si="3"/>
        <v>4</v>
      </c>
      <c r="AB25" s="13">
        <f t="shared" si="4"/>
        <v>0</v>
      </c>
      <c r="AC25" s="14"/>
      <c r="AD25" s="139"/>
    </row>
    <row r="26" spans="1:65" ht="13">
      <c r="A26" s="38">
        <v>43125</v>
      </c>
      <c r="B26">
        <v>1707</v>
      </c>
      <c r="C26">
        <v>1740</v>
      </c>
      <c r="D26" s="8" t="str">
        <f>CHOOSE(WEEKDAY(A26),"Fred/Anne", "Jane", "Phil","Sue/Panos","Shawn/Orem","Jeff", "Rob")</f>
        <v>Shawn/Orem</v>
      </c>
      <c r="E26" s="100" t="s">
        <v>30</v>
      </c>
      <c r="F26" s="10">
        <v>0.72916666666666663</v>
      </c>
      <c r="G26" s="10">
        <v>0.73958333333333337</v>
      </c>
      <c r="H26" s="11">
        <f t="shared" si="0"/>
        <v>1.0416666666666741E-2</v>
      </c>
      <c r="I26" s="136">
        <v>0.25</v>
      </c>
      <c r="J26" s="45">
        <v>44</v>
      </c>
      <c r="K26" s="9">
        <v>43</v>
      </c>
      <c r="L26" s="9" t="s">
        <v>177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12">
        <f t="shared" si="1"/>
        <v>0</v>
      </c>
      <c r="Z26" s="12">
        <f t="shared" si="2"/>
        <v>0</v>
      </c>
      <c r="AA26" s="13">
        <f t="shared" si="3"/>
        <v>0</v>
      </c>
      <c r="AB26" s="13">
        <f t="shared" si="4"/>
        <v>0</v>
      </c>
      <c r="AC26" s="14"/>
      <c r="AD26" s="138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</row>
    <row r="27" spans="1:65" ht="13">
      <c r="A27" s="38">
        <v>43126</v>
      </c>
      <c r="B27" s="19">
        <v>1709</v>
      </c>
      <c r="C27" s="19">
        <v>1741</v>
      </c>
      <c r="D27" s="20" t="s">
        <v>178</v>
      </c>
      <c r="E27" s="104" t="s">
        <v>30</v>
      </c>
      <c r="F27" s="21">
        <v>0.73263888888888884</v>
      </c>
      <c r="G27" s="21">
        <v>0.78125</v>
      </c>
      <c r="H27" s="11">
        <f t="shared" si="0"/>
        <v>4.861111111111116E-2</v>
      </c>
      <c r="I27" s="136">
        <v>2.5</v>
      </c>
      <c r="J27" s="152">
        <v>46</v>
      </c>
      <c r="K27" s="20">
        <v>43</v>
      </c>
      <c r="L27" s="20" t="s">
        <v>179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12">
        <f t="shared" si="1"/>
        <v>0</v>
      </c>
      <c r="Z27" s="12">
        <f t="shared" si="2"/>
        <v>0</v>
      </c>
      <c r="AA27" s="13">
        <f t="shared" si="3"/>
        <v>0</v>
      </c>
      <c r="AB27" s="13">
        <f t="shared" si="4"/>
        <v>0</v>
      </c>
      <c r="AC27" s="14"/>
      <c r="AD27" s="138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</row>
    <row r="28" spans="1:65" ht="13">
      <c r="A28" s="39">
        <v>43127</v>
      </c>
      <c r="B28">
        <v>1710</v>
      </c>
      <c r="C28">
        <v>1742</v>
      </c>
      <c r="D28" s="8" t="str">
        <f t="shared" ref="D28:D30" si="8">CHOOSE(WEEKDAY(A28),"Fred/Anne", "Jane", "Phil","Sue/Panos","Shawn/Owens","Jeff", "Rob")</f>
        <v>Rob</v>
      </c>
      <c r="E28" s="1" t="s">
        <v>40</v>
      </c>
      <c r="F28" s="10">
        <v>0.72916666666666663</v>
      </c>
      <c r="G28" s="10">
        <v>0.85416666666666663</v>
      </c>
      <c r="H28" s="11">
        <f t="shared" si="0"/>
        <v>0.125</v>
      </c>
      <c r="I28" s="136">
        <v>25.5</v>
      </c>
      <c r="J28" s="154">
        <v>47</v>
      </c>
      <c r="K28" s="8">
        <v>47</v>
      </c>
      <c r="L28" s="8" t="s">
        <v>180</v>
      </c>
      <c r="M28" s="9">
        <v>11</v>
      </c>
      <c r="N28" s="9">
        <v>17</v>
      </c>
      <c r="O28" s="9">
        <v>0</v>
      </c>
      <c r="P28" s="9">
        <v>1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12">
        <f t="shared" si="1"/>
        <v>29</v>
      </c>
      <c r="Z28" s="12">
        <f t="shared" si="2"/>
        <v>0</v>
      </c>
      <c r="AA28" s="13">
        <f t="shared" si="3"/>
        <v>28</v>
      </c>
      <c r="AB28" s="13">
        <f t="shared" si="4"/>
        <v>0</v>
      </c>
      <c r="AC28" s="14"/>
      <c r="AD28" s="138"/>
    </row>
    <row r="29" spans="1:65" ht="14">
      <c r="A29" s="39">
        <v>43128</v>
      </c>
      <c r="B29" s="19">
        <v>1712</v>
      </c>
      <c r="C29" s="19">
        <v>1744</v>
      </c>
      <c r="D29" s="20" t="str">
        <f t="shared" si="8"/>
        <v>Fred/Anne</v>
      </c>
      <c r="E29" s="104" t="s">
        <v>30</v>
      </c>
      <c r="F29" s="21">
        <v>0.72222222222222221</v>
      </c>
      <c r="G29" s="21">
        <v>0.83333333333333337</v>
      </c>
      <c r="H29" s="11">
        <f t="shared" si="0"/>
        <v>0.11111111111111116</v>
      </c>
      <c r="I29" s="136"/>
      <c r="J29" s="152">
        <v>51</v>
      </c>
      <c r="K29" s="20">
        <v>48</v>
      </c>
      <c r="L29" s="20" t="s">
        <v>181</v>
      </c>
      <c r="M29" s="20">
        <v>1</v>
      </c>
      <c r="N29" s="20">
        <v>0</v>
      </c>
      <c r="O29" s="20">
        <v>0</v>
      </c>
      <c r="P29" s="20">
        <v>0</v>
      </c>
      <c r="Q29" s="20">
        <v>5</v>
      </c>
      <c r="R29" s="20">
        <v>0</v>
      </c>
      <c r="S29" s="20">
        <v>0</v>
      </c>
      <c r="T29" s="20">
        <v>0</v>
      </c>
      <c r="U29" s="20">
        <v>0</v>
      </c>
      <c r="V29" s="20"/>
      <c r="W29" s="20">
        <v>0</v>
      </c>
      <c r="X29" s="20">
        <v>0</v>
      </c>
      <c r="Y29" s="12">
        <f t="shared" si="1"/>
        <v>1</v>
      </c>
      <c r="Z29" s="12">
        <f t="shared" si="2"/>
        <v>5</v>
      </c>
      <c r="AA29" s="13">
        <f t="shared" si="3"/>
        <v>1</v>
      </c>
      <c r="AB29" s="13">
        <f t="shared" si="4"/>
        <v>5</v>
      </c>
      <c r="AC29" s="14"/>
      <c r="AD29" s="138" t="s">
        <v>182</v>
      </c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</row>
    <row r="30" spans="1:65" ht="13">
      <c r="A30" s="39">
        <v>43129</v>
      </c>
      <c r="B30">
        <v>1713</v>
      </c>
      <c r="C30">
        <v>1745</v>
      </c>
      <c r="D30" s="8" t="str">
        <f t="shared" si="8"/>
        <v>Jane</v>
      </c>
      <c r="E30" s="1" t="s">
        <v>30</v>
      </c>
      <c r="F30" s="10">
        <v>0.73611111111111116</v>
      </c>
      <c r="G30" s="26">
        <v>0.96875</v>
      </c>
      <c r="H30" s="11">
        <f t="shared" si="0"/>
        <v>0.23263888888888884</v>
      </c>
      <c r="I30" s="136">
        <v>29.25</v>
      </c>
      <c r="J30" s="154">
        <v>51</v>
      </c>
      <c r="K30" s="8">
        <v>45</v>
      </c>
      <c r="L30" s="8" t="s">
        <v>183</v>
      </c>
      <c r="M30" s="9">
        <v>20</v>
      </c>
      <c r="N30" s="9">
        <v>3</v>
      </c>
      <c r="O30" s="9">
        <v>1</v>
      </c>
      <c r="P30" s="9">
        <v>0</v>
      </c>
      <c r="Q30" s="9">
        <v>1</v>
      </c>
      <c r="R30" s="9">
        <v>0</v>
      </c>
      <c r="S30" s="9">
        <v>5</v>
      </c>
      <c r="T30" s="9">
        <v>1</v>
      </c>
      <c r="U30" s="9">
        <v>0</v>
      </c>
      <c r="V30" s="9">
        <v>0</v>
      </c>
      <c r="W30" s="9">
        <v>0</v>
      </c>
      <c r="X30" s="9">
        <v>0</v>
      </c>
      <c r="Y30" s="12">
        <f t="shared" si="1"/>
        <v>24</v>
      </c>
      <c r="Z30" s="12">
        <f t="shared" si="2"/>
        <v>7</v>
      </c>
      <c r="AA30" s="13">
        <f t="shared" si="3"/>
        <v>23</v>
      </c>
      <c r="AB30" s="13">
        <f t="shared" si="4"/>
        <v>1</v>
      </c>
      <c r="AC30" s="14"/>
      <c r="AD30" s="138"/>
    </row>
    <row r="31" spans="1:65" ht="14">
      <c r="A31" s="7">
        <v>43130</v>
      </c>
      <c r="B31" s="19">
        <v>1715</v>
      </c>
      <c r="C31" s="19">
        <v>1746</v>
      </c>
      <c r="D31" s="20" t="str">
        <f>CHOOSE(WEEKDAY(A31),"Fred/Anne", "Jane", "Phil/Tom","Sue/Panos","Shawn/Owens","Jeff", "Rob")</f>
        <v>Phil/Tom</v>
      </c>
      <c r="E31" s="104" t="s">
        <v>33</v>
      </c>
      <c r="F31" s="111">
        <v>0.73958333333333337</v>
      </c>
      <c r="G31" s="111">
        <v>0.73958333333333337</v>
      </c>
      <c r="H31" s="11">
        <f t="shared" si="0"/>
        <v>0</v>
      </c>
      <c r="I31" s="136">
        <v>0</v>
      </c>
      <c r="J31" s="152">
        <v>46</v>
      </c>
      <c r="K31" s="20">
        <v>46</v>
      </c>
      <c r="L31" s="20" t="s">
        <v>34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12">
        <f t="shared" si="1"/>
        <v>0</v>
      </c>
      <c r="Z31" s="12">
        <f t="shared" si="2"/>
        <v>0</v>
      </c>
      <c r="AA31" s="12">
        <f t="shared" si="3"/>
        <v>0</v>
      </c>
      <c r="AB31" s="12">
        <v>1</v>
      </c>
      <c r="AC31" s="14"/>
      <c r="AD31" s="138" t="s">
        <v>184</v>
      </c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</row>
    <row r="32" spans="1:65" ht="13">
      <c r="A32" s="7">
        <v>43131</v>
      </c>
      <c r="B32">
        <v>1716</v>
      </c>
      <c r="C32">
        <v>1748</v>
      </c>
      <c r="D32" s="8" t="str">
        <f>CHOOSE(WEEKDAY(A32),"Fred/Anne", "Jane", "Phil","Sue/Panos","Shawn/Owens","Jeff", "Rob")</f>
        <v>Sue/Panos</v>
      </c>
      <c r="E32" s="1" t="s">
        <v>33</v>
      </c>
      <c r="F32" s="10">
        <v>0.73958333333333337</v>
      </c>
      <c r="G32" s="10"/>
      <c r="H32" s="11">
        <f t="shared" si="0"/>
        <v>-0.73958333333333337</v>
      </c>
      <c r="I32" s="136"/>
      <c r="J32" s="154">
        <v>45</v>
      </c>
      <c r="K32" s="8"/>
      <c r="L32" s="8" t="s">
        <v>185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12">
        <f t="shared" si="1"/>
        <v>0</v>
      </c>
      <c r="Z32" s="12">
        <f t="shared" si="2"/>
        <v>0</v>
      </c>
      <c r="AA32" s="13">
        <f t="shared" si="3"/>
        <v>0</v>
      </c>
      <c r="AB32" s="13">
        <f>SUM(Q32:R32,U32)</f>
        <v>0</v>
      </c>
      <c r="AC32" s="14"/>
      <c r="AD32" s="139"/>
    </row>
    <row r="33" spans="1:65" ht="13">
      <c r="B33" s="155"/>
      <c r="C33" s="129"/>
      <c r="D33" s="156"/>
      <c r="E33" s="52" t="s">
        <v>52</v>
      </c>
      <c r="F33" s="129"/>
      <c r="H33" s="53">
        <f>SUM(H3:H32)</f>
        <v>1.3298611111111107</v>
      </c>
      <c r="I33" s="157">
        <f>SUM(I2:I32)</f>
        <v>174.5604166666667</v>
      </c>
      <c r="J33" s="129"/>
      <c r="K33" s="129"/>
      <c r="L33" s="129"/>
      <c r="M33" s="57">
        <f t="shared" ref="M33:X33" si="9">SUM(M2:M32)</f>
        <v>91</v>
      </c>
      <c r="N33" s="57">
        <f t="shared" si="9"/>
        <v>77</v>
      </c>
      <c r="O33" s="57">
        <f t="shared" si="9"/>
        <v>4</v>
      </c>
      <c r="P33" s="57">
        <f t="shared" si="9"/>
        <v>7</v>
      </c>
      <c r="Q33" s="57">
        <f t="shared" si="9"/>
        <v>8</v>
      </c>
      <c r="R33" s="57">
        <f t="shared" si="9"/>
        <v>0</v>
      </c>
      <c r="S33" s="57">
        <f t="shared" si="9"/>
        <v>6</v>
      </c>
      <c r="T33" s="57">
        <f t="shared" si="9"/>
        <v>1</v>
      </c>
      <c r="U33" s="57">
        <f t="shared" si="9"/>
        <v>0</v>
      </c>
      <c r="V33" s="57">
        <f t="shared" si="9"/>
        <v>4</v>
      </c>
      <c r="W33" s="57">
        <f t="shared" si="9"/>
        <v>10</v>
      </c>
      <c r="X33" s="57">
        <f t="shared" si="9"/>
        <v>7</v>
      </c>
      <c r="Y33" s="54">
        <f t="shared" ref="Y33:Z33" si="10">SUM(Y2:Y32)</f>
        <v>179</v>
      </c>
      <c r="Z33" s="54">
        <f t="shared" si="10"/>
        <v>15</v>
      </c>
      <c r="AA33" s="57">
        <f t="shared" ref="AA33:AB33" si="11">SUM(AA2:AA32)</f>
        <v>168</v>
      </c>
      <c r="AB33" s="57">
        <f t="shared" si="11"/>
        <v>9</v>
      </c>
    </row>
    <row r="34" spans="1:65" ht="13">
      <c r="B34" s="158"/>
      <c r="C34" s="129"/>
      <c r="D34" s="129"/>
      <c r="E34" s="58" t="s">
        <v>53</v>
      </c>
      <c r="F34" s="59"/>
      <c r="H34" s="60">
        <f>'November 2017'!H$33+'December 2017'!H$33+'January 2018'!H$33</f>
        <v>2.8805555555555546</v>
      </c>
      <c r="I34" s="61">
        <f>'November 2017'!I$33+'December 2017'!I$33+'January 2018'!I$33</f>
        <v>278.3056944444445</v>
      </c>
      <c r="J34" s="51"/>
      <c r="K34" s="51"/>
      <c r="L34" s="51"/>
      <c r="M34" s="62">
        <f>'November 2017'!M$33+'December 2017'!M$33+'January 2018'!M$33</f>
        <v>114</v>
      </c>
      <c r="N34" s="62">
        <f>'November 2017'!N$33+'December 2017'!N$33+'January 2018'!N$33</f>
        <v>281</v>
      </c>
      <c r="O34" s="62">
        <f>'November 2017'!O$33+'December 2017'!O$33+'January 2018'!O$33</f>
        <v>4</v>
      </c>
      <c r="P34" s="62">
        <f>'November 2017'!P$33+'December 2017'!P$33+'January 2018'!P$33</f>
        <v>8</v>
      </c>
      <c r="Q34" s="62">
        <f>'November 2017'!Q$33+'December 2017'!Q$33+'January 2018'!Q$33</f>
        <v>8</v>
      </c>
      <c r="R34" s="62">
        <f>'November 2017'!R$33+'December 2017'!R$33+'January 2018'!R$33</f>
        <v>0</v>
      </c>
      <c r="S34" s="62">
        <f>'November 2017'!S$33+'December 2017'!S$33+'January 2018'!S$33</f>
        <v>6</v>
      </c>
      <c r="T34" s="62">
        <f>'November 2017'!T$33+'December 2017'!T$33+'January 2018'!T$33</f>
        <v>1</v>
      </c>
      <c r="U34" s="62">
        <f>'November 2017'!U$33+'December 2017'!U$33+'January 2018'!U$33</f>
        <v>0</v>
      </c>
      <c r="V34" s="62">
        <f>'November 2017'!V$33+'December 2017'!V$33+'January 2018'!V$33</f>
        <v>4</v>
      </c>
      <c r="W34" s="62">
        <f>'November 2017'!W$33+'December 2017'!W$33+'January 2018'!W$33</f>
        <v>14</v>
      </c>
      <c r="X34" s="62">
        <f>'November 2017'!X$33+'December 2017'!X$33+'January 2018'!X$33</f>
        <v>7</v>
      </c>
      <c r="Y34" s="62">
        <f>'November 2017'!Y$33+'December 2017'!Y$33+'January 2018'!Y$33</f>
        <v>407</v>
      </c>
      <c r="Z34" s="62">
        <f>'November 2017'!Z$33+'December 2017'!Z$33+'January 2018'!Z$33</f>
        <v>15</v>
      </c>
      <c r="AA34" s="63">
        <f>'November 2017'!AA33+'December 2017'!AA33+'January 2018'!AA33</f>
        <v>395</v>
      </c>
      <c r="AB34" s="63">
        <f>'November 2017'!AB33+'December 2017'!AB33+'January 2018'!AB33</f>
        <v>9</v>
      </c>
    </row>
    <row r="35" spans="1:65" ht="13">
      <c r="B35" s="123"/>
      <c r="C35" s="123"/>
      <c r="E35" s="58" t="s">
        <v>54</v>
      </c>
      <c r="F35" s="59"/>
      <c r="H35" s="60">
        <f>'November 2017'!H$33+'December 2017'!H$33+'January 2018'!H$33+'February 2018'!H$33+'March 2018'!H$33+'April 2018'!H$33</f>
        <v>5.1930555555555555</v>
      </c>
      <c r="I35" s="61">
        <f>'November 2017'!I33+'December 2017'!I33+'January 2018'!I33+'February 2018'!I33+'March 2018'!I33+'April 2018'!I33</f>
        <v>486.30986111111122</v>
      </c>
      <c r="J35" s="51"/>
      <c r="K35" s="51"/>
      <c r="L35" s="51"/>
      <c r="M35" s="62">
        <f>'November 2017'!M33+'December 2017'!M33+'January 2018'!M33+'February 2018'!M33+'March 2018'!M33+'April 2018'!M33</f>
        <v>135</v>
      </c>
      <c r="N35" s="62">
        <f>'November 2017'!N33+'December 2017'!N33+'January 2018'!N33+'February 2018'!N33+'March 2018'!N33+'April 2018'!N33</f>
        <v>281</v>
      </c>
      <c r="O35" s="62">
        <f>'November 2017'!O33+'December 2017'!O33+'January 2018'!O33+'February 2018'!O33+'March 2018'!O33+'April 2018'!O33</f>
        <v>7</v>
      </c>
      <c r="P35" s="62">
        <f>'November 2017'!P33+'December 2017'!P33+'January 2018'!P33+'February 2018'!P33+'March 2018'!P33+'April 2018'!P33</f>
        <v>10</v>
      </c>
      <c r="Q35" s="62">
        <f>'November 2017'!Q33+'December 2017'!Q33+'January 2018'!Q33+'February 2018'!Q33+'March 2018'!Q33+'April 2018'!Q33</f>
        <v>104</v>
      </c>
      <c r="R35" s="62">
        <f>'November 2017'!R33+'December 2017'!R33+'January 2018'!R33+'February 2018'!R33+'March 2018'!R33+'April 2018'!R33</f>
        <v>165</v>
      </c>
      <c r="S35" s="62">
        <f>'November 2017'!S33+'December 2017'!S33+'January 2018'!S33+'February 2018'!S33+'March 2018'!S33+'April 2018'!S33</f>
        <v>9</v>
      </c>
      <c r="T35" s="62">
        <f>'November 2017'!T33+'December 2017'!T33+'January 2018'!T33+'February 2018'!T33+'March 2018'!T33+'April 2018'!T33</f>
        <v>7</v>
      </c>
      <c r="U35" s="62">
        <f>'November 2017'!U33+'December 2017'!U33+'January 2018'!U33+'February 2018'!U33+'March 2018'!U33+'April 2018'!U33</f>
        <v>12</v>
      </c>
      <c r="V35" s="62">
        <f>'November 2017'!V33+'December 2017'!V33+'January 2018'!V33+'February 2018'!V33+'March 2018'!V33+'April 2018'!V33</f>
        <v>8</v>
      </c>
      <c r="W35" s="62">
        <f>'November 2017'!W33+'December 2017'!W33+'January 2018'!W33+'February 2018'!W33+'March 2018'!W33+'April 2018'!W33</f>
        <v>17</v>
      </c>
      <c r="X35" s="62">
        <f>'November 2017'!X33+'December 2017'!X33+'January 2018'!X33+'February 2018'!X33+'March 2018'!X33+'April 2018'!X33</f>
        <v>14</v>
      </c>
      <c r="Y35" s="62">
        <f>'November 2017'!Y33+'December 2017'!Y33+'January 2018'!Y33+'February 2018'!Y33+'March 2018'!Y33+'April 2018'!Y33</f>
        <v>433</v>
      </c>
      <c r="Z35" s="62">
        <f>'November 2017'!Z33+'December 2017'!Z33+'January 2018'!Z33+'February 2018'!Z33+'March 2018'!Z33+'April 2018'!Z33</f>
        <v>297</v>
      </c>
      <c r="AA35" s="62">
        <f>'November 2017'!AA33+'December 2017'!AA33+'January 2018'!AA33+'February 2018'!AA33+'March 2018'!AA33+'April 2018'!AA33</f>
        <v>416</v>
      </c>
      <c r="AB35" s="62">
        <f>'November 2017'!AB33+'December 2017'!AB33+'January 2018'!AB33+'February 2018'!AB33+'March 2018'!AB33+'April 2018'!AB33</f>
        <v>282</v>
      </c>
    </row>
    <row r="36" spans="1:65" ht="13">
      <c r="A36" s="51"/>
      <c r="B36" s="51"/>
      <c r="C36" s="51"/>
      <c r="D36" s="51"/>
      <c r="E36" s="52" t="s">
        <v>55</v>
      </c>
      <c r="F36" s="51"/>
      <c r="G36" s="51"/>
      <c r="H36" s="51"/>
      <c r="I36" s="51"/>
      <c r="J36" s="51"/>
      <c r="K36" s="51"/>
      <c r="L36" s="51"/>
      <c r="M36" s="66"/>
      <c r="N36" s="67"/>
      <c r="O36" s="67"/>
      <c r="P36" s="68"/>
      <c r="Q36" s="68"/>
      <c r="R36" s="68"/>
      <c r="S36" s="68"/>
      <c r="T36" s="69"/>
      <c r="U36" s="70"/>
      <c r="V36" s="69"/>
      <c r="W36" s="69"/>
      <c r="X36" s="71"/>
      <c r="Y36" s="68">
        <v>834</v>
      </c>
      <c r="Z36" s="68">
        <v>751</v>
      </c>
      <c r="AA36" s="68"/>
      <c r="AB36" s="71"/>
      <c r="AC36" s="71"/>
      <c r="AD36" s="71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7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17"/>
      <c r="BL36" s="17"/>
      <c r="BM36" s="17"/>
    </row>
    <row r="37" spans="1:65" ht="13">
      <c r="A37" s="51"/>
      <c r="B37" s="51"/>
      <c r="C37" s="51"/>
      <c r="D37" s="51"/>
      <c r="E37" s="52" t="s">
        <v>56</v>
      </c>
      <c r="F37" s="51"/>
      <c r="G37" s="51"/>
      <c r="H37" s="51"/>
      <c r="I37" s="51"/>
      <c r="J37" s="51"/>
      <c r="K37" s="51"/>
      <c r="L37" s="51"/>
      <c r="M37" s="66"/>
      <c r="N37" s="67"/>
      <c r="O37" s="67"/>
      <c r="P37" s="68"/>
      <c r="Q37" s="68"/>
      <c r="R37" s="68"/>
      <c r="S37" s="68"/>
      <c r="T37" s="69"/>
      <c r="U37" s="70"/>
      <c r="V37" s="69"/>
      <c r="W37" s="69"/>
      <c r="X37" s="71"/>
      <c r="Y37" s="68">
        <v>688</v>
      </c>
      <c r="Z37" s="68">
        <v>1040</v>
      </c>
      <c r="AA37" s="68"/>
      <c r="AB37" s="71"/>
      <c r="AC37" s="71"/>
      <c r="AD37" s="71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7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17"/>
      <c r="BL37" s="17"/>
      <c r="BM37" s="17"/>
    </row>
    <row r="38" spans="1:65" ht="13">
      <c r="A38" s="51"/>
      <c r="B38" s="51"/>
      <c r="C38" s="51"/>
      <c r="D38" s="72"/>
      <c r="E38" s="52" t="s">
        <v>57</v>
      </c>
      <c r="F38" s="51"/>
      <c r="G38" s="51"/>
      <c r="H38" s="51"/>
      <c r="I38" s="51"/>
      <c r="J38" s="51"/>
      <c r="K38" s="51"/>
      <c r="L38" s="72"/>
      <c r="M38" s="73"/>
      <c r="N38" s="74"/>
      <c r="O38" s="74"/>
      <c r="P38" s="75"/>
      <c r="Q38" s="75"/>
      <c r="R38" s="76"/>
      <c r="S38" s="76"/>
      <c r="T38" s="77"/>
      <c r="U38" s="78"/>
      <c r="V38" s="75"/>
      <c r="W38" s="75"/>
      <c r="X38" s="79"/>
      <c r="Y38" s="75">
        <v>695</v>
      </c>
      <c r="Z38" s="75">
        <v>750</v>
      </c>
      <c r="AA38" s="75"/>
      <c r="AB38" s="79"/>
      <c r="AC38" s="79"/>
      <c r="AD38" s="79"/>
      <c r="AE38" s="52"/>
      <c r="AF38" s="52"/>
      <c r="AG38" s="52"/>
      <c r="AH38" s="52"/>
      <c r="AI38" s="52"/>
      <c r="AJ38" s="52"/>
      <c r="AK38" s="75"/>
      <c r="AL38" s="75"/>
      <c r="AM38" s="80"/>
      <c r="AN38" s="80"/>
      <c r="AO38" s="80"/>
      <c r="AP38" s="79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17"/>
      <c r="BL38" s="17"/>
      <c r="BM38" s="17"/>
    </row>
    <row r="39" spans="1:65" ht="13">
      <c r="A39" s="51"/>
      <c r="B39" s="51"/>
      <c r="C39" s="51"/>
      <c r="D39" s="72"/>
      <c r="E39" s="52" t="s">
        <v>58</v>
      </c>
      <c r="F39" s="51"/>
      <c r="G39" s="51"/>
      <c r="H39" s="51"/>
      <c r="I39" s="51"/>
      <c r="J39" s="51"/>
      <c r="K39" s="51"/>
      <c r="L39" s="72"/>
      <c r="M39" s="73"/>
      <c r="N39" s="74"/>
      <c r="O39" s="74"/>
      <c r="P39" s="75"/>
      <c r="Q39" s="75"/>
      <c r="R39" s="76"/>
      <c r="S39" s="76"/>
      <c r="T39" s="77"/>
      <c r="U39" s="78"/>
      <c r="V39" s="75"/>
      <c r="W39" s="75"/>
      <c r="X39" s="79"/>
      <c r="Y39" s="75">
        <v>580</v>
      </c>
      <c r="Z39" s="75">
        <v>572</v>
      </c>
      <c r="AA39" s="75"/>
      <c r="AB39" s="79"/>
      <c r="AC39" s="79"/>
      <c r="AD39" s="79"/>
      <c r="AE39" s="52"/>
      <c r="AF39" s="52"/>
      <c r="AG39" s="52"/>
      <c r="AH39" s="52"/>
      <c r="AI39" s="52"/>
      <c r="AJ39" s="52"/>
      <c r="AK39" s="75"/>
      <c r="AL39" s="75"/>
      <c r="AM39" s="80"/>
      <c r="AN39" s="80"/>
      <c r="AO39" s="80"/>
      <c r="AP39" s="79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17"/>
      <c r="BL39" s="17"/>
      <c r="BM39" s="17"/>
    </row>
    <row r="40" spans="1:65" ht="13">
      <c r="B40" s="123"/>
      <c r="C40" s="123"/>
      <c r="E40" s="123"/>
    </row>
    <row r="41" spans="1:65" ht="13">
      <c r="B41" s="123"/>
      <c r="C41" s="123"/>
      <c r="E41" s="123"/>
    </row>
    <row r="42" spans="1:65" ht="13">
      <c r="B42" s="123"/>
      <c r="C42" s="123"/>
      <c r="E42" s="123"/>
    </row>
    <row r="43" spans="1:65" ht="13">
      <c r="B43" s="123"/>
      <c r="C43" s="123"/>
      <c r="E43" s="123"/>
    </row>
    <row r="44" spans="1:65" ht="13">
      <c r="B44" s="123"/>
      <c r="C44" s="123"/>
      <c r="E44" s="123"/>
    </row>
    <row r="45" spans="1:65" ht="13">
      <c r="B45" s="123"/>
      <c r="C45" s="123"/>
      <c r="E45" s="123"/>
    </row>
    <row r="46" spans="1:65" ht="13">
      <c r="B46" s="123"/>
      <c r="C46" s="123"/>
      <c r="E46" s="123"/>
    </row>
    <row r="47" spans="1:65" ht="13">
      <c r="B47" s="123"/>
      <c r="C47" s="123"/>
      <c r="E47" s="123"/>
    </row>
    <row r="48" spans="1:65" ht="13">
      <c r="B48" s="123"/>
      <c r="C48" s="123"/>
      <c r="E48" s="123"/>
    </row>
    <row r="49" spans="2:5" ht="13">
      <c r="B49" s="123"/>
      <c r="C49" s="123"/>
      <c r="E49" s="123"/>
    </row>
    <row r="50" spans="2:5" ht="13">
      <c r="B50" s="123"/>
      <c r="C50" s="123"/>
      <c r="E50" s="123"/>
    </row>
    <row r="51" spans="2:5" ht="13">
      <c r="B51" s="123"/>
      <c r="C51" s="123"/>
      <c r="E51" s="123"/>
    </row>
    <row r="52" spans="2:5" ht="13">
      <c r="B52" s="123"/>
      <c r="C52" s="123"/>
      <c r="E52" s="123"/>
    </row>
    <row r="53" spans="2:5" ht="13">
      <c r="B53" s="123"/>
      <c r="C53" s="123"/>
      <c r="E53" s="123"/>
    </row>
    <row r="54" spans="2:5" ht="13">
      <c r="B54" s="123"/>
      <c r="C54" s="123"/>
      <c r="E54" s="123"/>
    </row>
    <row r="55" spans="2:5" ht="13">
      <c r="B55" s="123"/>
      <c r="C55" s="123"/>
      <c r="E55" s="123"/>
    </row>
    <row r="56" spans="2:5" ht="13">
      <c r="B56" s="123"/>
      <c r="C56" s="123"/>
      <c r="E56" s="123"/>
    </row>
    <row r="57" spans="2:5" ht="13">
      <c r="B57" s="123"/>
      <c r="C57" s="123"/>
      <c r="E57" s="123"/>
    </row>
    <row r="58" spans="2:5" ht="13">
      <c r="B58" s="123"/>
      <c r="C58" s="123"/>
      <c r="E58" s="123"/>
    </row>
    <row r="59" spans="2:5" ht="13">
      <c r="B59" s="123"/>
      <c r="C59" s="123"/>
      <c r="E59" s="123"/>
    </row>
    <row r="60" spans="2:5" ht="13">
      <c r="B60" s="123"/>
      <c r="C60" s="123"/>
      <c r="E60" s="123"/>
    </row>
    <row r="61" spans="2:5" ht="13">
      <c r="B61" s="123"/>
      <c r="C61" s="123"/>
      <c r="E61" s="123"/>
    </row>
    <row r="62" spans="2:5" ht="13">
      <c r="B62" s="123"/>
      <c r="C62" s="123"/>
      <c r="E62" s="123"/>
    </row>
    <row r="63" spans="2:5" ht="13">
      <c r="B63" s="123"/>
      <c r="C63" s="123"/>
      <c r="E63" s="123"/>
    </row>
    <row r="64" spans="2:5" ht="13">
      <c r="B64" s="123"/>
      <c r="C64" s="123"/>
      <c r="E64" s="123"/>
    </row>
    <row r="65" spans="2:5" ht="13">
      <c r="B65" s="123"/>
      <c r="C65" s="123"/>
      <c r="E65" s="123"/>
    </row>
    <row r="66" spans="2:5" ht="13">
      <c r="B66" s="123"/>
      <c r="C66" s="123"/>
      <c r="E66" s="123"/>
    </row>
    <row r="67" spans="2:5" ht="13">
      <c r="B67" s="123"/>
      <c r="C67" s="123"/>
      <c r="E67" s="123"/>
    </row>
    <row r="68" spans="2:5" ht="13">
      <c r="B68" s="123"/>
      <c r="C68" s="123"/>
      <c r="E68" s="123"/>
    </row>
    <row r="69" spans="2:5" ht="13">
      <c r="B69" s="123"/>
      <c r="C69" s="123"/>
      <c r="E69" s="123"/>
    </row>
    <row r="70" spans="2:5" ht="13">
      <c r="B70" s="123"/>
      <c r="C70" s="123"/>
      <c r="E70" s="123"/>
    </row>
    <row r="71" spans="2:5" ht="13">
      <c r="B71" s="123"/>
      <c r="C71" s="123"/>
      <c r="E71" s="123"/>
    </row>
    <row r="72" spans="2:5" ht="13">
      <c r="B72" s="123"/>
      <c r="C72" s="123"/>
      <c r="E72" s="123"/>
    </row>
    <row r="73" spans="2:5" ht="13">
      <c r="B73" s="123"/>
      <c r="C73" s="123"/>
      <c r="E73" s="123"/>
    </row>
    <row r="74" spans="2:5" ht="13">
      <c r="B74" s="123"/>
      <c r="C74" s="123"/>
      <c r="E74" s="123"/>
    </row>
    <row r="75" spans="2:5" ht="13">
      <c r="B75" s="123"/>
      <c r="C75" s="123"/>
      <c r="E75" s="123"/>
    </row>
    <row r="76" spans="2:5" ht="13">
      <c r="B76" s="123"/>
      <c r="C76" s="123"/>
      <c r="E76" s="123"/>
    </row>
    <row r="77" spans="2:5" ht="13">
      <c r="B77" s="123"/>
      <c r="C77" s="123"/>
      <c r="E77" s="123"/>
    </row>
    <row r="78" spans="2:5" ht="13">
      <c r="B78" s="123"/>
      <c r="C78" s="123"/>
      <c r="E78" s="123"/>
    </row>
    <row r="79" spans="2:5" ht="13">
      <c r="B79" s="123"/>
      <c r="C79" s="123"/>
      <c r="E79" s="123"/>
    </row>
    <row r="80" spans="2:5" ht="13">
      <c r="B80" s="123"/>
      <c r="C80" s="123"/>
      <c r="E80" s="123"/>
    </row>
    <row r="81" spans="2:5" ht="13">
      <c r="B81" s="123"/>
      <c r="C81" s="123"/>
      <c r="E81" s="123"/>
    </row>
    <row r="82" spans="2:5" ht="13">
      <c r="B82" s="123"/>
      <c r="C82" s="123"/>
      <c r="E82" s="123"/>
    </row>
    <row r="83" spans="2:5" ht="13">
      <c r="B83" s="123"/>
      <c r="C83" s="123"/>
      <c r="E83" s="123"/>
    </row>
    <row r="84" spans="2:5" ht="13">
      <c r="B84" s="123"/>
      <c r="C84" s="123"/>
      <c r="E84" s="123"/>
    </row>
    <row r="85" spans="2:5" ht="13">
      <c r="B85" s="123"/>
      <c r="C85" s="123"/>
      <c r="E85" s="123"/>
    </row>
    <row r="86" spans="2:5" ht="13">
      <c r="B86" s="123"/>
      <c r="C86" s="123"/>
      <c r="E86" s="123"/>
    </row>
    <row r="87" spans="2:5" ht="13">
      <c r="B87" s="123"/>
      <c r="C87" s="123"/>
      <c r="E87" s="123"/>
    </row>
    <row r="88" spans="2:5" ht="13">
      <c r="B88" s="123"/>
      <c r="C88" s="123"/>
      <c r="E88" s="123"/>
    </row>
    <row r="89" spans="2:5" ht="13">
      <c r="B89" s="123"/>
      <c r="C89" s="123"/>
      <c r="E89" s="123"/>
    </row>
    <row r="90" spans="2:5" ht="13">
      <c r="B90" s="123"/>
      <c r="C90" s="123"/>
      <c r="E90" s="123"/>
    </row>
    <row r="91" spans="2:5" ht="13">
      <c r="B91" s="123"/>
      <c r="C91" s="123"/>
      <c r="E91" s="123"/>
    </row>
    <row r="92" spans="2:5" ht="13">
      <c r="B92" s="123"/>
      <c r="C92" s="123"/>
      <c r="E92" s="123"/>
    </row>
    <row r="93" spans="2:5" ht="13">
      <c r="B93" s="123"/>
      <c r="C93" s="123"/>
      <c r="E93" s="123"/>
    </row>
    <row r="94" spans="2:5" ht="13">
      <c r="B94" s="123"/>
      <c r="C94" s="123"/>
      <c r="E94" s="123"/>
    </row>
    <row r="95" spans="2:5" ht="13">
      <c r="B95" s="123"/>
      <c r="C95" s="123"/>
      <c r="E95" s="123"/>
    </row>
    <row r="96" spans="2:5" ht="13">
      <c r="B96" s="123"/>
      <c r="C96" s="123"/>
      <c r="E96" s="123"/>
    </row>
    <row r="97" spans="2:5" ht="13">
      <c r="B97" s="123"/>
      <c r="C97" s="123"/>
      <c r="E97" s="123"/>
    </row>
    <row r="98" spans="2:5" ht="13">
      <c r="B98" s="123"/>
      <c r="C98" s="123"/>
      <c r="E98" s="123"/>
    </row>
    <row r="99" spans="2:5" ht="13">
      <c r="B99" s="123"/>
      <c r="C99" s="123"/>
      <c r="E99" s="123"/>
    </row>
    <row r="100" spans="2:5" ht="13">
      <c r="B100" s="123"/>
      <c r="C100" s="123"/>
      <c r="E100" s="123"/>
    </row>
    <row r="101" spans="2:5" ht="13">
      <c r="B101" s="123"/>
      <c r="C101" s="123"/>
      <c r="E101" s="123"/>
    </row>
    <row r="102" spans="2:5" ht="13">
      <c r="B102" s="123"/>
      <c r="C102" s="123"/>
      <c r="E102" s="123"/>
    </row>
    <row r="103" spans="2:5" ht="13">
      <c r="B103" s="123"/>
      <c r="C103" s="123"/>
      <c r="E103" s="123"/>
    </row>
    <row r="104" spans="2:5" ht="13">
      <c r="B104" s="123"/>
      <c r="C104" s="123"/>
      <c r="E104" s="123"/>
    </row>
    <row r="105" spans="2:5" ht="13">
      <c r="B105" s="123"/>
      <c r="C105" s="123"/>
      <c r="E105" s="123"/>
    </row>
    <row r="106" spans="2:5" ht="13">
      <c r="B106" s="123"/>
      <c r="C106" s="123"/>
      <c r="E106" s="123"/>
    </row>
    <row r="107" spans="2:5" ht="13">
      <c r="B107" s="123"/>
      <c r="C107" s="123"/>
      <c r="E107" s="123"/>
    </row>
    <row r="108" spans="2:5" ht="13">
      <c r="B108" s="123"/>
      <c r="C108" s="123"/>
      <c r="E108" s="123"/>
    </row>
    <row r="109" spans="2:5" ht="13">
      <c r="B109" s="123"/>
      <c r="C109" s="123"/>
      <c r="E109" s="123"/>
    </row>
    <row r="110" spans="2:5" ht="13">
      <c r="B110" s="123"/>
      <c r="C110" s="123"/>
      <c r="E110" s="123"/>
    </row>
    <row r="111" spans="2:5" ht="13">
      <c r="B111" s="123"/>
      <c r="C111" s="123"/>
      <c r="E111" s="123"/>
    </row>
    <row r="112" spans="2:5" ht="13">
      <c r="B112" s="123"/>
      <c r="C112" s="123"/>
      <c r="E112" s="123"/>
    </row>
    <row r="113" spans="2:5" ht="13">
      <c r="B113" s="123"/>
      <c r="C113" s="123"/>
      <c r="E113" s="123"/>
    </row>
    <row r="114" spans="2:5" ht="13">
      <c r="B114" s="123"/>
      <c r="C114" s="123"/>
      <c r="E114" s="123"/>
    </row>
    <row r="115" spans="2:5" ht="13">
      <c r="B115" s="123"/>
      <c r="C115" s="123"/>
      <c r="E115" s="123"/>
    </row>
    <row r="116" spans="2:5" ht="13">
      <c r="B116" s="123"/>
      <c r="C116" s="123"/>
      <c r="E116" s="123"/>
    </row>
    <row r="117" spans="2:5" ht="13">
      <c r="B117" s="123"/>
      <c r="C117" s="123"/>
      <c r="E117" s="123"/>
    </row>
    <row r="118" spans="2:5" ht="13">
      <c r="B118" s="123"/>
      <c r="C118" s="123"/>
      <c r="E118" s="123"/>
    </row>
    <row r="119" spans="2:5" ht="13">
      <c r="B119" s="123"/>
      <c r="C119" s="123"/>
      <c r="E119" s="123"/>
    </row>
    <row r="120" spans="2:5" ht="13">
      <c r="B120" s="123"/>
      <c r="C120" s="123"/>
      <c r="E120" s="123"/>
    </row>
    <row r="121" spans="2:5" ht="13">
      <c r="B121" s="123"/>
      <c r="C121" s="123"/>
      <c r="E121" s="123"/>
    </row>
    <row r="122" spans="2:5" ht="13">
      <c r="B122" s="123"/>
      <c r="C122" s="123"/>
      <c r="E122" s="123"/>
    </row>
    <row r="123" spans="2:5" ht="13">
      <c r="B123" s="123"/>
      <c r="C123" s="123"/>
      <c r="E123" s="123"/>
    </row>
    <row r="124" spans="2:5" ht="13">
      <c r="B124" s="123"/>
      <c r="C124" s="123"/>
      <c r="E124" s="123"/>
    </row>
    <row r="125" spans="2:5" ht="13">
      <c r="B125" s="123"/>
      <c r="C125" s="123"/>
      <c r="E125" s="123"/>
    </row>
    <row r="126" spans="2:5" ht="13">
      <c r="B126" s="123"/>
      <c r="C126" s="123"/>
      <c r="E126" s="123"/>
    </row>
    <row r="127" spans="2:5" ht="13">
      <c r="B127" s="123"/>
      <c r="C127" s="123"/>
      <c r="E127" s="123"/>
    </row>
    <row r="128" spans="2:5" ht="13">
      <c r="B128" s="123"/>
      <c r="C128" s="123"/>
      <c r="E128" s="123"/>
    </row>
    <row r="129" spans="2:5" ht="13">
      <c r="B129" s="123"/>
      <c r="C129" s="123"/>
      <c r="E129" s="123"/>
    </row>
    <row r="130" spans="2:5" ht="13">
      <c r="B130" s="123"/>
      <c r="C130" s="123"/>
      <c r="E130" s="123"/>
    </row>
    <row r="131" spans="2:5" ht="13">
      <c r="B131" s="123"/>
      <c r="C131" s="123"/>
      <c r="E131" s="123"/>
    </row>
    <row r="132" spans="2:5" ht="13">
      <c r="B132" s="123"/>
      <c r="C132" s="123"/>
      <c r="E132" s="123"/>
    </row>
    <row r="133" spans="2:5" ht="13">
      <c r="B133" s="123"/>
      <c r="C133" s="123"/>
      <c r="E133" s="123"/>
    </row>
    <row r="134" spans="2:5" ht="13">
      <c r="B134" s="123"/>
      <c r="C134" s="123"/>
      <c r="E134" s="123"/>
    </row>
    <row r="135" spans="2:5" ht="13">
      <c r="B135" s="123"/>
      <c r="C135" s="123"/>
      <c r="E135" s="123"/>
    </row>
    <row r="136" spans="2:5" ht="13">
      <c r="B136" s="123"/>
      <c r="C136" s="123"/>
      <c r="E136" s="123"/>
    </row>
    <row r="137" spans="2:5" ht="13">
      <c r="B137" s="123"/>
      <c r="C137" s="123"/>
      <c r="E137" s="123"/>
    </row>
    <row r="138" spans="2:5" ht="13">
      <c r="B138" s="123"/>
      <c r="C138" s="123"/>
      <c r="E138" s="123"/>
    </row>
    <row r="139" spans="2:5" ht="13">
      <c r="B139" s="123"/>
      <c r="C139" s="123"/>
      <c r="E139" s="123"/>
    </row>
    <row r="140" spans="2:5" ht="13">
      <c r="B140" s="123"/>
      <c r="C140" s="123"/>
      <c r="E140" s="123"/>
    </row>
    <row r="141" spans="2:5" ht="13">
      <c r="B141" s="123"/>
      <c r="C141" s="123"/>
      <c r="E141" s="123"/>
    </row>
    <row r="142" spans="2:5" ht="13">
      <c r="B142" s="123"/>
      <c r="C142" s="123"/>
      <c r="E142" s="123"/>
    </row>
    <row r="143" spans="2:5" ht="13">
      <c r="B143" s="123"/>
      <c r="C143" s="123"/>
      <c r="E143" s="123"/>
    </row>
    <row r="144" spans="2:5" ht="13">
      <c r="B144" s="123"/>
      <c r="C144" s="123"/>
      <c r="E144" s="123"/>
    </row>
    <row r="145" spans="2:5" ht="13">
      <c r="B145" s="123"/>
      <c r="C145" s="123"/>
      <c r="E145" s="123"/>
    </row>
    <row r="146" spans="2:5" ht="13">
      <c r="B146" s="123"/>
      <c r="C146" s="123"/>
      <c r="E146" s="123"/>
    </row>
    <row r="147" spans="2:5" ht="13">
      <c r="B147" s="123"/>
      <c r="C147" s="123"/>
      <c r="E147" s="123"/>
    </row>
    <row r="148" spans="2:5" ht="13">
      <c r="B148" s="123"/>
      <c r="C148" s="123"/>
      <c r="E148" s="123"/>
    </row>
    <row r="149" spans="2:5" ht="13">
      <c r="B149" s="123"/>
      <c r="C149" s="123"/>
      <c r="E149" s="123"/>
    </row>
    <row r="150" spans="2:5" ht="13">
      <c r="B150" s="123"/>
      <c r="C150" s="123"/>
      <c r="E150" s="123"/>
    </row>
    <row r="151" spans="2:5" ht="13">
      <c r="B151" s="123"/>
      <c r="C151" s="123"/>
      <c r="E151" s="123"/>
    </row>
    <row r="152" spans="2:5" ht="13">
      <c r="B152" s="123"/>
      <c r="C152" s="123"/>
      <c r="E152" s="123"/>
    </row>
    <row r="153" spans="2:5" ht="13">
      <c r="B153" s="123"/>
      <c r="C153" s="123"/>
      <c r="E153" s="123"/>
    </row>
    <row r="154" spans="2:5" ht="13">
      <c r="B154" s="123"/>
      <c r="C154" s="123"/>
      <c r="E154" s="123"/>
    </row>
    <row r="155" spans="2:5" ht="13">
      <c r="B155" s="123"/>
      <c r="C155" s="123"/>
      <c r="E155" s="123"/>
    </row>
    <row r="156" spans="2:5" ht="13">
      <c r="B156" s="123"/>
      <c r="C156" s="123"/>
      <c r="E156" s="123"/>
    </row>
    <row r="157" spans="2:5" ht="13">
      <c r="B157" s="123"/>
      <c r="C157" s="123"/>
      <c r="E157" s="123"/>
    </row>
    <row r="158" spans="2:5" ht="13">
      <c r="B158" s="123"/>
      <c r="C158" s="123"/>
      <c r="E158" s="123"/>
    </row>
    <row r="159" spans="2:5" ht="13">
      <c r="B159" s="123"/>
      <c r="C159" s="123"/>
      <c r="E159" s="123"/>
    </row>
    <row r="160" spans="2:5" ht="13">
      <c r="B160" s="123"/>
      <c r="C160" s="123"/>
      <c r="E160" s="123"/>
    </row>
    <row r="161" spans="2:5" ht="13">
      <c r="B161" s="123"/>
      <c r="C161" s="123"/>
      <c r="E161" s="123"/>
    </row>
    <row r="162" spans="2:5" ht="13">
      <c r="B162" s="123"/>
      <c r="C162" s="123"/>
      <c r="E162" s="123"/>
    </row>
    <row r="163" spans="2:5" ht="13">
      <c r="B163" s="123"/>
      <c r="C163" s="123"/>
      <c r="E163" s="123"/>
    </row>
    <row r="164" spans="2:5" ht="13">
      <c r="B164" s="123"/>
      <c r="C164" s="123"/>
      <c r="E164" s="123"/>
    </row>
    <row r="165" spans="2:5" ht="13">
      <c r="B165" s="123"/>
      <c r="C165" s="123"/>
      <c r="E165" s="123"/>
    </row>
    <row r="166" spans="2:5" ht="13">
      <c r="B166" s="123"/>
      <c r="C166" s="123"/>
      <c r="E166" s="123"/>
    </row>
    <row r="167" spans="2:5" ht="13">
      <c r="B167" s="123"/>
      <c r="C167" s="123"/>
      <c r="E167" s="123"/>
    </row>
    <row r="168" spans="2:5" ht="13">
      <c r="B168" s="123"/>
      <c r="C168" s="123"/>
      <c r="E168" s="123"/>
    </row>
    <row r="169" spans="2:5" ht="13">
      <c r="B169" s="123"/>
      <c r="C169" s="123"/>
      <c r="E169" s="123"/>
    </row>
    <row r="170" spans="2:5" ht="13">
      <c r="B170" s="123"/>
      <c r="C170" s="123"/>
      <c r="E170" s="123"/>
    </row>
    <row r="171" spans="2:5" ht="13">
      <c r="B171" s="123"/>
      <c r="C171" s="123"/>
      <c r="E171" s="123"/>
    </row>
    <row r="172" spans="2:5" ht="13">
      <c r="B172" s="123"/>
      <c r="C172" s="123"/>
      <c r="E172" s="123"/>
    </row>
    <row r="173" spans="2:5" ht="13">
      <c r="B173" s="123"/>
      <c r="C173" s="123"/>
      <c r="E173" s="123"/>
    </row>
    <row r="174" spans="2:5" ht="13">
      <c r="B174" s="123"/>
      <c r="C174" s="123"/>
      <c r="E174" s="123"/>
    </row>
    <row r="175" spans="2:5" ht="13">
      <c r="B175" s="123"/>
      <c r="C175" s="123"/>
      <c r="E175" s="123"/>
    </row>
    <row r="176" spans="2:5" ht="13">
      <c r="B176" s="123"/>
      <c r="C176" s="123"/>
      <c r="E176" s="123"/>
    </row>
    <row r="177" spans="2:5" ht="13">
      <c r="B177" s="123"/>
      <c r="C177" s="123"/>
      <c r="E177" s="123"/>
    </row>
    <row r="178" spans="2:5" ht="13">
      <c r="B178" s="123"/>
      <c r="C178" s="123"/>
      <c r="E178" s="123"/>
    </row>
    <row r="179" spans="2:5" ht="13">
      <c r="B179" s="123"/>
      <c r="C179" s="123"/>
      <c r="E179" s="123"/>
    </row>
    <row r="180" spans="2:5" ht="13">
      <c r="B180" s="123"/>
      <c r="C180" s="123"/>
      <c r="E180" s="123"/>
    </row>
    <row r="181" spans="2:5" ht="13">
      <c r="B181" s="123"/>
      <c r="C181" s="123"/>
      <c r="E181" s="123"/>
    </row>
    <row r="182" spans="2:5" ht="13">
      <c r="B182" s="123"/>
      <c r="C182" s="123"/>
      <c r="E182" s="123"/>
    </row>
    <row r="183" spans="2:5" ht="13">
      <c r="B183" s="123"/>
      <c r="C183" s="123"/>
      <c r="E183" s="123"/>
    </row>
    <row r="184" spans="2:5" ht="13">
      <c r="B184" s="123"/>
      <c r="C184" s="123"/>
      <c r="E184" s="123"/>
    </row>
    <row r="185" spans="2:5" ht="13">
      <c r="B185" s="123"/>
      <c r="C185" s="123"/>
      <c r="E185" s="123"/>
    </row>
    <row r="186" spans="2:5" ht="13">
      <c r="B186" s="123"/>
      <c r="C186" s="123"/>
      <c r="E186" s="123"/>
    </row>
    <row r="187" spans="2:5" ht="13">
      <c r="B187" s="123"/>
      <c r="C187" s="123"/>
      <c r="E187" s="123"/>
    </row>
    <row r="188" spans="2:5" ht="13">
      <c r="B188" s="123"/>
      <c r="C188" s="123"/>
      <c r="E188" s="123"/>
    </row>
    <row r="189" spans="2:5" ht="13">
      <c r="B189" s="123"/>
      <c r="C189" s="123"/>
      <c r="E189" s="123"/>
    </row>
    <row r="190" spans="2:5" ht="13">
      <c r="B190" s="123"/>
      <c r="C190" s="123"/>
      <c r="E190" s="123"/>
    </row>
    <row r="191" spans="2:5" ht="13">
      <c r="B191" s="123"/>
      <c r="C191" s="123"/>
      <c r="E191" s="123"/>
    </row>
    <row r="192" spans="2:5" ht="13">
      <c r="B192" s="123"/>
      <c r="C192" s="123"/>
      <c r="E192" s="123"/>
    </row>
    <row r="193" spans="2:5" ht="13">
      <c r="B193" s="123"/>
      <c r="C193" s="123"/>
      <c r="E193" s="123"/>
    </row>
    <row r="194" spans="2:5" ht="13">
      <c r="B194" s="123"/>
      <c r="C194" s="123"/>
      <c r="E194" s="123"/>
    </row>
    <row r="195" spans="2:5" ht="13">
      <c r="B195" s="123"/>
      <c r="C195" s="123"/>
      <c r="E195" s="123"/>
    </row>
    <row r="196" spans="2:5" ht="13">
      <c r="B196" s="123"/>
      <c r="C196" s="123"/>
      <c r="E196" s="123"/>
    </row>
    <row r="197" spans="2:5" ht="13">
      <c r="B197" s="123"/>
      <c r="C197" s="123"/>
      <c r="E197" s="123"/>
    </row>
    <row r="198" spans="2:5" ht="13">
      <c r="B198" s="123"/>
      <c r="C198" s="123"/>
      <c r="E198" s="123"/>
    </row>
    <row r="199" spans="2:5" ht="13">
      <c r="B199" s="123"/>
      <c r="C199" s="123"/>
      <c r="E199" s="123"/>
    </row>
    <row r="200" spans="2:5" ht="13">
      <c r="B200" s="123"/>
      <c r="C200" s="123"/>
      <c r="E200" s="123"/>
    </row>
    <row r="201" spans="2:5" ht="13">
      <c r="B201" s="123"/>
      <c r="C201" s="123"/>
      <c r="E201" s="123"/>
    </row>
    <row r="202" spans="2:5" ht="13">
      <c r="B202" s="123"/>
      <c r="C202" s="123"/>
      <c r="E202" s="123"/>
    </row>
    <row r="203" spans="2:5" ht="13">
      <c r="B203" s="123"/>
      <c r="C203" s="123"/>
      <c r="E203" s="123"/>
    </row>
    <row r="204" spans="2:5" ht="13">
      <c r="B204" s="123"/>
      <c r="C204" s="123"/>
      <c r="E204" s="123"/>
    </row>
    <row r="205" spans="2:5" ht="13">
      <c r="B205" s="123"/>
      <c r="C205" s="123"/>
      <c r="E205" s="123"/>
    </row>
    <row r="206" spans="2:5" ht="13">
      <c r="B206" s="123"/>
      <c r="C206" s="123"/>
      <c r="E206" s="123"/>
    </row>
    <row r="207" spans="2:5" ht="13">
      <c r="B207" s="123"/>
      <c r="C207" s="123"/>
      <c r="E207" s="123"/>
    </row>
    <row r="208" spans="2:5" ht="13">
      <c r="B208" s="123"/>
      <c r="C208" s="123"/>
      <c r="E208" s="123"/>
    </row>
    <row r="209" spans="2:5" ht="13">
      <c r="B209" s="123"/>
      <c r="C209" s="123"/>
      <c r="E209" s="123"/>
    </row>
    <row r="210" spans="2:5" ht="13">
      <c r="B210" s="123"/>
      <c r="C210" s="123"/>
      <c r="E210" s="123"/>
    </row>
    <row r="211" spans="2:5" ht="13">
      <c r="B211" s="123"/>
      <c r="C211" s="123"/>
      <c r="E211" s="123"/>
    </row>
    <row r="212" spans="2:5" ht="13">
      <c r="B212" s="123"/>
      <c r="C212" s="123"/>
      <c r="E212" s="123"/>
    </row>
    <row r="213" spans="2:5" ht="13">
      <c r="B213" s="123"/>
      <c r="C213" s="123"/>
      <c r="E213" s="123"/>
    </row>
    <row r="214" spans="2:5" ht="13">
      <c r="B214" s="123"/>
      <c r="C214" s="123"/>
      <c r="E214" s="123"/>
    </row>
    <row r="215" spans="2:5" ht="13">
      <c r="B215" s="123"/>
      <c r="C215" s="123"/>
      <c r="E215" s="123"/>
    </row>
    <row r="216" spans="2:5" ht="13">
      <c r="B216" s="123"/>
      <c r="C216" s="123"/>
      <c r="E216" s="123"/>
    </row>
    <row r="217" spans="2:5" ht="13">
      <c r="B217" s="123"/>
      <c r="C217" s="123"/>
      <c r="E217" s="123"/>
    </row>
    <row r="218" spans="2:5" ht="13">
      <c r="B218" s="123"/>
      <c r="C218" s="123"/>
      <c r="E218" s="123"/>
    </row>
    <row r="219" spans="2:5" ht="13">
      <c r="B219" s="123"/>
      <c r="C219" s="123"/>
      <c r="E219" s="123"/>
    </row>
    <row r="220" spans="2:5" ht="13">
      <c r="B220" s="123"/>
      <c r="C220" s="123"/>
      <c r="E220" s="123"/>
    </row>
    <row r="221" spans="2:5" ht="13">
      <c r="B221" s="123"/>
      <c r="C221" s="123"/>
      <c r="E221" s="123"/>
    </row>
    <row r="222" spans="2:5" ht="13">
      <c r="B222" s="123"/>
      <c r="C222" s="123"/>
      <c r="E222" s="123"/>
    </row>
    <row r="223" spans="2:5" ht="13">
      <c r="B223" s="123"/>
      <c r="C223" s="123"/>
      <c r="E223" s="123"/>
    </row>
    <row r="224" spans="2:5" ht="13">
      <c r="B224" s="123"/>
      <c r="C224" s="123"/>
      <c r="E224" s="123"/>
    </row>
    <row r="225" spans="2:5" ht="13">
      <c r="B225" s="123"/>
      <c r="C225" s="123"/>
      <c r="E225" s="123"/>
    </row>
    <row r="226" spans="2:5" ht="13">
      <c r="B226" s="123"/>
      <c r="C226" s="123"/>
      <c r="E226" s="123"/>
    </row>
    <row r="227" spans="2:5" ht="13">
      <c r="B227" s="123"/>
      <c r="C227" s="123"/>
      <c r="E227" s="123"/>
    </row>
    <row r="228" spans="2:5" ht="13">
      <c r="B228" s="123"/>
      <c r="C228" s="123"/>
      <c r="E228" s="123"/>
    </row>
    <row r="229" spans="2:5" ht="13">
      <c r="B229" s="123"/>
      <c r="C229" s="123"/>
      <c r="E229" s="123"/>
    </row>
    <row r="230" spans="2:5" ht="13">
      <c r="B230" s="123"/>
      <c r="C230" s="123"/>
      <c r="E230" s="123"/>
    </row>
    <row r="231" spans="2:5" ht="13">
      <c r="B231" s="123"/>
      <c r="C231" s="123"/>
      <c r="E231" s="123"/>
    </row>
    <row r="232" spans="2:5" ht="13">
      <c r="B232" s="123"/>
      <c r="C232" s="123"/>
      <c r="E232" s="123"/>
    </row>
    <row r="233" spans="2:5" ht="13">
      <c r="B233" s="123"/>
      <c r="C233" s="123"/>
      <c r="E233" s="123"/>
    </row>
    <row r="234" spans="2:5" ht="13">
      <c r="B234" s="123"/>
      <c r="C234" s="123"/>
      <c r="E234" s="123"/>
    </row>
    <row r="235" spans="2:5" ht="13">
      <c r="B235" s="123"/>
      <c r="C235" s="123"/>
      <c r="E235" s="123"/>
    </row>
    <row r="236" spans="2:5" ht="13">
      <c r="B236" s="123"/>
      <c r="C236" s="123"/>
      <c r="E236" s="123"/>
    </row>
    <row r="237" spans="2:5" ht="13">
      <c r="B237" s="123"/>
      <c r="C237" s="123"/>
      <c r="E237" s="123"/>
    </row>
    <row r="238" spans="2:5" ht="13">
      <c r="B238" s="123"/>
      <c r="C238" s="123"/>
      <c r="E238" s="123"/>
    </row>
    <row r="239" spans="2:5" ht="13">
      <c r="B239" s="123"/>
      <c r="C239" s="123"/>
      <c r="E239" s="123"/>
    </row>
    <row r="240" spans="2:5" ht="13">
      <c r="B240" s="123"/>
      <c r="C240" s="123"/>
      <c r="E240" s="123"/>
    </row>
    <row r="241" spans="2:5" ht="13">
      <c r="B241" s="123"/>
      <c r="C241" s="123"/>
      <c r="E241" s="123"/>
    </row>
    <row r="242" spans="2:5" ht="13">
      <c r="B242" s="123"/>
      <c r="C242" s="123"/>
      <c r="E242" s="123"/>
    </row>
    <row r="243" spans="2:5" ht="13">
      <c r="B243" s="123"/>
      <c r="C243" s="123"/>
      <c r="E243" s="123"/>
    </row>
    <row r="244" spans="2:5" ht="13">
      <c r="B244" s="123"/>
      <c r="C244" s="123"/>
      <c r="E244" s="123"/>
    </row>
    <row r="245" spans="2:5" ht="13">
      <c r="B245" s="123"/>
      <c r="C245" s="123"/>
      <c r="E245" s="123"/>
    </row>
    <row r="246" spans="2:5" ht="13">
      <c r="B246" s="123"/>
      <c r="C246" s="123"/>
      <c r="E246" s="123"/>
    </row>
    <row r="247" spans="2:5" ht="13">
      <c r="B247" s="123"/>
      <c r="C247" s="123"/>
      <c r="E247" s="123"/>
    </row>
    <row r="248" spans="2:5" ht="13">
      <c r="B248" s="123"/>
      <c r="C248" s="123"/>
      <c r="E248" s="123"/>
    </row>
    <row r="249" spans="2:5" ht="13">
      <c r="B249" s="123"/>
      <c r="C249" s="123"/>
      <c r="E249" s="123"/>
    </row>
    <row r="250" spans="2:5" ht="13">
      <c r="B250" s="123"/>
      <c r="C250" s="123"/>
      <c r="E250" s="123"/>
    </row>
    <row r="251" spans="2:5" ht="13">
      <c r="B251" s="123"/>
      <c r="C251" s="123"/>
      <c r="E251" s="123"/>
    </row>
    <row r="252" spans="2:5" ht="13">
      <c r="B252" s="123"/>
      <c r="C252" s="123"/>
      <c r="E252" s="123"/>
    </row>
    <row r="253" spans="2:5" ht="13">
      <c r="B253" s="123"/>
      <c r="C253" s="123"/>
      <c r="E253" s="123"/>
    </row>
    <row r="254" spans="2:5" ht="13">
      <c r="B254" s="123"/>
      <c r="C254" s="123"/>
      <c r="E254" s="123"/>
    </row>
    <row r="255" spans="2:5" ht="13">
      <c r="B255" s="123"/>
      <c r="C255" s="123"/>
      <c r="E255" s="123"/>
    </row>
    <row r="256" spans="2:5" ht="13">
      <c r="B256" s="123"/>
      <c r="C256" s="123"/>
      <c r="E256" s="123"/>
    </row>
    <row r="257" spans="2:5" ht="13">
      <c r="B257" s="123"/>
      <c r="C257" s="123"/>
      <c r="E257" s="123"/>
    </row>
    <row r="258" spans="2:5" ht="13">
      <c r="B258" s="123"/>
      <c r="C258" s="123"/>
      <c r="E258" s="123"/>
    </row>
    <row r="259" spans="2:5" ht="13">
      <c r="B259" s="123"/>
      <c r="C259" s="123"/>
      <c r="E259" s="123"/>
    </row>
    <row r="260" spans="2:5" ht="13">
      <c r="B260" s="123"/>
      <c r="C260" s="123"/>
      <c r="E260" s="123"/>
    </row>
    <row r="261" spans="2:5" ht="13">
      <c r="B261" s="123"/>
      <c r="C261" s="123"/>
      <c r="E261" s="123"/>
    </row>
    <row r="262" spans="2:5" ht="13">
      <c r="B262" s="123"/>
      <c r="C262" s="123"/>
      <c r="E262" s="123"/>
    </row>
    <row r="263" spans="2:5" ht="13">
      <c r="B263" s="123"/>
      <c r="C263" s="123"/>
      <c r="E263" s="123"/>
    </row>
    <row r="264" spans="2:5" ht="13">
      <c r="B264" s="123"/>
      <c r="C264" s="123"/>
      <c r="E264" s="123"/>
    </row>
    <row r="265" spans="2:5" ht="13">
      <c r="B265" s="123"/>
      <c r="C265" s="123"/>
      <c r="E265" s="123"/>
    </row>
    <row r="266" spans="2:5" ht="13">
      <c r="B266" s="123"/>
      <c r="C266" s="123"/>
      <c r="E266" s="123"/>
    </row>
    <row r="267" spans="2:5" ht="13">
      <c r="B267" s="123"/>
      <c r="C267" s="123"/>
      <c r="E267" s="123"/>
    </row>
    <row r="268" spans="2:5" ht="13">
      <c r="B268" s="123"/>
      <c r="C268" s="123"/>
      <c r="E268" s="123"/>
    </row>
    <row r="269" spans="2:5" ht="13">
      <c r="B269" s="123"/>
      <c r="C269" s="123"/>
      <c r="E269" s="123"/>
    </row>
    <row r="270" spans="2:5" ht="13">
      <c r="B270" s="123"/>
      <c r="C270" s="123"/>
      <c r="E270" s="123"/>
    </row>
    <row r="271" spans="2:5" ht="13">
      <c r="B271" s="123"/>
      <c r="C271" s="123"/>
      <c r="E271" s="123"/>
    </row>
    <row r="272" spans="2:5" ht="13">
      <c r="B272" s="123"/>
      <c r="C272" s="123"/>
      <c r="E272" s="123"/>
    </row>
    <row r="273" spans="2:5" ht="13">
      <c r="B273" s="123"/>
      <c r="C273" s="123"/>
      <c r="E273" s="123"/>
    </row>
    <row r="274" spans="2:5" ht="13">
      <c r="B274" s="123"/>
      <c r="C274" s="123"/>
      <c r="E274" s="123"/>
    </row>
    <row r="275" spans="2:5" ht="13">
      <c r="B275" s="123"/>
      <c r="C275" s="123"/>
      <c r="E275" s="123"/>
    </row>
    <row r="276" spans="2:5" ht="13">
      <c r="B276" s="123"/>
      <c r="C276" s="123"/>
      <c r="E276" s="123"/>
    </row>
    <row r="277" spans="2:5" ht="13">
      <c r="B277" s="123"/>
      <c r="C277" s="123"/>
      <c r="E277" s="123"/>
    </row>
    <row r="278" spans="2:5" ht="13">
      <c r="B278" s="123"/>
      <c r="C278" s="123"/>
      <c r="E278" s="123"/>
    </row>
    <row r="279" spans="2:5" ht="13">
      <c r="B279" s="123"/>
      <c r="C279" s="123"/>
      <c r="E279" s="123"/>
    </row>
    <row r="280" spans="2:5" ht="13">
      <c r="B280" s="123"/>
      <c r="C280" s="123"/>
      <c r="E280" s="123"/>
    </row>
    <row r="281" spans="2:5" ht="13">
      <c r="B281" s="123"/>
      <c r="C281" s="123"/>
      <c r="E281" s="123"/>
    </row>
    <row r="282" spans="2:5" ht="13">
      <c r="B282" s="123"/>
      <c r="C282" s="123"/>
      <c r="E282" s="123"/>
    </row>
    <row r="283" spans="2:5" ht="13">
      <c r="B283" s="123"/>
      <c r="C283" s="123"/>
      <c r="E283" s="123"/>
    </row>
    <row r="284" spans="2:5" ht="13">
      <c r="B284" s="123"/>
      <c r="C284" s="123"/>
      <c r="E284" s="123"/>
    </row>
    <row r="285" spans="2:5" ht="13">
      <c r="B285" s="123"/>
      <c r="C285" s="123"/>
      <c r="E285" s="123"/>
    </row>
    <row r="286" spans="2:5" ht="13">
      <c r="B286" s="123"/>
      <c r="C286" s="123"/>
      <c r="E286" s="123"/>
    </row>
    <row r="287" spans="2:5" ht="13">
      <c r="B287" s="123"/>
      <c r="C287" s="123"/>
      <c r="E287" s="123"/>
    </row>
    <row r="288" spans="2:5" ht="13">
      <c r="B288" s="123"/>
      <c r="C288" s="123"/>
      <c r="E288" s="123"/>
    </row>
    <row r="289" spans="2:5" ht="13">
      <c r="B289" s="123"/>
      <c r="C289" s="123"/>
      <c r="E289" s="123"/>
    </row>
    <row r="290" spans="2:5" ht="13">
      <c r="B290" s="123"/>
      <c r="C290" s="123"/>
      <c r="E290" s="123"/>
    </row>
    <row r="291" spans="2:5" ht="13">
      <c r="B291" s="123"/>
      <c r="C291" s="123"/>
      <c r="E291" s="123"/>
    </row>
    <row r="292" spans="2:5" ht="13">
      <c r="B292" s="123"/>
      <c r="C292" s="123"/>
      <c r="E292" s="123"/>
    </row>
    <row r="293" spans="2:5" ht="13">
      <c r="B293" s="123"/>
      <c r="C293" s="123"/>
      <c r="E293" s="123"/>
    </row>
    <row r="294" spans="2:5" ht="13">
      <c r="B294" s="123"/>
      <c r="C294" s="123"/>
      <c r="E294" s="123"/>
    </row>
    <row r="295" spans="2:5" ht="13">
      <c r="B295" s="123"/>
      <c r="C295" s="123"/>
      <c r="E295" s="123"/>
    </row>
    <row r="296" spans="2:5" ht="13">
      <c r="B296" s="123"/>
      <c r="C296" s="123"/>
      <c r="E296" s="123"/>
    </row>
    <row r="297" spans="2:5" ht="13">
      <c r="B297" s="123"/>
      <c r="C297" s="123"/>
      <c r="E297" s="123"/>
    </row>
    <row r="298" spans="2:5" ht="13">
      <c r="B298" s="123"/>
      <c r="C298" s="123"/>
      <c r="E298" s="123"/>
    </row>
    <row r="299" spans="2:5" ht="13">
      <c r="B299" s="123"/>
      <c r="C299" s="123"/>
      <c r="E299" s="123"/>
    </row>
    <row r="300" spans="2:5" ht="13">
      <c r="B300" s="123"/>
      <c r="C300" s="123"/>
      <c r="E300" s="123"/>
    </row>
    <row r="301" spans="2:5" ht="13">
      <c r="B301" s="123"/>
      <c r="C301" s="123"/>
      <c r="E301" s="123"/>
    </row>
    <row r="302" spans="2:5" ht="13">
      <c r="B302" s="123"/>
      <c r="C302" s="123"/>
      <c r="E302" s="123"/>
    </row>
    <row r="303" spans="2:5" ht="13">
      <c r="B303" s="123"/>
      <c r="C303" s="123"/>
      <c r="E303" s="123"/>
    </row>
    <row r="304" spans="2:5" ht="13">
      <c r="B304" s="123"/>
      <c r="C304" s="123"/>
      <c r="E304" s="123"/>
    </row>
    <row r="305" spans="2:5" ht="13">
      <c r="B305" s="123"/>
      <c r="C305" s="123"/>
      <c r="E305" s="123"/>
    </row>
    <row r="306" spans="2:5" ht="13">
      <c r="B306" s="123"/>
      <c r="C306" s="123"/>
      <c r="E306" s="123"/>
    </row>
    <row r="307" spans="2:5" ht="13">
      <c r="B307" s="123"/>
      <c r="C307" s="123"/>
      <c r="E307" s="123"/>
    </row>
    <row r="308" spans="2:5" ht="13">
      <c r="B308" s="123"/>
      <c r="C308" s="123"/>
      <c r="E308" s="123"/>
    </row>
    <row r="309" spans="2:5" ht="13">
      <c r="B309" s="123"/>
      <c r="C309" s="123"/>
      <c r="E309" s="123"/>
    </row>
    <row r="310" spans="2:5" ht="13">
      <c r="B310" s="123"/>
      <c r="C310" s="123"/>
      <c r="E310" s="123"/>
    </row>
    <row r="311" spans="2:5" ht="13">
      <c r="B311" s="123"/>
      <c r="C311" s="123"/>
      <c r="E311" s="123"/>
    </row>
    <row r="312" spans="2:5" ht="13">
      <c r="B312" s="123"/>
      <c r="C312" s="123"/>
      <c r="E312" s="123"/>
    </row>
    <row r="313" spans="2:5" ht="13">
      <c r="B313" s="123"/>
      <c r="C313" s="123"/>
      <c r="E313" s="123"/>
    </row>
    <row r="314" spans="2:5" ht="13">
      <c r="B314" s="123"/>
      <c r="C314" s="123"/>
      <c r="E314" s="123"/>
    </row>
    <row r="315" spans="2:5" ht="13">
      <c r="B315" s="123"/>
      <c r="C315" s="123"/>
      <c r="E315" s="123"/>
    </row>
    <row r="316" spans="2:5" ht="13">
      <c r="B316" s="123"/>
      <c r="C316" s="123"/>
      <c r="E316" s="123"/>
    </row>
    <row r="317" spans="2:5" ht="13">
      <c r="B317" s="123"/>
      <c r="C317" s="123"/>
      <c r="E317" s="123"/>
    </row>
    <row r="318" spans="2:5" ht="13">
      <c r="B318" s="123"/>
      <c r="C318" s="123"/>
      <c r="E318" s="123"/>
    </row>
    <row r="319" spans="2:5" ht="13">
      <c r="B319" s="123"/>
      <c r="C319" s="123"/>
      <c r="E319" s="123"/>
    </row>
    <row r="320" spans="2:5" ht="13">
      <c r="B320" s="123"/>
      <c r="C320" s="123"/>
      <c r="E320" s="123"/>
    </row>
    <row r="321" spans="2:5" ht="13">
      <c r="B321" s="123"/>
      <c r="C321" s="123"/>
      <c r="E321" s="123"/>
    </row>
    <row r="322" spans="2:5" ht="13">
      <c r="B322" s="123"/>
      <c r="C322" s="123"/>
      <c r="E322" s="123"/>
    </row>
    <row r="323" spans="2:5" ht="13">
      <c r="B323" s="123"/>
      <c r="C323" s="123"/>
      <c r="E323" s="123"/>
    </row>
    <row r="324" spans="2:5" ht="13">
      <c r="B324" s="123"/>
      <c r="C324" s="123"/>
      <c r="E324" s="123"/>
    </row>
    <row r="325" spans="2:5" ht="13">
      <c r="B325" s="123"/>
      <c r="C325" s="123"/>
      <c r="E325" s="123"/>
    </row>
    <row r="326" spans="2:5" ht="13">
      <c r="B326" s="123"/>
      <c r="C326" s="123"/>
      <c r="E326" s="123"/>
    </row>
    <row r="327" spans="2:5" ht="13">
      <c r="B327" s="123"/>
      <c r="C327" s="123"/>
      <c r="E327" s="123"/>
    </row>
    <row r="328" spans="2:5" ht="13">
      <c r="B328" s="123"/>
      <c r="C328" s="123"/>
      <c r="E328" s="123"/>
    </row>
    <row r="329" spans="2:5" ht="13">
      <c r="B329" s="123"/>
      <c r="C329" s="123"/>
      <c r="E329" s="123"/>
    </row>
    <row r="330" spans="2:5" ht="13">
      <c r="B330" s="123"/>
      <c r="C330" s="123"/>
      <c r="E330" s="123"/>
    </row>
    <row r="331" spans="2:5" ht="13">
      <c r="B331" s="123"/>
      <c r="C331" s="123"/>
      <c r="E331" s="123"/>
    </row>
    <row r="332" spans="2:5" ht="13">
      <c r="B332" s="123"/>
      <c r="C332" s="123"/>
      <c r="E332" s="123"/>
    </row>
    <row r="333" spans="2:5" ht="13">
      <c r="B333" s="123"/>
      <c r="C333" s="123"/>
      <c r="E333" s="123"/>
    </row>
    <row r="334" spans="2:5" ht="13">
      <c r="B334" s="123"/>
      <c r="C334" s="123"/>
      <c r="E334" s="123"/>
    </row>
    <row r="335" spans="2:5" ht="13">
      <c r="B335" s="123"/>
      <c r="C335" s="123"/>
      <c r="E335" s="123"/>
    </row>
    <row r="336" spans="2:5" ht="13">
      <c r="B336" s="123"/>
      <c r="C336" s="123"/>
      <c r="E336" s="123"/>
    </row>
    <row r="337" spans="2:5" ht="13">
      <c r="B337" s="123"/>
      <c r="C337" s="123"/>
      <c r="E337" s="123"/>
    </row>
    <row r="338" spans="2:5" ht="13">
      <c r="B338" s="123"/>
      <c r="C338" s="123"/>
      <c r="E338" s="123"/>
    </row>
    <row r="339" spans="2:5" ht="13">
      <c r="B339" s="123"/>
      <c r="C339" s="123"/>
      <c r="E339" s="123"/>
    </row>
    <row r="340" spans="2:5" ht="13">
      <c r="B340" s="123"/>
      <c r="C340" s="123"/>
      <c r="E340" s="123"/>
    </row>
    <row r="341" spans="2:5" ht="13">
      <c r="B341" s="123"/>
      <c r="C341" s="123"/>
      <c r="E341" s="123"/>
    </row>
    <row r="342" spans="2:5" ht="13">
      <c r="B342" s="123"/>
      <c r="C342" s="123"/>
      <c r="E342" s="123"/>
    </row>
    <row r="343" spans="2:5" ht="13">
      <c r="B343" s="123"/>
      <c r="C343" s="123"/>
      <c r="E343" s="123"/>
    </row>
    <row r="344" spans="2:5" ht="13">
      <c r="B344" s="123"/>
      <c r="C344" s="123"/>
      <c r="E344" s="123"/>
    </row>
    <row r="345" spans="2:5" ht="13">
      <c r="B345" s="123"/>
      <c r="C345" s="123"/>
      <c r="E345" s="123"/>
    </row>
    <row r="346" spans="2:5" ht="13">
      <c r="B346" s="123"/>
      <c r="C346" s="123"/>
      <c r="E346" s="123"/>
    </row>
    <row r="347" spans="2:5" ht="13">
      <c r="B347" s="123"/>
      <c r="C347" s="123"/>
      <c r="E347" s="123"/>
    </row>
    <row r="348" spans="2:5" ht="13">
      <c r="B348" s="123"/>
      <c r="C348" s="123"/>
      <c r="E348" s="123"/>
    </row>
    <row r="349" spans="2:5" ht="13">
      <c r="B349" s="123"/>
      <c r="C349" s="123"/>
      <c r="E349" s="123"/>
    </row>
    <row r="350" spans="2:5" ht="13">
      <c r="B350" s="123"/>
      <c r="C350" s="123"/>
      <c r="E350" s="123"/>
    </row>
    <row r="351" spans="2:5" ht="13">
      <c r="B351" s="123"/>
      <c r="C351" s="123"/>
      <c r="E351" s="123"/>
    </row>
    <row r="352" spans="2:5" ht="13">
      <c r="B352" s="123"/>
      <c r="C352" s="123"/>
      <c r="E352" s="123"/>
    </row>
    <row r="353" spans="2:5" ht="13">
      <c r="B353" s="123"/>
      <c r="C353" s="123"/>
      <c r="E353" s="123"/>
    </row>
    <row r="354" spans="2:5" ht="13">
      <c r="B354" s="123"/>
      <c r="C354" s="123"/>
      <c r="E354" s="123"/>
    </row>
    <row r="355" spans="2:5" ht="13">
      <c r="B355" s="123"/>
      <c r="C355" s="123"/>
      <c r="E355" s="123"/>
    </row>
    <row r="356" spans="2:5" ht="13">
      <c r="B356" s="123"/>
      <c r="C356" s="123"/>
      <c r="E356" s="123"/>
    </row>
    <row r="357" spans="2:5" ht="13">
      <c r="B357" s="123"/>
      <c r="C357" s="123"/>
      <c r="E357" s="123"/>
    </row>
    <row r="358" spans="2:5" ht="13">
      <c r="B358" s="123"/>
      <c r="C358" s="123"/>
      <c r="E358" s="123"/>
    </row>
    <row r="359" spans="2:5" ht="13">
      <c r="B359" s="123"/>
      <c r="C359" s="123"/>
      <c r="E359" s="123"/>
    </row>
    <row r="360" spans="2:5" ht="13">
      <c r="B360" s="123"/>
      <c r="C360" s="123"/>
      <c r="E360" s="123"/>
    </row>
    <row r="361" spans="2:5" ht="13">
      <c r="B361" s="123"/>
      <c r="C361" s="123"/>
      <c r="E361" s="123"/>
    </row>
    <row r="362" spans="2:5" ht="13">
      <c r="B362" s="123"/>
      <c r="C362" s="123"/>
      <c r="E362" s="123"/>
    </row>
    <row r="363" spans="2:5" ht="13">
      <c r="B363" s="123"/>
      <c r="C363" s="123"/>
      <c r="E363" s="123"/>
    </row>
    <row r="364" spans="2:5" ht="13">
      <c r="B364" s="123"/>
      <c r="C364" s="123"/>
      <c r="E364" s="123"/>
    </row>
    <row r="365" spans="2:5" ht="13">
      <c r="B365" s="123"/>
      <c r="C365" s="123"/>
      <c r="E365" s="123"/>
    </row>
    <row r="366" spans="2:5" ht="13">
      <c r="B366" s="123"/>
      <c r="C366" s="123"/>
      <c r="E366" s="123"/>
    </row>
    <row r="367" spans="2:5" ht="13">
      <c r="B367" s="123"/>
      <c r="C367" s="123"/>
      <c r="E367" s="123"/>
    </row>
    <row r="368" spans="2:5" ht="13">
      <c r="B368" s="123"/>
      <c r="C368" s="123"/>
      <c r="E368" s="123"/>
    </row>
    <row r="369" spans="2:5" ht="13">
      <c r="B369" s="123"/>
      <c r="C369" s="123"/>
      <c r="E369" s="123"/>
    </row>
    <row r="370" spans="2:5" ht="13">
      <c r="B370" s="123"/>
      <c r="C370" s="123"/>
      <c r="E370" s="123"/>
    </row>
    <row r="371" spans="2:5" ht="13">
      <c r="B371" s="123"/>
      <c r="C371" s="123"/>
      <c r="E371" s="123"/>
    </row>
    <row r="372" spans="2:5" ht="13">
      <c r="B372" s="123"/>
      <c r="C372" s="123"/>
      <c r="E372" s="123"/>
    </row>
    <row r="373" spans="2:5" ht="13">
      <c r="B373" s="123"/>
      <c r="C373" s="123"/>
      <c r="E373" s="123"/>
    </row>
    <row r="374" spans="2:5" ht="13">
      <c r="B374" s="123"/>
      <c r="C374" s="123"/>
      <c r="E374" s="123"/>
    </row>
    <row r="375" spans="2:5" ht="13">
      <c r="B375" s="123"/>
      <c r="C375" s="123"/>
      <c r="E375" s="123"/>
    </row>
    <row r="376" spans="2:5" ht="13">
      <c r="B376" s="123"/>
      <c r="C376" s="123"/>
      <c r="E376" s="123"/>
    </row>
    <row r="377" spans="2:5" ht="13">
      <c r="B377" s="123"/>
      <c r="C377" s="123"/>
      <c r="E377" s="123"/>
    </row>
    <row r="378" spans="2:5" ht="13">
      <c r="B378" s="123"/>
      <c r="C378" s="123"/>
      <c r="E378" s="123"/>
    </row>
    <row r="379" spans="2:5" ht="13">
      <c r="B379" s="123"/>
      <c r="C379" s="123"/>
      <c r="E379" s="123"/>
    </row>
    <row r="380" spans="2:5" ht="13">
      <c r="B380" s="123"/>
      <c r="C380" s="123"/>
      <c r="E380" s="123"/>
    </row>
    <row r="381" spans="2:5" ht="13">
      <c r="B381" s="123"/>
      <c r="C381" s="123"/>
      <c r="E381" s="123"/>
    </row>
    <row r="382" spans="2:5" ht="13">
      <c r="B382" s="123"/>
      <c r="C382" s="123"/>
      <c r="E382" s="123"/>
    </row>
    <row r="383" spans="2:5" ht="13">
      <c r="B383" s="123"/>
      <c r="C383" s="123"/>
      <c r="E383" s="123"/>
    </row>
    <row r="384" spans="2:5" ht="13">
      <c r="B384" s="123"/>
      <c r="C384" s="123"/>
      <c r="E384" s="123"/>
    </row>
    <row r="385" spans="2:5" ht="13">
      <c r="B385" s="123"/>
      <c r="C385" s="123"/>
      <c r="E385" s="123"/>
    </row>
    <row r="386" spans="2:5" ht="13">
      <c r="B386" s="123"/>
      <c r="C386" s="123"/>
      <c r="E386" s="123"/>
    </row>
    <row r="387" spans="2:5" ht="13">
      <c r="B387" s="123"/>
      <c r="C387" s="123"/>
      <c r="E387" s="123"/>
    </row>
    <row r="388" spans="2:5" ht="13">
      <c r="B388" s="123"/>
      <c r="C388" s="123"/>
      <c r="E388" s="123"/>
    </row>
    <row r="389" spans="2:5" ht="13">
      <c r="B389" s="123"/>
      <c r="C389" s="123"/>
      <c r="E389" s="123"/>
    </row>
    <row r="390" spans="2:5" ht="13">
      <c r="B390" s="123"/>
      <c r="C390" s="123"/>
      <c r="E390" s="123"/>
    </row>
    <row r="391" spans="2:5" ht="13">
      <c r="B391" s="123"/>
      <c r="C391" s="123"/>
      <c r="E391" s="123"/>
    </row>
    <row r="392" spans="2:5" ht="13">
      <c r="B392" s="123"/>
      <c r="C392" s="123"/>
      <c r="E392" s="123"/>
    </row>
    <row r="393" spans="2:5" ht="13">
      <c r="B393" s="123"/>
      <c r="C393" s="123"/>
      <c r="E393" s="123"/>
    </row>
    <row r="394" spans="2:5" ht="13">
      <c r="B394" s="123"/>
      <c r="C394" s="123"/>
      <c r="E394" s="123"/>
    </row>
    <row r="395" spans="2:5" ht="13">
      <c r="B395" s="123"/>
      <c r="C395" s="123"/>
      <c r="E395" s="123"/>
    </row>
    <row r="396" spans="2:5" ht="13">
      <c r="B396" s="123"/>
      <c r="C396" s="123"/>
      <c r="E396" s="123"/>
    </row>
    <row r="397" spans="2:5" ht="13">
      <c r="B397" s="123"/>
      <c r="C397" s="123"/>
      <c r="E397" s="123"/>
    </row>
    <row r="398" spans="2:5" ht="13">
      <c r="B398" s="123"/>
      <c r="C398" s="123"/>
      <c r="E398" s="123"/>
    </row>
    <row r="399" spans="2:5" ht="13">
      <c r="B399" s="123"/>
      <c r="C399" s="123"/>
      <c r="E399" s="123"/>
    </row>
    <row r="400" spans="2:5" ht="13">
      <c r="B400" s="123"/>
      <c r="C400" s="123"/>
      <c r="E400" s="123"/>
    </row>
    <row r="401" spans="2:5" ht="13">
      <c r="B401" s="123"/>
      <c r="C401" s="123"/>
      <c r="E401" s="123"/>
    </row>
    <row r="402" spans="2:5" ht="13">
      <c r="B402" s="123"/>
      <c r="C402" s="123"/>
      <c r="E402" s="123"/>
    </row>
    <row r="403" spans="2:5" ht="13">
      <c r="B403" s="123"/>
      <c r="C403" s="123"/>
      <c r="E403" s="123"/>
    </row>
    <row r="404" spans="2:5" ht="13">
      <c r="B404" s="123"/>
      <c r="C404" s="123"/>
      <c r="E404" s="123"/>
    </row>
    <row r="405" spans="2:5" ht="13">
      <c r="B405" s="123"/>
      <c r="C405" s="123"/>
      <c r="E405" s="123"/>
    </row>
    <row r="406" spans="2:5" ht="13">
      <c r="B406" s="123"/>
      <c r="C406" s="123"/>
      <c r="E406" s="123"/>
    </row>
    <row r="407" spans="2:5" ht="13">
      <c r="B407" s="123"/>
      <c r="C407" s="123"/>
      <c r="E407" s="123"/>
    </row>
    <row r="408" spans="2:5" ht="13">
      <c r="B408" s="123"/>
      <c r="C408" s="123"/>
      <c r="E408" s="123"/>
    </row>
    <row r="409" spans="2:5" ht="13">
      <c r="B409" s="123"/>
      <c r="C409" s="123"/>
      <c r="E409" s="123"/>
    </row>
    <row r="410" spans="2:5" ht="13">
      <c r="B410" s="123"/>
      <c r="C410" s="123"/>
      <c r="E410" s="123"/>
    </row>
    <row r="411" spans="2:5" ht="13">
      <c r="B411" s="123"/>
      <c r="C411" s="123"/>
      <c r="E411" s="123"/>
    </row>
    <row r="412" spans="2:5" ht="13">
      <c r="B412" s="123"/>
      <c r="C412" s="123"/>
      <c r="E412" s="123"/>
    </row>
    <row r="413" spans="2:5" ht="13">
      <c r="B413" s="123"/>
      <c r="C413" s="123"/>
      <c r="E413" s="123"/>
    </row>
    <row r="414" spans="2:5" ht="13">
      <c r="B414" s="123"/>
      <c r="C414" s="123"/>
      <c r="E414" s="123"/>
    </row>
    <row r="415" spans="2:5" ht="13">
      <c r="B415" s="123"/>
      <c r="C415" s="123"/>
      <c r="E415" s="123"/>
    </row>
    <row r="416" spans="2:5" ht="13">
      <c r="B416" s="123"/>
      <c r="C416" s="123"/>
      <c r="E416" s="123"/>
    </row>
    <row r="417" spans="2:5" ht="13">
      <c r="B417" s="123"/>
      <c r="C417" s="123"/>
      <c r="E417" s="123"/>
    </row>
    <row r="418" spans="2:5" ht="13">
      <c r="B418" s="123"/>
      <c r="C418" s="123"/>
      <c r="E418" s="123"/>
    </row>
    <row r="419" spans="2:5" ht="13">
      <c r="B419" s="123"/>
      <c r="C419" s="123"/>
      <c r="E419" s="123"/>
    </row>
    <row r="420" spans="2:5" ht="13">
      <c r="B420" s="123"/>
      <c r="C420" s="123"/>
      <c r="E420" s="123"/>
    </row>
    <row r="421" spans="2:5" ht="13">
      <c r="B421" s="123"/>
      <c r="C421" s="123"/>
      <c r="E421" s="123"/>
    </row>
    <row r="422" spans="2:5" ht="13">
      <c r="B422" s="123"/>
      <c r="C422" s="123"/>
      <c r="E422" s="123"/>
    </row>
    <row r="423" spans="2:5" ht="13">
      <c r="B423" s="123"/>
      <c r="C423" s="123"/>
      <c r="E423" s="123"/>
    </row>
    <row r="424" spans="2:5" ht="13">
      <c r="B424" s="123"/>
      <c r="C424" s="123"/>
      <c r="E424" s="123"/>
    </row>
    <row r="425" spans="2:5" ht="13">
      <c r="B425" s="123"/>
      <c r="C425" s="123"/>
      <c r="E425" s="123"/>
    </row>
    <row r="426" spans="2:5" ht="13">
      <c r="B426" s="123"/>
      <c r="C426" s="123"/>
      <c r="E426" s="123"/>
    </row>
    <row r="427" spans="2:5" ht="13">
      <c r="B427" s="123"/>
      <c r="C427" s="123"/>
      <c r="E427" s="123"/>
    </row>
    <row r="428" spans="2:5" ht="13">
      <c r="B428" s="123"/>
      <c r="C428" s="123"/>
      <c r="E428" s="123"/>
    </row>
    <row r="429" spans="2:5" ht="13">
      <c r="B429" s="123"/>
      <c r="C429" s="123"/>
      <c r="E429" s="123"/>
    </row>
    <row r="430" spans="2:5" ht="13">
      <c r="B430" s="123"/>
      <c r="C430" s="123"/>
      <c r="E430" s="123"/>
    </row>
    <row r="431" spans="2:5" ht="13">
      <c r="B431" s="123"/>
      <c r="C431" s="123"/>
      <c r="E431" s="123"/>
    </row>
    <row r="432" spans="2:5" ht="13">
      <c r="B432" s="123"/>
      <c r="C432" s="123"/>
      <c r="E432" s="123"/>
    </row>
    <row r="433" spans="2:5" ht="13">
      <c r="B433" s="123"/>
      <c r="C433" s="123"/>
      <c r="E433" s="123"/>
    </row>
    <row r="434" spans="2:5" ht="13">
      <c r="B434" s="123"/>
      <c r="C434" s="123"/>
      <c r="E434" s="123"/>
    </row>
    <row r="435" spans="2:5" ht="13">
      <c r="B435" s="123"/>
      <c r="C435" s="123"/>
      <c r="E435" s="123"/>
    </row>
    <row r="436" spans="2:5" ht="13">
      <c r="B436" s="123"/>
      <c r="C436" s="123"/>
      <c r="E436" s="123"/>
    </row>
    <row r="437" spans="2:5" ht="13">
      <c r="B437" s="123"/>
      <c r="C437" s="123"/>
      <c r="E437" s="123"/>
    </row>
    <row r="438" spans="2:5" ht="13">
      <c r="B438" s="123"/>
      <c r="C438" s="123"/>
      <c r="E438" s="123"/>
    </row>
    <row r="439" spans="2:5" ht="13">
      <c r="B439" s="123"/>
      <c r="C439" s="123"/>
      <c r="E439" s="123"/>
    </row>
    <row r="440" spans="2:5" ht="13">
      <c r="B440" s="123"/>
      <c r="C440" s="123"/>
      <c r="E440" s="123"/>
    </row>
    <row r="441" spans="2:5" ht="13">
      <c r="B441" s="123"/>
      <c r="C441" s="123"/>
      <c r="E441" s="123"/>
    </row>
    <row r="442" spans="2:5" ht="13">
      <c r="B442" s="123"/>
      <c r="C442" s="123"/>
      <c r="E442" s="123"/>
    </row>
    <row r="443" spans="2:5" ht="13">
      <c r="B443" s="123"/>
      <c r="C443" s="123"/>
      <c r="E443" s="123"/>
    </row>
    <row r="444" spans="2:5" ht="13">
      <c r="B444" s="123"/>
      <c r="C444" s="123"/>
      <c r="E444" s="123"/>
    </row>
    <row r="445" spans="2:5" ht="13">
      <c r="B445" s="123"/>
      <c r="C445" s="123"/>
      <c r="E445" s="123"/>
    </row>
    <row r="446" spans="2:5" ht="13">
      <c r="B446" s="123"/>
      <c r="C446" s="123"/>
      <c r="E446" s="123"/>
    </row>
    <row r="447" spans="2:5" ht="13">
      <c r="B447" s="123"/>
      <c r="C447" s="123"/>
      <c r="E447" s="123"/>
    </row>
    <row r="448" spans="2:5" ht="13">
      <c r="B448" s="123"/>
      <c r="C448" s="123"/>
      <c r="E448" s="123"/>
    </row>
    <row r="449" spans="2:5" ht="13">
      <c r="B449" s="123"/>
      <c r="C449" s="123"/>
      <c r="E449" s="123"/>
    </row>
    <row r="450" spans="2:5" ht="13">
      <c r="B450" s="123"/>
      <c r="C450" s="123"/>
      <c r="E450" s="123"/>
    </row>
    <row r="451" spans="2:5" ht="13">
      <c r="B451" s="123"/>
      <c r="C451" s="123"/>
      <c r="E451" s="123"/>
    </row>
    <row r="452" spans="2:5" ht="13">
      <c r="B452" s="123"/>
      <c r="C452" s="123"/>
      <c r="E452" s="123"/>
    </row>
    <row r="453" spans="2:5" ht="13">
      <c r="B453" s="123"/>
      <c r="C453" s="123"/>
      <c r="E453" s="123"/>
    </row>
    <row r="454" spans="2:5" ht="13">
      <c r="B454" s="123"/>
      <c r="C454" s="123"/>
      <c r="E454" s="123"/>
    </row>
    <row r="455" spans="2:5" ht="13">
      <c r="B455" s="123"/>
      <c r="C455" s="123"/>
      <c r="E455" s="123"/>
    </row>
    <row r="456" spans="2:5" ht="13">
      <c r="B456" s="123"/>
      <c r="C456" s="123"/>
      <c r="E456" s="123"/>
    </row>
    <row r="457" spans="2:5" ht="13">
      <c r="B457" s="123"/>
      <c r="C457" s="123"/>
      <c r="E457" s="123"/>
    </row>
    <row r="458" spans="2:5" ht="13">
      <c r="B458" s="123"/>
      <c r="C458" s="123"/>
      <c r="E458" s="123"/>
    </row>
    <row r="459" spans="2:5" ht="13">
      <c r="B459" s="123"/>
      <c r="C459" s="123"/>
      <c r="E459" s="123"/>
    </row>
    <row r="460" spans="2:5" ht="13">
      <c r="B460" s="123"/>
      <c r="C460" s="123"/>
      <c r="E460" s="123"/>
    </row>
    <row r="461" spans="2:5" ht="13">
      <c r="B461" s="123"/>
      <c r="C461" s="123"/>
      <c r="E461" s="123"/>
    </row>
    <row r="462" spans="2:5" ht="13">
      <c r="B462" s="123"/>
      <c r="C462" s="123"/>
      <c r="E462" s="123"/>
    </row>
    <row r="463" spans="2:5" ht="13">
      <c r="B463" s="123"/>
      <c r="C463" s="123"/>
      <c r="E463" s="123"/>
    </row>
    <row r="464" spans="2:5" ht="13">
      <c r="B464" s="123"/>
      <c r="C464" s="123"/>
      <c r="E464" s="123"/>
    </row>
    <row r="465" spans="2:5" ht="13">
      <c r="B465" s="123"/>
      <c r="C465" s="123"/>
      <c r="E465" s="123"/>
    </row>
    <row r="466" spans="2:5" ht="13">
      <c r="B466" s="123"/>
      <c r="C466" s="123"/>
      <c r="E466" s="123"/>
    </row>
    <row r="467" spans="2:5" ht="13">
      <c r="B467" s="123"/>
      <c r="C467" s="123"/>
      <c r="E467" s="123"/>
    </row>
    <row r="468" spans="2:5" ht="13">
      <c r="B468" s="123"/>
      <c r="C468" s="123"/>
      <c r="E468" s="123"/>
    </row>
    <row r="469" spans="2:5" ht="13">
      <c r="B469" s="123"/>
      <c r="C469" s="123"/>
      <c r="E469" s="123"/>
    </row>
    <row r="470" spans="2:5" ht="13">
      <c r="B470" s="123"/>
      <c r="C470" s="123"/>
      <c r="E470" s="123"/>
    </row>
    <row r="471" spans="2:5" ht="13">
      <c r="B471" s="123"/>
      <c r="C471" s="123"/>
      <c r="E471" s="123"/>
    </row>
    <row r="472" spans="2:5" ht="13">
      <c r="B472" s="123"/>
      <c r="C472" s="123"/>
      <c r="E472" s="123"/>
    </row>
    <row r="473" spans="2:5" ht="13">
      <c r="B473" s="123"/>
      <c r="C473" s="123"/>
      <c r="E473" s="123"/>
    </row>
    <row r="474" spans="2:5" ht="13">
      <c r="B474" s="123"/>
      <c r="C474" s="123"/>
      <c r="E474" s="123"/>
    </row>
    <row r="475" spans="2:5" ht="13">
      <c r="B475" s="123"/>
      <c r="C475" s="123"/>
      <c r="E475" s="123"/>
    </row>
    <row r="476" spans="2:5" ht="13">
      <c r="B476" s="123"/>
      <c r="C476" s="123"/>
      <c r="E476" s="123"/>
    </row>
    <row r="477" spans="2:5" ht="13">
      <c r="B477" s="123"/>
      <c r="C477" s="123"/>
      <c r="E477" s="123"/>
    </row>
    <row r="478" spans="2:5" ht="13">
      <c r="B478" s="123"/>
      <c r="C478" s="123"/>
      <c r="E478" s="123"/>
    </row>
    <row r="479" spans="2:5" ht="13">
      <c r="B479" s="123"/>
      <c r="C479" s="123"/>
      <c r="E479" s="123"/>
    </row>
    <row r="480" spans="2:5" ht="13">
      <c r="B480" s="123"/>
      <c r="C480" s="123"/>
      <c r="E480" s="123"/>
    </row>
    <row r="481" spans="2:5" ht="13">
      <c r="B481" s="123"/>
      <c r="C481" s="123"/>
      <c r="E481" s="123"/>
    </row>
    <row r="482" spans="2:5" ht="13">
      <c r="B482" s="123"/>
      <c r="C482" s="123"/>
      <c r="E482" s="123"/>
    </row>
    <row r="483" spans="2:5" ht="13">
      <c r="B483" s="123"/>
      <c r="C483" s="123"/>
      <c r="E483" s="123"/>
    </row>
    <row r="484" spans="2:5" ht="13">
      <c r="B484" s="123"/>
      <c r="C484" s="123"/>
      <c r="E484" s="123"/>
    </row>
    <row r="485" spans="2:5" ht="13">
      <c r="B485" s="123"/>
      <c r="C485" s="123"/>
      <c r="E485" s="123"/>
    </row>
    <row r="486" spans="2:5" ht="13">
      <c r="B486" s="123"/>
      <c r="C486" s="123"/>
      <c r="E486" s="123"/>
    </row>
    <row r="487" spans="2:5" ht="13">
      <c r="B487" s="123"/>
      <c r="C487" s="123"/>
      <c r="E487" s="123"/>
    </row>
    <row r="488" spans="2:5" ht="13">
      <c r="B488" s="123"/>
      <c r="C488" s="123"/>
      <c r="E488" s="123"/>
    </row>
    <row r="489" spans="2:5" ht="13">
      <c r="B489" s="123"/>
      <c r="C489" s="123"/>
      <c r="E489" s="123"/>
    </row>
    <row r="490" spans="2:5" ht="13">
      <c r="B490" s="123"/>
      <c r="C490" s="123"/>
      <c r="E490" s="123"/>
    </row>
    <row r="491" spans="2:5" ht="13">
      <c r="B491" s="123"/>
      <c r="C491" s="123"/>
      <c r="E491" s="123"/>
    </row>
    <row r="492" spans="2:5" ht="13">
      <c r="B492" s="123"/>
      <c r="C492" s="123"/>
      <c r="E492" s="123"/>
    </row>
    <row r="493" spans="2:5" ht="13">
      <c r="B493" s="123"/>
      <c r="C493" s="123"/>
      <c r="E493" s="123"/>
    </row>
    <row r="494" spans="2:5" ht="13">
      <c r="B494" s="123"/>
      <c r="C494" s="123"/>
      <c r="E494" s="123"/>
    </row>
    <row r="495" spans="2:5" ht="13">
      <c r="B495" s="123"/>
      <c r="C495" s="123"/>
      <c r="E495" s="123"/>
    </row>
    <row r="496" spans="2:5" ht="13">
      <c r="B496" s="123"/>
      <c r="C496" s="123"/>
      <c r="E496" s="123"/>
    </row>
    <row r="497" spans="2:5" ht="13">
      <c r="B497" s="123"/>
      <c r="C497" s="123"/>
      <c r="E497" s="123"/>
    </row>
    <row r="498" spans="2:5" ht="13">
      <c r="B498" s="123"/>
      <c r="C498" s="123"/>
      <c r="E498" s="123"/>
    </row>
    <row r="499" spans="2:5" ht="13">
      <c r="B499" s="123"/>
      <c r="C499" s="123"/>
      <c r="E499" s="123"/>
    </row>
    <row r="500" spans="2:5" ht="13">
      <c r="B500" s="123"/>
      <c r="C500" s="123"/>
      <c r="E500" s="123"/>
    </row>
    <row r="501" spans="2:5" ht="13">
      <c r="B501" s="123"/>
      <c r="C501" s="123"/>
      <c r="E501" s="123"/>
    </row>
    <row r="502" spans="2:5" ht="13">
      <c r="B502" s="123"/>
      <c r="C502" s="123"/>
      <c r="E502" s="123"/>
    </row>
    <row r="503" spans="2:5" ht="13">
      <c r="B503" s="123"/>
      <c r="C503" s="123"/>
      <c r="E503" s="123"/>
    </row>
    <row r="504" spans="2:5" ht="13">
      <c r="B504" s="123"/>
      <c r="C504" s="123"/>
      <c r="E504" s="123"/>
    </row>
    <row r="505" spans="2:5" ht="13">
      <c r="B505" s="123"/>
      <c r="C505" s="123"/>
      <c r="E505" s="123"/>
    </row>
    <row r="506" spans="2:5" ht="13">
      <c r="B506" s="123"/>
      <c r="C506" s="123"/>
      <c r="E506" s="123"/>
    </row>
    <row r="507" spans="2:5" ht="13">
      <c r="B507" s="123"/>
      <c r="C507" s="123"/>
      <c r="E507" s="123"/>
    </row>
    <row r="508" spans="2:5" ht="13">
      <c r="B508" s="123"/>
      <c r="C508" s="123"/>
      <c r="E508" s="123"/>
    </row>
    <row r="509" spans="2:5" ht="13">
      <c r="B509" s="123"/>
      <c r="C509" s="123"/>
      <c r="E509" s="123"/>
    </row>
    <row r="510" spans="2:5" ht="13">
      <c r="B510" s="123"/>
      <c r="C510" s="123"/>
      <c r="E510" s="123"/>
    </row>
    <row r="511" spans="2:5" ht="13">
      <c r="B511" s="123"/>
      <c r="C511" s="123"/>
      <c r="E511" s="123"/>
    </row>
    <row r="512" spans="2:5" ht="13">
      <c r="B512" s="123"/>
      <c r="C512" s="123"/>
      <c r="E512" s="123"/>
    </row>
    <row r="513" spans="2:5" ht="13">
      <c r="B513" s="123"/>
      <c r="C513" s="123"/>
      <c r="E513" s="123"/>
    </row>
    <row r="514" spans="2:5" ht="13">
      <c r="B514" s="123"/>
      <c r="C514" s="123"/>
      <c r="E514" s="123"/>
    </row>
    <row r="515" spans="2:5" ht="13">
      <c r="B515" s="123"/>
      <c r="C515" s="123"/>
      <c r="E515" s="123"/>
    </row>
    <row r="516" spans="2:5" ht="13">
      <c r="B516" s="123"/>
      <c r="C516" s="123"/>
      <c r="E516" s="123"/>
    </row>
    <row r="517" spans="2:5" ht="13">
      <c r="B517" s="123"/>
      <c r="C517" s="123"/>
      <c r="E517" s="123"/>
    </row>
    <row r="518" spans="2:5" ht="13">
      <c r="B518" s="123"/>
      <c r="C518" s="123"/>
      <c r="E518" s="123"/>
    </row>
    <row r="519" spans="2:5" ht="13">
      <c r="B519" s="123"/>
      <c r="C519" s="123"/>
      <c r="E519" s="123"/>
    </row>
    <row r="520" spans="2:5" ht="13">
      <c r="B520" s="123"/>
      <c r="C520" s="123"/>
      <c r="E520" s="123"/>
    </row>
    <row r="521" spans="2:5" ht="13">
      <c r="B521" s="123"/>
      <c r="C521" s="123"/>
      <c r="E521" s="123"/>
    </row>
    <row r="522" spans="2:5" ht="13">
      <c r="B522" s="123"/>
      <c r="C522" s="123"/>
      <c r="E522" s="123"/>
    </row>
    <row r="523" spans="2:5" ht="13">
      <c r="B523" s="123"/>
      <c r="C523" s="123"/>
      <c r="E523" s="123"/>
    </row>
    <row r="524" spans="2:5" ht="13">
      <c r="B524" s="123"/>
      <c r="C524" s="123"/>
      <c r="E524" s="123"/>
    </row>
    <row r="525" spans="2:5" ht="13">
      <c r="B525" s="123"/>
      <c r="C525" s="123"/>
      <c r="E525" s="123"/>
    </row>
    <row r="526" spans="2:5" ht="13">
      <c r="B526" s="123"/>
      <c r="C526" s="123"/>
      <c r="E526" s="123"/>
    </row>
    <row r="527" spans="2:5" ht="13">
      <c r="B527" s="123"/>
      <c r="C527" s="123"/>
      <c r="E527" s="123"/>
    </row>
    <row r="528" spans="2:5" ht="13">
      <c r="B528" s="123"/>
      <c r="C528" s="123"/>
      <c r="E528" s="123"/>
    </row>
    <row r="529" spans="2:5" ht="13">
      <c r="B529" s="123"/>
      <c r="C529" s="123"/>
      <c r="E529" s="123"/>
    </row>
    <row r="530" spans="2:5" ht="13">
      <c r="B530" s="123"/>
      <c r="C530" s="123"/>
      <c r="E530" s="123"/>
    </row>
    <row r="531" spans="2:5" ht="13">
      <c r="B531" s="123"/>
      <c r="C531" s="123"/>
      <c r="E531" s="123"/>
    </row>
    <row r="532" spans="2:5" ht="13">
      <c r="B532" s="123"/>
      <c r="C532" s="123"/>
      <c r="E532" s="123"/>
    </row>
    <row r="533" spans="2:5" ht="13">
      <c r="B533" s="123"/>
      <c r="C533" s="123"/>
      <c r="E533" s="123"/>
    </row>
    <row r="534" spans="2:5" ht="13">
      <c r="B534" s="123"/>
      <c r="C534" s="123"/>
      <c r="E534" s="123"/>
    </row>
    <row r="535" spans="2:5" ht="13">
      <c r="B535" s="123"/>
      <c r="C535" s="123"/>
      <c r="E535" s="123"/>
    </row>
    <row r="536" spans="2:5" ht="13">
      <c r="B536" s="123"/>
      <c r="C536" s="123"/>
      <c r="E536" s="123"/>
    </row>
    <row r="537" spans="2:5" ht="13">
      <c r="B537" s="123"/>
      <c r="C537" s="123"/>
      <c r="E537" s="123"/>
    </row>
    <row r="538" spans="2:5" ht="13">
      <c r="B538" s="123"/>
      <c r="C538" s="123"/>
      <c r="E538" s="123"/>
    </row>
    <row r="539" spans="2:5" ht="13">
      <c r="B539" s="123"/>
      <c r="C539" s="123"/>
      <c r="E539" s="123"/>
    </row>
    <row r="540" spans="2:5" ht="13">
      <c r="B540" s="123"/>
      <c r="C540" s="123"/>
      <c r="E540" s="123"/>
    </row>
    <row r="541" spans="2:5" ht="13">
      <c r="B541" s="123"/>
      <c r="C541" s="123"/>
      <c r="E541" s="123"/>
    </row>
    <row r="542" spans="2:5" ht="13">
      <c r="B542" s="123"/>
      <c r="C542" s="123"/>
      <c r="E542" s="123"/>
    </row>
    <row r="543" spans="2:5" ht="13">
      <c r="B543" s="123"/>
      <c r="C543" s="123"/>
      <c r="E543" s="123"/>
    </row>
    <row r="544" spans="2:5" ht="13">
      <c r="B544" s="123"/>
      <c r="C544" s="123"/>
      <c r="E544" s="123"/>
    </row>
    <row r="545" spans="2:5" ht="13">
      <c r="B545" s="123"/>
      <c r="C545" s="123"/>
      <c r="E545" s="123"/>
    </row>
    <row r="546" spans="2:5" ht="13">
      <c r="B546" s="123"/>
      <c r="C546" s="123"/>
      <c r="E546" s="123"/>
    </row>
    <row r="547" spans="2:5" ht="13">
      <c r="B547" s="123"/>
      <c r="C547" s="123"/>
      <c r="E547" s="123"/>
    </row>
    <row r="548" spans="2:5" ht="13">
      <c r="B548" s="123"/>
      <c r="C548" s="123"/>
      <c r="E548" s="123"/>
    </row>
    <row r="549" spans="2:5" ht="13">
      <c r="B549" s="123"/>
      <c r="C549" s="123"/>
      <c r="E549" s="123"/>
    </row>
    <row r="550" spans="2:5" ht="13">
      <c r="B550" s="123"/>
      <c r="C550" s="123"/>
      <c r="E550" s="123"/>
    </row>
    <row r="551" spans="2:5" ht="13">
      <c r="B551" s="123"/>
      <c r="C551" s="123"/>
      <c r="E551" s="123"/>
    </row>
    <row r="552" spans="2:5" ht="13">
      <c r="B552" s="123"/>
      <c r="C552" s="123"/>
      <c r="E552" s="123"/>
    </row>
    <row r="553" spans="2:5" ht="13">
      <c r="B553" s="123"/>
      <c r="C553" s="123"/>
      <c r="E553" s="123"/>
    </row>
    <row r="554" spans="2:5" ht="13">
      <c r="B554" s="123"/>
      <c r="C554" s="123"/>
      <c r="E554" s="123"/>
    </row>
    <row r="555" spans="2:5" ht="13">
      <c r="B555" s="123"/>
      <c r="C555" s="123"/>
      <c r="E555" s="123"/>
    </row>
    <row r="556" spans="2:5" ht="13">
      <c r="B556" s="123"/>
      <c r="C556" s="123"/>
      <c r="E556" s="123"/>
    </row>
    <row r="557" spans="2:5" ht="13">
      <c r="B557" s="123"/>
      <c r="C557" s="123"/>
      <c r="E557" s="123"/>
    </row>
    <row r="558" spans="2:5" ht="13">
      <c r="B558" s="123"/>
      <c r="C558" s="123"/>
      <c r="E558" s="123"/>
    </row>
    <row r="559" spans="2:5" ht="13">
      <c r="B559" s="123"/>
      <c r="C559" s="123"/>
      <c r="E559" s="123"/>
    </row>
    <row r="560" spans="2:5" ht="13">
      <c r="B560" s="123"/>
      <c r="C560" s="123"/>
      <c r="E560" s="123"/>
    </row>
    <row r="561" spans="2:5" ht="13">
      <c r="B561" s="123"/>
      <c r="C561" s="123"/>
      <c r="E561" s="123"/>
    </row>
    <row r="562" spans="2:5" ht="13">
      <c r="B562" s="123"/>
      <c r="C562" s="123"/>
      <c r="E562" s="123"/>
    </row>
    <row r="563" spans="2:5" ht="13">
      <c r="B563" s="123"/>
      <c r="C563" s="123"/>
      <c r="E563" s="123"/>
    </row>
    <row r="564" spans="2:5" ht="13">
      <c r="B564" s="123"/>
      <c r="C564" s="123"/>
      <c r="E564" s="123"/>
    </row>
    <row r="565" spans="2:5" ht="13">
      <c r="B565" s="123"/>
      <c r="C565" s="123"/>
      <c r="E565" s="123"/>
    </row>
    <row r="566" spans="2:5" ht="13">
      <c r="B566" s="123"/>
      <c r="C566" s="123"/>
      <c r="E566" s="123"/>
    </row>
    <row r="567" spans="2:5" ht="13">
      <c r="B567" s="123"/>
      <c r="C567" s="123"/>
      <c r="E567" s="123"/>
    </row>
    <row r="568" spans="2:5" ht="13">
      <c r="B568" s="123"/>
      <c r="C568" s="123"/>
      <c r="E568" s="123"/>
    </row>
    <row r="569" spans="2:5" ht="13">
      <c r="B569" s="123"/>
      <c r="C569" s="123"/>
      <c r="E569" s="123"/>
    </row>
    <row r="570" spans="2:5" ht="13">
      <c r="B570" s="123"/>
      <c r="C570" s="123"/>
      <c r="E570" s="123"/>
    </row>
    <row r="571" spans="2:5" ht="13">
      <c r="B571" s="123"/>
      <c r="C571" s="123"/>
      <c r="E571" s="123"/>
    </row>
    <row r="572" spans="2:5" ht="13">
      <c r="B572" s="123"/>
      <c r="C572" s="123"/>
      <c r="E572" s="123"/>
    </row>
    <row r="573" spans="2:5" ht="13">
      <c r="B573" s="123"/>
      <c r="C573" s="123"/>
      <c r="E573" s="123"/>
    </row>
    <row r="574" spans="2:5" ht="13">
      <c r="B574" s="123"/>
      <c r="C574" s="123"/>
      <c r="E574" s="123"/>
    </row>
    <row r="575" spans="2:5" ht="13">
      <c r="B575" s="123"/>
      <c r="C575" s="123"/>
      <c r="E575" s="123"/>
    </row>
    <row r="576" spans="2:5" ht="13">
      <c r="B576" s="123"/>
      <c r="C576" s="123"/>
      <c r="E576" s="123"/>
    </row>
    <row r="577" spans="2:5" ht="13">
      <c r="B577" s="123"/>
      <c r="C577" s="123"/>
      <c r="E577" s="123"/>
    </row>
    <row r="578" spans="2:5" ht="13">
      <c r="B578" s="123"/>
      <c r="C578" s="123"/>
      <c r="E578" s="123"/>
    </row>
    <row r="579" spans="2:5" ht="13">
      <c r="B579" s="123"/>
      <c r="C579" s="123"/>
      <c r="E579" s="123"/>
    </row>
    <row r="580" spans="2:5" ht="13">
      <c r="B580" s="123"/>
      <c r="C580" s="123"/>
      <c r="E580" s="123"/>
    </row>
    <row r="581" spans="2:5" ht="13">
      <c r="B581" s="123"/>
      <c r="C581" s="123"/>
      <c r="E581" s="123"/>
    </row>
    <row r="582" spans="2:5" ht="13">
      <c r="B582" s="123"/>
      <c r="C582" s="123"/>
      <c r="E582" s="123"/>
    </row>
    <row r="583" spans="2:5" ht="13">
      <c r="B583" s="123"/>
      <c r="C583" s="123"/>
      <c r="E583" s="123"/>
    </row>
    <row r="584" spans="2:5" ht="13">
      <c r="B584" s="123"/>
      <c r="C584" s="123"/>
      <c r="E584" s="123"/>
    </row>
    <row r="585" spans="2:5" ht="13">
      <c r="B585" s="123"/>
      <c r="C585" s="123"/>
      <c r="E585" s="123"/>
    </row>
    <row r="586" spans="2:5" ht="13">
      <c r="B586" s="123"/>
      <c r="C586" s="123"/>
      <c r="E586" s="123"/>
    </row>
    <row r="587" spans="2:5" ht="13">
      <c r="B587" s="123"/>
      <c r="C587" s="123"/>
      <c r="E587" s="123"/>
    </row>
    <row r="588" spans="2:5" ht="13">
      <c r="B588" s="123"/>
      <c r="C588" s="123"/>
      <c r="E588" s="123"/>
    </row>
    <row r="589" spans="2:5" ht="13">
      <c r="B589" s="123"/>
      <c r="C589" s="123"/>
      <c r="E589" s="123"/>
    </row>
    <row r="590" spans="2:5" ht="13">
      <c r="B590" s="123"/>
      <c r="C590" s="123"/>
      <c r="E590" s="123"/>
    </row>
    <row r="591" spans="2:5" ht="13">
      <c r="B591" s="123"/>
      <c r="C591" s="123"/>
      <c r="E591" s="123"/>
    </row>
    <row r="592" spans="2:5" ht="13">
      <c r="B592" s="123"/>
      <c r="C592" s="123"/>
      <c r="E592" s="123"/>
    </row>
    <row r="593" spans="2:5" ht="13">
      <c r="B593" s="123"/>
      <c r="C593" s="123"/>
      <c r="E593" s="123"/>
    </row>
    <row r="594" spans="2:5" ht="13">
      <c r="B594" s="123"/>
      <c r="C594" s="123"/>
      <c r="E594" s="123"/>
    </row>
    <row r="595" spans="2:5" ht="13">
      <c r="B595" s="123"/>
      <c r="C595" s="123"/>
      <c r="E595" s="123"/>
    </row>
    <row r="596" spans="2:5" ht="13">
      <c r="B596" s="123"/>
      <c r="C596" s="123"/>
      <c r="E596" s="123"/>
    </row>
    <row r="597" spans="2:5" ht="13">
      <c r="B597" s="123"/>
      <c r="C597" s="123"/>
      <c r="E597" s="123"/>
    </row>
    <row r="598" spans="2:5" ht="13">
      <c r="B598" s="123"/>
      <c r="C598" s="123"/>
      <c r="E598" s="123"/>
    </row>
    <row r="599" spans="2:5" ht="13">
      <c r="B599" s="123"/>
      <c r="C599" s="123"/>
      <c r="E599" s="123"/>
    </row>
    <row r="600" spans="2:5" ht="13">
      <c r="B600" s="123"/>
      <c r="C600" s="123"/>
      <c r="E600" s="123"/>
    </row>
    <row r="601" spans="2:5" ht="13">
      <c r="B601" s="123"/>
      <c r="C601" s="123"/>
      <c r="E601" s="123"/>
    </row>
    <row r="602" spans="2:5" ht="13">
      <c r="B602" s="123"/>
      <c r="C602" s="123"/>
      <c r="E602" s="123"/>
    </row>
    <row r="603" spans="2:5" ht="13">
      <c r="B603" s="123"/>
      <c r="C603" s="123"/>
      <c r="E603" s="123"/>
    </row>
    <row r="604" spans="2:5" ht="13">
      <c r="B604" s="123"/>
      <c r="C604" s="123"/>
      <c r="E604" s="123"/>
    </row>
    <row r="605" spans="2:5" ht="13">
      <c r="B605" s="123"/>
      <c r="C605" s="123"/>
      <c r="E605" s="123"/>
    </row>
    <row r="606" spans="2:5" ht="13">
      <c r="B606" s="123"/>
      <c r="C606" s="123"/>
      <c r="E606" s="123"/>
    </row>
    <row r="607" spans="2:5" ht="13">
      <c r="B607" s="123"/>
      <c r="C607" s="123"/>
      <c r="E607" s="123"/>
    </row>
    <row r="608" spans="2:5" ht="13">
      <c r="B608" s="123"/>
      <c r="C608" s="123"/>
      <c r="E608" s="123"/>
    </row>
    <row r="609" spans="2:5" ht="13">
      <c r="B609" s="123"/>
      <c r="C609" s="123"/>
      <c r="E609" s="123"/>
    </row>
    <row r="610" spans="2:5" ht="13">
      <c r="B610" s="123"/>
      <c r="C610" s="123"/>
      <c r="E610" s="123"/>
    </row>
    <row r="611" spans="2:5" ht="13">
      <c r="B611" s="123"/>
      <c r="C611" s="123"/>
      <c r="E611" s="123"/>
    </row>
    <row r="612" spans="2:5" ht="13">
      <c r="B612" s="123"/>
      <c r="C612" s="123"/>
      <c r="E612" s="123"/>
    </row>
    <row r="613" spans="2:5" ht="13">
      <c r="B613" s="123"/>
      <c r="C613" s="123"/>
      <c r="E613" s="123"/>
    </row>
    <row r="614" spans="2:5" ht="13">
      <c r="B614" s="123"/>
      <c r="C614" s="123"/>
      <c r="E614" s="123"/>
    </row>
    <row r="615" spans="2:5" ht="13">
      <c r="B615" s="123"/>
      <c r="C615" s="123"/>
      <c r="E615" s="123"/>
    </row>
    <row r="616" spans="2:5" ht="13">
      <c r="B616" s="123"/>
      <c r="C616" s="123"/>
      <c r="E616" s="123"/>
    </row>
    <row r="617" spans="2:5" ht="13">
      <c r="B617" s="123"/>
      <c r="C617" s="123"/>
      <c r="E617" s="123"/>
    </row>
    <row r="618" spans="2:5" ht="13">
      <c r="B618" s="123"/>
      <c r="C618" s="123"/>
      <c r="E618" s="123"/>
    </row>
    <row r="619" spans="2:5" ht="13">
      <c r="B619" s="123"/>
      <c r="C619" s="123"/>
      <c r="E619" s="123"/>
    </row>
    <row r="620" spans="2:5" ht="13">
      <c r="B620" s="123"/>
      <c r="C620" s="123"/>
      <c r="E620" s="123"/>
    </row>
    <row r="621" spans="2:5" ht="13">
      <c r="B621" s="123"/>
      <c r="C621" s="123"/>
      <c r="E621" s="123"/>
    </row>
    <row r="622" spans="2:5" ht="13">
      <c r="B622" s="123"/>
      <c r="C622" s="123"/>
      <c r="E622" s="123"/>
    </row>
    <row r="623" spans="2:5" ht="13">
      <c r="B623" s="123"/>
      <c r="C623" s="123"/>
      <c r="E623" s="123"/>
    </row>
    <row r="624" spans="2:5" ht="13">
      <c r="B624" s="123"/>
      <c r="C624" s="123"/>
      <c r="E624" s="123"/>
    </row>
    <row r="625" spans="2:5" ht="13">
      <c r="B625" s="123"/>
      <c r="C625" s="123"/>
      <c r="E625" s="123"/>
    </row>
    <row r="626" spans="2:5" ht="13">
      <c r="B626" s="123"/>
      <c r="C626" s="123"/>
      <c r="E626" s="123"/>
    </row>
    <row r="627" spans="2:5" ht="13">
      <c r="B627" s="123"/>
      <c r="C627" s="123"/>
      <c r="E627" s="123"/>
    </row>
    <row r="628" spans="2:5" ht="13">
      <c r="B628" s="123"/>
      <c r="C628" s="123"/>
      <c r="E628" s="123"/>
    </row>
    <row r="629" spans="2:5" ht="13">
      <c r="B629" s="123"/>
      <c r="C629" s="123"/>
      <c r="E629" s="123"/>
    </row>
    <row r="630" spans="2:5" ht="13">
      <c r="B630" s="123"/>
      <c r="C630" s="123"/>
      <c r="E630" s="123"/>
    </row>
    <row r="631" spans="2:5" ht="13">
      <c r="B631" s="123"/>
      <c r="C631" s="123"/>
      <c r="E631" s="123"/>
    </row>
    <row r="632" spans="2:5" ht="13">
      <c r="B632" s="123"/>
      <c r="C632" s="123"/>
      <c r="E632" s="123"/>
    </row>
    <row r="633" spans="2:5" ht="13">
      <c r="B633" s="123"/>
      <c r="C633" s="123"/>
      <c r="E633" s="123"/>
    </row>
    <row r="634" spans="2:5" ht="13">
      <c r="B634" s="123"/>
      <c r="C634" s="123"/>
      <c r="E634" s="123"/>
    </row>
    <row r="635" spans="2:5" ht="13">
      <c r="B635" s="123"/>
      <c r="C635" s="123"/>
      <c r="E635" s="123"/>
    </row>
    <row r="636" spans="2:5" ht="13">
      <c r="B636" s="123"/>
      <c r="C636" s="123"/>
      <c r="E636" s="123"/>
    </row>
    <row r="637" spans="2:5" ht="13">
      <c r="B637" s="123"/>
      <c r="C637" s="123"/>
      <c r="E637" s="123"/>
    </row>
    <row r="638" spans="2:5" ht="13">
      <c r="B638" s="123"/>
      <c r="C638" s="123"/>
      <c r="E638" s="123"/>
    </row>
    <row r="639" spans="2:5" ht="13">
      <c r="B639" s="123"/>
      <c r="C639" s="123"/>
      <c r="E639" s="123"/>
    </row>
    <row r="640" spans="2:5" ht="13">
      <c r="B640" s="123"/>
      <c r="C640" s="123"/>
      <c r="E640" s="123"/>
    </row>
    <row r="641" spans="2:5" ht="13">
      <c r="B641" s="123"/>
      <c r="C641" s="123"/>
      <c r="E641" s="123"/>
    </row>
    <row r="642" spans="2:5" ht="13">
      <c r="B642" s="123"/>
      <c r="C642" s="123"/>
      <c r="E642" s="123"/>
    </row>
    <row r="643" spans="2:5" ht="13">
      <c r="B643" s="123"/>
      <c r="C643" s="123"/>
      <c r="E643" s="123"/>
    </row>
    <row r="644" spans="2:5" ht="13">
      <c r="B644" s="123"/>
      <c r="C644" s="123"/>
      <c r="E644" s="123"/>
    </row>
    <row r="645" spans="2:5" ht="13">
      <c r="B645" s="123"/>
      <c r="C645" s="123"/>
      <c r="E645" s="123"/>
    </row>
    <row r="646" spans="2:5" ht="13">
      <c r="B646" s="123"/>
      <c r="C646" s="123"/>
      <c r="E646" s="123"/>
    </row>
    <row r="647" spans="2:5" ht="13">
      <c r="B647" s="123"/>
      <c r="C647" s="123"/>
      <c r="E647" s="123"/>
    </row>
    <row r="648" spans="2:5" ht="13">
      <c r="B648" s="123"/>
      <c r="C648" s="123"/>
      <c r="E648" s="123"/>
    </row>
    <row r="649" spans="2:5" ht="13">
      <c r="B649" s="123"/>
      <c r="C649" s="123"/>
      <c r="E649" s="123"/>
    </row>
    <row r="650" spans="2:5" ht="13">
      <c r="B650" s="123"/>
      <c r="C650" s="123"/>
      <c r="E650" s="123"/>
    </row>
    <row r="651" spans="2:5" ht="13">
      <c r="B651" s="123"/>
      <c r="C651" s="123"/>
      <c r="E651" s="123"/>
    </row>
    <row r="652" spans="2:5" ht="13">
      <c r="B652" s="123"/>
      <c r="C652" s="123"/>
      <c r="E652" s="123"/>
    </row>
    <row r="653" spans="2:5" ht="13">
      <c r="B653" s="123"/>
      <c r="C653" s="123"/>
      <c r="E653" s="123"/>
    </row>
    <row r="654" spans="2:5" ht="13">
      <c r="B654" s="123"/>
      <c r="C654" s="123"/>
      <c r="E654" s="123"/>
    </row>
    <row r="655" spans="2:5" ht="13">
      <c r="B655" s="123"/>
      <c r="C655" s="123"/>
      <c r="E655" s="123"/>
    </row>
    <row r="656" spans="2:5" ht="13">
      <c r="B656" s="123"/>
      <c r="C656" s="123"/>
      <c r="E656" s="123"/>
    </row>
    <row r="657" spans="2:5" ht="13">
      <c r="B657" s="123"/>
      <c r="C657" s="123"/>
      <c r="E657" s="123"/>
    </row>
    <row r="658" spans="2:5" ht="13">
      <c r="B658" s="123"/>
      <c r="C658" s="123"/>
      <c r="E658" s="123"/>
    </row>
    <row r="659" spans="2:5" ht="13">
      <c r="B659" s="123"/>
      <c r="C659" s="123"/>
      <c r="E659" s="123"/>
    </row>
    <row r="660" spans="2:5" ht="13">
      <c r="B660" s="123"/>
      <c r="C660" s="123"/>
      <c r="E660" s="123"/>
    </row>
    <row r="661" spans="2:5" ht="13">
      <c r="B661" s="123"/>
      <c r="C661" s="123"/>
      <c r="E661" s="123"/>
    </row>
    <row r="662" spans="2:5" ht="13">
      <c r="B662" s="123"/>
      <c r="C662" s="123"/>
      <c r="E662" s="123"/>
    </row>
    <row r="663" spans="2:5" ht="13">
      <c r="B663" s="123"/>
      <c r="C663" s="123"/>
      <c r="E663" s="123"/>
    </row>
    <row r="664" spans="2:5" ht="13">
      <c r="B664" s="123"/>
      <c r="C664" s="123"/>
      <c r="E664" s="123"/>
    </row>
    <row r="665" spans="2:5" ht="13">
      <c r="B665" s="123"/>
      <c r="C665" s="123"/>
      <c r="E665" s="123"/>
    </row>
    <row r="666" spans="2:5" ht="13">
      <c r="B666" s="123"/>
      <c r="C666" s="123"/>
      <c r="E666" s="123"/>
    </row>
    <row r="667" spans="2:5" ht="13">
      <c r="B667" s="123"/>
      <c r="C667" s="123"/>
      <c r="E667" s="123"/>
    </row>
    <row r="668" spans="2:5" ht="13">
      <c r="B668" s="123"/>
      <c r="C668" s="123"/>
      <c r="E668" s="123"/>
    </row>
    <row r="669" spans="2:5" ht="13">
      <c r="B669" s="123"/>
      <c r="C669" s="123"/>
      <c r="E669" s="123"/>
    </row>
    <row r="670" spans="2:5" ht="13">
      <c r="B670" s="123"/>
      <c r="C670" s="123"/>
      <c r="E670" s="123"/>
    </row>
    <row r="671" spans="2:5" ht="13">
      <c r="B671" s="123"/>
      <c r="C671" s="123"/>
      <c r="E671" s="123"/>
    </row>
    <row r="672" spans="2:5" ht="13">
      <c r="B672" s="123"/>
      <c r="C672" s="123"/>
      <c r="E672" s="123"/>
    </row>
    <row r="673" spans="2:5" ht="13">
      <c r="B673" s="123"/>
      <c r="C673" s="123"/>
      <c r="E673" s="123"/>
    </row>
    <row r="674" spans="2:5" ht="13">
      <c r="B674" s="123"/>
      <c r="C674" s="123"/>
      <c r="E674" s="123"/>
    </row>
    <row r="675" spans="2:5" ht="13">
      <c r="B675" s="123"/>
      <c r="C675" s="123"/>
      <c r="E675" s="123"/>
    </row>
    <row r="676" spans="2:5" ht="13">
      <c r="B676" s="123"/>
      <c r="C676" s="123"/>
      <c r="E676" s="123"/>
    </row>
    <row r="677" spans="2:5" ht="13">
      <c r="B677" s="123"/>
      <c r="C677" s="123"/>
      <c r="E677" s="123"/>
    </row>
    <row r="678" spans="2:5" ht="13">
      <c r="B678" s="123"/>
      <c r="C678" s="123"/>
      <c r="E678" s="123"/>
    </row>
    <row r="679" spans="2:5" ht="13">
      <c r="B679" s="123"/>
      <c r="C679" s="123"/>
      <c r="E679" s="123"/>
    </row>
    <row r="680" spans="2:5" ht="13">
      <c r="B680" s="123"/>
      <c r="C680" s="123"/>
      <c r="E680" s="123"/>
    </row>
    <row r="681" spans="2:5" ht="13">
      <c r="B681" s="123"/>
      <c r="C681" s="123"/>
      <c r="E681" s="123"/>
    </row>
    <row r="682" spans="2:5" ht="13">
      <c r="B682" s="123"/>
      <c r="C682" s="123"/>
      <c r="E682" s="123"/>
    </row>
    <row r="683" spans="2:5" ht="13">
      <c r="B683" s="123"/>
      <c r="C683" s="123"/>
      <c r="E683" s="123"/>
    </row>
    <row r="684" spans="2:5" ht="13">
      <c r="B684" s="123"/>
      <c r="C684" s="123"/>
      <c r="E684" s="123"/>
    </row>
    <row r="685" spans="2:5" ht="13">
      <c r="B685" s="123"/>
      <c r="C685" s="123"/>
      <c r="E685" s="123"/>
    </row>
    <row r="686" spans="2:5" ht="13">
      <c r="B686" s="123"/>
      <c r="C686" s="123"/>
      <c r="E686" s="123"/>
    </row>
    <row r="687" spans="2:5" ht="13">
      <c r="B687" s="123"/>
      <c r="C687" s="123"/>
      <c r="E687" s="123"/>
    </row>
    <row r="688" spans="2:5" ht="13">
      <c r="B688" s="123"/>
      <c r="C688" s="123"/>
      <c r="E688" s="123"/>
    </row>
    <row r="689" spans="2:5" ht="13">
      <c r="B689" s="123"/>
      <c r="C689" s="123"/>
      <c r="E689" s="123"/>
    </row>
    <row r="690" spans="2:5" ht="13">
      <c r="B690" s="123"/>
      <c r="C690" s="123"/>
      <c r="E690" s="123"/>
    </row>
    <row r="691" spans="2:5" ht="13">
      <c r="B691" s="123"/>
      <c r="C691" s="123"/>
      <c r="E691" s="123"/>
    </row>
    <row r="692" spans="2:5" ht="13">
      <c r="B692" s="123"/>
      <c r="C692" s="123"/>
      <c r="E692" s="123"/>
    </row>
    <row r="693" spans="2:5" ht="13">
      <c r="B693" s="123"/>
      <c r="C693" s="123"/>
      <c r="E693" s="123"/>
    </row>
    <row r="694" spans="2:5" ht="13">
      <c r="B694" s="123"/>
      <c r="C694" s="123"/>
      <c r="E694" s="123"/>
    </row>
    <row r="695" spans="2:5" ht="13">
      <c r="B695" s="123"/>
      <c r="C695" s="123"/>
      <c r="E695" s="123"/>
    </row>
    <row r="696" spans="2:5" ht="13">
      <c r="B696" s="123"/>
      <c r="C696" s="123"/>
      <c r="E696" s="123"/>
    </row>
    <row r="697" spans="2:5" ht="13">
      <c r="B697" s="123"/>
      <c r="C697" s="123"/>
      <c r="E697" s="123"/>
    </row>
    <row r="698" spans="2:5" ht="13">
      <c r="B698" s="123"/>
      <c r="C698" s="123"/>
      <c r="E698" s="123"/>
    </row>
    <row r="699" spans="2:5" ht="13">
      <c r="B699" s="123"/>
      <c r="C699" s="123"/>
      <c r="E699" s="123"/>
    </row>
    <row r="700" spans="2:5" ht="13">
      <c r="B700" s="123"/>
      <c r="C700" s="123"/>
      <c r="E700" s="123"/>
    </row>
    <row r="701" spans="2:5" ht="13">
      <c r="B701" s="123"/>
      <c r="C701" s="123"/>
      <c r="E701" s="123"/>
    </row>
    <row r="702" spans="2:5" ht="13">
      <c r="B702" s="123"/>
      <c r="C702" s="123"/>
      <c r="E702" s="123"/>
    </row>
    <row r="703" spans="2:5" ht="13">
      <c r="B703" s="123"/>
      <c r="C703" s="123"/>
      <c r="E703" s="123"/>
    </row>
    <row r="704" spans="2:5" ht="13">
      <c r="B704" s="123"/>
      <c r="C704" s="123"/>
      <c r="E704" s="123"/>
    </row>
    <row r="705" spans="2:5" ht="13">
      <c r="B705" s="123"/>
      <c r="C705" s="123"/>
      <c r="E705" s="123"/>
    </row>
    <row r="706" spans="2:5" ht="13">
      <c r="B706" s="123"/>
      <c r="C706" s="123"/>
      <c r="E706" s="123"/>
    </row>
    <row r="707" spans="2:5" ht="13">
      <c r="B707" s="123"/>
      <c r="C707" s="123"/>
      <c r="E707" s="123"/>
    </row>
    <row r="708" spans="2:5" ht="13">
      <c r="B708" s="123"/>
      <c r="C708" s="123"/>
      <c r="E708" s="123"/>
    </row>
    <row r="709" spans="2:5" ht="13">
      <c r="B709" s="123"/>
      <c r="C709" s="123"/>
      <c r="E709" s="123"/>
    </row>
    <row r="710" spans="2:5" ht="13">
      <c r="B710" s="123"/>
      <c r="C710" s="123"/>
      <c r="E710" s="123"/>
    </row>
    <row r="711" spans="2:5" ht="13">
      <c r="B711" s="123"/>
      <c r="C711" s="123"/>
      <c r="E711" s="123"/>
    </row>
    <row r="712" spans="2:5" ht="13">
      <c r="B712" s="123"/>
      <c r="C712" s="123"/>
      <c r="E712" s="123"/>
    </row>
    <row r="713" spans="2:5" ht="13">
      <c r="B713" s="123"/>
      <c r="C713" s="123"/>
      <c r="E713" s="123"/>
    </row>
    <row r="714" spans="2:5" ht="13">
      <c r="B714" s="123"/>
      <c r="C714" s="123"/>
      <c r="E714" s="123"/>
    </row>
    <row r="715" spans="2:5" ht="13">
      <c r="B715" s="123"/>
      <c r="C715" s="123"/>
      <c r="E715" s="123"/>
    </row>
    <row r="716" spans="2:5" ht="13">
      <c r="B716" s="123"/>
      <c r="C716" s="123"/>
      <c r="E716" s="123"/>
    </row>
    <row r="717" spans="2:5" ht="13">
      <c r="B717" s="123"/>
      <c r="C717" s="123"/>
      <c r="E717" s="123"/>
    </row>
    <row r="718" spans="2:5" ht="13">
      <c r="B718" s="123"/>
      <c r="C718" s="123"/>
      <c r="E718" s="123"/>
    </row>
    <row r="719" spans="2:5" ht="13">
      <c r="B719" s="123"/>
      <c r="C719" s="123"/>
      <c r="E719" s="123"/>
    </row>
    <row r="720" spans="2:5" ht="13">
      <c r="B720" s="123"/>
      <c r="C720" s="123"/>
      <c r="E720" s="123"/>
    </row>
    <row r="721" spans="2:5" ht="13">
      <c r="B721" s="123"/>
      <c r="C721" s="123"/>
      <c r="E721" s="123"/>
    </row>
    <row r="722" spans="2:5" ht="13">
      <c r="B722" s="123"/>
      <c r="C722" s="123"/>
      <c r="E722" s="123"/>
    </row>
    <row r="723" spans="2:5" ht="13">
      <c r="B723" s="123"/>
      <c r="C723" s="123"/>
      <c r="E723" s="123"/>
    </row>
    <row r="724" spans="2:5" ht="13">
      <c r="B724" s="123"/>
      <c r="C724" s="123"/>
      <c r="E724" s="123"/>
    </row>
    <row r="725" spans="2:5" ht="13">
      <c r="B725" s="123"/>
      <c r="C725" s="123"/>
      <c r="E725" s="123"/>
    </row>
    <row r="726" spans="2:5" ht="13">
      <c r="B726" s="123"/>
      <c r="C726" s="123"/>
      <c r="E726" s="123"/>
    </row>
    <row r="727" spans="2:5" ht="13">
      <c r="B727" s="123"/>
      <c r="C727" s="123"/>
      <c r="E727" s="123"/>
    </row>
    <row r="728" spans="2:5" ht="13">
      <c r="B728" s="123"/>
      <c r="C728" s="123"/>
      <c r="E728" s="123"/>
    </row>
    <row r="729" spans="2:5" ht="13">
      <c r="B729" s="123"/>
      <c r="C729" s="123"/>
      <c r="E729" s="123"/>
    </row>
    <row r="730" spans="2:5" ht="13">
      <c r="B730" s="123"/>
      <c r="C730" s="123"/>
      <c r="E730" s="123"/>
    </row>
    <row r="731" spans="2:5" ht="13">
      <c r="B731" s="123"/>
      <c r="C731" s="123"/>
      <c r="E731" s="123"/>
    </row>
    <row r="732" spans="2:5" ht="13">
      <c r="B732" s="123"/>
      <c r="C732" s="123"/>
      <c r="E732" s="123"/>
    </row>
    <row r="733" spans="2:5" ht="13">
      <c r="B733" s="123"/>
      <c r="C733" s="123"/>
      <c r="E733" s="123"/>
    </row>
    <row r="734" spans="2:5" ht="13">
      <c r="B734" s="123"/>
      <c r="C734" s="123"/>
      <c r="E734" s="123"/>
    </row>
    <row r="735" spans="2:5" ht="13">
      <c r="B735" s="123"/>
      <c r="C735" s="123"/>
      <c r="E735" s="123"/>
    </row>
    <row r="736" spans="2:5" ht="13">
      <c r="B736" s="123"/>
      <c r="C736" s="123"/>
      <c r="E736" s="123"/>
    </row>
    <row r="737" spans="2:5" ht="13">
      <c r="B737" s="123"/>
      <c r="C737" s="123"/>
      <c r="E737" s="123"/>
    </row>
    <row r="738" spans="2:5" ht="13">
      <c r="B738" s="123"/>
      <c r="C738" s="123"/>
      <c r="E738" s="123"/>
    </row>
    <row r="739" spans="2:5" ht="13">
      <c r="B739" s="123"/>
      <c r="C739" s="123"/>
      <c r="E739" s="123"/>
    </row>
    <row r="740" spans="2:5" ht="13">
      <c r="B740" s="123"/>
      <c r="C740" s="123"/>
      <c r="E740" s="123"/>
    </row>
    <row r="741" spans="2:5" ht="13">
      <c r="B741" s="123"/>
      <c r="C741" s="123"/>
      <c r="E741" s="123"/>
    </row>
    <row r="742" spans="2:5" ht="13">
      <c r="B742" s="123"/>
      <c r="C742" s="123"/>
      <c r="E742" s="123"/>
    </row>
    <row r="743" spans="2:5" ht="13">
      <c r="B743" s="123"/>
      <c r="C743" s="123"/>
      <c r="E743" s="123"/>
    </row>
    <row r="744" spans="2:5" ht="13">
      <c r="B744" s="123"/>
      <c r="C744" s="123"/>
      <c r="E744" s="123"/>
    </row>
    <row r="745" spans="2:5" ht="13">
      <c r="B745" s="123"/>
      <c r="C745" s="123"/>
      <c r="E745" s="123"/>
    </row>
    <row r="746" spans="2:5" ht="13">
      <c r="B746" s="123"/>
      <c r="C746" s="123"/>
      <c r="E746" s="123"/>
    </row>
    <row r="747" spans="2:5" ht="13">
      <c r="B747" s="123"/>
      <c r="C747" s="123"/>
      <c r="E747" s="123"/>
    </row>
    <row r="748" spans="2:5" ht="13">
      <c r="B748" s="123"/>
      <c r="C748" s="123"/>
      <c r="E748" s="123"/>
    </row>
    <row r="749" spans="2:5" ht="13">
      <c r="B749" s="123"/>
      <c r="C749" s="123"/>
      <c r="E749" s="123"/>
    </row>
    <row r="750" spans="2:5" ht="13">
      <c r="B750" s="123"/>
      <c r="C750" s="123"/>
      <c r="E750" s="123"/>
    </row>
    <row r="751" spans="2:5" ht="13">
      <c r="B751" s="123"/>
      <c r="C751" s="123"/>
      <c r="E751" s="123"/>
    </row>
    <row r="752" spans="2:5" ht="13">
      <c r="B752" s="123"/>
      <c r="C752" s="123"/>
      <c r="E752" s="123"/>
    </row>
    <row r="753" spans="2:5" ht="13">
      <c r="B753" s="123"/>
      <c r="C753" s="123"/>
      <c r="E753" s="123"/>
    </row>
    <row r="754" spans="2:5" ht="13">
      <c r="B754" s="123"/>
      <c r="C754" s="123"/>
      <c r="E754" s="123"/>
    </row>
    <row r="755" spans="2:5" ht="13">
      <c r="B755" s="123"/>
      <c r="C755" s="123"/>
      <c r="E755" s="123"/>
    </row>
    <row r="756" spans="2:5" ht="13">
      <c r="B756" s="123"/>
      <c r="C756" s="123"/>
      <c r="E756" s="123"/>
    </row>
    <row r="757" spans="2:5" ht="13">
      <c r="B757" s="123"/>
      <c r="C757" s="123"/>
      <c r="E757" s="123"/>
    </row>
    <row r="758" spans="2:5" ht="13">
      <c r="B758" s="123"/>
      <c r="C758" s="123"/>
      <c r="E758" s="123"/>
    </row>
    <row r="759" spans="2:5" ht="13">
      <c r="B759" s="123"/>
      <c r="C759" s="123"/>
      <c r="E759" s="123"/>
    </row>
    <row r="760" spans="2:5" ht="13">
      <c r="B760" s="123"/>
      <c r="C760" s="123"/>
      <c r="E760" s="123"/>
    </row>
    <row r="761" spans="2:5" ht="13">
      <c r="B761" s="123"/>
      <c r="C761" s="123"/>
      <c r="E761" s="123"/>
    </row>
    <row r="762" spans="2:5" ht="13">
      <c r="B762" s="123"/>
      <c r="C762" s="123"/>
      <c r="E762" s="123"/>
    </row>
    <row r="763" spans="2:5" ht="13">
      <c r="B763" s="123"/>
      <c r="C763" s="123"/>
      <c r="E763" s="123"/>
    </row>
    <row r="764" spans="2:5" ht="13">
      <c r="B764" s="123"/>
      <c r="C764" s="123"/>
      <c r="E764" s="123"/>
    </row>
    <row r="765" spans="2:5" ht="13">
      <c r="B765" s="123"/>
      <c r="C765" s="123"/>
      <c r="E765" s="123"/>
    </row>
    <row r="766" spans="2:5" ht="13">
      <c r="B766" s="123"/>
      <c r="C766" s="123"/>
      <c r="E766" s="123"/>
    </row>
    <row r="767" spans="2:5" ht="13">
      <c r="B767" s="123"/>
      <c r="C767" s="123"/>
      <c r="E767" s="123"/>
    </row>
    <row r="768" spans="2:5" ht="13">
      <c r="B768" s="123"/>
      <c r="C768" s="123"/>
      <c r="E768" s="123"/>
    </row>
    <row r="769" spans="2:5" ht="13">
      <c r="B769" s="123"/>
      <c r="C769" s="123"/>
      <c r="E769" s="123"/>
    </row>
    <row r="770" spans="2:5" ht="13">
      <c r="B770" s="123"/>
      <c r="C770" s="123"/>
      <c r="E770" s="123"/>
    </row>
    <row r="771" spans="2:5" ht="13">
      <c r="B771" s="123"/>
      <c r="C771" s="123"/>
      <c r="E771" s="123"/>
    </row>
    <row r="772" spans="2:5" ht="13">
      <c r="B772" s="123"/>
      <c r="C772" s="123"/>
      <c r="E772" s="123"/>
    </row>
    <row r="773" spans="2:5" ht="13">
      <c r="B773" s="123"/>
      <c r="C773" s="123"/>
      <c r="E773" s="123"/>
    </row>
    <row r="774" spans="2:5" ht="13">
      <c r="B774" s="123"/>
      <c r="C774" s="123"/>
      <c r="E774" s="123"/>
    </row>
    <row r="775" spans="2:5" ht="13">
      <c r="B775" s="123"/>
      <c r="C775" s="123"/>
      <c r="E775" s="123"/>
    </row>
    <row r="776" spans="2:5" ht="13">
      <c r="B776" s="123"/>
      <c r="C776" s="123"/>
      <c r="E776" s="123"/>
    </row>
    <row r="777" spans="2:5" ht="13">
      <c r="B777" s="123"/>
      <c r="C777" s="123"/>
      <c r="E777" s="123"/>
    </row>
    <row r="778" spans="2:5" ht="13">
      <c r="B778" s="123"/>
      <c r="C778" s="123"/>
      <c r="E778" s="123"/>
    </row>
    <row r="779" spans="2:5" ht="13">
      <c r="B779" s="123"/>
      <c r="C779" s="123"/>
      <c r="E779" s="123"/>
    </row>
    <row r="780" spans="2:5" ht="13">
      <c r="B780" s="123"/>
      <c r="C780" s="123"/>
      <c r="E780" s="123"/>
    </row>
    <row r="781" spans="2:5" ht="13">
      <c r="B781" s="123"/>
      <c r="C781" s="123"/>
      <c r="E781" s="123"/>
    </row>
    <row r="782" spans="2:5" ht="13">
      <c r="B782" s="123"/>
      <c r="C782" s="123"/>
      <c r="E782" s="123"/>
    </row>
    <row r="783" spans="2:5" ht="13">
      <c r="B783" s="123"/>
      <c r="C783" s="123"/>
      <c r="E783" s="123"/>
    </row>
    <row r="784" spans="2:5" ht="13">
      <c r="B784" s="123"/>
      <c r="C784" s="123"/>
      <c r="E784" s="123"/>
    </row>
    <row r="785" spans="2:5" ht="13">
      <c r="B785" s="123"/>
      <c r="C785" s="123"/>
      <c r="E785" s="123"/>
    </row>
    <row r="786" spans="2:5" ht="13">
      <c r="B786" s="123"/>
      <c r="C786" s="123"/>
      <c r="E786" s="123"/>
    </row>
    <row r="787" spans="2:5" ht="13">
      <c r="B787" s="123"/>
      <c r="C787" s="123"/>
      <c r="E787" s="123"/>
    </row>
    <row r="788" spans="2:5" ht="13">
      <c r="B788" s="123"/>
      <c r="C788" s="123"/>
      <c r="E788" s="123"/>
    </row>
    <row r="789" spans="2:5" ht="13">
      <c r="B789" s="123"/>
      <c r="C789" s="123"/>
      <c r="E789" s="123"/>
    </row>
    <row r="790" spans="2:5" ht="13">
      <c r="B790" s="123"/>
      <c r="C790" s="123"/>
      <c r="E790" s="123"/>
    </row>
    <row r="791" spans="2:5" ht="13">
      <c r="B791" s="123"/>
      <c r="C791" s="123"/>
      <c r="E791" s="123"/>
    </row>
    <row r="792" spans="2:5" ht="13">
      <c r="B792" s="123"/>
      <c r="C792" s="123"/>
      <c r="E792" s="123"/>
    </row>
    <row r="793" spans="2:5" ht="13">
      <c r="B793" s="123"/>
      <c r="C793" s="123"/>
      <c r="E793" s="123"/>
    </row>
    <row r="794" spans="2:5" ht="13">
      <c r="B794" s="123"/>
      <c r="C794" s="123"/>
      <c r="E794" s="123"/>
    </row>
    <row r="795" spans="2:5" ht="13">
      <c r="B795" s="123"/>
      <c r="C795" s="123"/>
      <c r="E795" s="123"/>
    </row>
    <row r="796" spans="2:5" ht="13">
      <c r="B796" s="123"/>
      <c r="C796" s="123"/>
      <c r="E796" s="123"/>
    </row>
    <row r="797" spans="2:5" ht="13">
      <c r="B797" s="123"/>
      <c r="C797" s="123"/>
      <c r="E797" s="123"/>
    </row>
    <row r="798" spans="2:5" ht="13">
      <c r="B798" s="123"/>
      <c r="C798" s="123"/>
      <c r="E798" s="123"/>
    </row>
    <row r="799" spans="2:5" ht="13">
      <c r="B799" s="123"/>
      <c r="C799" s="123"/>
      <c r="E799" s="123"/>
    </row>
    <row r="800" spans="2:5" ht="13">
      <c r="B800" s="123"/>
      <c r="C800" s="123"/>
      <c r="E800" s="123"/>
    </row>
    <row r="801" spans="2:5" ht="13">
      <c r="B801" s="123"/>
      <c r="C801" s="123"/>
      <c r="E801" s="123"/>
    </row>
    <row r="802" spans="2:5" ht="13">
      <c r="B802" s="123"/>
      <c r="C802" s="123"/>
      <c r="E802" s="123"/>
    </row>
    <row r="803" spans="2:5" ht="13">
      <c r="B803" s="123"/>
      <c r="C803" s="123"/>
      <c r="E803" s="123"/>
    </row>
    <row r="804" spans="2:5" ht="13">
      <c r="B804" s="123"/>
      <c r="C804" s="123"/>
      <c r="E804" s="123"/>
    </row>
    <row r="805" spans="2:5" ht="13">
      <c r="B805" s="123"/>
      <c r="C805" s="123"/>
      <c r="E805" s="123"/>
    </row>
    <row r="806" spans="2:5" ht="13">
      <c r="B806" s="123"/>
      <c r="C806" s="123"/>
      <c r="E806" s="123"/>
    </row>
    <row r="807" spans="2:5" ht="13">
      <c r="B807" s="123"/>
      <c r="C807" s="123"/>
      <c r="E807" s="123"/>
    </row>
    <row r="808" spans="2:5" ht="13">
      <c r="B808" s="123"/>
      <c r="C808" s="123"/>
      <c r="E808" s="123"/>
    </row>
    <row r="809" spans="2:5" ht="13">
      <c r="B809" s="123"/>
      <c r="C809" s="123"/>
      <c r="E809" s="123"/>
    </row>
    <row r="810" spans="2:5" ht="13">
      <c r="B810" s="123"/>
      <c r="C810" s="123"/>
      <c r="E810" s="123"/>
    </row>
    <row r="811" spans="2:5" ht="13">
      <c r="B811" s="123"/>
      <c r="C811" s="123"/>
      <c r="E811" s="123"/>
    </row>
    <row r="812" spans="2:5" ht="13">
      <c r="B812" s="123"/>
      <c r="C812" s="123"/>
      <c r="E812" s="123"/>
    </row>
    <row r="813" spans="2:5" ht="13">
      <c r="B813" s="123"/>
      <c r="C813" s="123"/>
      <c r="E813" s="123"/>
    </row>
    <row r="814" spans="2:5" ht="13">
      <c r="B814" s="123"/>
      <c r="C814" s="123"/>
      <c r="E814" s="123"/>
    </row>
    <row r="815" spans="2:5" ht="13">
      <c r="B815" s="123"/>
      <c r="C815" s="123"/>
      <c r="E815" s="123"/>
    </row>
    <row r="816" spans="2:5" ht="13">
      <c r="B816" s="123"/>
      <c r="C816" s="123"/>
      <c r="E816" s="123"/>
    </row>
    <row r="817" spans="2:5" ht="13">
      <c r="B817" s="123"/>
      <c r="C817" s="123"/>
      <c r="E817" s="123"/>
    </row>
    <row r="818" spans="2:5" ht="13">
      <c r="B818" s="123"/>
      <c r="C818" s="123"/>
      <c r="E818" s="123"/>
    </row>
    <row r="819" spans="2:5" ht="13">
      <c r="B819" s="123"/>
      <c r="C819" s="123"/>
      <c r="E819" s="123"/>
    </row>
    <row r="820" spans="2:5" ht="13">
      <c r="B820" s="123"/>
      <c r="C820" s="123"/>
      <c r="E820" s="123"/>
    </row>
    <row r="821" spans="2:5" ht="13">
      <c r="B821" s="123"/>
      <c r="C821" s="123"/>
      <c r="E821" s="123"/>
    </row>
    <row r="822" spans="2:5" ht="13">
      <c r="B822" s="123"/>
      <c r="C822" s="123"/>
      <c r="E822" s="123"/>
    </row>
    <row r="823" spans="2:5" ht="13">
      <c r="B823" s="123"/>
      <c r="C823" s="123"/>
      <c r="E823" s="123"/>
    </row>
    <row r="824" spans="2:5" ht="13">
      <c r="B824" s="123"/>
      <c r="C824" s="123"/>
      <c r="E824" s="123"/>
    </row>
    <row r="825" spans="2:5" ht="13">
      <c r="B825" s="123"/>
      <c r="C825" s="123"/>
      <c r="E825" s="123"/>
    </row>
    <row r="826" spans="2:5" ht="13">
      <c r="B826" s="123"/>
      <c r="C826" s="123"/>
      <c r="E826" s="123"/>
    </row>
    <row r="827" spans="2:5" ht="13">
      <c r="B827" s="123"/>
      <c r="C827" s="123"/>
      <c r="E827" s="123"/>
    </row>
    <row r="828" spans="2:5" ht="13">
      <c r="B828" s="123"/>
      <c r="C828" s="123"/>
      <c r="E828" s="123"/>
    </row>
    <row r="829" spans="2:5" ht="13">
      <c r="B829" s="123"/>
      <c r="C829" s="123"/>
      <c r="E829" s="123"/>
    </row>
    <row r="830" spans="2:5" ht="13">
      <c r="B830" s="123"/>
      <c r="C830" s="123"/>
      <c r="E830" s="123"/>
    </row>
    <row r="831" spans="2:5" ht="13">
      <c r="B831" s="123"/>
      <c r="C831" s="123"/>
      <c r="E831" s="123"/>
    </row>
    <row r="832" spans="2:5" ht="13">
      <c r="B832" s="123"/>
      <c r="C832" s="123"/>
      <c r="E832" s="123"/>
    </row>
    <row r="833" spans="2:5" ht="13">
      <c r="B833" s="123"/>
      <c r="C833" s="123"/>
      <c r="E833" s="123"/>
    </row>
    <row r="834" spans="2:5" ht="13">
      <c r="B834" s="123"/>
      <c r="C834" s="123"/>
      <c r="E834" s="123"/>
    </row>
    <row r="835" spans="2:5" ht="13">
      <c r="B835" s="123"/>
      <c r="C835" s="123"/>
      <c r="E835" s="123"/>
    </row>
    <row r="836" spans="2:5" ht="13">
      <c r="B836" s="123"/>
      <c r="C836" s="123"/>
      <c r="E836" s="123"/>
    </row>
    <row r="837" spans="2:5" ht="13">
      <c r="B837" s="123"/>
      <c r="C837" s="123"/>
      <c r="E837" s="123"/>
    </row>
    <row r="838" spans="2:5" ht="13">
      <c r="B838" s="123"/>
      <c r="C838" s="123"/>
      <c r="E838" s="123"/>
    </row>
    <row r="839" spans="2:5" ht="13">
      <c r="B839" s="123"/>
      <c r="C839" s="123"/>
      <c r="E839" s="123"/>
    </row>
    <row r="840" spans="2:5" ht="13">
      <c r="B840" s="123"/>
      <c r="C840" s="123"/>
      <c r="E840" s="123"/>
    </row>
    <row r="841" spans="2:5" ht="13">
      <c r="B841" s="123"/>
      <c r="C841" s="123"/>
      <c r="E841" s="123"/>
    </row>
    <row r="842" spans="2:5" ht="13">
      <c r="B842" s="123"/>
      <c r="C842" s="123"/>
      <c r="E842" s="123"/>
    </row>
    <row r="843" spans="2:5" ht="13">
      <c r="B843" s="123"/>
      <c r="C843" s="123"/>
      <c r="E843" s="123"/>
    </row>
    <row r="844" spans="2:5" ht="13">
      <c r="B844" s="123"/>
      <c r="C844" s="123"/>
      <c r="E844" s="123"/>
    </row>
    <row r="845" spans="2:5" ht="13">
      <c r="B845" s="123"/>
      <c r="C845" s="123"/>
      <c r="E845" s="123"/>
    </row>
    <row r="846" spans="2:5" ht="13">
      <c r="B846" s="123"/>
      <c r="C846" s="123"/>
      <c r="E846" s="123"/>
    </row>
    <row r="847" spans="2:5" ht="13">
      <c r="B847" s="123"/>
      <c r="C847" s="123"/>
      <c r="E847" s="123"/>
    </row>
    <row r="848" spans="2:5" ht="13">
      <c r="B848" s="123"/>
      <c r="C848" s="123"/>
      <c r="E848" s="123"/>
    </row>
    <row r="849" spans="2:5" ht="13">
      <c r="B849" s="123"/>
      <c r="C849" s="123"/>
      <c r="E849" s="123"/>
    </row>
    <row r="850" spans="2:5" ht="13">
      <c r="B850" s="123"/>
      <c r="C850" s="123"/>
      <c r="E850" s="123"/>
    </row>
    <row r="851" spans="2:5" ht="13">
      <c r="B851" s="123"/>
      <c r="C851" s="123"/>
      <c r="E851" s="123"/>
    </row>
    <row r="852" spans="2:5" ht="13">
      <c r="B852" s="123"/>
      <c r="C852" s="123"/>
      <c r="E852" s="123"/>
    </row>
    <row r="853" spans="2:5" ht="13">
      <c r="B853" s="123"/>
      <c r="C853" s="123"/>
      <c r="E853" s="123"/>
    </row>
    <row r="854" spans="2:5" ht="13">
      <c r="B854" s="123"/>
      <c r="C854" s="123"/>
      <c r="E854" s="123"/>
    </row>
    <row r="855" spans="2:5" ht="13">
      <c r="B855" s="123"/>
      <c r="C855" s="123"/>
      <c r="E855" s="123"/>
    </row>
    <row r="856" spans="2:5" ht="13">
      <c r="B856" s="123"/>
      <c r="C856" s="123"/>
      <c r="E856" s="123"/>
    </row>
    <row r="857" spans="2:5" ht="13">
      <c r="B857" s="123"/>
      <c r="C857" s="123"/>
      <c r="E857" s="123"/>
    </row>
    <row r="858" spans="2:5" ht="13">
      <c r="B858" s="123"/>
      <c r="C858" s="123"/>
      <c r="E858" s="123"/>
    </row>
    <row r="859" spans="2:5" ht="13">
      <c r="B859" s="123"/>
      <c r="C859" s="123"/>
      <c r="E859" s="123"/>
    </row>
    <row r="860" spans="2:5" ht="13">
      <c r="B860" s="123"/>
      <c r="C860" s="123"/>
      <c r="E860" s="123"/>
    </row>
    <row r="861" spans="2:5" ht="13">
      <c r="B861" s="123"/>
      <c r="C861" s="123"/>
      <c r="E861" s="123"/>
    </row>
    <row r="862" spans="2:5" ht="13">
      <c r="B862" s="123"/>
      <c r="C862" s="123"/>
      <c r="E862" s="123"/>
    </row>
    <row r="863" spans="2:5" ht="13">
      <c r="B863" s="123"/>
      <c r="C863" s="123"/>
      <c r="E863" s="123"/>
    </row>
    <row r="864" spans="2:5" ht="13">
      <c r="B864" s="123"/>
      <c r="C864" s="123"/>
      <c r="E864" s="123"/>
    </row>
    <row r="865" spans="2:5" ht="13">
      <c r="B865" s="123"/>
      <c r="C865" s="123"/>
      <c r="E865" s="123"/>
    </row>
    <row r="866" spans="2:5" ht="13">
      <c r="B866" s="123"/>
      <c r="C866" s="123"/>
      <c r="E866" s="123"/>
    </row>
    <row r="867" spans="2:5" ht="13">
      <c r="B867" s="123"/>
      <c r="C867" s="123"/>
      <c r="E867" s="123"/>
    </row>
    <row r="868" spans="2:5" ht="13">
      <c r="B868" s="123"/>
      <c r="C868" s="123"/>
      <c r="E868" s="123"/>
    </row>
    <row r="869" spans="2:5" ht="13">
      <c r="B869" s="123"/>
      <c r="C869" s="123"/>
      <c r="E869" s="123"/>
    </row>
    <row r="870" spans="2:5" ht="13">
      <c r="B870" s="123"/>
      <c r="C870" s="123"/>
      <c r="E870" s="123"/>
    </row>
    <row r="871" spans="2:5" ht="13">
      <c r="B871" s="123"/>
      <c r="C871" s="123"/>
      <c r="E871" s="123"/>
    </row>
    <row r="872" spans="2:5" ht="13">
      <c r="B872" s="123"/>
      <c r="C872" s="123"/>
      <c r="E872" s="123"/>
    </row>
    <row r="873" spans="2:5" ht="13">
      <c r="B873" s="123"/>
      <c r="C873" s="123"/>
      <c r="E873" s="123"/>
    </row>
    <row r="874" spans="2:5" ht="13">
      <c r="B874" s="123"/>
      <c r="C874" s="123"/>
      <c r="E874" s="123"/>
    </row>
    <row r="875" spans="2:5" ht="13">
      <c r="B875" s="123"/>
      <c r="C875" s="123"/>
      <c r="E875" s="123"/>
    </row>
    <row r="876" spans="2:5" ht="13">
      <c r="B876" s="123"/>
      <c r="C876" s="123"/>
      <c r="E876" s="123"/>
    </row>
    <row r="877" spans="2:5" ht="13">
      <c r="B877" s="123"/>
      <c r="C877" s="123"/>
      <c r="E877" s="123"/>
    </row>
    <row r="878" spans="2:5" ht="13">
      <c r="B878" s="123"/>
      <c r="C878" s="123"/>
      <c r="E878" s="123"/>
    </row>
    <row r="879" spans="2:5" ht="13">
      <c r="B879" s="123"/>
      <c r="C879" s="123"/>
      <c r="E879" s="123"/>
    </row>
    <row r="880" spans="2:5" ht="13">
      <c r="B880" s="123"/>
      <c r="C880" s="123"/>
      <c r="E880" s="123"/>
    </row>
    <row r="881" spans="2:5" ht="13">
      <c r="B881" s="123"/>
      <c r="C881" s="123"/>
      <c r="E881" s="123"/>
    </row>
    <row r="882" spans="2:5" ht="13">
      <c r="B882" s="123"/>
      <c r="C882" s="123"/>
      <c r="E882" s="123"/>
    </row>
    <row r="883" spans="2:5" ht="13">
      <c r="B883" s="123"/>
      <c r="C883" s="123"/>
      <c r="E883" s="123"/>
    </row>
    <row r="884" spans="2:5" ht="13">
      <c r="B884" s="123"/>
      <c r="C884" s="123"/>
      <c r="E884" s="123"/>
    </row>
    <row r="885" spans="2:5" ht="13">
      <c r="B885" s="123"/>
      <c r="C885" s="123"/>
      <c r="E885" s="123"/>
    </row>
    <row r="886" spans="2:5" ht="13">
      <c r="B886" s="123"/>
      <c r="C886" s="123"/>
      <c r="E886" s="123"/>
    </row>
    <row r="887" spans="2:5" ht="13">
      <c r="B887" s="123"/>
      <c r="C887" s="123"/>
      <c r="E887" s="123"/>
    </row>
    <row r="888" spans="2:5" ht="13">
      <c r="B888" s="123"/>
      <c r="C888" s="123"/>
      <c r="E888" s="123"/>
    </row>
    <row r="889" spans="2:5" ht="13">
      <c r="B889" s="123"/>
      <c r="C889" s="123"/>
      <c r="E889" s="123"/>
    </row>
    <row r="890" spans="2:5" ht="13">
      <c r="B890" s="123"/>
      <c r="C890" s="123"/>
      <c r="E890" s="123"/>
    </row>
    <row r="891" spans="2:5" ht="13">
      <c r="B891" s="123"/>
      <c r="C891" s="123"/>
      <c r="E891" s="123"/>
    </row>
    <row r="892" spans="2:5" ht="13">
      <c r="B892" s="123"/>
      <c r="C892" s="123"/>
      <c r="E892" s="123"/>
    </row>
    <row r="893" spans="2:5" ht="13">
      <c r="B893" s="123"/>
      <c r="C893" s="123"/>
      <c r="E893" s="123"/>
    </row>
    <row r="894" spans="2:5" ht="13">
      <c r="B894" s="123"/>
      <c r="C894" s="123"/>
      <c r="E894" s="123"/>
    </row>
    <row r="895" spans="2:5" ht="13">
      <c r="B895" s="123"/>
      <c r="C895" s="123"/>
      <c r="E895" s="123"/>
    </row>
    <row r="896" spans="2:5" ht="13">
      <c r="B896" s="123"/>
      <c r="C896" s="123"/>
      <c r="E896" s="123"/>
    </row>
    <row r="897" spans="2:5" ht="13">
      <c r="B897" s="123"/>
      <c r="C897" s="123"/>
      <c r="E897" s="123"/>
    </row>
    <row r="898" spans="2:5" ht="13">
      <c r="B898" s="123"/>
      <c r="C898" s="123"/>
      <c r="E898" s="123"/>
    </row>
    <row r="899" spans="2:5" ht="13">
      <c r="B899" s="123"/>
      <c r="C899" s="123"/>
      <c r="E899" s="123"/>
    </row>
    <row r="900" spans="2:5" ht="13">
      <c r="B900" s="123"/>
      <c r="C900" s="123"/>
      <c r="E900" s="123"/>
    </row>
    <row r="901" spans="2:5" ht="13">
      <c r="B901" s="123"/>
      <c r="C901" s="123"/>
      <c r="E901" s="123"/>
    </row>
    <row r="902" spans="2:5" ht="13">
      <c r="B902" s="123"/>
      <c r="C902" s="123"/>
      <c r="E902" s="123"/>
    </row>
    <row r="903" spans="2:5" ht="13">
      <c r="B903" s="123"/>
      <c r="C903" s="123"/>
      <c r="E903" s="123"/>
    </row>
    <row r="904" spans="2:5" ht="13">
      <c r="B904" s="123"/>
      <c r="C904" s="123"/>
      <c r="E904" s="123"/>
    </row>
    <row r="905" spans="2:5" ht="13">
      <c r="B905" s="123"/>
      <c r="C905" s="123"/>
      <c r="E905" s="123"/>
    </row>
    <row r="906" spans="2:5" ht="13">
      <c r="B906" s="123"/>
      <c r="C906" s="123"/>
      <c r="E906" s="123"/>
    </row>
    <row r="907" spans="2:5" ht="13">
      <c r="B907" s="123"/>
      <c r="C907" s="123"/>
      <c r="E907" s="123"/>
    </row>
    <row r="908" spans="2:5" ht="13">
      <c r="B908" s="123"/>
      <c r="C908" s="123"/>
      <c r="E908" s="123"/>
    </row>
    <row r="909" spans="2:5" ht="13">
      <c r="B909" s="123"/>
      <c r="C909" s="123"/>
      <c r="E909" s="123"/>
    </row>
    <row r="910" spans="2:5" ht="13">
      <c r="B910" s="123"/>
      <c r="C910" s="123"/>
      <c r="E910" s="123"/>
    </row>
    <row r="911" spans="2:5" ht="13">
      <c r="B911" s="123"/>
      <c r="C911" s="123"/>
      <c r="E911" s="123"/>
    </row>
    <row r="912" spans="2:5" ht="13">
      <c r="B912" s="123"/>
      <c r="C912" s="123"/>
      <c r="E912" s="123"/>
    </row>
    <row r="913" spans="2:5" ht="13">
      <c r="B913" s="123"/>
      <c r="C913" s="123"/>
      <c r="E913" s="123"/>
    </row>
    <row r="914" spans="2:5" ht="13">
      <c r="B914" s="123"/>
      <c r="C914" s="123"/>
      <c r="E914" s="123"/>
    </row>
    <row r="915" spans="2:5" ht="13">
      <c r="B915" s="123"/>
      <c r="C915" s="123"/>
      <c r="E915" s="123"/>
    </row>
    <row r="916" spans="2:5" ht="13">
      <c r="B916" s="123"/>
      <c r="C916" s="123"/>
      <c r="E916" s="123"/>
    </row>
    <row r="917" spans="2:5" ht="13">
      <c r="B917" s="123"/>
      <c r="C917" s="123"/>
      <c r="E917" s="123"/>
    </row>
    <row r="918" spans="2:5" ht="13">
      <c r="B918" s="123"/>
      <c r="C918" s="123"/>
      <c r="E918" s="123"/>
    </row>
    <row r="919" spans="2:5" ht="13">
      <c r="B919" s="123"/>
      <c r="C919" s="123"/>
      <c r="E919" s="123"/>
    </row>
    <row r="920" spans="2:5" ht="13">
      <c r="B920" s="123"/>
      <c r="C920" s="123"/>
      <c r="E920" s="123"/>
    </row>
    <row r="921" spans="2:5" ht="13">
      <c r="B921" s="123"/>
      <c r="C921" s="123"/>
      <c r="E921" s="123"/>
    </row>
    <row r="922" spans="2:5" ht="13">
      <c r="B922" s="123"/>
      <c r="C922" s="123"/>
      <c r="E922" s="123"/>
    </row>
    <row r="923" spans="2:5" ht="13">
      <c r="B923" s="123"/>
      <c r="C923" s="123"/>
      <c r="E923" s="123"/>
    </row>
    <row r="924" spans="2:5" ht="13">
      <c r="B924" s="123"/>
      <c r="C924" s="123"/>
      <c r="E924" s="123"/>
    </row>
    <row r="925" spans="2:5" ht="13">
      <c r="B925" s="123"/>
      <c r="C925" s="123"/>
      <c r="E925" s="123"/>
    </row>
    <row r="926" spans="2:5" ht="13">
      <c r="B926" s="123"/>
      <c r="C926" s="123"/>
      <c r="E926" s="123"/>
    </row>
    <row r="927" spans="2:5" ht="13">
      <c r="B927" s="123"/>
      <c r="C927" s="123"/>
      <c r="E927" s="123"/>
    </row>
    <row r="928" spans="2:5" ht="13">
      <c r="B928" s="123"/>
      <c r="C928" s="123"/>
      <c r="E928" s="123"/>
    </row>
    <row r="929" spans="2:5" ht="13">
      <c r="B929" s="123"/>
      <c r="C929" s="123"/>
      <c r="E929" s="123"/>
    </row>
    <row r="930" spans="2:5" ht="13">
      <c r="B930" s="123"/>
      <c r="C930" s="123"/>
      <c r="E930" s="123"/>
    </row>
    <row r="931" spans="2:5" ht="13">
      <c r="B931" s="123"/>
      <c r="C931" s="123"/>
      <c r="E931" s="123"/>
    </row>
    <row r="932" spans="2:5" ht="13">
      <c r="B932" s="123"/>
      <c r="C932" s="123"/>
      <c r="E932" s="123"/>
    </row>
    <row r="933" spans="2:5" ht="13">
      <c r="B933" s="123"/>
      <c r="C933" s="123"/>
      <c r="E933" s="123"/>
    </row>
    <row r="934" spans="2:5" ht="13">
      <c r="B934" s="123"/>
      <c r="C934" s="123"/>
      <c r="E934" s="123"/>
    </row>
    <row r="935" spans="2:5" ht="13">
      <c r="B935" s="123"/>
      <c r="C935" s="123"/>
      <c r="E935" s="123"/>
    </row>
    <row r="936" spans="2:5" ht="13">
      <c r="B936" s="123"/>
      <c r="C936" s="123"/>
      <c r="E936" s="123"/>
    </row>
    <row r="937" spans="2:5" ht="13">
      <c r="B937" s="123"/>
      <c r="C937" s="123"/>
      <c r="E937" s="123"/>
    </row>
    <row r="938" spans="2:5" ht="13">
      <c r="B938" s="123"/>
      <c r="C938" s="123"/>
      <c r="E938" s="123"/>
    </row>
    <row r="939" spans="2:5" ht="13">
      <c r="B939" s="123"/>
      <c r="C939" s="123"/>
      <c r="E939" s="123"/>
    </row>
    <row r="940" spans="2:5" ht="13">
      <c r="B940" s="123"/>
      <c r="C940" s="123"/>
      <c r="E940" s="123"/>
    </row>
    <row r="941" spans="2:5" ht="13">
      <c r="B941" s="123"/>
      <c r="C941" s="123"/>
      <c r="E941" s="123"/>
    </row>
    <row r="942" spans="2:5" ht="13">
      <c r="B942" s="123"/>
      <c r="C942" s="123"/>
      <c r="E942" s="123"/>
    </row>
    <row r="943" spans="2:5" ht="13">
      <c r="B943" s="123"/>
      <c r="C943" s="123"/>
      <c r="E943" s="123"/>
    </row>
    <row r="944" spans="2:5" ht="13">
      <c r="B944" s="123"/>
      <c r="C944" s="123"/>
      <c r="E944" s="123"/>
    </row>
    <row r="945" spans="2:5" ht="13">
      <c r="B945" s="123"/>
      <c r="C945" s="123"/>
      <c r="E945" s="123"/>
    </row>
    <row r="946" spans="2:5" ht="13">
      <c r="B946" s="123"/>
      <c r="C946" s="123"/>
      <c r="E946" s="123"/>
    </row>
    <row r="947" spans="2:5" ht="13">
      <c r="B947" s="123"/>
      <c r="C947" s="123"/>
      <c r="E947" s="123"/>
    </row>
    <row r="948" spans="2:5" ht="13">
      <c r="B948" s="123"/>
      <c r="C948" s="123"/>
      <c r="E948" s="123"/>
    </row>
    <row r="949" spans="2:5" ht="13">
      <c r="B949" s="123"/>
      <c r="C949" s="123"/>
      <c r="E949" s="123"/>
    </row>
    <row r="950" spans="2:5" ht="13">
      <c r="B950" s="123"/>
      <c r="C950" s="123"/>
      <c r="E950" s="123"/>
    </row>
    <row r="951" spans="2:5" ht="13">
      <c r="B951" s="123"/>
      <c r="C951" s="123"/>
      <c r="E951" s="123"/>
    </row>
    <row r="952" spans="2:5" ht="13">
      <c r="B952" s="123"/>
      <c r="C952" s="123"/>
      <c r="E952" s="123"/>
    </row>
    <row r="953" spans="2:5" ht="13">
      <c r="B953" s="123"/>
      <c r="C953" s="123"/>
      <c r="E953" s="123"/>
    </row>
    <row r="954" spans="2:5" ht="13">
      <c r="B954" s="123"/>
      <c r="C954" s="123"/>
      <c r="E954" s="123"/>
    </row>
    <row r="955" spans="2:5" ht="13">
      <c r="B955" s="123"/>
      <c r="C955" s="123"/>
      <c r="E955" s="123"/>
    </row>
    <row r="956" spans="2:5" ht="13">
      <c r="B956" s="123"/>
      <c r="C956" s="123"/>
      <c r="E956" s="123"/>
    </row>
    <row r="957" spans="2:5" ht="13">
      <c r="B957" s="123"/>
      <c r="C957" s="123"/>
      <c r="E957" s="123"/>
    </row>
    <row r="958" spans="2:5" ht="13">
      <c r="B958" s="123"/>
      <c r="C958" s="123"/>
      <c r="E958" s="123"/>
    </row>
    <row r="959" spans="2:5" ht="13">
      <c r="B959" s="123"/>
      <c r="C959" s="123"/>
      <c r="E959" s="123"/>
    </row>
    <row r="960" spans="2:5" ht="13">
      <c r="B960" s="123"/>
      <c r="C960" s="123"/>
      <c r="E960" s="123"/>
    </row>
    <row r="961" spans="2:5" ht="13">
      <c r="B961" s="123"/>
      <c r="C961" s="123"/>
      <c r="E961" s="123"/>
    </row>
    <row r="962" spans="2:5" ht="13">
      <c r="B962" s="123"/>
      <c r="C962" s="123"/>
      <c r="E962" s="123"/>
    </row>
    <row r="963" spans="2:5" ht="13">
      <c r="B963" s="123"/>
      <c r="C963" s="123"/>
      <c r="E963" s="123"/>
    </row>
    <row r="964" spans="2:5" ht="13">
      <c r="B964" s="123"/>
      <c r="C964" s="123"/>
      <c r="E964" s="123"/>
    </row>
    <row r="965" spans="2:5" ht="13">
      <c r="B965" s="123"/>
      <c r="C965" s="123"/>
      <c r="E965" s="123"/>
    </row>
    <row r="966" spans="2:5" ht="13">
      <c r="B966" s="123"/>
      <c r="C966" s="123"/>
      <c r="E966" s="123"/>
    </row>
    <row r="967" spans="2:5" ht="13">
      <c r="B967" s="123"/>
      <c r="C967" s="123"/>
      <c r="E967" s="123"/>
    </row>
    <row r="968" spans="2:5" ht="13">
      <c r="B968" s="123"/>
      <c r="C968" s="123"/>
      <c r="E968" s="123"/>
    </row>
    <row r="969" spans="2:5" ht="13">
      <c r="B969" s="123"/>
      <c r="C969" s="123"/>
      <c r="E969" s="123"/>
    </row>
    <row r="970" spans="2:5" ht="13">
      <c r="B970" s="123"/>
      <c r="C970" s="123"/>
      <c r="E970" s="123"/>
    </row>
    <row r="971" spans="2:5" ht="13">
      <c r="B971" s="123"/>
      <c r="C971" s="123"/>
      <c r="E971" s="123"/>
    </row>
    <row r="972" spans="2:5" ht="13">
      <c r="B972" s="123"/>
      <c r="C972" s="123"/>
      <c r="E972" s="123"/>
    </row>
    <row r="973" spans="2:5" ht="13">
      <c r="B973" s="123"/>
      <c r="C973" s="123"/>
      <c r="E973" s="123"/>
    </row>
    <row r="974" spans="2:5" ht="13">
      <c r="B974" s="123"/>
      <c r="C974" s="123"/>
      <c r="E974" s="123"/>
    </row>
    <row r="975" spans="2:5" ht="13">
      <c r="B975" s="123"/>
      <c r="C975" s="123"/>
      <c r="E975" s="123"/>
    </row>
    <row r="976" spans="2:5" ht="13">
      <c r="B976" s="123"/>
      <c r="C976" s="123"/>
      <c r="E976" s="123"/>
    </row>
    <row r="977" spans="2:5" ht="13">
      <c r="B977" s="123"/>
      <c r="C977" s="123"/>
      <c r="E977" s="123"/>
    </row>
    <row r="978" spans="2:5" ht="13">
      <c r="B978" s="123"/>
      <c r="C978" s="123"/>
      <c r="E978" s="123"/>
    </row>
    <row r="979" spans="2:5" ht="13">
      <c r="B979" s="123"/>
      <c r="C979" s="123"/>
      <c r="E979" s="123"/>
    </row>
    <row r="980" spans="2:5" ht="13">
      <c r="B980" s="123"/>
      <c r="C980" s="123"/>
      <c r="E980" s="123"/>
    </row>
    <row r="981" spans="2:5" ht="13">
      <c r="B981" s="123"/>
      <c r="C981" s="123"/>
      <c r="E981" s="123"/>
    </row>
    <row r="982" spans="2:5" ht="13">
      <c r="B982" s="123"/>
      <c r="C982" s="123"/>
      <c r="E982" s="123"/>
    </row>
    <row r="983" spans="2:5" ht="13">
      <c r="B983" s="123"/>
      <c r="C983" s="123"/>
      <c r="E983" s="123"/>
    </row>
    <row r="984" spans="2:5" ht="13">
      <c r="B984" s="123"/>
      <c r="C984" s="123"/>
      <c r="E984" s="123"/>
    </row>
    <row r="985" spans="2:5" ht="13">
      <c r="B985" s="123"/>
      <c r="C985" s="123"/>
      <c r="E985" s="123"/>
    </row>
    <row r="986" spans="2:5" ht="13">
      <c r="B986" s="123"/>
      <c r="C986" s="123"/>
      <c r="E986" s="123"/>
    </row>
    <row r="987" spans="2:5" ht="13">
      <c r="B987" s="123"/>
      <c r="C987" s="123"/>
      <c r="E987" s="123"/>
    </row>
    <row r="988" spans="2:5" ht="13">
      <c r="B988" s="123"/>
      <c r="C988" s="123"/>
      <c r="E988" s="123"/>
    </row>
    <row r="989" spans="2:5" ht="13">
      <c r="B989" s="123"/>
      <c r="C989" s="123"/>
      <c r="E989" s="123"/>
    </row>
    <row r="990" spans="2:5" ht="13">
      <c r="B990" s="123"/>
      <c r="C990" s="123"/>
      <c r="E990" s="123"/>
    </row>
    <row r="991" spans="2:5" ht="13">
      <c r="B991" s="123"/>
      <c r="C991" s="123"/>
      <c r="E991" s="123"/>
    </row>
    <row r="992" spans="2:5" ht="13">
      <c r="B992" s="123"/>
      <c r="C992" s="123"/>
      <c r="E992" s="123"/>
    </row>
    <row r="993" spans="2:5" ht="13">
      <c r="B993" s="123"/>
      <c r="C993" s="123"/>
      <c r="E993" s="123"/>
    </row>
    <row r="994" spans="2:5" ht="13">
      <c r="B994" s="123"/>
      <c r="C994" s="123"/>
      <c r="E994" s="123"/>
    </row>
    <row r="995" spans="2:5" ht="13">
      <c r="B995" s="123"/>
      <c r="C995" s="123"/>
      <c r="E995" s="123"/>
    </row>
    <row r="996" spans="2:5" ht="13">
      <c r="B996" s="123"/>
      <c r="C996" s="123"/>
      <c r="E996" s="123"/>
    </row>
  </sheetData>
  <conditionalFormatting sqref="F17">
    <cfRule type="notContainsBlanks" dxfId="11" priority="1">
      <formula>LEN(TRIM(F17))&gt;0</formula>
    </cfRule>
  </conditionalFormatting>
  <conditionalFormatting sqref="B2:G10 I2:X25 AD2:AD25 B11:E11 B12:G17 B18:E18 B19:G25 B26:G32 I26:X32 AD26:AD32">
    <cfRule type="expression" dxfId="10" priority="2">
      <formula>SUM($M2:$X2) &gt; 0</formula>
    </cfRule>
  </conditionalFormatting>
  <conditionalFormatting sqref="AD14">
    <cfRule type="notContainsBlanks" dxfId="9" priority="3">
      <formula>LEN(TRIM(AD14))&gt;0</formula>
    </cfRule>
  </conditionalFormatting>
  <conditionalFormatting sqref="AC2:AC25 AC26:AC31">
    <cfRule type="colorScale" priority="4">
      <colorScale>
        <cfvo type="min"/>
        <cfvo type="max"/>
        <color rgb="FF999999"/>
        <color rgb="FFFFFFFF"/>
      </colorScale>
    </cfRule>
  </conditionalFormatting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BM10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min="1" max="1" width="12.5" customWidth="1"/>
    <col min="2" max="2" width="5.83203125" customWidth="1"/>
    <col min="3" max="3" width="16.6640625" customWidth="1"/>
    <col min="4" max="4" width="14.83203125" customWidth="1"/>
    <col min="5" max="5" width="7.6640625" customWidth="1"/>
    <col min="6" max="6" width="7.1640625" customWidth="1"/>
    <col min="7" max="7" width="7.83203125" customWidth="1"/>
    <col min="8" max="8" width="8.6640625" customWidth="1"/>
    <col min="9" max="9" width="5.6640625" customWidth="1"/>
    <col min="10" max="10" width="5.1640625" customWidth="1"/>
    <col min="11" max="11" width="6.6640625" customWidth="1"/>
    <col min="12" max="12" width="18.83203125" customWidth="1"/>
    <col min="13" max="23" width="9" customWidth="1"/>
    <col min="24" max="24" width="6.5" customWidth="1"/>
    <col min="25" max="25" width="8.1640625" customWidth="1"/>
    <col min="26" max="26" width="6.1640625" customWidth="1"/>
    <col min="27" max="27" width="7.6640625" customWidth="1"/>
    <col min="28" max="28" width="11.33203125" customWidth="1"/>
    <col min="29" max="29" width="6" hidden="1" customWidth="1"/>
    <col min="30" max="30" width="65.83203125" customWidth="1"/>
  </cols>
  <sheetData>
    <row r="1" spans="1:65" ht="52.5" customHeight="1">
      <c r="A1" s="159"/>
      <c r="B1" s="159" t="s">
        <v>1</v>
      </c>
      <c r="C1" s="97" t="s">
        <v>2</v>
      </c>
      <c r="D1" s="159" t="s">
        <v>3</v>
      </c>
      <c r="E1" s="134" t="s">
        <v>4</v>
      </c>
      <c r="F1" s="97" t="s">
        <v>5</v>
      </c>
      <c r="G1" s="97" t="s">
        <v>6</v>
      </c>
      <c r="H1" s="134" t="s">
        <v>7</v>
      </c>
      <c r="I1" s="134" t="s">
        <v>8</v>
      </c>
      <c r="J1" s="134" t="s">
        <v>60</v>
      </c>
      <c r="K1" s="134" t="s">
        <v>61</v>
      </c>
      <c r="L1" s="159" t="s">
        <v>11</v>
      </c>
      <c r="M1" s="134" t="s">
        <v>12</v>
      </c>
      <c r="N1" s="134" t="s">
        <v>13</v>
      </c>
      <c r="O1" s="134" t="s">
        <v>14</v>
      </c>
      <c r="P1" s="134" t="s">
        <v>186</v>
      </c>
      <c r="Q1" s="134" t="s">
        <v>150</v>
      </c>
      <c r="R1" s="134" t="s">
        <v>17</v>
      </c>
      <c r="S1" s="134" t="s">
        <v>18</v>
      </c>
      <c r="T1" s="134" t="s">
        <v>19</v>
      </c>
      <c r="U1" s="134" t="s">
        <v>20</v>
      </c>
      <c r="V1" s="134" t="s">
        <v>21</v>
      </c>
      <c r="W1" s="134" t="s">
        <v>152</v>
      </c>
      <c r="X1" s="134" t="s">
        <v>23</v>
      </c>
      <c r="Y1" s="134" t="s">
        <v>187</v>
      </c>
      <c r="Z1" s="134" t="s">
        <v>188</v>
      </c>
      <c r="AA1" s="98" t="s">
        <v>26</v>
      </c>
      <c r="AB1" s="98" t="s">
        <v>27</v>
      </c>
      <c r="AC1" s="134" t="s">
        <v>28</v>
      </c>
      <c r="AD1" s="159" t="s">
        <v>29</v>
      </c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60"/>
      <c r="BE1" s="160"/>
      <c r="BF1" s="160"/>
      <c r="BG1" s="160"/>
      <c r="BH1" s="160"/>
      <c r="BI1" s="160"/>
      <c r="BJ1" s="160"/>
      <c r="BK1" s="160"/>
      <c r="BL1" s="160"/>
      <c r="BM1" s="160"/>
    </row>
    <row r="2" spans="1:65" ht="14">
      <c r="A2" s="124">
        <v>43132</v>
      </c>
      <c r="B2">
        <v>1717</v>
      </c>
      <c r="C2">
        <v>1749</v>
      </c>
      <c r="D2" s="9" t="str">
        <f>CHOOSE(WEEKDAY(A2),"Fred/Anne", "Jane", "Phil","Sue/Panos","Shawn/Orems","Jeff", "Rob")</f>
        <v>Shawn/Orems</v>
      </c>
      <c r="E2" s="100" t="s">
        <v>30</v>
      </c>
      <c r="F2" s="10">
        <v>0.72916666666666663</v>
      </c>
      <c r="G2" s="10">
        <v>0.85416666666666663</v>
      </c>
      <c r="H2" s="11">
        <f t="shared" ref="H2:H32" si="0">G2-F2</f>
        <v>0.125</v>
      </c>
      <c r="I2" s="161">
        <v>13.5</v>
      </c>
      <c r="J2" s="9">
        <v>46</v>
      </c>
      <c r="K2" s="9">
        <v>46</v>
      </c>
      <c r="L2" s="9" t="s">
        <v>189</v>
      </c>
      <c r="M2" s="9">
        <v>2</v>
      </c>
      <c r="N2" s="9">
        <v>0</v>
      </c>
      <c r="O2" s="9">
        <v>0</v>
      </c>
      <c r="P2" s="9">
        <v>0</v>
      </c>
      <c r="Q2" s="9">
        <v>1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12">
        <f t="shared" ref="Y2:Y29" si="1">SUM(M2:P2)</f>
        <v>2</v>
      </c>
      <c r="Z2" s="12">
        <f t="shared" ref="Z2:Z29" si="2">SUM(Q2:U2)</f>
        <v>1</v>
      </c>
      <c r="AA2" s="13">
        <f t="shared" ref="AA2:AA29" si="3">SUM(M2:N2)</f>
        <v>2</v>
      </c>
      <c r="AB2" s="13">
        <f t="shared" ref="AB2:AB29" si="4">SUM(Q2:R2,U2)</f>
        <v>1</v>
      </c>
      <c r="AC2" s="14">
        <v>0.99</v>
      </c>
      <c r="AD2" s="15" t="s">
        <v>190</v>
      </c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</row>
    <row r="3" spans="1:65" ht="14">
      <c r="A3" s="18">
        <v>43133</v>
      </c>
      <c r="B3" s="19">
        <v>1719</v>
      </c>
      <c r="C3" s="19">
        <v>1750</v>
      </c>
      <c r="D3" s="20" t="str">
        <f t="shared" ref="D3:D6" si="5">CHOOSE(WEEKDAY(A3),"Fred/Anne", "Jane", "Phil","Sue/Panos","Shawn/Owens","Jeff", "Rob")</f>
        <v>Jeff</v>
      </c>
      <c r="E3" s="104" t="s">
        <v>30</v>
      </c>
      <c r="F3" s="21">
        <v>0.74305555555555558</v>
      </c>
      <c r="G3" s="21">
        <v>0.84027777777777779</v>
      </c>
      <c r="H3" s="11">
        <f t="shared" si="0"/>
        <v>9.722222222222221E-2</v>
      </c>
      <c r="I3" s="162">
        <v>3</v>
      </c>
      <c r="J3" s="20">
        <v>51</v>
      </c>
      <c r="K3" s="20">
        <v>49</v>
      </c>
      <c r="L3" s="20" t="s">
        <v>191</v>
      </c>
      <c r="M3" s="20">
        <v>4</v>
      </c>
      <c r="N3" s="20">
        <v>0</v>
      </c>
      <c r="O3" s="20">
        <v>1</v>
      </c>
      <c r="P3" s="20">
        <v>0</v>
      </c>
      <c r="Q3" s="20">
        <v>0</v>
      </c>
      <c r="R3" s="20">
        <v>0</v>
      </c>
      <c r="S3" s="20">
        <v>0</v>
      </c>
      <c r="T3" s="20">
        <v>0</v>
      </c>
      <c r="U3" s="20">
        <v>0</v>
      </c>
      <c r="V3" s="20">
        <v>2</v>
      </c>
      <c r="W3" s="20">
        <v>2</v>
      </c>
      <c r="X3" s="20">
        <v>0</v>
      </c>
      <c r="Y3" s="12">
        <f t="shared" si="1"/>
        <v>5</v>
      </c>
      <c r="Z3" s="12">
        <f t="shared" si="2"/>
        <v>0</v>
      </c>
      <c r="AA3" s="13">
        <f t="shared" si="3"/>
        <v>4</v>
      </c>
      <c r="AB3" s="13">
        <f t="shared" si="4"/>
        <v>0</v>
      </c>
      <c r="AC3" s="14">
        <v>0.96</v>
      </c>
      <c r="AD3" s="22" t="s">
        <v>192</v>
      </c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</row>
    <row r="4" spans="1:65" ht="14">
      <c r="A4" s="18">
        <v>43134</v>
      </c>
      <c r="B4">
        <v>1720</v>
      </c>
      <c r="C4">
        <v>1752</v>
      </c>
      <c r="D4" s="9" t="str">
        <f t="shared" si="5"/>
        <v>Rob</v>
      </c>
      <c r="E4" s="100" t="s">
        <v>40</v>
      </c>
      <c r="F4" s="10">
        <v>0.72916666666666663</v>
      </c>
      <c r="G4" s="10">
        <v>0.83333333333333337</v>
      </c>
      <c r="H4" s="11">
        <f t="shared" si="0"/>
        <v>0.10416666666666674</v>
      </c>
      <c r="I4" s="161">
        <v>10.5</v>
      </c>
      <c r="J4" s="9">
        <v>53</v>
      </c>
      <c r="K4" s="9">
        <v>51</v>
      </c>
      <c r="L4" s="9" t="s">
        <v>193</v>
      </c>
      <c r="M4" s="9">
        <v>5</v>
      </c>
      <c r="N4" s="9">
        <v>0</v>
      </c>
      <c r="O4" s="9">
        <v>0</v>
      </c>
      <c r="P4" s="9">
        <v>0</v>
      </c>
      <c r="Q4" s="9">
        <v>5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12">
        <f t="shared" si="1"/>
        <v>5</v>
      </c>
      <c r="Z4" s="12">
        <f t="shared" si="2"/>
        <v>5</v>
      </c>
      <c r="AA4" s="13">
        <f t="shared" si="3"/>
        <v>5</v>
      </c>
      <c r="AB4" s="13">
        <f t="shared" si="4"/>
        <v>5</v>
      </c>
      <c r="AC4" s="14">
        <v>0.9</v>
      </c>
      <c r="AD4" s="15" t="s">
        <v>194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</row>
    <row r="5" spans="1:65" ht="13">
      <c r="A5" s="18">
        <v>43135</v>
      </c>
      <c r="B5" s="19">
        <v>1722</v>
      </c>
      <c r="C5" s="19">
        <v>1753</v>
      </c>
      <c r="D5" s="20" t="str">
        <f t="shared" si="5"/>
        <v>Fred/Anne</v>
      </c>
      <c r="E5" s="104" t="s">
        <v>30</v>
      </c>
      <c r="F5" s="21">
        <v>0.73611111111111116</v>
      </c>
      <c r="G5" s="21">
        <v>0.8125</v>
      </c>
      <c r="H5" s="11">
        <f t="shared" si="0"/>
        <v>7.638888888888884E-2</v>
      </c>
      <c r="I5" s="162"/>
      <c r="J5" s="20">
        <v>55</v>
      </c>
      <c r="K5" s="20">
        <v>50</v>
      </c>
      <c r="L5" s="20" t="s">
        <v>191</v>
      </c>
      <c r="M5" s="20">
        <v>0</v>
      </c>
      <c r="N5" s="20">
        <v>0</v>
      </c>
      <c r="O5" s="20">
        <v>0</v>
      </c>
      <c r="P5" s="20">
        <v>0</v>
      </c>
      <c r="Q5" s="20">
        <v>1</v>
      </c>
      <c r="R5" s="20">
        <v>0</v>
      </c>
      <c r="S5" s="20">
        <v>1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12">
        <f t="shared" si="1"/>
        <v>0</v>
      </c>
      <c r="Z5" s="12">
        <f t="shared" si="2"/>
        <v>2</v>
      </c>
      <c r="AA5" s="13">
        <f t="shared" si="3"/>
        <v>0</v>
      </c>
      <c r="AB5" s="13">
        <f t="shared" si="4"/>
        <v>1</v>
      </c>
      <c r="AC5" s="14">
        <v>0.82</v>
      </c>
      <c r="AD5" s="22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</row>
    <row r="6" spans="1:65" ht="14">
      <c r="A6" s="25">
        <v>43136</v>
      </c>
      <c r="B6">
        <v>1723</v>
      </c>
      <c r="C6">
        <v>1755</v>
      </c>
      <c r="D6" s="9" t="str">
        <f t="shared" si="5"/>
        <v>Jane</v>
      </c>
      <c r="E6" s="100" t="s">
        <v>30</v>
      </c>
      <c r="F6" s="10">
        <v>0.72916666666666663</v>
      </c>
      <c r="G6" s="10">
        <v>0.82986111111111116</v>
      </c>
      <c r="H6" s="11">
        <f t="shared" si="0"/>
        <v>0.10069444444444453</v>
      </c>
      <c r="I6" s="163">
        <v>0.35416666666666669</v>
      </c>
      <c r="J6" s="9">
        <v>48</v>
      </c>
      <c r="K6" s="9">
        <v>47</v>
      </c>
      <c r="L6" s="15" t="s">
        <v>195</v>
      </c>
      <c r="M6" s="9">
        <v>1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12">
        <f t="shared" si="1"/>
        <v>1</v>
      </c>
      <c r="Z6" s="12">
        <f t="shared" si="2"/>
        <v>0</v>
      </c>
      <c r="AA6" s="13">
        <f t="shared" si="3"/>
        <v>1</v>
      </c>
      <c r="AB6" s="13">
        <f t="shared" si="4"/>
        <v>0</v>
      </c>
      <c r="AC6" s="14">
        <v>0.73</v>
      </c>
      <c r="AD6" s="15" t="s">
        <v>196</v>
      </c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</row>
    <row r="7" spans="1:65" ht="14">
      <c r="A7" s="25">
        <v>43137</v>
      </c>
      <c r="B7" s="19">
        <v>1725</v>
      </c>
      <c r="C7" s="19">
        <v>1756</v>
      </c>
      <c r="D7" s="20" t="str">
        <f>CHOOSE(WEEKDAY(A7),"Fred/Anne", "Jane", "Phil/Tom","Sue/Panos","Shawn/Owens","Jeff", "Rob")</f>
        <v>Phil/Tom</v>
      </c>
      <c r="E7" s="104" t="s">
        <v>30</v>
      </c>
      <c r="F7" s="21">
        <v>0.76041666666666663</v>
      </c>
      <c r="G7" s="21">
        <v>0.78125</v>
      </c>
      <c r="H7" s="11">
        <f t="shared" si="0"/>
        <v>2.083333333333337E-2</v>
      </c>
      <c r="I7" s="162">
        <v>0.5</v>
      </c>
      <c r="J7" s="20">
        <v>48</v>
      </c>
      <c r="K7" s="20">
        <v>47</v>
      </c>
      <c r="L7" s="22" t="s">
        <v>34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12">
        <f t="shared" si="1"/>
        <v>0</v>
      </c>
      <c r="Z7" s="12">
        <f t="shared" si="2"/>
        <v>0</v>
      </c>
      <c r="AA7" s="13">
        <f t="shared" si="3"/>
        <v>0</v>
      </c>
      <c r="AB7" s="13">
        <f t="shared" si="4"/>
        <v>0</v>
      </c>
      <c r="AC7" s="14">
        <v>0.63</v>
      </c>
      <c r="AD7" s="164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</row>
    <row r="8" spans="1:65" ht="28">
      <c r="A8" s="25">
        <v>43138</v>
      </c>
      <c r="B8">
        <v>1726</v>
      </c>
      <c r="C8">
        <v>1757</v>
      </c>
      <c r="D8" s="9" t="str">
        <f>CHOOSE(WEEKDAY(A8),"Fred/Anne", "Jane", "Phil","Sue/Panos","Shawn/Owens","Jeff", "Rob")</f>
        <v>Sue/Panos</v>
      </c>
      <c r="E8" s="100" t="s">
        <v>30</v>
      </c>
      <c r="F8" s="10">
        <v>0.72916666666666663</v>
      </c>
      <c r="G8" s="10">
        <v>0.79166666666666663</v>
      </c>
      <c r="H8" s="11">
        <f t="shared" si="0"/>
        <v>6.25E-2</v>
      </c>
      <c r="I8" s="161">
        <v>1.5</v>
      </c>
      <c r="J8" s="9">
        <v>47</v>
      </c>
      <c r="K8" s="9">
        <v>46</v>
      </c>
      <c r="L8" s="15" t="s">
        <v>197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12">
        <f t="shared" si="1"/>
        <v>0</v>
      </c>
      <c r="Z8" s="12">
        <f t="shared" si="2"/>
        <v>0</v>
      </c>
      <c r="AA8" s="13">
        <f t="shared" si="3"/>
        <v>0</v>
      </c>
      <c r="AB8" s="13">
        <f t="shared" si="4"/>
        <v>0</v>
      </c>
      <c r="AC8" s="14">
        <v>0.53</v>
      </c>
      <c r="AD8" s="35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</row>
    <row r="9" spans="1:65" ht="14">
      <c r="A9" s="25">
        <v>43139</v>
      </c>
      <c r="B9" s="19">
        <v>1728</v>
      </c>
      <c r="C9" s="19">
        <v>1759</v>
      </c>
      <c r="D9" s="20" t="str">
        <f>CHOOSE(WEEKDAY(A9),"Fred/Anne", "Jane", "Phil","Sue/Panos","Shawn/Orems","Jeff", "Rob")</f>
        <v>Shawn/Orems</v>
      </c>
      <c r="E9" s="104" t="s">
        <v>30</v>
      </c>
      <c r="F9" s="21">
        <v>0.75</v>
      </c>
      <c r="G9" s="21">
        <v>0.77083333333333337</v>
      </c>
      <c r="H9" s="11">
        <f t="shared" si="0"/>
        <v>2.083333333333337E-2</v>
      </c>
      <c r="I9" s="162">
        <v>0.5</v>
      </c>
      <c r="J9" s="20">
        <v>50</v>
      </c>
      <c r="K9" s="20">
        <v>50</v>
      </c>
      <c r="L9" s="22" t="s">
        <v>42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12">
        <f t="shared" si="1"/>
        <v>0</v>
      </c>
      <c r="Z9" s="12">
        <f t="shared" si="2"/>
        <v>0</v>
      </c>
      <c r="AA9" s="13">
        <f t="shared" si="3"/>
        <v>0</v>
      </c>
      <c r="AB9" s="13">
        <f t="shared" si="4"/>
        <v>0</v>
      </c>
      <c r="AC9" s="14">
        <v>0.44</v>
      </c>
      <c r="AD9" s="22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</row>
    <row r="10" spans="1:65" ht="28">
      <c r="A10" s="25">
        <v>43140</v>
      </c>
      <c r="B10">
        <v>1729</v>
      </c>
      <c r="C10">
        <v>1800</v>
      </c>
      <c r="D10" s="9" t="str">
        <f t="shared" ref="D10:D13" si="6">CHOOSE(WEEKDAY(A10),"Fred/Anne", "Jane", "Phil","Sue/Panos","Shawn/Owens","Jeff", "Rob")</f>
        <v>Jeff</v>
      </c>
      <c r="E10" s="100" t="s">
        <v>30</v>
      </c>
      <c r="F10" s="10">
        <v>0.75</v>
      </c>
      <c r="G10" s="10">
        <v>0.78819444444444442</v>
      </c>
      <c r="H10" s="11">
        <f t="shared" si="0"/>
        <v>3.819444444444442E-2</v>
      </c>
      <c r="I10" s="161">
        <v>1</v>
      </c>
      <c r="J10" s="9">
        <v>45</v>
      </c>
      <c r="K10" s="9">
        <v>44</v>
      </c>
      <c r="L10" s="15" t="s">
        <v>198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12">
        <f t="shared" si="1"/>
        <v>0</v>
      </c>
      <c r="Z10" s="12">
        <f t="shared" si="2"/>
        <v>0</v>
      </c>
      <c r="AA10" s="13">
        <f t="shared" si="3"/>
        <v>0</v>
      </c>
      <c r="AB10" s="13">
        <f t="shared" si="4"/>
        <v>0</v>
      </c>
      <c r="AC10" s="14">
        <v>0.34</v>
      </c>
      <c r="AD10" s="15" t="s">
        <v>199</v>
      </c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</row>
    <row r="11" spans="1:65" ht="14">
      <c r="A11" s="25">
        <v>43141</v>
      </c>
      <c r="B11" s="19">
        <v>1731</v>
      </c>
      <c r="C11" s="19">
        <v>1801</v>
      </c>
      <c r="D11" s="20" t="str">
        <f t="shared" si="6"/>
        <v>Rob</v>
      </c>
      <c r="E11" s="104" t="s">
        <v>33</v>
      </c>
      <c r="F11" s="21"/>
      <c r="G11" s="21"/>
      <c r="H11" s="11">
        <f t="shared" si="0"/>
        <v>0</v>
      </c>
      <c r="I11" s="162"/>
      <c r="J11" s="20">
        <v>45</v>
      </c>
      <c r="K11" s="20"/>
      <c r="L11" s="22" t="s">
        <v>34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12">
        <f t="shared" si="1"/>
        <v>0</v>
      </c>
      <c r="Z11" s="12">
        <f t="shared" si="2"/>
        <v>0</v>
      </c>
      <c r="AA11" s="13">
        <f t="shared" si="3"/>
        <v>0</v>
      </c>
      <c r="AB11" s="13">
        <f t="shared" si="4"/>
        <v>0</v>
      </c>
      <c r="AC11" s="14">
        <v>0.26</v>
      </c>
      <c r="AD11" s="22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</row>
    <row r="12" spans="1:65" ht="14">
      <c r="A12" s="33">
        <v>43142</v>
      </c>
      <c r="B12">
        <v>1732</v>
      </c>
      <c r="C12">
        <v>1803</v>
      </c>
      <c r="D12" s="9" t="str">
        <f t="shared" si="6"/>
        <v>Fred/Anne</v>
      </c>
      <c r="E12" s="100" t="s">
        <v>30</v>
      </c>
      <c r="F12" s="10">
        <v>0.75</v>
      </c>
      <c r="G12" s="26">
        <v>0.76041666666666663</v>
      </c>
      <c r="H12" s="11">
        <f t="shared" si="0"/>
        <v>1.041666666666663E-2</v>
      </c>
      <c r="I12" s="161"/>
      <c r="J12" s="9">
        <v>41</v>
      </c>
      <c r="K12" s="15">
        <v>41</v>
      </c>
      <c r="L12" s="15" t="s">
        <v>34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12">
        <f t="shared" si="1"/>
        <v>0</v>
      </c>
      <c r="Z12" s="12">
        <f t="shared" si="2"/>
        <v>0</v>
      </c>
      <c r="AA12" s="13">
        <f t="shared" si="3"/>
        <v>0</v>
      </c>
      <c r="AB12" s="13">
        <f t="shared" si="4"/>
        <v>0</v>
      </c>
      <c r="AC12" s="14">
        <v>0.18</v>
      </c>
      <c r="AD12" s="15" t="s">
        <v>200</v>
      </c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</row>
    <row r="13" spans="1:65" ht="14">
      <c r="A13" s="33">
        <v>43143</v>
      </c>
      <c r="B13" s="19">
        <v>1734</v>
      </c>
      <c r="C13" s="19">
        <v>1804</v>
      </c>
      <c r="D13" s="20" t="str">
        <f t="shared" si="6"/>
        <v>Jane</v>
      </c>
      <c r="E13" s="165" t="s">
        <v>33</v>
      </c>
      <c r="F13" s="28">
        <v>0.75</v>
      </c>
      <c r="G13" s="28">
        <v>0.75</v>
      </c>
      <c r="H13" s="11">
        <f t="shared" si="0"/>
        <v>0</v>
      </c>
      <c r="I13" s="162"/>
      <c r="J13" s="27">
        <v>43</v>
      </c>
      <c r="K13" s="30"/>
      <c r="L13" s="30" t="s">
        <v>34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12">
        <f t="shared" si="1"/>
        <v>0</v>
      </c>
      <c r="Z13" s="12">
        <f t="shared" si="2"/>
        <v>0</v>
      </c>
      <c r="AA13" s="13">
        <f t="shared" si="3"/>
        <v>0</v>
      </c>
      <c r="AB13" s="13">
        <f t="shared" si="4"/>
        <v>0</v>
      </c>
      <c r="AC13" s="14">
        <v>0.11</v>
      </c>
      <c r="AD13" s="30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</row>
    <row r="14" spans="1:65" ht="14">
      <c r="A14" s="33">
        <v>43144</v>
      </c>
      <c r="B14">
        <v>1735</v>
      </c>
      <c r="C14">
        <v>1806</v>
      </c>
      <c r="D14" s="9" t="str">
        <f>CHOOSE(WEEKDAY(A14),"Fred/Anne", "Jane", "Phil/Tom","Sue/Panos","Shawn/Owens","Jeff", "Rob")</f>
        <v>Phil/Tom</v>
      </c>
      <c r="E14" s="166" t="s">
        <v>33</v>
      </c>
      <c r="F14" s="10">
        <v>0.75</v>
      </c>
      <c r="G14" s="10">
        <v>0.75</v>
      </c>
      <c r="H14" s="11">
        <f t="shared" si="0"/>
        <v>0</v>
      </c>
      <c r="I14" s="161">
        <v>0</v>
      </c>
      <c r="J14" s="9">
        <v>42</v>
      </c>
      <c r="K14" s="15">
        <v>42</v>
      </c>
      <c r="L14" s="15" t="s">
        <v>34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12">
        <f t="shared" si="1"/>
        <v>0</v>
      </c>
      <c r="Z14" s="12">
        <f t="shared" si="2"/>
        <v>0</v>
      </c>
      <c r="AA14" s="13">
        <f t="shared" si="3"/>
        <v>0</v>
      </c>
      <c r="AB14" s="13">
        <f t="shared" si="4"/>
        <v>0</v>
      </c>
      <c r="AC14" s="14">
        <v>0.06</v>
      </c>
      <c r="AD14" s="15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</row>
    <row r="15" spans="1:65" ht="28">
      <c r="A15" s="33">
        <v>43145</v>
      </c>
      <c r="B15" s="19">
        <v>1736</v>
      </c>
      <c r="C15" s="19">
        <v>1807</v>
      </c>
      <c r="D15" s="20" t="str">
        <f>CHOOSE(WEEKDAY(A15),"Fred/Anne", "Jane", "Phil","Sue/Panos","Shawn/Owens","Jeff", "Rob")</f>
        <v>Sue/Panos</v>
      </c>
      <c r="E15" s="104" t="s">
        <v>30</v>
      </c>
      <c r="F15" s="21">
        <v>0.73958333333333337</v>
      </c>
      <c r="G15" s="21">
        <v>0.77083333333333337</v>
      </c>
      <c r="H15" s="11">
        <f t="shared" si="0"/>
        <v>3.125E-2</v>
      </c>
      <c r="I15" s="162">
        <v>1.5</v>
      </c>
      <c r="J15" s="20">
        <v>44</v>
      </c>
      <c r="K15" s="22">
        <v>40</v>
      </c>
      <c r="L15" s="22" t="s">
        <v>201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12">
        <f t="shared" si="1"/>
        <v>0</v>
      </c>
      <c r="Z15" s="12">
        <f t="shared" si="2"/>
        <v>0</v>
      </c>
      <c r="AA15" s="13">
        <f t="shared" si="3"/>
        <v>0</v>
      </c>
      <c r="AB15" s="13">
        <f t="shared" si="4"/>
        <v>0</v>
      </c>
      <c r="AC15" s="14">
        <v>0.02</v>
      </c>
      <c r="AD15" s="22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</row>
    <row r="16" spans="1:65" ht="28">
      <c r="A16" s="34">
        <v>43146</v>
      </c>
      <c r="B16" s="142">
        <v>1738</v>
      </c>
      <c r="C16" s="142">
        <v>1808</v>
      </c>
      <c r="D16" s="143" t="str">
        <f>CHOOSE(WEEKDAY(A16),"Fred/Anne", "Jane", "Phil","Sue/Panos","Shawn/Orems","Jeff", "Rob")</f>
        <v>Shawn/Orems</v>
      </c>
      <c r="E16" s="144" t="s">
        <v>30</v>
      </c>
      <c r="F16" s="145">
        <v>0.75694444444444442</v>
      </c>
      <c r="G16" s="145">
        <v>0.77777777777777779</v>
      </c>
      <c r="H16" s="146">
        <f t="shared" si="0"/>
        <v>2.083333333333337E-2</v>
      </c>
      <c r="I16" s="167">
        <v>0.5</v>
      </c>
      <c r="J16" s="143">
        <v>46</v>
      </c>
      <c r="K16" s="151">
        <v>45</v>
      </c>
      <c r="L16" s="151" t="s">
        <v>201</v>
      </c>
      <c r="M16" s="143">
        <v>0</v>
      </c>
      <c r="N16" s="143">
        <v>0</v>
      </c>
      <c r="O16" s="143">
        <v>0</v>
      </c>
      <c r="P16" s="143">
        <v>0</v>
      </c>
      <c r="Q16" s="143">
        <v>0</v>
      </c>
      <c r="R16" s="143">
        <v>0</v>
      </c>
      <c r="S16" s="143">
        <v>0</v>
      </c>
      <c r="T16" s="143">
        <v>0</v>
      </c>
      <c r="U16" s="143">
        <v>0</v>
      </c>
      <c r="V16" s="143">
        <v>0</v>
      </c>
      <c r="W16" s="143">
        <v>0</v>
      </c>
      <c r="X16" s="143">
        <v>0</v>
      </c>
      <c r="Y16" s="149">
        <f t="shared" si="1"/>
        <v>0</v>
      </c>
      <c r="Z16" s="149">
        <f t="shared" si="2"/>
        <v>0</v>
      </c>
      <c r="AA16" s="150">
        <f t="shared" si="3"/>
        <v>0</v>
      </c>
      <c r="AB16" s="150">
        <f t="shared" si="4"/>
        <v>0</v>
      </c>
      <c r="AC16" s="168">
        <v>0</v>
      </c>
      <c r="AD16" s="151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</row>
    <row r="17" spans="1:65" ht="20.25" customHeight="1">
      <c r="A17" s="34">
        <v>43147</v>
      </c>
      <c r="B17" s="169">
        <v>1739</v>
      </c>
      <c r="C17" s="169">
        <v>1810</v>
      </c>
      <c r="D17" s="170" t="s">
        <v>202</v>
      </c>
      <c r="E17" s="171" t="s">
        <v>40</v>
      </c>
      <c r="F17" s="172">
        <v>0.71875</v>
      </c>
      <c r="G17" s="172">
        <v>0.78819444444444442</v>
      </c>
      <c r="H17" s="146">
        <f t="shared" si="0"/>
        <v>6.944444444444442E-2</v>
      </c>
      <c r="I17" s="173">
        <v>1.5</v>
      </c>
      <c r="J17" s="170">
        <v>50</v>
      </c>
      <c r="K17" s="174">
        <v>46</v>
      </c>
      <c r="L17" s="174" t="s">
        <v>201</v>
      </c>
      <c r="M17" s="170">
        <v>0</v>
      </c>
      <c r="N17" s="170">
        <v>0</v>
      </c>
      <c r="O17" s="170">
        <v>0</v>
      </c>
      <c r="P17" s="170">
        <v>0</v>
      </c>
      <c r="Q17" s="170">
        <v>0</v>
      </c>
      <c r="R17" s="170">
        <v>0</v>
      </c>
      <c r="S17" s="170">
        <v>0</v>
      </c>
      <c r="T17" s="170">
        <v>0</v>
      </c>
      <c r="U17" s="170">
        <v>0</v>
      </c>
      <c r="V17" s="170">
        <v>0</v>
      </c>
      <c r="W17" s="170">
        <v>0</v>
      </c>
      <c r="X17" s="170">
        <v>0</v>
      </c>
      <c r="Y17" s="149">
        <f t="shared" si="1"/>
        <v>0</v>
      </c>
      <c r="Z17" s="149">
        <f t="shared" si="2"/>
        <v>0</v>
      </c>
      <c r="AA17" s="150">
        <f t="shared" si="3"/>
        <v>0</v>
      </c>
      <c r="AB17" s="150">
        <f t="shared" si="4"/>
        <v>0</v>
      </c>
      <c r="AC17" s="175">
        <v>0</v>
      </c>
      <c r="AD17" s="174" t="s">
        <v>203</v>
      </c>
      <c r="AE17" s="169"/>
      <c r="AF17" s="169"/>
      <c r="AG17" s="169"/>
      <c r="AH17" s="169"/>
      <c r="AI17" s="169"/>
      <c r="AJ17" s="169"/>
      <c r="AK17" s="169"/>
      <c r="AL17" s="169"/>
      <c r="AM17" s="169"/>
      <c r="AN17" s="169"/>
      <c r="AO17" s="169"/>
      <c r="AP17" s="169"/>
      <c r="AQ17" s="169"/>
      <c r="AR17" s="169"/>
      <c r="AS17" s="169"/>
      <c r="AT17" s="169"/>
      <c r="AU17" s="169"/>
      <c r="AV17" s="169"/>
      <c r="AW17" s="169"/>
      <c r="AX17" s="169"/>
      <c r="AY17" s="169"/>
      <c r="AZ17" s="169"/>
      <c r="BA17" s="169"/>
      <c r="BB17" s="169"/>
      <c r="BC17" s="169"/>
      <c r="BD17" s="169"/>
      <c r="BE17" s="169"/>
      <c r="BF17" s="169"/>
      <c r="BG17" s="169"/>
      <c r="BH17" s="169"/>
      <c r="BI17" s="169"/>
      <c r="BJ17" s="169"/>
      <c r="BK17" s="169"/>
      <c r="BL17" s="169"/>
      <c r="BM17" s="169"/>
    </row>
    <row r="18" spans="1:65" ht="28">
      <c r="A18" s="36">
        <v>43148</v>
      </c>
      <c r="B18">
        <v>1741</v>
      </c>
      <c r="C18">
        <v>1811</v>
      </c>
      <c r="D18" s="9" t="str">
        <f t="shared" ref="D18:D20" si="7">CHOOSE(WEEKDAY(A18),"Fred/Anne", "Jane", "Phil","Sue/Panos","Shawn/Owens","Jeff", "Rob")</f>
        <v>Rob</v>
      </c>
      <c r="E18" s="100" t="s">
        <v>40</v>
      </c>
      <c r="F18" s="10">
        <v>0.73958333333333337</v>
      </c>
      <c r="G18" s="10">
        <v>0.8125</v>
      </c>
      <c r="H18" s="11">
        <f t="shared" si="0"/>
        <v>7.291666666666663E-2</v>
      </c>
      <c r="I18" s="161">
        <v>10.75</v>
      </c>
      <c r="J18" s="9">
        <v>45</v>
      </c>
      <c r="K18" s="15">
        <v>42</v>
      </c>
      <c r="L18" s="15" t="s">
        <v>204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12">
        <f t="shared" si="1"/>
        <v>0</v>
      </c>
      <c r="Z18" s="12">
        <f t="shared" si="2"/>
        <v>0</v>
      </c>
      <c r="AA18" s="13">
        <f t="shared" si="3"/>
        <v>0</v>
      </c>
      <c r="AB18" s="13">
        <f t="shared" si="4"/>
        <v>0</v>
      </c>
      <c r="AC18" s="14">
        <v>0.02</v>
      </c>
      <c r="AD18" s="15" t="s">
        <v>205</v>
      </c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</row>
    <row r="19" spans="1:65" ht="14">
      <c r="A19" s="36">
        <v>43149</v>
      </c>
      <c r="B19" s="19">
        <v>1742</v>
      </c>
      <c r="C19" s="19">
        <v>1813</v>
      </c>
      <c r="D19" s="20" t="str">
        <f t="shared" si="7"/>
        <v>Fred/Anne</v>
      </c>
      <c r="E19" s="165" t="s">
        <v>33</v>
      </c>
      <c r="F19" s="28"/>
      <c r="G19" s="28"/>
      <c r="H19" s="11">
        <f t="shared" si="0"/>
        <v>0</v>
      </c>
      <c r="I19" s="162"/>
      <c r="J19" s="27">
        <v>37</v>
      </c>
      <c r="K19" s="30"/>
      <c r="L19" s="30" t="s">
        <v>206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12">
        <f t="shared" si="1"/>
        <v>0</v>
      </c>
      <c r="Z19" s="12">
        <f t="shared" si="2"/>
        <v>0</v>
      </c>
      <c r="AA19" s="13">
        <f t="shared" si="3"/>
        <v>0</v>
      </c>
      <c r="AB19" s="13">
        <f t="shared" si="4"/>
        <v>0</v>
      </c>
      <c r="AC19" s="14">
        <v>0.06</v>
      </c>
      <c r="AD19" s="30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</row>
    <row r="20" spans="1:65" ht="14">
      <c r="A20" s="36">
        <v>43150</v>
      </c>
      <c r="B20">
        <v>1744</v>
      </c>
      <c r="C20">
        <v>1814</v>
      </c>
      <c r="D20" s="9" t="str">
        <f t="shared" si="7"/>
        <v>Jane</v>
      </c>
      <c r="E20" s="100" t="s">
        <v>33</v>
      </c>
      <c r="F20" s="10"/>
      <c r="G20" s="10"/>
      <c r="H20" s="11">
        <f t="shared" si="0"/>
        <v>0</v>
      </c>
      <c r="I20" s="161"/>
      <c r="J20" s="9">
        <v>31</v>
      </c>
      <c r="K20" s="15"/>
      <c r="L20" s="15" t="s">
        <v>35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12">
        <f t="shared" si="1"/>
        <v>0</v>
      </c>
      <c r="Z20" s="12">
        <f t="shared" si="2"/>
        <v>0</v>
      </c>
      <c r="AA20" s="13">
        <f t="shared" si="3"/>
        <v>0</v>
      </c>
      <c r="AB20" s="13">
        <f t="shared" si="4"/>
        <v>0</v>
      </c>
      <c r="AC20" s="14">
        <v>0.12</v>
      </c>
      <c r="AD20" s="15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</row>
    <row r="21" spans="1:65" ht="14">
      <c r="A21" s="36">
        <v>43151</v>
      </c>
      <c r="B21" s="19">
        <v>1745</v>
      </c>
      <c r="C21" s="19">
        <v>1815</v>
      </c>
      <c r="D21" s="20" t="str">
        <f>CHOOSE(WEEKDAY(A21),"Fred/Anne", "Jane", "Phil/Tom","Sue/Panos","Shawn/Owens","Jeff", "Rob")</f>
        <v>Phil/Tom</v>
      </c>
      <c r="E21" s="104" t="s">
        <v>33</v>
      </c>
      <c r="F21" s="21">
        <v>0.73958333333333337</v>
      </c>
      <c r="G21" s="21">
        <v>0.73958333333333337</v>
      </c>
      <c r="H21" s="11">
        <f t="shared" si="0"/>
        <v>0</v>
      </c>
      <c r="I21" s="162">
        <v>0</v>
      </c>
      <c r="J21" s="20">
        <v>32</v>
      </c>
      <c r="K21" s="22">
        <v>32</v>
      </c>
      <c r="L21" s="22" t="s">
        <v>207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12">
        <f t="shared" si="1"/>
        <v>0</v>
      </c>
      <c r="Z21" s="12">
        <f t="shared" si="2"/>
        <v>0</v>
      </c>
      <c r="AA21" s="13">
        <f t="shared" si="3"/>
        <v>0</v>
      </c>
      <c r="AB21" s="13">
        <f t="shared" si="4"/>
        <v>0</v>
      </c>
      <c r="AC21" s="14">
        <v>0.2</v>
      </c>
      <c r="AD21" s="22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</row>
    <row r="22" spans="1:65" ht="14">
      <c r="A22" s="38">
        <v>43152</v>
      </c>
      <c r="B22">
        <v>1747</v>
      </c>
      <c r="C22">
        <v>1817</v>
      </c>
      <c r="D22" s="9" t="str">
        <f>CHOOSE(WEEKDAY(A22),"Fred/Anne", "Jane", "Phil","Sue/Panos","Shawn/Owens","Jeff", "Rob")</f>
        <v>Sue/Panos</v>
      </c>
      <c r="E22" s="100" t="s">
        <v>33</v>
      </c>
      <c r="F22" s="10"/>
      <c r="G22" s="10"/>
      <c r="H22" s="11">
        <f t="shared" si="0"/>
        <v>0</v>
      </c>
      <c r="I22" s="161"/>
      <c r="J22" s="9"/>
      <c r="K22" s="15"/>
      <c r="L22" s="15" t="s">
        <v>208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12">
        <f t="shared" si="1"/>
        <v>0</v>
      </c>
      <c r="Z22" s="12">
        <f t="shared" si="2"/>
        <v>0</v>
      </c>
      <c r="AA22" s="13">
        <f t="shared" si="3"/>
        <v>0</v>
      </c>
      <c r="AB22" s="13">
        <f t="shared" si="4"/>
        <v>0</v>
      </c>
      <c r="AC22" s="14">
        <v>0.28999999999999998</v>
      </c>
      <c r="AD22" s="15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</row>
    <row r="23" spans="1:65" ht="28">
      <c r="A23" s="38">
        <v>43153</v>
      </c>
      <c r="B23" s="19">
        <v>1748</v>
      </c>
      <c r="C23" s="19">
        <v>1818</v>
      </c>
      <c r="D23" s="20" t="str">
        <f>CHOOSE(WEEKDAY(A23),"Fred/Anne", "Jane", "Phil","Sue/Panos","Shawn/Orems","Jeff", "Rob")</f>
        <v>Shawn/Orems</v>
      </c>
      <c r="E23" s="104" t="s">
        <v>33</v>
      </c>
      <c r="F23" s="21"/>
      <c r="G23" s="21"/>
      <c r="H23" s="11">
        <f t="shared" si="0"/>
        <v>0</v>
      </c>
      <c r="I23" s="162"/>
      <c r="J23" s="20">
        <v>32</v>
      </c>
      <c r="K23" s="22"/>
      <c r="L23" s="22" t="s">
        <v>209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12">
        <f t="shared" si="1"/>
        <v>0</v>
      </c>
      <c r="Z23" s="12">
        <f t="shared" si="2"/>
        <v>0</v>
      </c>
      <c r="AA23" s="13">
        <f t="shared" si="3"/>
        <v>0</v>
      </c>
      <c r="AB23" s="13">
        <f t="shared" si="4"/>
        <v>0</v>
      </c>
      <c r="AC23" s="14">
        <v>0.39</v>
      </c>
      <c r="AD23" s="22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</row>
    <row r="24" spans="1:65" ht="14">
      <c r="A24" s="38">
        <v>43154</v>
      </c>
      <c r="B24">
        <v>1749</v>
      </c>
      <c r="C24">
        <v>1819</v>
      </c>
      <c r="D24" s="9" t="str">
        <f t="shared" ref="D24:D27" si="8">CHOOSE(WEEKDAY(A24),"Fred/Anne", "Jane", "Phil","Sue/Panos","Shawn/Owens","Jeff", "Rob")</f>
        <v>Jeff</v>
      </c>
      <c r="E24" s="100" t="s">
        <v>30</v>
      </c>
      <c r="F24" s="10">
        <v>0.76736111111111116</v>
      </c>
      <c r="G24" s="10">
        <v>0.77430555555555558</v>
      </c>
      <c r="H24" s="11">
        <f t="shared" si="0"/>
        <v>6.9444444444444198E-3</v>
      </c>
      <c r="I24" s="161">
        <v>0.17</v>
      </c>
      <c r="J24" s="9">
        <v>34</v>
      </c>
      <c r="K24" s="15">
        <v>34</v>
      </c>
      <c r="L24" s="15" t="s">
        <v>210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12">
        <f t="shared" si="1"/>
        <v>0</v>
      </c>
      <c r="Z24" s="12">
        <f t="shared" si="2"/>
        <v>0</v>
      </c>
      <c r="AA24" s="13">
        <f t="shared" si="3"/>
        <v>0</v>
      </c>
      <c r="AB24" s="13">
        <f t="shared" si="4"/>
        <v>0</v>
      </c>
      <c r="AC24" s="14">
        <v>0.5</v>
      </c>
      <c r="AD24" s="15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</row>
    <row r="25" spans="1:65" ht="13">
      <c r="A25" s="38">
        <v>43155</v>
      </c>
      <c r="B25" s="19">
        <v>1751</v>
      </c>
      <c r="C25" s="19">
        <v>1821</v>
      </c>
      <c r="D25" s="20" t="str">
        <f t="shared" si="8"/>
        <v>Rob</v>
      </c>
      <c r="E25" s="104" t="s">
        <v>40</v>
      </c>
      <c r="F25" s="21">
        <v>0.75</v>
      </c>
      <c r="G25" s="21">
        <v>0.76041666666666663</v>
      </c>
      <c r="H25" s="11">
        <f t="shared" si="0"/>
        <v>1.041666666666663E-2</v>
      </c>
      <c r="I25" s="162">
        <v>0.25</v>
      </c>
      <c r="J25" s="20">
        <v>38</v>
      </c>
      <c r="K25" s="22"/>
      <c r="L25" s="22"/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12">
        <f t="shared" si="1"/>
        <v>0</v>
      </c>
      <c r="Z25" s="12">
        <f t="shared" si="2"/>
        <v>0</v>
      </c>
      <c r="AA25" s="13">
        <f t="shared" si="3"/>
        <v>0</v>
      </c>
      <c r="AB25" s="13">
        <f t="shared" si="4"/>
        <v>0</v>
      </c>
      <c r="AC25" s="14">
        <v>0.61</v>
      </c>
      <c r="AD25" s="22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</row>
    <row r="26" spans="1:65" ht="13">
      <c r="A26" s="38">
        <v>43156</v>
      </c>
      <c r="B26">
        <v>1752</v>
      </c>
      <c r="C26">
        <v>1822</v>
      </c>
      <c r="D26" s="9" t="str">
        <f t="shared" si="8"/>
        <v>Fred/Anne</v>
      </c>
      <c r="E26" s="100"/>
      <c r="F26" s="10"/>
      <c r="G26" s="10"/>
      <c r="H26" s="11">
        <f t="shared" si="0"/>
        <v>0</v>
      </c>
      <c r="I26" s="161"/>
      <c r="J26" s="9"/>
      <c r="K26" s="15"/>
      <c r="L26" s="15"/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12">
        <f t="shared" si="1"/>
        <v>0</v>
      </c>
      <c r="Z26" s="12">
        <f t="shared" si="2"/>
        <v>0</v>
      </c>
      <c r="AA26" s="13">
        <f t="shared" si="3"/>
        <v>0</v>
      </c>
      <c r="AB26" s="13">
        <f t="shared" si="4"/>
        <v>0</v>
      </c>
      <c r="AC26" s="14">
        <v>0.72</v>
      </c>
      <c r="AD26" s="15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</row>
    <row r="27" spans="1:65" ht="14">
      <c r="A27" s="39">
        <v>43157</v>
      </c>
      <c r="B27" s="19">
        <v>1754</v>
      </c>
      <c r="C27" s="19">
        <v>1823</v>
      </c>
      <c r="D27" s="20" t="str">
        <f t="shared" si="8"/>
        <v>Jane</v>
      </c>
      <c r="E27" s="104" t="s">
        <v>33</v>
      </c>
      <c r="F27" s="21">
        <v>0.75</v>
      </c>
      <c r="G27" s="21">
        <v>0.75</v>
      </c>
      <c r="H27" s="11">
        <f t="shared" si="0"/>
        <v>0</v>
      </c>
      <c r="I27" s="162"/>
      <c r="J27" s="20">
        <v>41</v>
      </c>
      <c r="K27" s="22">
        <v>41</v>
      </c>
      <c r="L27" s="22" t="s">
        <v>35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12">
        <f t="shared" si="1"/>
        <v>0</v>
      </c>
      <c r="Z27" s="12">
        <f t="shared" si="2"/>
        <v>0</v>
      </c>
      <c r="AA27" s="13">
        <f t="shared" si="3"/>
        <v>0</v>
      </c>
      <c r="AB27" s="13">
        <f t="shared" si="4"/>
        <v>0</v>
      </c>
      <c r="AC27" s="14">
        <v>0.82</v>
      </c>
      <c r="AD27" s="22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</row>
    <row r="28" spans="1:65" ht="28">
      <c r="A28" s="39">
        <v>43158</v>
      </c>
      <c r="B28">
        <v>1755</v>
      </c>
      <c r="C28">
        <v>1825</v>
      </c>
      <c r="D28" s="9" t="str">
        <f>CHOOSE(WEEKDAY(A28),"Fred/Anne", "Jane", "Phil/Tom","Sue/Panos","Shawn/Owens","Jeff", "Rob")</f>
        <v>Phil/Tom</v>
      </c>
      <c r="E28" s="100" t="s">
        <v>30</v>
      </c>
      <c r="F28" s="10">
        <v>0.76388888888888884</v>
      </c>
      <c r="G28" s="26">
        <v>0.79861111111111116</v>
      </c>
      <c r="H28" s="11">
        <f t="shared" si="0"/>
        <v>3.4722222222222321E-2</v>
      </c>
      <c r="I28" s="161">
        <v>0.75</v>
      </c>
      <c r="J28" s="9">
        <v>43</v>
      </c>
      <c r="K28" s="15">
        <v>42</v>
      </c>
      <c r="L28" s="15" t="s">
        <v>211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12">
        <f t="shared" si="1"/>
        <v>0</v>
      </c>
      <c r="Z28" s="12">
        <f t="shared" si="2"/>
        <v>0</v>
      </c>
      <c r="AA28" s="13">
        <f t="shared" si="3"/>
        <v>0</v>
      </c>
      <c r="AB28" s="13">
        <f t="shared" si="4"/>
        <v>0</v>
      </c>
      <c r="AC28" s="14">
        <v>0.9</v>
      </c>
      <c r="AD28" s="35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</row>
    <row r="29" spans="1:65" ht="28">
      <c r="A29" s="39">
        <v>43159</v>
      </c>
      <c r="B29" s="19">
        <v>1756</v>
      </c>
      <c r="C29" s="19">
        <v>1826</v>
      </c>
      <c r="D29" s="20" t="str">
        <f>CHOOSE(WEEKDAY(A29),"Fred/Anne", "Jane", "Phil","Sue/Panos","Shawn/Owens","Jeff", "Rob")</f>
        <v>Sue/Panos</v>
      </c>
      <c r="E29" s="104" t="s">
        <v>30</v>
      </c>
      <c r="F29" s="21">
        <v>0.77083333333333337</v>
      </c>
      <c r="G29" s="21">
        <v>0.78472222222222221</v>
      </c>
      <c r="H29" s="11">
        <f t="shared" si="0"/>
        <v>1.388888888888884E-2</v>
      </c>
      <c r="I29" s="162">
        <v>0.25</v>
      </c>
      <c r="J29" s="20">
        <v>43</v>
      </c>
      <c r="K29" s="22">
        <v>43</v>
      </c>
      <c r="L29" s="22" t="s">
        <v>212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12">
        <f t="shared" si="1"/>
        <v>0</v>
      </c>
      <c r="Z29" s="12">
        <f t="shared" si="2"/>
        <v>0</v>
      </c>
      <c r="AA29" s="13">
        <f t="shared" si="3"/>
        <v>0</v>
      </c>
      <c r="AB29" s="13">
        <f t="shared" si="4"/>
        <v>0</v>
      </c>
      <c r="AC29" s="14">
        <v>0.96</v>
      </c>
      <c r="AD29" s="22" t="s">
        <v>213</v>
      </c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</row>
    <row r="30" spans="1:65" ht="14">
      <c r="A30" s="176">
        <v>43170</v>
      </c>
      <c r="B30" s="46" t="s">
        <v>50</v>
      </c>
      <c r="C30" s="46" t="s">
        <v>50</v>
      </c>
      <c r="D30" s="113" t="s">
        <v>114</v>
      </c>
      <c r="E30" s="116" t="s">
        <v>30</v>
      </c>
      <c r="F30" s="117">
        <v>0.78125</v>
      </c>
      <c r="G30" s="117">
        <v>0.77777777777777779</v>
      </c>
      <c r="H30" s="11">
        <f t="shared" si="0"/>
        <v>-3.4722222222222099E-3</v>
      </c>
      <c r="I30" s="177"/>
      <c r="J30" s="113">
        <v>60</v>
      </c>
      <c r="K30" s="178">
        <v>53</v>
      </c>
      <c r="L30" s="178" t="s">
        <v>35</v>
      </c>
      <c r="M30" s="46">
        <v>0</v>
      </c>
      <c r="N30" s="46">
        <v>0</v>
      </c>
      <c r="O30" s="46">
        <v>0</v>
      </c>
      <c r="P30" s="46">
        <v>0</v>
      </c>
      <c r="Q30" s="46">
        <v>0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12">
        <v>0</v>
      </c>
      <c r="Z30" s="12">
        <v>0</v>
      </c>
      <c r="AA30" s="12">
        <v>0</v>
      </c>
      <c r="AB30" s="12">
        <v>0</v>
      </c>
      <c r="AC30" s="14" t="s">
        <v>51</v>
      </c>
      <c r="AD30" s="179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</row>
    <row r="31" spans="1:65" ht="13">
      <c r="A31" s="180" t="s">
        <v>49</v>
      </c>
      <c r="B31" s="20" t="s">
        <v>50</v>
      </c>
      <c r="C31" s="20" t="s">
        <v>50</v>
      </c>
      <c r="D31" s="19"/>
      <c r="E31" s="19"/>
      <c r="F31" s="19"/>
      <c r="G31" s="19"/>
      <c r="H31" s="11">
        <f t="shared" si="0"/>
        <v>0</v>
      </c>
      <c r="I31" s="19"/>
      <c r="J31" s="19"/>
      <c r="K31" s="164"/>
      <c r="L31" s="19"/>
      <c r="M31" s="20" t="s">
        <v>50</v>
      </c>
      <c r="N31" s="20" t="s">
        <v>50</v>
      </c>
      <c r="O31" s="20" t="s">
        <v>50</v>
      </c>
      <c r="P31" s="20" t="s">
        <v>50</v>
      </c>
      <c r="Q31" s="20" t="s">
        <v>50</v>
      </c>
      <c r="R31" s="20" t="s">
        <v>50</v>
      </c>
      <c r="S31" s="20" t="s">
        <v>50</v>
      </c>
      <c r="T31" s="20" t="s">
        <v>50</v>
      </c>
      <c r="U31" s="20" t="s">
        <v>50</v>
      </c>
      <c r="V31" s="20" t="s">
        <v>50</v>
      </c>
      <c r="W31" s="20" t="s">
        <v>50</v>
      </c>
      <c r="X31" s="20" t="s">
        <v>50</v>
      </c>
      <c r="Y31" s="12" t="s">
        <v>50</v>
      </c>
      <c r="Z31" s="12" t="s">
        <v>50</v>
      </c>
      <c r="AA31" s="12" t="s">
        <v>50</v>
      </c>
      <c r="AB31" s="12" t="s">
        <v>50</v>
      </c>
      <c r="AC31" s="14" t="s">
        <v>51</v>
      </c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</row>
    <row r="32" spans="1:65" ht="13">
      <c r="A32" s="180" t="s">
        <v>49</v>
      </c>
      <c r="B32" s="46" t="s">
        <v>50</v>
      </c>
      <c r="C32" s="46" t="s">
        <v>50</v>
      </c>
      <c r="D32" s="17"/>
      <c r="E32" s="17"/>
      <c r="F32" s="17"/>
      <c r="G32" s="17"/>
      <c r="H32" s="11">
        <f t="shared" si="0"/>
        <v>0</v>
      </c>
      <c r="I32" s="17"/>
      <c r="J32" s="17"/>
      <c r="K32" s="35"/>
      <c r="L32" s="17"/>
      <c r="M32" s="46" t="s">
        <v>50</v>
      </c>
      <c r="N32" s="46" t="s">
        <v>50</v>
      </c>
      <c r="O32" s="46" t="s">
        <v>50</v>
      </c>
      <c r="P32" s="46" t="s">
        <v>50</v>
      </c>
      <c r="Q32" s="46" t="s">
        <v>50</v>
      </c>
      <c r="R32" s="46" t="s">
        <v>50</v>
      </c>
      <c r="S32" s="46" t="s">
        <v>50</v>
      </c>
      <c r="T32" s="46" t="s">
        <v>50</v>
      </c>
      <c r="U32" s="46" t="s">
        <v>50</v>
      </c>
      <c r="V32" s="46" t="s">
        <v>50</v>
      </c>
      <c r="W32" s="46" t="s">
        <v>50</v>
      </c>
      <c r="X32" s="46" t="s">
        <v>50</v>
      </c>
      <c r="Y32" s="12" t="s">
        <v>50</v>
      </c>
      <c r="Z32" s="12" t="s">
        <v>50</v>
      </c>
      <c r="AA32" s="12" t="s">
        <v>50</v>
      </c>
      <c r="AB32" s="12" t="s">
        <v>50</v>
      </c>
      <c r="AC32" s="14" t="s">
        <v>51</v>
      </c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</row>
    <row r="33" spans="1:65" ht="13">
      <c r="A33" s="17"/>
      <c r="D33" s="17"/>
      <c r="E33" s="52" t="s">
        <v>52</v>
      </c>
      <c r="F33" s="129"/>
      <c r="H33" s="53">
        <f>SUM(H3:H32)</f>
        <v>0.78819444444444453</v>
      </c>
      <c r="I33" s="119">
        <f>SUM(I2:I29)</f>
        <v>46.524166666666673</v>
      </c>
      <c r="J33" s="17"/>
      <c r="K33" s="35"/>
      <c r="L33" s="15"/>
      <c r="M33" s="181">
        <f t="shared" ref="M33:Z33" si="9">SUM(M2:M29)</f>
        <v>12</v>
      </c>
      <c r="N33" s="181">
        <f t="shared" si="9"/>
        <v>0</v>
      </c>
      <c r="O33" s="181">
        <f t="shared" si="9"/>
        <v>1</v>
      </c>
      <c r="P33" s="181">
        <f t="shared" si="9"/>
        <v>0</v>
      </c>
      <c r="Q33" s="181">
        <f t="shared" si="9"/>
        <v>7</v>
      </c>
      <c r="R33" s="181">
        <f t="shared" si="9"/>
        <v>0</v>
      </c>
      <c r="S33" s="181">
        <f t="shared" si="9"/>
        <v>1</v>
      </c>
      <c r="T33" s="181">
        <f t="shared" si="9"/>
        <v>0</v>
      </c>
      <c r="U33" s="181">
        <f t="shared" si="9"/>
        <v>0</v>
      </c>
      <c r="V33" s="181">
        <f t="shared" si="9"/>
        <v>2</v>
      </c>
      <c r="W33" s="181">
        <f t="shared" si="9"/>
        <v>2</v>
      </c>
      <c r="X33" s="181">
        <f t="shared" si="9"/>
        <v>0</v>
      </c>
      <c r="Y33" s="181">
        <f t="shared" si="9"/>
        <v>13</v>
      </c>
      <c r="Z33" s="181">
        <f t="shared" si="9"/>
        <v>8</v>
      </c>
      <c r="AA33" s="57">
        <f t="shared" ref="AA33:AB33" si="10">SUM(AA2:AA32)</f>
        <v>12</v>
      </c>
      <c r="AB33" s="57">
        <f t="shared" si="10"/>
        <v>7</v>
      </c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</row>
    <row r="34" spans="1:65" ht="13">
      <c r="A34" s="17"/>
      <c r="B34" s="17"/>
      <c r="D34" s="17"/>
      <c r="E34" s="58" t="s">
        <v>53</v>
      </c>
      <c r="F34" s="59"/>
      <c r="H34" s="60">
        <f>'November 2017'!H$33+'December 2017'!H$33+'January 2018'!H$33+'February 2018'!H$33</f>
        <v>3.6687499999999993</v>
      </c>
      <c r="I34" s="61">
        <f>'November 2017'!I$33+'December 2017'!I$33+'January 2018'!I$33+'February 2018'!I$33</f>
        <v>324.8298611111112</v>
      </c>
      <c r="J34" s="51"/>
      <c r="K34" s="51"/>
      <c r="L34" s="51"/>
      <c r="M34" s="62">
        <f>'November 2017'!M$33+'December 2017'!M$33+'January 2018'!M$33+'February 2018'!M$33</f>
        <v>126</v>
      </c>
      <c r="N34" s="62">
        <f>'November 2017'!N$33+'December 2017'!N$33+'January 2018'!N$33+'February 2018'!N$33</f>
        <v>281</v>
      </c>
      <c r="O34" s="62">
        <f>'November 2017'!O$33+'December 2017'!O$33+'January 2018'!O$33+'February 2018'!O$33</f>
        <v>5</v>
      </c>
      <c r="P34" s="62">
        <f>'November 2017'!P$33+'December 2017'!P$33+'January 2018'!P$33+'February 2018'!P$33</f>
        <v>8</v>
      </c>
      <c r="Q34" s="62">
        <f>'November 2017'!Q$33+'December 2017'!Q$33+'January 2018'!Q$33+'February 2018'!Q$33</f>
        <v>15</v>
      </c>
      <c r="R34" s="62">
        <f>'November 2017'!R$33+'December 2017'!R$33+'January 2018'!R$33+'February 2018'!R$33</f>
        <v>0</v>
      </c>
      <c r="S34" s="62">
        <f>'November 2017'!S$33+'December 2017'!S$33+'January 2018'!S$33+'February 2018'!S$33</f>
        <v>7</v>
      </c>
      <c r="T34" s="62">
        <f>'November 2017'!T$33+'December 2017'!T$33+'January 2018'!T$33+'February 2018'!T$33</f>
        <v>1</v>
      </c>
      <c r="U34" s="62">
        <f>'November 2017'!U$33+'December 2017'!U$33+'January 2018'!U$33+'February 2018'!U$33</f>
        <v>0</v>
      </c>
      <c r="V34" s="62">
        <f>'November 2017'!V$33+'December 2017'!V$33+'January 2018'!V$33+'February 2018'!V$33</f>
        <v>6</v>
      </c>
      <c r="W34" s="62">
        <f>'November 2017'!W$33+'December 2017'!W$33+'January 2018'!W$33+'February 2018'!W$33</f>
        <v>16</v>
      </c>
      <c r="X34" s="62">
        <f>'November 2017'!X$33+'December 2017'!X$33+'January 2018'!X$33+'February 2018'!X$33</f>
        <v>7</v>
      </c>
      <c r="Y34" s="62">
        <f>'November 2017'!Y$33+'December 2017'!Y$33+'January 2018'!Y$33+'February 2018'!Y$33</f>
        <v>420</v>
      </c>
      <c r="Z34" s="62">
        <f>'November 2017'!Z$33+'December 2017'!Z$33+'January 2018'!Z$33+'February 2018'!Z$33</f>
        <v>23</v>
      </c>
      <c r="AA34" s="63">
        <f>'November 2017'!AA33+'December 2017'!AA33+'January 2018'!AA33+'February 2018'!AA33</f>
        <v>407</v>
      </c>
      <c r="AB34" s="63">
        <f>'November 2017'!AB33+'December 2017'!AB33+'January 2018'!AB33+'February 2018'!AB33</f>
        <v>16</v>
      </c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</row>
    <row r="35" spans="1:65" ht="13">
      <c r="A35" s="17"/>
      <c r="B35" s="51"/>
      <c r="C35" s="182"/>
      <c r="D35" s="51"/>
      <c r="E35" s="58" t="s">
        <v>54</v>
      </c>
      <c r="F35" s="59"/>
      <c r="H35" s="60">
        <f>'November 2017'!H$33+'December 2017'!H$33+'January 2018'!H$33+'February 2018'!H$33+'March 2018'!H$33+'April 2018'!H$33</f>
        <v>5.1930555555555555</v>
      </c>
      <c r="I35" s="61">
        <f>'November 2017'!I33+'December 2017'!I33+'January 2018'!I33+'February 2018'!I33+'March 2018'!I33+'April 2018'!I33</f>
        <v>486.30986111111122</v>
      </c>
      <c r="J35" s="51"/>
      <c r="K35" s="51"/>
      <c r="L35" s="51"/>
      <c r="M35" s="62">
        <f>'November 2017'!M33+'December 2017'!M33+'January 2018'!M33+'February 2018'!M33+'March 2018'!M33+'April 2018'!M33</f>
        <v>135</v>
      </c>
      <c r="N35" s="62">
        <f>'November 2017'!N33+'December 2017'!N33+'January 2018'!N33+'February 2018'!N33+'March 2018'!N33+'April 2018'!N33</f>
        <v>281</v>
      </c>
      <c r="O35" s="62">
        <f>'November 2017'!O33+'December 2017'!O33+'January 2018'!O33+'February 2018'!O33+'March 2018'!O33+'April 2018'!O33</f>
        <v>7</v>
      </c>
      <c r="P35" s="62">
        <f>'November 2017'!P33+'December 2017'!P33+'January 2018'!P33+'February 2018'!P33+'March 2018'!P33+'April 2018'!P33</f>
        <v>10</v>
      </c>
      <c r="Q35" s="62">
        <f>'November 2017'!Q33+'December 2017'!Q33+'January 2018'!Q33+'February 2018'!Q33+'March 2018'!Q33+'April 2018'!Q33</f>
        <v>104</v>
      </c>
      <c r="R35" s="62">
        <f>'November 2017'!R33+'December 2017'!R33+'January 2018'!R33+'February 2018'!R33+'March 2018'!R33+'April 2018'!R33</f>
        <v>165</v>
      </c>
      <c r="S35" s="62">
        <f>'November 2017'!S33+'December 2017'!S33+'January 2018'!S33+'February 2018'!S33+'March 2018'!S33+'April 2018'!S33</f>
        <v>9</v>
      </c>
      <c r="T35" s="62">
        <f>'November 2017'!T33+'December 2017'!T33+'January 2018'!T33+'February 2018'!T33+'March 2018'!T33+'April 2018'!T33</f>
        <v>7</v>
      </c>
      <c r="U35" s="62">
        <f>'November 2017'!U33+'December 2017'!U33+'January 2018'!U33+'February 2018'!U33+'March 2018'!U33+'April 2018'!U33</f>
        <v>12</v>
      </c>
      <c r="V35" s="62">
        <f>'November 2017'!V33+'December 2017'!V33+'January 2018'!V33+'February 2018'!V33+'March 2018'!V33+'April 2018'!V33</f>
        <v>8</v>
      </c>
      <c r="W35" s="62">
        <f>'November 2017'!W33+'December 2017'!W33+'January 2018'!W33+'February 2018'!W33+'March 2018'!W33+'April 2018'!W33</f>
        <v>17</v>
      </c>
      <c r="X35" s="62">
        <f>'November 2017'!X33+'December 2017'!X33+'January 2018'!X33+'February 2018'!X33+'March 2018'!X33+'April 2018'!X33</f>
        <v>14</v>
      </c>
      <c r="Y35" s="62">
        <f>'November 2017'!Y33+'December 2017'!Y33+'January 2018'!Y33+'February 2018'!Y33+'March 2018'!Y33+'April 2018'!Y33</f>
        <v>433</v>
      </c>
      <c r="Z35" s="62">
        <f>'November 2017'!Z33+'December 2017'!Z33+'January 2018'!Z33+'February 2018'!Z33+'March 2018'!Z33+'April 2018'!Z33</f>
        <v>297</v>
      </c>
      <c r="AA35" s="62">
        <f>'November 2017'!AA33+'December 2017'!AA33+'January 2018'!AA33+'February 2018'!AA33+'March 2018'!AA33+'April 2018'!AA33</f>
        <v>416</v>
      </c>
      <c r="AB35" s="62">
        <f>'November 2017'!AB33+'December 2017'!AB33+'January 2018'!AB33+'February 2018'!AB33+'March 2018'!AB33+'April 2018'!AB33</f>
        <v>282</v>
      </c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</row>
    <row r="36" spans="1:65" ht="13">
      <c r="A36" s="51"/>
      <c r="B36" s="51"/>
      <c r="C36" s="51"/>
      <c r="D36" s="51"/>
      <c r="E36" s="52" t="s">
        <v>55</v>
      </c>
      <c r="F36" s="51"/>
      <c r="G36" s="51"/>
      <c r="H36" s="51"/>
      <c r="I36" s="51"/>
      <c r="J36" s="51"/>
      <c r="K36" s="51"/>
      <c r="L36" s="51"/>
      <c r="M36" s="66"/>
      <c r="N36" s="67"/>
      <c r="O36" s="67"/>
      <c r="P36" s="68"/>
      <c r="Q36" s="68"/>
      <c r="R36" s="68"/>
      <c r="S36" s="68"/>
      <c r="T36" s="69"/>
      <c r="U36" s="70"/>
      <c r="V36" s="69"/>
      <c r="W36" s="69"/>
      <c r="X36" s="71"/>
      <c r="Y36" s="68">
        <v>834</v>
      </c>
      <c r="Z36" s="68">
        <v>751</v>
      </c>
      <c r="AA36" s="68"/>
      <c r="AB36" s="71"/>
      <c r="AC36" s="71"/>
      <c r="AD36" s="71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7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17"/>
      <c r="BL36" s="17"/>
      <c r="BM36" s="17"/>
    </row>
    <row r="37" spans="1:65" ht="13">
      <c r="A37" s="51"/>
      <c r="B37" s="51"/>
      <c r="C37" s="51"/>
      <c r="D37" s="51"/>
      <c r="E37" s="52" t="s">
        <v>56</v>
      </c>
      <c r="F37" s="51"/>
      <c r="G37" s="51"/>
      <c r="H37" s="51"/>
      <c r="I37" s="51"/>
      <c r="J37" s="51"/>
      <c r="K37" s="51"/>
      <c r="L37" s="51"/>
      <c r="M37" s="66"/>
      <c r="N37" s="67"/>
      <c r="O37" s="67"/>
      <c r="P37" s="68"/>
      <c r="Q37" s="68"/>
      <c r="R37" s="68"/>
      <c r="S37" s="68"/>
      <c r="T37" s="69"/>
      <c r="U37" s="70"/>
      <c r="V37" s="69"/>
      <c r="W37" s="69"/>
      <c r="X37" s="71"/>
      <c r="Y37" s="68">
        <v>688</v>
      </c>
      <c r="Z37" s="68">
        <v>1040</v>
      </c>
      <c r="AA37" s="68"/>
      <c r="AB37" s="71"/>
      <c r="AC37" s="71"/>
      <c r="AD37" s="71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7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17"/>
      <c r="BL37" s="17"/>
      <c r="BM37" s="17"/>
    </row>
    <row r="38" spans="1:65" ht="13">
      <c r="A38" s="51"/>
      <c r="B38" s="51"/>
      <c r="C38" s="51"/>
      <c r="D38" s="72"/>
      <c r="E38" s="52" t="s">
        <v>57</v>
      </c>
      <c r="F38" s="51"/>
      <c r="G38" s="51"/>
      <c r="H38" s="51"/>
      <c r="I38" s="51"/>
      <c r="J38" s="51"/>
      <c r="K38" s="51"/>
      <c r="L38" s="72"/>
      <c r="M38" s="73"/>
      <c r="N38" s="74"/>
      <c r="O38" s="74"/>
      <c r="P38" s="75"/>
      <c r="Q38" s="75"/>
      <c r="R38" s="76"/>
      <c r="S38" s="76"/>
      <c r="T38" s="77"/>
      <c r="U38" s="78"/>
      <c r="V38" s="75"/>
      <c r="W38" s="75"/>
      <c r="X38" s="79"/>
      <c r="Y38" s="75">
        <v>695</v>
      </c>
      <c r="Z38" s="75">
        <v>750</v>
      </c>
      <c r="AA38" s="75"/>
      <c r="AB38" s="79"/>
      <c r="AC38" s="79"/>
      <c r="AD38" s="79"/>
      <c r="AE38" s="52"/>
      <c r="AF38" s="52"/>
      <c r="AG38" s="52"/>
      <c r="AH38" s="52"/>
      <c r="AI38" s="52"/>
      <c r="AJ38" s="52"/>
      <c r="AK38" s="75"/>
      <c r="AL38" s="75"/>
      <c r="AM38" s="80"/>
      <c r="AN38" s="80"/>
      <c r="AO38" s="80"/>
      <c r="AP38" s="79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17"/>
      <c r="BL38" s="17"/>
      <c r="BM38" s="17"/>
    </row>
    <row r="39" spans="1:65" ht="13">
      <c r="A39" s="51"/>
      <c r="B39" s="51"/>
      <c r="C39" s="51"/>
      <c r="D39" s="72"/>
      <c r="E39" s="52" t="s">
        <v>58</v>
      </c>
      <c r="F39" s="51"/>
      <c r="G39" s="51"/>
      <c r="H39" s="51"/>
      <c r="I39" s="51"/>
      <c r="J39" s="51"/>
      <c r="K39" s="51"/>
      <c r="L39" s="72"/>
      <c r="M39" s="73"/>
      <c r="N39" s="74"/>
      <c r="O39" s="74"/>
      <c r="P39" s="75"/>
      <c r="Q39" s="75"/>
      <c r="R39" s="76"/>
      <c r="S39" s="76"/>
      <c r="T39" s="77"/>
      <c r="U39" s="78"/>
      <c r="V39" s="75"/>
      <c r="W39" s="75"/>
      <c r="X39" s="79"/>
      <c r="Y39" s="75">
        <v>580</v>
      </c>
      <c r="Z39" s="75">
        <v>572</v>
      </c>
      <c r="AA39" s="75"/>
      <c r="AB39" s="79"/>
      <c r="AC39" s="79"/>
      <c r="AD39" s="79"/>
      <c r="AE39" s="52"/>
      <c r="AF39" s="52"/>
      <c r="AG39" s="52"/>
      <c r="AH39" s="52"/>
      <c r="AI39" s="52"/>
      <c r="AJ39" s="52"/>
      <c r="AK39" s="75"/>
      <c r="AL39" s="75"/>
      <c r="AM39" s="80"/>
      <c r="AN39" s="80"/>
      <c r="AO39" s="80"/>
      <c r="AP39" s="79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17"/>
      <c r="BL39" s="17"/>
      <c r="BM39" s="17"/>
    </row>
    <row r="40" spans="1:65" ht="13">
      <c r="A40" s="9"/>
      <c r="B40" s="17"/>
      <c r="C40" s="17"/>
      <c r="D40" s="17"/>
      <c r="E40" s="17"/>
      <c r="F40" s="17"/>
      <c r="G40" s="17"/>
      <c r="H40" s="183"/>
      <c r="I40" s="183"/>
      <c r="J40" s="183"/>
      <c r="K40" s="183"/>
      <c r="L40" s="17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</row>
    <row r="41" spans="1:65" ht="13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</row>
    <row r="42" spans="1:65" ht="13">
      <c r="A42" s="9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</row>
    <row r="43" spans="1:65" ht="1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</row>
    <row r="44" spans="1:65" ht="13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</row>
    <row r="45" spans="1:65" ht="13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</row>
    <row r="46" spans="1:65" ht="13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</row>
    <row r="47" spans="1:65" ht="13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</row>
    <row r="48" spans="1:65" ht="13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</row>
    <row r="49" spans="1:65" ht="13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</row>
    <row r="50" spans="1:65" ht="13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</row>
    <row r="51" spans="1:65" ht="13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</row>
    <row r="52" spans="1:65" ht="13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</row>
    <row r="53" spans="1:65" ht="1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</row>
    <row r="54" spans="1:65" ht="13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</row>
    <row r="55" spans="1:65" ht="13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</row>
    <row r="56" spans="1:65" ht="13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</row>
    <row r="57" spans="1:65" ht="13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</row>
    <row r="58" spans="1:65" ht="13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</row>
    <row r="59" spans="1:65" ht="13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</row>
    <row r="60" spans="1:65" ht="13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</row>
    <row r="61" spans="1:65" ht="13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</row>
    <row r="62" spans="1:65" ht="13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</row>
    <row r="63" spans="1:65" ht="1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</row>
    <row r="64" spans="1:65" ht="13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</row>
    <row r="65" spans="1:65" ht="13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</row>
    <row r="66" spans="1:65" ht="13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</row>
    <row r="67" spans="1:65" ht="13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</row>
    <row r="68" spans="1:65" ht="13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</row>
    <row r="69" spans="1:65" ht="13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</row>
    <row r="70" spans="1:65" ht="13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</row>
    <row r="71" spans="1:65" ht="13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</row>
    <row r="72" spans="1:65" ht="13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</row>
    <row r="73" spans="1:65" ht="1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</row>
    <row r="74" spans="1:65" ht="13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</row>
    <row r="75" spans="1:65" ht="13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</row>
    <row r="76" spans="1:65" ht="13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</row>
    <row r="77" spans="1:65" ht="13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</row>
    <row r="78" spans="1:65" ht="13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</row>
    <row r="79" spans="1:65" ht="13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</row>
    <row r="80" spans="1:65" ht="13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</row>
    <row r="81" spans="1:65" ht="13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</row>
    <row r="82" spans="1:65" ht="13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</row>
    <row r="83" spans="1:65" ht="1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</row>
    <row r="84" spans="1:65" ht="13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</row>
    <row r="85" spans="1:65" ht="13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</row>
    <row r="86" spans="1:65" ht="1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</row>
    <row r="87" spans="1:65" ht="1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</row>
    <row r="88" spans="1:65" ht="13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</row>
    <row r="89" spans="1:65" ht="13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</row>
    <row r="90" spans="1:65" ht="13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</row>
    <row r="91" spans="1:65" ht="13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</row>
    <row r="92" spans="1:65" ht="13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</row>
    <row r="93" spans="1:65" ht="1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</row>
    <row r="94" spans="1:65" ht="13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</row>
    <row r="95" spans="1:65" ht="13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</row>
    <row r="96" spans="1:65" ht="13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</row>
    <row r="97" spans="1:65" ht="13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</row>
    <row r="98" spans="1:65" ht="13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</row>
    <row r="99" spans="1:65" ht="13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</row>
    <row r="100" spans="1:65" ht="13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</row>
    <row r="101" spans="1:65" ht="13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</row>
    <row r="102" spans="1:65" ht="13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</row>
    <row r="103" spans="1:65" ht="1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</row>
    <row r="104" spans="1:65" ht="13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</row>
    <row r="105" spans="1:65" ht="13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</row>
    <row r="106" spans="1:65" ht="13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</row>
    <row r="107" spans="1:65" ht="13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</row>
    <row r="108" spans="1:65" ht="13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</row>
    <row r="109" spans="1:65" ht="13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</row>
    <row r="110" spans="1:65" ht="13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</row>
    <row r="111" spans="1:65" ht="13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</row>
    <row r="112" spans="1:65" ht="13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</row>
    <row r="113" spans="1:65" ht="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</row>
    <row r="114" spans="1:65" ht="13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</row>
    <row r="115" spans="1:65" ht="13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</row>
    <row r="116" spans="1:65" ht="13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</row>
    <row r="117" spans="1:65" ht="13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</row>
    <row r="118" spans="1:65" ht="13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</row>
    <row r="119" spans="1:65" ht="13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</row>
    <row r="120" spans="1:65" ht="13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</row>
    <row r="121" spans="1:65" ht="13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</row>
    <row r="122" spans="1:65" ht="13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</row>
    <row r="123" spans="1:65" ht="1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</row>
    <row r="124" spans="1:65" ht="13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</row>
    <row r="125" spans="1:65" ht="13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</row>
    <row r="126" spans="1:65" ht="13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</row>
    <row r="127" spans="1:65" ht="13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</row>
    <row r="128" spans="1:65" ht="13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</row>
    <row r="129" spans="1:65" ht="13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</row>
    <row r="130" spans="1:65" ht="13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</row>
    <row r="131" spans="1:65" ht="13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</row>
    <row r="132" spans="1:65" ht="13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</row>
    <row r="133" spans="1:65" ht="1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</row>
    <row r="134" spans="1:65" ht="13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</row>
    <row r="135" spans="1:65" ht="13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</row>
    <row r="136" spans="1:65" ht="13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</row>
    <row r="137" spans="1:65" ht="13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</row>
    <row r="138" spans="1:65" ht="13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</row>
    <row r="139" spans="1:65" ht="13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</row>
    <row r="140" spans="1:65" ht="13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</row>
    <row r="141" spans="1:65" ht="13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</row>
    <row r="142" spans="1:65" ht="13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</row>
    <row r="143" spans="1:65" ht="1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</row>
    <row r="144" spans="1:65" ht="13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</row>
    <row r="145" spans="1:65" ht="13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</row>
    <row r="146" spans="1:65" ht="13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</row>
    <row r="147" spans="1:65" ht="13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</row>
    <row r="148" spans="1:65" ht="13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</row>
    <row r="149" spans="1:65" ht="13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</row>
    <row r="150" spans="1:65" ht="13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</row>
    <row r="151" spans="1:65" ht="13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</row>
    <row r="152" spans="1:65" ht="13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</row>
    <row r="153" spans="1:65" ht="1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</row>
    <row r="154" spans="1:65" ht="13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</row>
    <row r="155" spans="1:65" ht="13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</row>
    <row r="156" spans="1:65" ht="13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</row>
    <row r="157" spans="1:65" ht="13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</row>
    <row r="158" spans="1:65" ht="13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</row>
    <row r="159" spans="1:65" ht="13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</row>
    <row r="160" spans="1:65" ht="13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</row>
    <row r="161" spans="1:65" ht="13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</row>
    <row r="162" spans="1:65" ht="13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</row>
    <row r="163" spans="1:65" ht="1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</row>
    <row r="164" spans="1:65" ht="13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</row>
    <row r="165" spans="1:65" ht="13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</row>
    <row r="166" spans="1:65" ht="13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</row>
    <row r="167" spans="1:65" ht="13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</row>
    <row r="168" spans="1:65" ht="13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</row>
    <row r="169" spans="1:65" ht="13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</row>
    <row r="170" spans="1:65" ht="13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</row>
    <row r="171" spans="1:65" ht="13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</row>
    <row r="172" spans="1:65" ht="13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</row>
    <row r="173" spans="1:65" ht="1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</row>
    <row r="174" spans="1:65" ht="13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</row>
    <row r="175" spans="1:65" ht="13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</row>
    <row r="176" spans="1:65" ht="13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</row>
    <row r="177" spans="1:65" ht="13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</row>
    <row r="178" spans="1:65" ht="13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</row>
    <row r="179" spans="1:65" ht="13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</row>
    <row r="180" spans="1:65" ht="13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</row>
    <row r="181" spans="1:65" ht="13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</row>
    <row r="182" spans="1:65" ht="13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</row>
    <row r="183" spans="1:65" ht="1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</row>
    <row r="184" spans="1:65" ht="13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</row>
    <row r="185" spans="1:65" ht="13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</row>
    <row r="186" spans="1:65" ht="13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</row>
    <row r="187" spans="1:65" ht="13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</row>
    <row r="188" spans="1:65" ht="13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</row>
    <row r="189" spans="1:65" ht="13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</row>
    <row r="190" spans="1:65" ht="13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</row>
    <row r="191" spans="1:65" ht="13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</row>
    <row r="192" spans="1:65" ht="13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</row>
    <row r="193" spans="1:65" ht="1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</row>
    <row r="194" spans="1:65" ht="13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</row>
    <row r="195" spans="1:65" ht="13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</row>
    <row r="196" spans="1:65" ht="13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</row>
    <row r="197" spans="1:65" ht="13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</row>
    <row r="198" spans="1:65" ht="13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</row>
    <row r="199" spans="1:65" ht="13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</row>
    <row r="200" spans="1:65" ht="13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</row>
    <row r="201" spans="1:65" ht="13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</row>
    <row r="202" spans="1:65" ht="13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</row>
    <row r="203" spans="1:65" ht="1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</row>
    <row r="204" spans="1:65" ht="13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</row>
    <row r="205" spans="1:65" ht="13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</row>
    <row r="206" spans="1:65" ht="13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</row>
    <row r="207" spans="1:65" ht="13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</row>
    <row r="208" spans="1:65" ht="13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</row>
    <row r="209" spans="1:65" ht="13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</row>
    <row r="210" spans="1:65" ht="13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</row>
    <row r="211" spans="1:65" ht="13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</row>
    <row r="212" spans="1:65" ht="13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</row>
    <row r="213" spans="1:65" ht="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</row>
    <row r="214" spans="1:65" ht="13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</row>
    <row r="215" spans="1:65" ht="13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</row>
    <row r="216" spans="1:65" ht="13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</row>
    <row r="217" spans="1:65" ht="13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</row>
    <row r="218" spans="1:65" ht="13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</row>
    <row r="219" spans="1:65" ht="13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</row>
    <row r="220" spans="1:65" ht="13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</row>
    <row r="221" spans="1:65" ht="13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</row>
    <row r="222" spans="1:65" ht="13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</row>
    <row r="223" spans="1:65" ht="1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</row>
    <row r="224" spans="1:65" ht="13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</row>
    <row r="225" spans="1:65" ht="13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</row>
    <row r="226" spans="1:65" ht="13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</row>
    <row r="227" spans="1:65" ht="13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</row>
    <row r="228" spans="1:65" ht="13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</row>
    <row r="229" spans="1:65" ht="13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</row>
    <row r="230" spans="1:65" ht="13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</row>
    <row r="231" spans="1:65" ht="13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</row>
    <row r="232" spans="1:65" ht="13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</row>
    <row r="233" spans="1:65" ht="1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</row>
    <row r="234" spans="1:65" ht="13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</row>
    <row r="235" spans="1:65" ht="13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</row>
    <row r="236" spans="1:65" ht="13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</row>
    <row r="237" spans="1:65" ht="13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</row>
    <row r="238" spans="1:65" ht="13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</row>
    <row r="239" spans="1:65" ht="13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</row>
    <row r="240" spans="1:65" ht="13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</row>
    <row r="241" spans="1:65" ht="13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</row>
    <row r="242" spans="1:65" ht="13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</row>
    <row r="243" spans="1:65" ht="1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</row>
    <row r="244" spans="1:65" ht="13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</row>
    <row r="245" spans="1:65" ht="13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</row>
    <row r="246" spans="1:65" ht="13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</row>
    <row r="247" spans="1:65" ht="13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</row>
    <row r="248" spans="1:65" ht="13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</row>
    <row r="249" spans="1:65" ht="13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</row>
    <row r="250" spans="1:65" ht="13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</row>
    <row r="251" spans="1:65" ht="13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</row>
    <row r="252" spans="1:65" ht="13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</row>
    <row r="253" spans="1:65" ht="1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</row>
    <row r="254" spans="1:65" ht="13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</row>
    <row r="255" spans="1:65" ht="13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</row>
    <row r="256" spans="1:65" ht="13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</row>
    <row r="257" spans="1:65" ht="13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</row>
    <row r="258" spans="1:65" ht="13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</row>
    <row r="259" spans="1:65" ht="1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</row>
    <row r="260" spans="1:65" ht="13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</row>
    <row r="261" spans="1:65" ht="13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</row>
    <row r="262" spans="1:65" ht="13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</row>
    <row r="263" spans="1:65" ht="1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</row>
    <row r="264" spans="1:65" ht="13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</row>
    <row r="265" spans="1:65" ht="13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</row>
    <row r="266" spans="1:65" ht="13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</row>
    <row r="267" spans="1:65" ht="13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</row>
    <row r="268" spans="1:65" ht="13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</row>
    <row r="269" spans="1:65" ht="13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</row>
    <row r="270" spans="1:65" ht="13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</row>
    <row r="271" spans="1:65" ht="13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</row>
    <row r="272" spans="1:65" ht="13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</row>
    <row r="273" spans="1:65" ht="1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</row>
    <row r="274" spans="1:65" ht="13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</row>
    <row r="275" spans="1:65" ht="13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</row>
    <row r="276" spans="1:65" ht="13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</row>
    <row r="277" spans="1:65" ht="13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</row>
    <row r="278" spans="1:65" ht="13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</row>
    <row r="279" spans="1:65" ht="13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</row>
    <row r="280" spans="1:65" ht="13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</row>
    <row r="281" spans="1:65" ht="13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</row>
    <row r="282" spans="1:65" ht="13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</row>
    <row r="283" spans="1:65" ht="1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</row>
    <row r="284" spans="1:65" ht="13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</row>
    <row r="285" spans="1:65" ht="13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</row>
    <row r="286" spans="1:65" ht="13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</row>
    <row r="287" spans="1:65" ht="13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</row>
    <row r="288" spans="1:65" ht="13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</row>
    <row r="289" spans="1:65" ht="13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</row>
    <row r="290" spans="1:65" ht="13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</row>
    <row r="291" spans="1:65" ht="1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</row>
    <row r="292" spans="1:65" ht="13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</row>
    <row r="293" spans="1:65" ht="1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</row>
    <row r="294" spans="1:65" ht="13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</row>
    <row r="295" spans="1:65" ht="1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</row>
    <row r="296" spans="1:65" ht="13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</row>
    <row r="297" spans="1:65" ht="1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</row>
    <row r="298" spans="1:65" ht="13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</row>
    <row r="299" spans="1:65" ht="1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</row>
    <row r="300" spans="1:65" ht="13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</row>
    <row r="301" spans="1:65" ht="1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</row>
    <row r="302" spans="1:65" ht="13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</row>
    <row r="303" spans="1:65" ht="1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</row>
    <row r="304" spans="1:65" ht="13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</row>
    <row r="305" spans="1:65" ht="1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</row>
    <row r="306" spans="1:65" ht="13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</row>
    <row r="307" spans="1:65" ht="1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</row>
    <row r="308" spans="1:65" ht="13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</row>
    <row r="309" spans="1:65" ht="1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</row>
    <row r="310" spans="1:65" ht="13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</row>
    <row r="311" spans="1:65" ht="1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</row>
    <row r="312" spans="1:65" ht="13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</row>
    <row r="313" spans="1:65" ht="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</row>
    <row r="314" spans="1:65" ht="13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</row>
    <row r="315" spans="1:65" ht="1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</row>
    <row r="316" spans="1:65" ht="13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</row>
    <row r="317" spans="1:65" ht="1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</row>
    <row r="318" spans="1:65" ht="13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</row>
    <row r="319" spans="1:65" ht="1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</row>
    <row r="320" spans="1:65" ht="13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</row>
    <row r="321" spans="1:65" ht="1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</row>
    <row r="322" spans="1:65" ht="13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</row>
    <row r="323" spans="1:65" ht="1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</row>
    <row r="324" spans="1:65" ht="13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</row>
    <row r="325" spans="1:65" ht="1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</row>
    <row r="326" spans="1:65" ht="13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</row>
    <row r="327" spans="1:65" ht="1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</row>
    <row r="328" spans="1:65" ht="13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</row>
    <row r="329" spans="1:65" ht="1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</row>
    <row r="330" spans="1:65" ht="13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</row>
    <row r="331" spans="1:65" ht="1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</row>
    <row r="332" spans="1:65" ht="13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</row>
    <row r="333" spans="1:65" ht="1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</row>
    <row r="334" spans="1:65" ht="13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</row>
    <row r="335" spans="1:65" ht="1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</row>
    <row r="336" spans="1:65" ht="13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</row>
    <row r="337" spans="1:65" ht="1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</row>
    <row r="338" spans="1:65" ht="13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</row>
    <row r="339" spans="1:65" ht="1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</row>
    <row r="340" spans="1:65" ht="13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</row>
    <row r="341" spans="1:65" ht="1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</row>
    <row r="342" spans="1:65" ht="13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</row>
    <row r="343" spans="1:65" ht="1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</row>
    <row r="344" spans="1:65" ht="13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</row>
    <row r="345" spans="1:65" ht="1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</row>
    <row r="346" spans="1:65" ht="13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</row>
    <row r="347" spans="1:65" ht="1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</row>
    <row r="348" spans="1:65" ht="13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</row>
    <row r="349" spans="1:65" ht="1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</row>
    <row r="350" spans="1:65" ht="13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</row>
    <row r="351" spans="1:65" ht="13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</row>
    <row r="352" spans="1:65" ht="13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</row>
    <row r="353" spans="1:65" ht="1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</row>
    <row r="354" spans="1:65" ht="13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</row>
    <row r="355" spans="1:65" ht="13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</row>
    <row r="356" spans="1:65" ht="13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</row>
    <row r="357" spans="1:65" ht="13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</row>
    <row r="358" spans="1:65" ht="13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</row>
    <row r="359" spans="1:65" ht="13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</row>
    <row r="360" spans="1:65" ht="13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</row>
    <row r="361" spans="1:65" ht="13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</row>
    <row r="362" spans="1:65" ht="13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</row>
    <row r="363" spans="1:65" ht="1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</row>
    <row r="364" spans="1:65" ht="13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</row>
    <row r="365" spans="1:65" ht="13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</row>
    <row r="366" spans="1:65" ht="13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</row>
    <row r="367" spans="1:65" ht="13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</row>
    <row r="368" spans="1:65" ht="13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</row>
    <row r="369" spans="1:65" ht="13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</row>
    <row r="370" spans="1:65" ht="13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</row>
    <row r="371" spans="1:65" ht="13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</row>
    <row r="372" spans="1:65" ht="13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</row>
    <row r="373" spans="1:65" ht="1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</row>
    <row r="374" spans="1:65" ht="13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</row>
    <row r="375" spans="1:65" ht="13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</row>
    <row r="376" spans="1:65" ht="13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</row>
    <row r="377" spans="1:65" ht="13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</row>
    <row r="378" spans="1:65" ht="13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</row>
    <row r="379" spans="1:65" ht="13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</row>
    <row r="380" spans="1:65" ht="13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</row>
    <row r="381" spans="1:65" ht="13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</row>
    <row r="382" spans="1:65" ht="13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</row>
    <row r="383" spans="1:65" ht="1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</row>
    <row r="384" spans="1:65" ht="13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</row>
    <row r="385" spans="1:65" ht="13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</row>
    <row r="386" spans="1:65" ht="13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</row>
    <row r="387" spans="1:65" ht="13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</row>
    <row r="388" spans="1:65" ht="13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</row>
    <row r="389" spans="1:65" ht="13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</row>
    <row r="390" spans="1:65" ht="13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</row>
    <row r="391" spans="1:65" ht="13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</row>
    <row r="392" spans="1:65" ht="13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</row>
    <row r="393" spans="1:65" ht="1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</row>
    <row r="394" spans="1:65" ht="13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</row>
    <row r="395" spans="1:65" ht="13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</row>
    <row r="396" spans="1:65" ht="13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</row>
    <row r="397" spans="1:65" ht="13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</row>
    <row r="398" spans="1:65" ht="13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</row>
    <row r="399" spans="1:65" ht="13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</row>
    <row r="400" spans="1:65" ht="13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</row>
    <row r="401" spans="1:65" ht="13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</row>
    <row r="402" spans="1:65" ht="13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</row>
    <row r="403" spans="1:65" ht="1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</row>
    <row r="404" spans="1:65" ht="13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</row>
    <row r="405" spans="1:65" ht="13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</row>
    <row r="406" spans="1:65" ht="13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</row>
    <row r="407" spans="1:65" ht="13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</row>
    <row r="408" spans="1:65" ht="13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</row>
    <row r="409" spans="1:65" ht="13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</row>
    <row r="410" spans="1:65" ht="13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</row>
    <row r="411" spans="1:65" ht="13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</row>
    <row r="412" spans="1:65" ht="13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</row>
    <row r="413" spans="1:65" ht="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</row>
    <row r="414" spans="1:65" ht="13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</row>
    <row r="415" spans="1:65" ht="13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</row>
    <row r="416" spans="1:65" ht="13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</row>
    <row r="417" spans="1:65" ht="13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</row>
    <row r="418" spans="1:65" ht="13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</row>
    <row r="419" spans="1:65" ht="13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</row>
    <row r="420" spans="1:65" ht="13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</row>
    <row r="421" spans="1:65" ht="13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</row>
    <row r="422" spans="1:65" ht="13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</row>
    <row r="423" spans="1:65" ht="1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</row>
    <row r="424" spans="1:65" ht="13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</row>
    <row r="425" spans="1:65" ht="13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</row>
    <row r="426" spans="1:65" ht="13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</row>
    <row r="427" spans="1:65" ht="13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</row>
    <row r="428" spans="1:65" ht="13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</row>
    <row r="429" spans="1:65" ht="13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</row>
    <row r="430" spans="1:65" ht="13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</row>
    <row r="431" spans="1:65" ht="13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</row>
    <row r="432" spans="1:65" ht="13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</row>
    <row r="433" spans="1:65" ht="1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</row>
    <row r="434" spans="1:65" ht="13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</row>
    <row r="435" spans="1:65" ht="13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</row>
    <row r="436" spans="1:65" ht="13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</row>
    <row r="437" spans="1:65" ht="13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</row>
    <row r="438" spans="1:65" ht="13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</row>
    <row r="439" spans="1:65" ht="13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</row>
    <row r="440" spans="1:65" ht="13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</row>
    <row r="441" spans="1:65" ht="13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</row>
    <row r="442" spans="1:65" ht="13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</row>
    <row r="443" spans="1:65" ht="1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</row>
    <row r="444" spans="1:65" ht="13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</row>
    <row r="445" spans="1:65" ht="13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</row>
    <row r="446" spans="1:65" ht="13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</row>
    <row r="447" spans="1:65" ht="13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</row>
    <row r="448" spans="1:65" ht="13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</row>
    <row r="449" spans="1:65" ht="13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</row>
    <row r="450" spans="1:65" ht="13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</row>
    <row r="451" spans="1:65" ht="13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</row>
    <row r="452" spans="1:65" ht="13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</row>
    <row r="453" spans="1:65" ht="1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</row>
    <row r="454" spans="1:65" ht="13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</row>
    <row r="455" spans="1:65" ht="13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</row>
    <row r="456" spans="1:65" ht="13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</row>
    <row r="457" spans="1:65" ht="13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</row>
    <row r="458" spans="1:65" ht="13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</row>
    <row r="459" spans="1:65" ht="13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</row>
    <row r="460" spans="1:65" ht="13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</row>
    <row r="461" spans="1:65" ht="13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</row>
    <row r="462" spans="1:65" ht="13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</row>
    <row r="463" spans="1:65" ht="1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</row>
    <row r="464" spans="1:65" ht="13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</row>
    <row r="465" spans="1:65" ht="13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</row>
    <row r="466" spans="1:65" ht="13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</row>
    <row r="467" spans="1:65" ht="13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</row>
    <row r="468" spans="1:65" ht="13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</row>
    <row r="469" spans="1:65" ht="13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</row>
    <row r="470" spans="1:65" ht="13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</row>
    <row r="471" spans="1:65" ht="13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</row>
    <row r="472" spans="1:65" ht="13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</row>
    <row r="473" spans="1:65" ht="1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</row>
    <row r="474" spans="1:65" ht="13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</row>
    <row r="475" spans="1:65" ht="13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</row>
    <row r="476" spans="1:65" ht="13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</row>
    <row r="477" spans="1:65" ht="13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</row>
    <row r="478" spans="1:65" ht="13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</row>
    <row r="479" spans="1:65" ht="13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</row>
    <row r="480" spans="1:65" ht="13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</row>
    <row r="481" spans="1:65" ht="13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</row>
    <row r="482" spans="1:65" ht="13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</row>
    <row r="483" spans="1:65" ht="1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</row>
    <row r="484" spans="1:65" ht="13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</row>
    <row r="485" spans="1:65" ht="13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</row>
    <row r="486" spans="1:65" ht="13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</row>
    <row r="487" spans="1:65" ht="13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</row>
    <row r="488" spans="1:65" ht="13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</row>
    <row r="489" spans="1:65" ht="13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</row>
    <row r="490" spans="1:65" ht="13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</row>
    <row r="491" spans="1:65" ht="13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</row>
    <row r="492" spans="1:65" ht="13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</row>
    <row r="493" spans="1:65" ht="1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</row>
    <row r="494" spans="1:65" ht="13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</row>
    <row r="495" spans="1:65" ht="13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</row>
    <row r="496" spans="1:65" ht="13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</row>
    <row r="497" spans="1:65" ht="13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</row>
    <row r="498" spans="1:65" ht="13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</row>
    <row r="499" spans="1:65" ht="13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</row>
    <row r="500" spans="1:65" ht="13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</row>
    <row r="501" spans="1:65" ht="13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</row>
    <row r="502" spans="1:65" ht="13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</row>
    <row r="503" spans="1:65" ht="1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</row>
    <row r="504" spans="1:65" ht="13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</row>
    <row r="505" spans="1:65" ht="13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</row>
    <row r="506" spans="1:65" ht="13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</row>
    <row r="507" spans="1:65" ht="13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</row>
    <row r="508" spans="1:65" ht="13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</row>
    <row r="509" spans="1:65" ht="13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</row>
    <row r="510" spans="1:65" ht="13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</row>
    <row r="511" spans="1:65" ht="13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</row>
    <row r="512" spans="1:65" ht="13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</row>
    <row r="513" spans="1:65" ht="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</row>
    <row r="514" spans="1:65" ht="13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</row>
    <row r="515" spans="1:65" ht="13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</row>
    <row r="516" spans="1:65" ht="13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</row>
    <row r="517" spans="1:65" ht="13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</row>
    <row r="518" spans="1:65" ht="13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</row>
    <row r="519" spans="1:65" ht="13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</row>
    <row r="520" spans="1:65" ht="13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</row>
    <row r="521" spans="1:65" ht="13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</row>
    <row r="522" spans="1:65" ht="13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</row>
    <row r="523" spans="1:65" ht="1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</row>
    <row r="524" spans="1:65" ht="13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</row>
    <row r="525" spans="1:65" ht="13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</row>
    <row r="526" spans="1:65" ht="13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</row>
    <row r="527" spans="1:65" ht="13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</row>
    <row r="528" spans="1:65" ht="13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</row>
    <row r="529" spans="1:65" ht="13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</row>
    <row r="530" spans="1:65" ht="13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</row>
    <row r="531" spans="1:65" ht="13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</row>
    <row r="532" spans="1:65" ht="13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</row>
    <row r="533" spans="1:65" ht="1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</row>
    <row r="534" spans="1:65" ht="13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</row>
    <row r="535" spans="1:65" ht="13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</row>
    <row r="536" spans="1:65" ht="13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</row>
    <row r="537" spans="1:65" ht="13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</row>
    <row r="538" spans="1:65" ht="13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</row>
    <row r="539" spans="1:65" ht="13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</row>
    <row r="540" spans="1:65" ht="13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</row>
    <row r="541" spans="1:65" ht="13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</row>
    <row r="542" spans="1:65" ht="13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</row>
    <row r="543" spans="1:65" ht="1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</row>
    <row r="544" spans="1:65" ht="13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</row>
    <row r="545" spans="1:65" ht="13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</row>
    <row r="546" spans="1:65" ht="13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</row>
    <row r="547" spans="1:65" ht="13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</row>
    <row r="548" spans="1:65" ht="13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</row>
    <row r="549" spans="1:65" ht="13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</row>
    <row r="550" spans="1:65" ht="13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</row>
    <row r="551" spans="1:65" ht="13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</row>
    <row r="552" spans="1:65" ht="13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</row>
    <row r="553" spans="1:65" ht="1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</row>
    <row r="554" spans="1:65" ht="13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</row>
    <row r="555" spans="1:65" ht="13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</row>
    <row r="556" spans="1:65" ht="13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</row>
    <row r="557" spans="1:65" ht="13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</row>
    <row r="558" spans="1:65" ht="13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</row>
    <row r="559" spans="1:65" ht="13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</row>
    <row r="560" spans="1:65" ht="13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</row>
    <row r="561" spans="1:65" ht="13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</row>
    <row r="562" spans="1:65" ht="13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</row>
    <row r="563" spans="1:65" ht="1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</row>
    <row r="564" spans="1:65" ht="13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</row>
    <row r="565" spans="1:65" ht="13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</row>
    <row r="566" spans="1:65" ht="13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</row>
    <row r="567" spans="1:65" ht="13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</row>
    <row r="568" spans="1:65" ht="13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</row>
    <row r="569" spans="1:65" ht="13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</row>
    <row r="570" spans="1:65" ht="13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</row>
    <row r="571" spans="1:65" ht="13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</row>
    <row r="572" spans="1:65" ht="13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</row>
    <row r="573" spans="1:65" ht="1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</row>
    <row r="574" spans="1:65" ht="13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</row>
    <row r="575" spans="1:65" ht="13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</row>
    <row r="576" spans="1:65" ht="13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</row>
    <row r="577" spans="1:65" ht="13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</row>
    <row r="578" spans="1:65" ht="13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</row>
    <row r="579" spans="1:65" ht="13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</row>
    <row r="580" spans="1:65" ht="13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</row>
    <row r="581" spans="1:65" ht="13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</row>
    <row r="582" spans="1:65" ht="13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</row>
    <row r="583" spans="1:65" ht="1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</row>
    <row r="584" spans="1:65" ht="13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</row>
    <row r="585" spans="1:65" ht="13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</row>
    <row r="586" spans="1:65" ht="13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</row>
    <row r="587" spans="1:65" ht="13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</row>
    <row r="588" spans="1:65" ht="13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</row>
    <row r="589" spans="1:65" ht="13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</row>
    <row r="590" spans="1:65" ht="13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</row>
    <row r="591" spans="1:65" ht="13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</row>
    <row r="592" spans="1:65" ht="13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</row>
    <row r="593" spans="1:65" ht="1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</row>
    <row r="594" spans="1:65" ht="13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</row>
    <row r="595" spans="1:65" ht="13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</row>
    <row r="596" spans="1:65" ht="13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</row>
    <row r="597" spans="1:65" ht="13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</row>
    <row r="598" spans="1:65" ht="13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</row>
    <row r="599" spans="1:65" ht="13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</row>
    <row r="600" spans="1:65" ht="13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</row>
    <row r="601" spans="1:65" ht="13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</row>
    <row r="602" spans="1:65" ht="13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</row>
    <row r="603" spans="1:65" ht="1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</row>
    <row r="604" spans="1:65" ht="13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</row>
    <row r="605" spans="1:65" ht="13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</row>
    <row r="606" spans="1:65" ht="13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</row>
    <row r="607" spans="1:65" ht="13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</row>
    <row r="608" spans="1:65" ht="13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</row>
    <row r="609" spans="1:65" ht="13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</row>
    <row r="610" spans="1:65" ht="13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</row>
    <row r="611" spans="1:65" ht="13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</row>
    <row r="612" spans="1:65" ht="13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</row>
    <row r="613" spans="1:65" ht="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</row>
    <row r="614" spans="1:65" ht="13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</row>
    <row r="615" spans="1:65" ht="13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</row>
    <row r="616" spans="1:65" ht="13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</row>
    <row r="617" spans="1:65" ht="13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</row>
    <row r="618" spans="1:65" ht="13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</row>
    <row r="619" spans="1:65" ht="13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</row>
    <row r="620" spans="1:65" ht="13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</row>
    <row r="621" spans="1:65" ht="13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</row>
    <row r="622" spans="1:65" ht="13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</row>
    <row r="623" spans="1:65" ht="1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</row>
    <row r="624" spans="1:65" ht="13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</row>
    <row r="625" spans="1:65" ht="13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</row>
    <row r="626" spans="1:65" ht="13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</row>
    <row r="627" spans="1:65" ht="13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</row>
    <row r="628" spans="1:65" ht="13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</row>
    <row r="629" spans="1:65" ht="13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</row>
    <row r="630" spans="1:65" ht="13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</row>
    <row r="631" spans="1:65" ht="13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</row>
    <row r="632" spans="1:65" ht="13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</row>
    <row r="633" spans="1:65" ht="1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</row>
    <row r="634" spans="1:65" ht="13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</row>
    <row r="635" spans="1:65" ht="13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</row>
    <row r="636" spans="1:65" ht="13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</row>
    <row r="637" spans="1:65" ht="13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</row>
    <row r="638" spans="1:65" ht="13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</row>
    <row r="639" spans="1:65" ht="13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</row>
    <row r="640" spans="1:65" ht="13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</row>
    <row r="641" spans="1:65" ht="13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</row>
    <row r="642" spans="1:65" ht="13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</row>
    <row r="643" spans="1:65" ht="1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</row>
    <row r="644" spans="1:65" ht="13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</row>
    <row r="645" spans="1:65" ht="13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</row>
    <row r="646" spans="1:65" ht="13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</row>
    <row r="647" spans="1:65" ht="13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</row>
    <row r="648" spans="1:65" ht="13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</row>
    <row r="649" spans="1:65" ht="13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</row>
    <row r="650" spans="1:65" ht="13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</row>
    <row r="651" spans="1:65" ht="13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</row>
    <row r="652" spans="1:65" ht="13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</row>
    <row r="653" spans="1:65" ht="1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</row>
    <row r="654" spans="1:65" ht="13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</row>
    <row r="655" spans="1:65" ht="13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</row>
    <row r="656" spans="1:65" ht="13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</row>
    <row r="657" spans="1:65" ht="13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</row>
    <row r="658" spans="1:65" ht="13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</row>
    <row r="659" spans="1:65" ht="13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</row>
    <row r="660" spans="1:65" ht="13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</row>
    <row r="661" spans="1:65" ht="13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</row>
    <row r="662" spans="1:65" ht="13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</row>
    <row r="663" spans="1:65" ht="1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</row>
    <row r="664" spans="1:65" ht="13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</row>
    <row r="665" spans="1:65" ht="13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</row>
    <row r="666" spans="1:65" ht="13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</row>
    <row r="667" spans="1:65" ht="13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</row>
    <row r="668" spans="1:65" ht="13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</row>
    <row r="669" spans="1:65" ht="13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</row>
    <row r="670" spans="1:65" ht="13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</row>
    <row r="671" spans="1:65" ht="13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</row>
    <row r="672" spans="1:65" ht="13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</row>
    <row r="673" spans="1:65" ht="1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</row>
    <row r="674" spans="1:65" ht="13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</row>
    <row r="675" spans="1:65" ht="13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</row>
    <row r="676" spans="1:65" ht="13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</row>
    <row r="677" spans="1:65" ht="13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</row>
    <row r="678" spans="1:65" ht="13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</row>
    <row r="679" spans="1:65" ht="13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</row>
    <row r="680" spans="1:65" ht="13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</row>
    <row r="681" spans="1:65" ht="13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</row>
    <row r="682" spans="1:65" ht="13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</row>
    <row r="683" spans="1:65" ht="1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</row>
    <row r="684" spans="1:65" ht="13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</row>
    <row r="685" spans="1:65" ht="13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</row>
    <row r="686" spans="1:65" ht="13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</row>
    <row r="687" spans="1:65" ht="13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</row>
    <row r="688" spans="1:65" ht="13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</row>
    <row r="689" spans="1:65" ht="13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</row>
    <row r="690" spans="1:65" ht="13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</row>
    <row r="691" spans="1:65" ht="13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</row>
    <row r="692" spans="1:65" ht="13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</row>
    <row r="693" spans="1:65" ht="1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</row>
    <row r="694" spans="1:65" ht="13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</row>
    <row r="695" spans="1:65" ht="13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</row>
    <row r="696" spans="1:65" ht="13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</row>
    <row r="697" spans="1:65" ht="13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</row>
    <row r="698" spans="1:65" ht="13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</row>
    <row r="699" spans="1:65" ht="13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</row>
    <row r="700" spans="1:65" ht="13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</row>
    <row r="701" spans="1:65" ht="13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</row>
    <row r="702" spans="1:65" ht="13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</row>
    <row r="703" spans="1:65" ht="1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</row>
    <row r="704" spans="1:65" ht="13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</row>
    <row r="705" spans="1:65" ht="13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</row>
    <row r="706" spans="1:65" ht="13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</row>
    <row r="707" spans="1:65" ht="13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</row>
    <row r="708" spans="1:65" ht="13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</row>
    <row r="709" spans="1:65" ht="13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</row>
    <row r="710" spans="1:65" ht="13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</row>
    <row r="711" spans="1:65" ht="13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</row>
    <row r="712" spans="1:65" ht="13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</row>
    <row r="713" spans="1:65" ht="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</row>
    <row r="714" spans="1:65" ht="13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</row>
    <row r="715" spans="1:65" ht="13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</row>
    <row r="716" spans="1:65" ht="13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</row>
    <row r="717" spans="1:65" ht="13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</row>
    <row r="718" spans="1:65" ht="13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</row>
    <row r="719" spans="1:65" ht="13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</row>
    <row r="720" spans="1:65" ht="13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</row>
    <row r="721" spans="1:65" ht="13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</row>
    <row r="722" spans="1:65" ht="13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</row>
    <row r="723" spans="1:65" ht="1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</row>
    <row r="724" spans="1:65" ht="13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</row>
    <row r="725" spans="1:65" ht="13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</row>
    <row r="726" spans="1:65" ht="13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</row>
    <row r="727" spans="1:65" ht="13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</row>
    <row r="728" spans="1:65" ht="13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</row>
    <row r="729" spans="1:65" ht="13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</row>
    <row r="730" spans="1:65" ht="13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</row>
    <row r="731" spans="1:65" ht="13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</row>
    <row r="732" spans="1:65" ht="13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</row>
    <row r="733" spans="1:65" ht="1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</row>
    <row r="734" spans="1:65" ht="13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</row>
    <row r="735" spans="1:65" ht="13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</row>
    <row r="736" spans="1:65" ht="13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</row>
    <row r="737" spans="1:65" ht="13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</row>
    <row r="738" spans="1:65" ht="13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</row>
    <row r="739" spans="1:65" ht="13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</row>
    <row r="740" spans="1:65" ht="13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</row>
    <row r="741" spans="1:65" ht="13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</row>
    <row r="742" spans="1:65" ht="13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</row>
    <row r="743" spans="1:65" ht="1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</row>
    <row r="744" spans="1:65" ht="13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</row>
    <row r="745" spans="1:65" ht="13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</row>
    <row r="746" spans="1:65" ht="13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</row>
    <row r="747" spans="1:65" ht="13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</row>
    <row r="748" spans="1:65" ht="13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</row>
    <row r="749" spans="1:65" ht="13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</row>
    <row r="750" spans="1:65" ht="13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</row>
    <row r="751" spans="1:65" ht="13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</row>
    <row r="752" spans="1:65" ht="13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</row>
    <row r="753" spans="1:65" ht="1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</row>
    <row r="754" spans="1:65" ht="13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</row>
    <row r="755" spans="1:65" ht="13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</row>
    <row r="756" spans="1:65" ht="13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</row>
    <row r="757" spans="1:65" ht="13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</row>
    <row r="758" spans="1:65" ht="13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</row>
    <row r="759" spans="1:65" ht="13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</row>
    <row r="760" spans="1:65" ht="13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</row>
    <row r="761" spans="1:65" ht="13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</row>
    <row r="762" spans="1:65" ht="13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</row>
    <row r="763" spans="1:65" ht="1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</row>
    <row r="764" spans="1:65" ht="13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</row>
    <row r="765" spans="1:65" ht="13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</row>
    <row r="766" spans="1:65" ht="13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</row>
    <row r="767" spans="1:65" ht="13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</row>
    <row r="768" spans="1:65" ht="13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</row>
    <row r="769" spans="1:65" ht="13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</row>
    <row r="770" spans="1:65" ht="13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</row>
    <row r="771" spans="1:65" ht="13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</row>
    <row r="772" spans="1:65" ht="13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</row>
    <row r="773" spans="1:65" ht="1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</row>
    <row r="774" spans="1:65" ht="13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</row>
    <row r="775" spans="1:65" ht="13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</row>
    <row r="776" spans="1:65" ht="13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</row>
    <row r="777" spans="1:65" ht="13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</row>
    <row r="778" spans="1:65" ht="13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</row>
    <row r="779" spans="1:65" ht="13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</row>
    <row r="780" spans="1:65" ht="13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</row>
    <row r="781" spans="1:65" ht="13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</row>
    <row r="782" spans="1:65" ht="13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</row>
    <row r="783" spans="1:65" ht="1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</row>
    <row r="784" spans="1:65" ht="13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</row>
    <row r="785" spans="1:65" ht="13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</row>
    <row r="786" spans="1:65" ht="13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</row>
    <row r="787" spans="1:65" ht="13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</row>
    <row r="788" spans="1:65" ht="13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</row>
    <row r="789" spans="1:65" ht="13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</row>
    <row r="790" spans="1:65" ht="13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</row>
    <row r="791" spans="1:65" ht="13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</row>
    <row r="792" spans="1:65" ht="13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</row>
    <row r="793" spans="1:65" ht="1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</row>
    <row r="794" spans="1:65" ht="13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</row>
    <row r="795" spans="1:65" ht="13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</row>
    <row r="796" spans="1:65" ht="13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</row>
    <row r="797" spans="1:65" ht="13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</row>
    <row r="798" spans="1:65" ht="13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</row>
    <row r="799" spans="1:65" ht="13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</row>
    <row r="800" spans="1:65" ht="13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</row>
    <row r="801" spans="1:65" ht="13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</row>
    <row r="802" spans="1:65" ht="13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</row>
    <row r="803" spans="1:65" ht="1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</row>
    <row r="804" spans="1:65" ht="13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</row>
    <row r="805" spans="1:65" ht="13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</row>
    <row r="806" spans="1:65" ht="13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</row>
    <row r="807" spans="1:65" ht="13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</row>
    <row r="808" spans="1:65" ht="13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</row>
    <row r="809" spans="1:65" ht="13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</row>
    <row r="810" spans="1:65" ht="13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</row>
    <row r="811" spans="1:65" ht="13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</row>
    <row r="812" spans="1:65" ht="13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</row>
    <row r="813" spans="1:65" ht="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</row>
    <row r="814" spans="1:65" ht="13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</row>
    <row r="815" spans="1:65" ht="13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</row>
    <row r="816" spans="1:65" ht="13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</row>
    <row r="817" spans="1:65" ht="13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</row>
    <row r="818" spans="1:65" ht="13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</row>
    <row r="819" spans="1:65" ht="13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</row>
    <row r="820" spans="1:65" ht="13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</row>
    <row r="821" spans="1:65" ht="13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</row>
    <row r="822" spans="1:65" ht="13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</row>
    <row r="823" spans="1:65" ht="1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</row>
    <row r="824" spans="1:65" ht="13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</row>
    <row r="825" spans="1:65" ht="13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</row>
    <row r="826" spans="1:65" ht="13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</row>
    <row r="827" spans="1:65" ht="13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</row>
    <row r="828" spans="1:65" ht="13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</row>
    <row r="829" spans="1:65" ht="13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</row>
    <row r="830" spans="1:65" ht="13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</row>
    <row r="831" spans="1:65" ht="13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</row>
    <row r="832" spans="1:65" ht="13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</row>
    <row r="833" spans="1:65" ht="1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</row>
    <row r="834" spans="1:65" ht="13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</row>
    <row r="835" spans="1:65" ht="13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</row>
    <row r="836" spans="1:65" ht="13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</row>
    <row r="837" spans="1:65" ht="13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</row>
    <row r="838" spans="1:65" ht="13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</row>
    <row r="839" spans="1:65" ht="13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</row>
    <row r="840" spans="1:65" ht="13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</row>
    <row r="841" spans="1:65" ht="13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</row>
    <row r="842" spans="1:65" ht="13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</row>
    <row r="843" spans="1:65" ht="1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</row>
    <row r="844" spans="1:65" ht="13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</row>
    <row r="845" spans="1:65" ht="13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</row>
    <row r="846" spans="1:65" ht="13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</row>
    <row r="847" spans="1:65" ht="13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</row>
    <row r="848" spans="1:65" ht="13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</row>
    <row r="849" spans="1:65" ht="13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</row>
    <row r="850" spans="1:65" ht="13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</row>
    <row r="851" spans="1:65" ht="13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</row>
    <row r="852" spans="1:65" ht="13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</row>
    <row r="853" spans="1:65" ht="1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</row>
    <row r="854" spans="1:65" ht="13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</row>
    <row r="855" spans="1:65" ht="13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</row>
    <row r="856" spans="1:65" ht="13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</row>
    <row r="857" spans="1:65" ht="13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</row>
    <row r="858" spans="1:65" ht="13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</row>
    <row r="859" spans="1:65" ht="13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</row>
    <row r="860" spans="1:65" ht="13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</row>
    <row r="861" spans="1:65" ht="13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</row>
    <row r="862" spans="1:65" ht="13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</row>
    <row r="863" spans="1:65" ht="1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</row>
    <row r="864" spans="1:65" ht="13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</row>
    <row r="865" spans="1:65" ht="13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</row>
    <row r="866" spans="1:65" ht="13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</row>
    <row r="867" spans="1:65" ht="13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</row>
    <row r="868" spans="1:65" ht="13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</row>
    <row r="869" spans="1:65" ht="13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</row>
    <row r="870" spans="1:65" ht="13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</row>
    <row r="871" spans="1:65" ht="13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</row>
    <row r="872" spans="1:65" ht="13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</row>
    <row r="873" spans="1:65" ht="1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</row>
    <row r="874" spans="1:65" ht="13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</row>
    <row r="875" spans="1:65" ht="13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</row>
    <row r="876" spans="1:65" ht="13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</row>
    <row r="877" spans="1:65" ht="13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</row>
    <row r="878" spans="1:65" ht="13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</row>
    <row r="879" spans="1:65" ht="13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</row>
    <row r="880" spans="1:65" ht="13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</row>
    <row r="881" spans="1:65" ht="13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</row>
    <row r="882" spans="1:65" ht="13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</row>
    <row r="883" spans="1:65" ht="1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</row>
    <row r="884" spans="1:65" ht="13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</row>
    <row r="885" spans="1:65" ht="13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</row>
    <row r="886" spans="1:65" ht="13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</row>
    <row r="887" spans="1:65" ht="13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</row>
    <row r="888" spans="1:65" ht="13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</row>
    <row r="889" spans="1:65" ht="13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</row>
    <row r="890" spans="1:65" ht="13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</row>
    <row r="891" spans="1:65" ht="13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</row>
    <row r="892" spans="1:65" ht="13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</row>
    <row r="893" spans="1:65" ht="1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</row>
    <row r="894" spans="1:65" ht="13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</row>
    <row r="895" spans="1:65" ht="13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</row>
    <row r="896" spans="1:65" ht="13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</row>
    <row r="897" spans="1:65" ht="13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</row>
    <row r="898" spans="1:65" ht="13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</row>
    <row r="899" spans="1:65" ht="13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</row>
    <row r="900" spans="1:65" ht="13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</row>
    <row r="901" spans="1:65" ht="13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</row>
    <row r="902" spans="1:65" ht="13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</row>
    <row r="903" spans="1:65" ht="1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</row>
    <row r="904" spans="1:65" ht="13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</row>
    <row r="905" spans="1:65" ht="13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</row>
    <row r="906" spans="1:65" ht="13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</row>
    <row r="907" spans="1:65" ht="13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</row>
    <row r="908" spans="1:65" ht="13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</row>
    <row r="909" spans="1:65" ht="13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</row>
    <row r="910" spans="1:65" ht="13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</row>
    <row r="911" spans="1:65" ht="13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</row>
    <row r="912" spans="1:65" ht="13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</row>
    <row r="913" spans="1:65" ht="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</row>
    <row r="914" spans="1:65" ht="13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</row>
    <row r="915" spans="1:65" ht="13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</row>
    <row r="916" spans="1:65" ht="13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</row>
    <row r="917" spans="1:65" ht="13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</row>
    <row r="918" spans="1:65" ht="13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</row>
    <row r="919" spans="1:65" ht="13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</row>
    <row r="920" spans="1:65" ht="13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</row>
    <row r="921" spans="1:65" ht="13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</row>
    <row r="922" spans="1:65" ht="13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</row>
    <row r="923" spans="1:65" ht="1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</row>
    <row r="924" spans="1:65" ht="13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</row>
    <row r="925" spans="1:65" ht="13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</row>
    <row r="926" spans="1:65" ht="13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</row>
    <row r="927" spans="1:65" ht="13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</row>
    <row r="928" spans="1:65" ht="13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</row>
    <row r="929" spans="1:65" ht="13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</row>
    <row r="930" spans="1:65" ht="13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</row>
    <row r="931" spans="1:65" ht="13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</row>
    <row r="932" spans="1:65" ht="13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</row>
    <row r="933" spans="1:65" ht="1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</row>
    <row r="934" spans="1:65" ht="13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</row>
    <row r="935" spans="1:65" ht="13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</row>
    <row r="936" spans="1:65" ht="13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</row>
    <row r="937" spans="1:65" ht="13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</row>
    <row r="938" spans="1:65" ht="13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</row>
    <row r="939" spans="1:65" ht="13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</row>
    <row r="940" spans="1:65" ht="13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</row>
    <row r="941" spans="1:65" ht="13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</row>
    <row r="942" spans="1:65" ht="13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</row>
    <row r="943" spans="1:65" ht="1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</row>
    <row r="944" spans="1:65" ht="13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</row>
    <row r="945" spans="1:65" ht="13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</row>
    <row r="946" spans="1:65" ht="13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</row>
    <row r="947" spans="1:65" ht="13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</row>
    <row r="948" spans="1:65" ht="13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</row>
    <row r="949" spans="1:65" ht="13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</row>
    <row r="950" spans="1:65" ht="13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</row>
    <row r="951" spans="1:65" ht="13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</row>
    <row r="952" spans="1:65" ht="13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</row>
    <row r="953" spans="1:65" ht="1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</row>
    <row r="954" spans="1:65" ht="13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</row>
    <row r="955" spans="1:65" ht="13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</row>
    <row r="956" spans="1:65" ht="13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</row>
    <row r="957" spans="1:65" ht="13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</row>
    <row r="958" spans="1:65" ht="13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</row>
    <row r="959" spans="1:65" ht="13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</row>
    <row r="960" spans="1:65" ht="13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</row>
    <row r="961" spans="1:65" ht="13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</row>
    <row r="962" spans="1:65" ht="13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</row>
    <row r="963" spans="1:65" ht="1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</row>
    <row r="964" spans="1:65" ht="13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</row>
    <row r="965" spans="1:65" ht="13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</row>
    <row r="966" spans="1:65" ht="13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</row>
    <row r="967" spans="1:65" ht="13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</row>
    <row r="968" spans="1:65" ht="13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</row>
    <row r="969" spans="1:65" ht="13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</row>
    <row r="970" spans="1:65" ht="13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</row>
    <row r="971" spans="1:65" ht="13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</row>
    <row r="972" spans="1:65" ht="13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</row>
    <row r="973" spans="1:65" ht="1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</row>
    <row r="974" spans="1:65" ht="13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</row>
    <row r="975" spans="1:65" ht="13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</row>
    <row r="976" spans="1:65" ht="13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</row>
    <row r="977" spans="1:65" ht="13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</row>
    <row r="978" spans="1:65" ht="13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</row>
    <row r="979" spans="1:65" ht="13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</row>
    <row r="980" spans="1:65" ht="13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</row>
    <row r="981" spans="1:65" ht="13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</row>
    <row r="982" spans="1:65" ht="13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</row>
    <row r="983" spans="1:65" ht="1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</row>
    <row r="984" spans="1:65" ht="13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</row>
    <row r="985" spans="1:65" ht="13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</row>
    <row r="986" spans="1:65" ht="13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</row>
    <row r="987" spans="1:65" ht="13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</row>
    <row r="988" spans="1:65" ht="13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</row>
    <row r="989" spans="1:65" ht="13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</row>
    <row r="990" spans="1:65" ht="13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</row>
    <row r="991" spans="1:65" ht="13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</row>
    <row r="992" spans="1:65" ht="13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</row>
    <row r="993" spans="1:65" ht="1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</row>
    <row r="994" spans="1:65" ht="13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</row>
    <row r="995" spans="1:65" ht="13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</row>
    <row r="996" spans="1:65" ht="13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</row>
    <row r="997" spans="1:65" ht="13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</row>
    <row r="998" spans="1:65" ht="13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</row>
    <row r="999" spans="1:65" ht="13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</row>
    <row r="1000" spans="1:65" ht="13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</row>
    <row r="1001" spans="1:65" ht="13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  <c r="BA1001" s="17"/>
      <c r="BB1001" s="17"/>
      <c r="BC1001" s="17"/>
      <c r="BD1001" s="17"/>
      <c r="BE1001" s="17"/>
      <c r="BF1001" s="17"/>
      <c r="BG1001" s="17"/>
      <c r="BH1001" s="17"/>
      <c r="BI1001" s="17"/>
      <c r="BJ1001" s="17"/>
      <c r="BK1001" s="17"/>
      <c r="BL1001" s="17"/>
      <c r="BM1001" s="17"/>
    </row>
    <row r="1002" spans="1:65" ht="13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  <c r="BA1002" s="17"/>
      <c r="BB1002" s="17"/>
      <c r="BC1002" s="17"/>
      <c r="BD1002" s="17"/>
      <c r="BE1002" s="17"/>
      <c r="BF1002" s="17"/>
      <c r="BG1002" s="17"/>
      <c r="BH1002" s="17"/>
      <c r="BI1002" s="17"/>
      <c r="BJ1002" s="17"/>
      <c r="BK1002" s="17"/>
      <c r="BL1002" s="17"/>
      <c r="BM1002" s="17"/>
    </row>
    <row r="1003" spans="1:65" ht="13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  <c r="BA1003" s="17"/>
      <c r="BB1003" s="17"/>
      <c r="BC1003" s="17"/>
      <c r="BD1003" s="17"/>
      <c r="BE1003" s="17"/>
      <c r="BF1003" s="17"/>
      <c r="BG1003" s="17"/>
      <c r="BH1003" s="17"/>
      <c r="BI1003" s="17"/>
      <c r="BJ1003" s="17"/>
      <c r="BK1003" s="17"/>
      <c r="BL1003" s="17"/>
      <c r="BM1003" s="17"/>
    </row>
    <row r="1004" spans="1:65" ht="13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  <c r="BA1004" s="17"/>
      <c r="BB1004" s="17"/>
      <c r="BC1004" s="17"/>
      <c r="BD1004" s="17"/>
      <c r="BE1004" s="17"/>
      <c r="BF1004" s="17"/>
      <c r="BG1004" s="17"/>
      <c r="BH1004" s="17"/>
      <c r="BI1004" s="17"/>
      <c r="BJ1004" s="17"/>
      <c r="BK1004" s="17"/>
      <c r="BL1004" s="17"/>
      <c r="BM1004" s="17"/>
    </row>
    <row r="1005" spans="1:65" ht="13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  <c r="BA1005" s="17"/>
      <c r="BB1005" s="17"/>
      <c r="BC1005" s="17"/>
      <c r="BD1005" s="17"/>
      <c r="BE1005" s="17"/>
      <c r="BF1005" s="17"/>
      <c r="BG1005" s="17"/>
      <c r="BH1005" s="17"/>
      <c r="BI1005" s="17"/>
      <c r="BJ1005" s="17"/>
      <c r="BK1005" s="17"/>
      <c r="BL1005" s="17"/>
      <c r="BM1005" s="17"/>
    </row>
  </sheetData>
  <conditionalFormatting sqref="B2:G32 I2:X32 AD2:AD32">
    <cfRule type="expression" dxfId="8" priority="1">
      <formula>SUM($M2:$X2) &gt; 0</formula>
    </cfRule>
  </conditionalFormatting>
  <conditionalFormatting sqref="AD1:AD1005">
    <cfRule type="notContainsBlanks" dxfId="7" priority="2">
      <formula>LEN(TRIM(AD1))&gt;0</formula>
    </cfRule>
  </conditionalFormatting>
  <conditionalFormatting sqref="AC2:AC29">
    <cfRule type="colorScale" priority="3">
      <colorScale>
        <cfvo type="min"/>
        <cfvo type="max"/>
        <color rgb="FF999999"/>
        <color rgb="FFFFFFFF"/>
      </colorScale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M10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min="1" max="1" width="8.1640625" customWidth="1"/>
    <col min="2" max="2" width="6.1640625" customWidth="1"/>
    <col min="3" max="3" width="6.6640625" customWidth="1"/>
    <col min="4" max="4" width="13.1640625" customWidth="1"/>
    <col min="5" max="5" width="8.5" customWidth="1"/>
    <col min="6" max="6" width="9.1640625" customWidth="1"/>
    <col min="7" max="7" width="8.83203125" customWidth="1"/>
    <col min="8" max="8" width="8.6640625" customWidth="1"/>
    <col min="9" max="9" width="5.6640625" customWidth="1"/>
    <col min="10" max="11" width="6.1640625" customWidth="1"/>
    <col min="12" max="12" width="18" customWidth="1"/>
    <col min="13" max="13" width="7.83203125" customWidth="1"/>
    <col min="14" max="14" width="8" customWidth="1"/>
    <col min="15" max="15" width="8.6640625" customWidth="1"/>
    <col min="16" max="16" width="8.5" customWidth="1"/>
    <col min="17" max="17" width="7.83203125" customWidth="1"/>
    <col min="18" max="18" width="8.83203125" customWidth="1"/>
    <col min="19" max="19" width="9.1640625" customWidth="1"/>
    <col min="20" max="20" width="8.6640625" customWidth="1"/>
    <col min="21" max="21" width="9" customWidth="1"/>
    <col min="22" max="22" width="7.83203125" customWidth="1"/>
    <col min="23" max="23" width="7.5" customWidth="1"/>
    <col min="24" max="24" width="6.6640625" customWidth="1"/>
    <col min="25" max="26" width="5.6640625" customWidth="1"/>
    <col min="27" max="27" width="11.6640625" customWidth="1"/>
    <col min="28" max="28" width="12.1640625" customWidth="1"/>
    <col min="29" max="29" width="7" hidden="1" customWidth="1"/>
    <col min="30" max="30" width="56.6640625" customWidth="1"/>
  </cols>
  <sheetData>
    <row r="1" spans="1:65" ht="15.75" customHeight="1">
      <c r="A1" s="97" t="s">
        <v>0</v>
      </c>
      <c r="B1" s="97" t="s">
        <v>1</v>
      </c>
      <c r="C1" s="97" t="s">
        <v>2</v>
      </c>
      <c r="D1" s="97" t="s">
        <v>3</v>
      </c>
      <c r="E1" s="98" t="s">
        <v>4</v>
      </c>
      <c r="F1" s="97" t="s">
        <v>5</v>
      </c>
      <c r="G1" s="97" t="s">
        <v>6</v>
      </c>
      <c r="H1" s="98" t="s">
        <v>7</v>
      </c>
      <c r="I1" s="98" t="s">
        <v>8</v>
      </c>
      <c r="J1" s="98" t="s">
        <v>9</v>
      </c>
      <c r="K1" s="98" t="s">
        <v>10</v>
      </c>
      <c r="L1" s="97" t="s">
        <v>11</v>
      </c>
      <c r="M1" s="134" t="s">
        <v>12</v>
      </c>
      <c r="N1" s="134" t="s">
        <v>13</v>
      </c>
      <c r="O1" s="134" t="s">
        <v>14</v>
      </c>
      <c r="P1" s="134" t="s">
        <v>15</v>
      </c>
      <c r="Q1" s="134" t="s">
        <v>16</v>
      </c>
      <c r="R1" s="134" t="s">
        <v>17</v>
      </c>
      <c r="S1" s="134" t="s">
        <v>18</v>
      </c>
      <c r="T1" s="134" t="s">
        <v>19</v>
      </c>
      <c r="U1" s="134" t="s">
        <v>20</v>
      </c>
      <c r="V1" s="134" t="s">
        <v>21</v>
      </c>
      <c r="W1" s="134" t="s">
        <v>22</v>
      </c>
      <c r="X1" s="134" t="s">
        <v>23</v>
      </c>
      <c r="Y1" s="98" t="s">
        <v>24</v>
      </c>
      <c r="Z1" s="98" t="s">
        <v>25</v>
      </c>
      <c r="AA1" s="98" t="s">
        <v>26</v>
      </c>
      <c r="AB1" s="98" t="s">
        <v>27</v>
      </c>
      <c r="AC1" s="134" t="s">
        <v>28</v>
      </c>
      <c r="AD1" s="98" t="s">
        <v>29</v>
      </c>
      <c r="AE1" s="4"/>
      <c r="AF1" s="4"/>
      <c r="AG1" s="4"/>
      <c r="AH1" s="4"/>
      <c r="AI1" s="4"/>
      <c r="AJ1" s="4"/>
      <c r="AK1" s="5"/>
      <c r="AL1" s="5"/>
      <c r="AM1" s="5"/>
      <c r="AN1" s="5"/>
      <c r="AO1" s="5"/>
      <c r="AP1" s="5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</row>
    <row r="2" spans="1:65" ht="15.75" customHeight="1">
      <c r="A2" s="7">
        <v>43160</v>
      </c>
      <c r="B2">
        <v>1758</v>
      </c>
      <c r="C2">
        <v>1828</v>
      </c>
      <c r="D2" s="9" t="str">
        <f>CHOOSE(WEEKDAY(A2),"Fred/Anne", "Jane", "Phil","Sue/Panos","Shawn/Orems","Jeff", "Rob")</f>
        <v>Shawn/Orems</v>
      </c>
      <c r="E2" s="9" t="s">
        <v>30</v>
      </c>
      <c r="F2" s="10">
        <v>0.77083333333333337</v>
      </c>
      <c r="G2" s="10">
        <v>0.8125</v>
      </c>
      <c r="H2" s="11">
        <f t="shared" ref="H2:H6" si="0">G2-F2</f>
        <v>4.166666666666663E-2</v>
      </c>
      <c r="I2" s="9">
        <v>2</v>
      </c>
      <c r="J2" s="9">
        <v>44</v>
      </c>
      <c r="K2" s="9">
        <v>42</v>
      </c>
      <c r="L2" s="9" t="s">
        <v>214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12">
        <f t="shared" ref="Y2:Y32" si="1">SUM(M2:P2)</f>
        <v>0</v>
      </c>
      <c r="Z2" s="12">
        <f t="shared" ref="Z2:Z32" si="2">SUM(Q2:U2)</f>
        <v>0</v>
      </c>
      <c r="AA2" s="13">
        <f t="shared" ref="AA2:AA32" si="3">SUM(M2:N2)</f>
        <v>0</v>
      </c>
      <c r="AB2" s="13">
        <f t="shared" ref="AB2:AB32" si="4">SUM(Q2:R2,U2)</f>
        <v>0</v>
      </c>
      <c r="AC2" s="14">
        <v>0.99</v>
      </c>
      <c r="AD2" s="15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</row>
    <row r="3" spans="1:65" ht="15.75" customHeight="1">
      <c r="A3" s="7">
        <v>43161</v>
      </c>
      <c r="B3" s="19">
        <v>1759</v>
      </c>
      <c r="C3" s="19">
        <v>1829</v>
      </c>
      <c r="D3" s="20" t="str">
        <f t="shared" ref="D3:D6" si="5">CHOOSE(WEEKDAY(A3),"Fred/Anne", "Jane", "Phil","Sue/Panos","Shawn/Owens","Jeff", "Rob")</f>
        <v>Jeff</v>
      </c>
      <c r="E3" s="20" t="s">
        <v>30</v>
      </c>
      <c r="F3" s="21">
        <v>0.73958333333333337</v>
      </c>
      <c r="G3" s="21">
        <v>0.75347222222222221</v>
      </c>
      <c r="H3" s="11">
        <f t="shared" si="0"/>
        <v>1.388888888888884E-2</v>
      </c>
      <c r="I3" s="20">
        <v>0.3</v>
      </c>
      <c r="J3" s="20">
        <v>45</v>
      </c>
      <c r="K3" s="20">
        <v>43</v>
      </c>
      <c r="L3" s="20" t="s">
        <v>215</v>
      </c>
      <c r="M3" s="20">
        <v>0</v>
      </c>
      <c r="N3" s="20">
        <v>0</v>
      </c>
      <c r="O3" s="20">
        <v>0</v>
      </c>
      <c r="P3" s="20">
        <v>0</v>
      </c>
      <c r="Q3" s="20">
        <v>0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12">
        <f t="shared" si="1"/>
        <v>0</v>
      </c>
      <c r="Z3" s="12">
        <f t="shared" si="2"/>
        <v>0</v>
      </c>
      <c r="AA3" s="13">
        <f t="shared" si="3"/>
        <v>0</v>
      </c>
      <c r="AB3" s="13">
        <f t="shared" si="4"/>
        <v>0</v>
      </c>
      <c r="AC3" s="14">
        <v>1</v>
      </c>
      <c r="AD3" s="22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</row>
    <row r="4" spans="1:65" ht="15.75" customHeight="1">
      <c r="A4" s="7">
        <v>43162</v>
      </c>
      <c r="B4">
        <v>1801</v>
      </c>
      <c r="C4">
        <v>1830</v>
      </c>
      <c r="D4" s="9" t="str">
        <f t="shared" si="5"/>
        <v>Rob</v>
      </c>
      <c r="E4" s="9" t="s">
        <v>40</v>
      </c>
      <c r="F4" s="10">
        <v>0.75</v>
      </c>
      <c r="G4" s="10">
        <v>0.76041666666666663</v>
      </c>
      <c r="H4" s="11">
        <f t="shared" si="0"/>
        <v>1.041666666666663E-2</v>
      </c>
      <c r="I4" s="9">
        <v>0.25</v>
      </c>
      <c r="J4" s="9">
        <v>39</v>
      </c>
      <c r="K4" s="9">
        <v>38</v>
      </c>
      <c r="L4" s="9" t="s">
        <v>174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12">
        <f t="shared" si="1"/>
        <v>0</v>
      </c>
      <c r="Z4" s="12">
        <f t="shared" si="2"/>
        <v>0</v>
      </c>
      <c r="AA4" s="13">
        <f t="shared" si="3"/>
        <v>0</v>
      </c>
      <c r="AB4" s="13">
        <f t="shared" si="4"/>
        <v>0</v>
      </c>
      <c r="AC4" s="14">
        <v>0.98</v>
      </c>
      <c r="AD4" s="15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</row>
    <row r="5" spans="1:65" ht="15.75" customHeight="1">
      <c r="A5" s="18">
        <v>43163</v>
      </c>
      <c r="B5" s="19">
        <v>1802</v>
      </c>
      <c r="C5" s="19">
        <v>1832</v>
      </c>
      <c r="D5" s="20" t="str">
        <f t="shared" si="5"/>
        <v>Fred/Anne</v>
      </c>
      <c r="E5" s="20" t="s">
        <v>30</v>
      </c>
      <c r="F5" s="111">
        <v>0.75</v>
      </c>
      <c r="G5" s="21">
        <v>0.78125</v>
      </c>
      <c r="H5" s="11">
        <f t="shared" si="0"/>
        <v>3.125E-2</v>
      </c>
      <c r="I5" s="20">
        <v>0.75</v>
      </c>
      <c r="J5" s="20">
        <v>43.5</v>
      </c>
      <c r="K5" s="20">
        <v>42.6</v>
      </c>
      <c r="L5" s="20" t="s">
        <v>216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12">
        <f t="shared" si="1"/>
        <v>0</v>
      </c>
      <c r="Z5" s="12">
        <f t="shared" si="2"/>
        <v>0</v>
      </c>
      <c r="AA5" s="13">
        <f t="shared" si="3"/>
        <v>0</v>
      </c>
      <c r="AB5" s="13">
        <f t="shared" si="4"/>
        <v>0</v>
      </c>
      <c r="AC5" s="14">
        <v>0.93</v>
      </c>
      <c r="AD5" s="22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</row>
    <row r="6" spans="1:65" ht="15.75" customHeight="1">
      <c r="A6" s="18">
        <v>43164</v>
      </c>
      <c r="B6">
        <v>1803</v>
      </c>
      <c r="C6">
        <v>1833</v>
      </c>
      <c r="D6" s="9" t="str">
        <f t="shared" si="5"/>
        <v>Jane</v>
      </c>
      <c r="E6" s="9" t="s">
        <v>33</v>
      </c>
      <c r="F6" s="26">
        <v>0.77083333333333337</v>
      </c>
      <c r="G6" s="10">
        <v>0.77083333333333337</v>
      </c>
      <c r="H6" s="11">
        <f t="shared" si="0"/>
        <v>0</v>
      </c>
      <c r="I6" s="9"/>
      <c r="J6" s="9">
        <v>44</v>
      </c>
      <c r="K6" s="9"/>
      <c r="L6" s="15" t="s">
        <v>217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12">
        <f t="shared" si="1"/>
        <v>0</v>
      </c>
      <c r="Z6" s="12">
        <f t="shared" si="2"/>
        <v>0</v>
      </c>
      <c r="AA6" s="13">
        <f t="shared" si="3"/>
        <v>0</v>
      </c>
      <c r="AB6" s="13">
        <f t="shared" si="4"/>
        <v>0</v>
      </c>
      <c r="AC6" s="14">
        <v>0.87</v>
      </c>
      <c r="AD6" s="15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</row>
    <row r="7" spans="1:65" ht="15.75" customHeight="1">
      <c r="A7" s="18">
        <v>43165</v>
      </c>
      <c r="B7" s="19">
        <v>1805</v>
      </c>
      <c r="C7" s="19">
        <v>1834</v>
      </c>
      <c r="D7" s="20" t="str">
        <f>CHOOSE(WEEKDAY(A7),"Fred/Anne", "Jane", "Phil/Tom","Sue/Panos","Shawn/Owens","Jeff", "Rob")</f>
        <v>Phil/Tom</v>
      </c>
      <c r="E7" s="8" t="s">
        <v>33</v>
      </c>
      <c r="F7" s="26">
        <v>0.77083333333333337</v>
      </c>
      <c r="G7" s="85">
        <v>0.77083333333333337</v>
      </c>
      <c r="H7" s="11">
        <f>G8-F8</f>
        <v>0</v>
      </c>
      <c r="I7" s="20">
        <v>0</v>
      </c>
      <c r="J7" s="8">
        <v>49</v>
      </c>
      <c r="K7" s="20">
        <v>49</v>
      </c>
      <c r="L7" s="8" t="s">
        <v>35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12">
        <f t="shared" si="1"/>
        <v>0</v>
      </c>
      <c r="Z7" s="12">
        <f t="shared" si="2"/>
        <v>0</v>
      </c>
      <c r="AA7" s="13">
        <f t="shared" si="3"/>
        <v>0</v>
      </c>
      <c r="AB7" s="13">
        <f t="shared" si="4"/>
        <v>0</v>
      </c>
      <c r="AC7" s="14">
        <v>0.79</v>
      </c>
      <c r="AD7" s="22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</row>
    <row r="8" spans="1:65" ht="15.75" customHeight="1">
      <c r="A8" s="25">
        <v>43166</v>
      </c>
      <c r="B8">
        <v>1806</v>
      </c>
      <c r="C8">
        <v>1836</v>
      </c>
      <c r="D8" s="9" t="str">
        <f t="shared" ref="D8:D13" si="6">CHOOSE(WEEKDAY(A8),"Fred/Anne", "Jane", "Phil","Sue/Panos","Shawn/Owens","Jeff", "Rob")</f>
        <v>Sue/Panos</v>
      </c>
      <c r="E8" s="20" t="s">
        <v>33</v>
      </c>
      <c r="F8" s="21">
        <v>0.77083333333333337</v>
      </c>
      <c r="G8" s="21">
        <v>0.77083333333333337</v>
      </c>
      <c r="H8" s="11">
        <f>F8-G8</f>
        <v>0</v>
      </c>
      <c r="I8" s="9"/>
      <c r="J8" s="20">
        <v>47</v>
      </c>
      <c r="K8" s="9"/>
      <c r="L8" s="22" t="s">
        <v>218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12">
        <f t="shared" si="1"/>
        <v>0</v>
      </c>
      <c r="Z8" s="12">
        <f t="shared" si="2"/>
        <v>0</v>
      </c>
      <c r="AA8" s="13">
        <f t="shared" si="3"/>
        <v>0</v>
      </c>
      <c r="AB8" s="13">
        <f t="shared" si="4"/>
        <v>0</v>
      </c>
      <c r="AC8" s="14">
        <v>0.7</v>
      </c>
      <c r="AD8" s="15" t="s">
        <v>219</v>
      </c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</row>
    <row r="9" spans="1:65" ht="15.75" customHeight="1">
      <c r="A9" s="25">
        <v>43167</v>
      </c>
      <c r="B9" s="19">
        <v>1807</v>
      </c>
      <c r="C9" s="19">
        <v>1837</v>
      </c>
      <c r="D9" s="20" t="str">
        <f t="shared" si="6"/>
        <v>Shawn/Owens</v>
      </c>
      <c r="E9" s="20" t="s">
        <v>30</v>
      </c>
      <c r="F9" s="21">
        <v>0.77083333333333337</v>
      </c>
      <c r="G9" s="184">
        <v>0.9375</v>
      </c>
      <c r="H9" s="11">
        <f t="shared" ref="H9:H21" si="7">G9-F9</f>
        <v>0.16666666666666663</v>
      </c>
      <c r="I9" s="20">
        <v>26</v>
      </c>
      <c r="J9" s="20">
        <v>53</v>
      </c>
      <c r="K9" s="20">
        <v>48</v>
      </c>
      <c r="L9" s="22" t="s">
        <v>220</v>
      </c>
      <c r="M9" s="20">
        <v>7</v>
      </c>
      <c r="N9" s="20">
        <v>0</v>
      </c>
      <c r="O9" s="20">
        <v>1</v>
      </c>
      <c r="P9" s="20">
        <v>0</v>
      </c>
      <c r="Q9" s="20">
        <v>18</v>
      </c>
      <c r="R9" s="20">
        <v>3</v>
      </c>
      <c r="S9" s="20">
        <v>0</v>
      </c>
      <c r="T9" s="20">
        <v>1</v>
      </c>
      <c r="U9" s="20">
        <v>0</v>
      </c>
      <c r="V9" s="20">
        <v>1</v>
      </c>
      <c r="W9" s="20">
        <v>1</v>
      </c>
      <c r="X9" s="20">
        <v>0</v>
      </c>
      <c r="Y9" s="12">
        <f t="shared" si="1"/>
        <v>8</v>
      </c>
      <c r="Z9" s="12">
        <f t="shared" si="2"/>
        <v>22</v>
      </c>
      <c r="AA9" s="13">
        <f t="shared" si="3"/>
        <v>7</v>
      </c>
      <c r="AB9" s="13">
        <f t="shared" si="4"/>
        <v>21</v>
      </c>
      <c r="AC9" s="14">
        <v>0.61</v>
      </c>
      <c r="AD9" s="22" t="s">
        <v>221</v>
      </c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</row>
    <row r="10" spans="1:65" ht="15.75" customHeight="1">
      <c r="A10" s="25">
        <v>43168</v>
      </c>
      <c r="B10">
        <v>1809</v>
      </c>
      <c r="C10">
        <v>1838</v>
      </c>
      <c r="D10" s="9" t="str">
        <f t="shared" si="6"/>
        <v>Jeff</v>
      </c>
      <c r="E10" s="9" t="s">
        <v>30</v>
      </c>
      <c r="F10" s="10">
        <v>0.85416666666666663</v>
      </c>
      <c r="G10" s="10">
        <v>0.86111111111111116</v>
      </c>
      <c r="H10" s="11">
        <f t="shared" si="7"/>
        <v>6.9444444444445308E-3</v>
      </c>
      <c r="I10" s="9">
        <v>0.16</v>
      </c>
      <c r="J10" s="9">
        <v>42</v>
      </c>
      <c r="K10" s="9">
        <v>42</v>
      </c>
      <c r="L10" s="15" t="s">
        <v>222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12">
        <f t="shared" si="1"/>
        <v>0</v>
      </c>
      <c r="Z10" s="12">
        <f t="shared" si="2"/>
        <v>0</v>
      </c>
      <c r="AA10" s="13">
        <f t="shared" si="3"/>
        <v>0</v>
      </c>
      <c r="AB10" s="13">
        <f t="shared" si="4"/>
        <v>0</v>
      </c>
      <c r="AC10" s="14">
        <v>0.51</v>
      </c>
      <c r="AD10" s="15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</row>
    <row r="11" spans="1:65" ht="15.75" customHeight="1">
      <c r="A11" s="25">
        <v>43169</v>
      </c>
      <c r="B11" s="19">
        <v>1810</v>
      </c>
      <c r="C11" s="19">
        <v>1840</v>
      </c>
      <c r="D11" s="20" t="str">
        <f t="shared" si="6"/>
        <v>Rob</v>
      </c>
      <c r="E11" s="27" t="s">
        <v>40</v>
      </c>
      <c r="F11" s="28">
        <v>0.79166666666666663</v>
      </c>
      <c r="G11" s="28">
        <v>0.8125</v>
      </c>
      <c r="H11" s="11">
        <f t="shared" si="7"/>
        <v>2.083333333333337E-2</v>
      </c>
      <c r="I11" s="29">
        <v>0.15</v>
      </c>
      <c r="J11" s="29">
        <v>48</v>
      </c>
      <c r="K11" s="29">
        <v>47</v>
      </c>
      <c r="L11" s="30" t="s">
        <v>222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12">
        <f t="shared" si="1"/>
        <v>0</v>
      </c>
      <c r="Z11" s="12">
        <f t="shared" si="2"/>
        <v>0</v>
      </c>
      <c r="AA11" s="13">
        <f t="shared" si="3"/>
        <v>0</v>
      </c>
      <c r="AB11" s="13">
        <f t="shared" si="4"/>
        <v>0</v>
      </c>
      <c r="AC11" s="14">
        <v>0.42</v>
      </c>
      <c r="AD11" s="30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</row>
    <row r="12" spans="1:65" ht="15.75" customHeight="1">
      <c r="A12" s="25">
        <v>43170</v>
      </c>
      <c r="B12" s="89">
        <v>1911</v>
      </c>
      <c r="C12" s="89">
        <v>1941</v>
      </c>
      <c r="D12" s="9" t="str">
        <f t="shared" si="6"/>
        <v>Fred/Anne</v>
      </c>
      <c r="E12" s="116" t="s">
        <v>30</v>
      </c>
      <c r="F12" s="117">
        <v>0.77777777777777779</v>
      </c>
      <c r="G12" s="117">
        <v>0.78125</v>
      </c>
      <c r="H12" s="11">
        <f t="shared" si="7"/>
        <v>3.4722222222222099E-3</v>
      </c>
      <c r="I12" s="177"/>
      <c r="J12" s="113">
        <v>60</v>
      </c>
      <c r="K12" s="178">
        <v>53</v>
      </c>
      <c r="L12" s="178" t="s">
        <v>35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12">
        <f t="shared" si="1"/>
        <v>0</v>
      </c>
      <c r="Z12" s="12">
        <f t="shared" si="2"/>
        <v>0</v>
      </c>
      <c r="AA12" s="13">
        <f t="shared" si="3"/>
        <v>0</v>
      </c>
      <c r="AB12" s="13">
        <f t="shared" si="4"/>
        <v>0</v>
      </c>
      <c r="AC12" s="14">
        <v>0.33</v>
      </c>
      <c r="AD12" s="15"/>
      <c r="AE12" s="16"/>
      <c r="AF12" s="16"/>
      <c r="AG12" s="16"/>
      <c r="AJ12" s="16"/>
      <c r="AK12" s="16"/>
      <c r="AL12" s="16"/>
      <c r="AM12" s="16"/>
      <c r="AN12" s="16"/>
      <c r="AO12" s="16"/>
      <c r="AP12" s="16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</row>
    <row r="13" spans="1:65" ht="15.75" customHeight="1">
      <c r="A13" s="33">
        <v>43171</v>
      </c>
      <c r="B13" s="114">
        <v>1913</v>
      </c>
      <c r="C13" s="114">
        <v>1942</v>
      </c>
      <c r="D13" s="20" t="str">
        <f t="shared" si="6"/>
        <v>Jane</v>
      </c>
      <c r="E13" s="20" t="s">
        <v>30</v>
      </c>
      <c r="F13" s="21">
        <v>0.83333333333333337</v>
      </c>
      <c r="G13" s="21">
        <v>0.84375</v>
      </c>
      <c r="H13" s="11">
        <f t="shared" si="7"/>
        <v>1.041666666666663E-2</v>
      </c>
      <c r="I13" s="20"/>
      <c r="J13" s="20">
        <v>61</v>
      </c>
      <c r="K13" s="20">
        <v>61</v>
      </c>
      <c r="L13" s="22" t="s">
        <v>35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12">
        <f t="shared" si="1"/>
        <v>0</v>
      </c>
      <c r="Z13" s="12">
        <f t="shared" si="2"/>
        <v>0</v>
      </c>
      <c r="AA13" s="13">
        <f t="shared" si="3"/>
        <v>0</v>
      </c>
      <c r="AB13" s="13">
        <f t="shared" si="4"/>
        <v>0</v>
      </c>
      <c r="AC13" s="14">
        <v>0.24</v>
      </c>
      <c r="AD13" s="22"/>
      <c r="AE13" s="23"/>
      <c r="AF13" s="23"/>
      <c r="AG13" s="23"/>
      <c r="AH13" s="19"/>
      <c r="AI13" s="19"/>
      <c r="AJ13" s="16"/>
      <c r="AK13" s="16"/>
      <c r="AL13" s="23"/>
      <c r="AM13" s="23"/>
      <c r="AN13" s="23"/>
      <c r="AO13" s="23"/>
      <c r="AP13" s="23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</row>
    <row r="14" spans="1:65" ht="15.75" customHeight="1">
      <c r="A14" s="33">
        <v>43172</v>
      </c>
      <c r="B14" s="89">
        <v>1914</v>
      </c>
      <c r="C14" s="89">
        <v>1944</v>
      </c>
      <c r="D14" s="9" t="str">
        <f>CHOOSE(WEEKDAY(A14),"Fred/Anne", "Jane", "Phil/Tom","Sue/Panos","Shawn/Owens","Jeff", "Rob")</f>
        <v>Phil/Tom</v>
      </c>
      <c r="E14" s="9" t="s">
        <v>30</v>
      </c>
      <c r="F14" s="10">
        <v>0.79166666666666663</v>
      </c>
      <c r="G14" s="10">
        <v>0.95833333333333337</v>
      </c>
      <c r="H14" s="11">
        <f t="shared" si="7"/>
        <v>0.16666666666666674</v>
      </c>
      <c r="I14" s="9">
        <v>31.75</v>
      </c>
      <c r="J14" s="9">
        <v>50</v>
      </c>
      <c r="K14" s="9">
        <v>46</v>
      </c>
      <c r="L14" s="15" t="s">
        <v>223</v>
      </c>
      <c r="M14" s="9">
        <v>2</v>
      </c>
      <c r="N14" s="9">
        <v>0</v>
      </c>
      <c r="O14" s="9">
        <v>0</v>
      </c>
      <c r="P14" s="9">
        <v>0</v>
      </c>
      <c r="Q14" s="9">
        <v>19</v>
      </c>
      <c r="R14" s="9">
        <v>29</v>
      </c>
      <c r="S14" s="9">
        <v>0</v>
      </c>
      <c r="T14" s="9">
        <v>0</v>
      </c>
      <c r="U14" s="9">
        <v>3</v>
      </c>
      <c r="V14" s="9">
        <v>0</v>
      </c>
      <c r="W14" s="9">
        <v>0</v>
      </c>
      <c r="X14" s="9">
        <v>2</v>
      </c>
      <c r="Y14" s="12">
        <f t="shared" si="1"/>
        <v>2</v>
      </c>
      <c r="Z14" s="12">
        <f t="shared" si="2"/>
        <v>51</v>
      </c>
      <c r="AA14" s="13">
        <f t="shared" si="3"/>
        <v>2</v>
      </c>
      <c r="AB14" s="13">
        <f t="shared" si="4"/>
        <v>51</v>
      </c>
      <c r="AC14" s="14">
        <v>0.17</v>
      </c>
      <c r="AD14" s="15" t="s">
        <v>224</v>
      </c>
      <c r="AE14" s="16"/>
      <c r="AF14" s="16"/>
      <c r="AG14" s="16"/>
      <c r="AJ14" s="16"/>
      <c r="AK14" s="16"/>
      <c r="AL14" s="16"/>
      <c r="AM14" s="16"/>
      <c r="AN14" s="16"/>
      <c r="AO14" s="16"/>
      <c r="AP14" s="16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</row>
    <row r="15" spans="1:65" ht="15.75" customHeight="1">
      <c r="A15" s="33">
        <v>43173</v>
      </c>
      <c r="B15" s="114">
        <v>1915</v>
      </c>
      <c r="C15" s="114">
        <v>1945</v>
      </c>
      <c r="D15" s="20" t="str">
        <f>CHOOSE(WEEKDAY(A15),"Fred/Anne", "Jane", "Phil","Sue/Panos","Shawn/Owens","Jeff", "Rob")</f>
        <v>Sue/Panos</v>
      </c>
      <c r="E15" s="20" t="s">
        <v>30</v>
      </c>
      <c r="F15" s="21">
        <v>0.79166666666666663</v>
      </c>
      <c r="G15" s="21">
        <v>0.85416666666666663</v>
      </c>
      <c r="H15" s="11">
        <f t="shared" si="7"/>
        <v>6.25E-2</v>
      </c>
      <c r="I15" s="20">
        <v>7.5</v>
      </c>
      <c r="J15" s="20">
        <v>47</v>
      </c>
      <c r="K15" s="20">
        <v>47</v>
      </c>
      <c r="L15" s="22" t="s">
        <v>225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12">
        <f t="shared" si="1"/>
        <v>0</v>
      </c>
      <c r="Z15" s="12">
        <f t="shared" si="2"/>
        <v>0</v>
      </c>
      <c r="AA15" s="13">
        <f t="shared" si="3"/>
        <v>0</v>
      </c>
      <c r="AB15" s="13">
        <f t="shared" si="4"/>
        <v>0</v>
      </c>
      <c r="AC15" s="14">
        <v>0.1</v>
      </c>
      <c r="AD15" s="22"/>
      <c r="AE15" s="23"/>
      <c r="AF15" s="23"/>
      <c r="AG15" s="23"/>
      <c r="AH15" s="19"/>
      <c r="AI15" s="19"/>
      <c r="AJ15" s="16"/>
      <c r="AK15" s="16"/>
      <c r="AL15" s="23"/>
      <c r="AM15" s="23"/>
      <c r="AN15" s="23"/>
      <c r="AO15" s="23"/>
      <c r="AP15" s="23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</row>
    <row r="16" spans="1:65" ht="15.75" customHeight="1">
      <c r="A16" s="33">
        <v>43174</v>
      </c>
      <c r="B16" s="89">
        <v>1917</v>
      </c>
      <c r="C16" s="89">
        <v>1946</v>
      </c>
      <c r="D16" s="9" t="str">
        <f>CHOOSE(WEEKDAY(A16),"Fred/Anne", "Jane", "Phil","Sue/Panos","Shawn/Orems","Jeff", "Rob")</f>
        <v>Shawn/Orems</v>
      </c>
      <c r="E16" s="9" t="s">
        <v>30</v>
      </c>
      <c r="F16" s="26">
        <v>0.8125</v>
      </c>
      <c r="G16" s="26">
        <v>0.85416666666666663</v>
      </c>
      <c r="H16" s="11">
        <f t="shared" si="7"/>
        <v>4.166666666666663E-2</v>
      </c>
      <c r="I16" s="9">
        <v>3.5</v>
      </c>
      <c r="J16" s="9" t="s">
        <v>226</v>
      </c>
      <c r="K16" s="9" t="s">
        <v>227</v>
      </c>
      <c r="L16" s="15" t="s">
        <v>228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1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12">
        <f t="shared" si="1"/>
        <v>0</v>
      </c>
      <c r="Z16" s="12">
        <f t="shared" si="2"/>
        <v>1</v>
      </c>
      <c r="AA16" s="13">
        <f t="shared" si="3"/>
        <v>0</v>
      </c>
      <c r="AB16" s="13">
        <f t="shared" si="4"/>
        <v>1</v>
      </c>
      <c r="AC16" s="14">
        <v>0.05</v>
      </c>
      <c r="AD16" s="15" t="s">
        <v>229</v>
      </c>
      <c r="AE16" s="35"/>
      <c r="AF16" s="35"/>
      <c r="AG16" s="35"/>
      <c r="AJ16" s="16"/>
      <c r="AK16" s="16"/>
      <c r="AL16" s="35"/>
      <c r="AM16" s="35"/>
      <c r="AN16" s="35"/>
      <c r="AO16" s="35"/>
      <c r="AP16" s="35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</row>
    <row r="17" spans="1:65" ht="15.75" customHeight="1">
      <c r="A17" s="34">
        <v>43175</v>
      </c>
      <c r="B17" s="114">
        <v>1918</v>
      </c>
      <c r="C17" s="114">
        <v>1948</v>
      </c>
      <c r="D17" s="20" t="str">
        <f t="shared" ref="D17:D20" si="8">CHOOSE(WEEKDAY(A17),"Fred/Anne", "Jane", "Phil","Sue/Panos","Shawn/Owens","Jeff", "Rob")</f>
        <v>Jeff</v>
      </c>
      <c r="E17" s="20" t="s">
        <v>30</v>
      </c>
      <c r="F17" s="21">
        <v>0.80555555555555558</v>
      </c>
      <c r="G17" s="21">
        <v>0.8125</v>
      </c>
      <c r="H17" s="11">
        <f t="shared" si="7"/>
        <v>6.9444444444444198E-3</v>
      </c>
      <c r="I17" s="20">
        <v>0.17</v>
      </c>
      <c r="J17" s="20">
        <v>46</v>
      </c>
      <c r="K17" s="20">
        <v>46</v>
      </c>
      <c r="L17" s="22" t="s">
        <v>230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12">
        <f t="shared" si="1"/>
        <v>0</v>
      </c>
      <c r="Z17" s="12">
        <f t="shared" si="2"/>
        <v>0</v>
      </c>
      <c r="AA17" s="13">
        <f t="shared" si="3"/>
        <v>0</v>
      </c>
      <c r="AB17" s="13">
        <f t="shared" si="4"/>
        <v>0</v>
      </c>
      <c r="AC17" s="14">
        <v>0.02</v>
      </c>
      <c r="AD17" s="22"/>
      <c r="AE17" s="23"/>
      <c r="AF17" s="23"/>
      <c r="AG17" s="23"/>
      <c r="AH17" s="19"/>
      <c r="AI17" s="19"/>
      <c r="AJ17" s="16"/>
      <c r="AK17" s="16"/>
      <c r="AL17" s="23"/>
      <c r="AM17" s="23"/>
      <c r="AN17" s="23"/>
      <c r="AO17" s="23"/>
      <c r="AP17" s="23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</row>
    <row r="18" spans="1:65" ht="15.75" customHeight="1">
      <c r="A18" s="34">
        <v>43176</v>
      </c>
      <c r="B18" s="89">
        <v>1919</v>
      </c>
      <c r="C18" s="89">
        <v>1949</v>
      </c>
      <c r="D18" s="9" t="str">
        <f t="shared" si="8"/>
        <v>Rob</v>
      </c>
      <c r="E18" s="9"/>
      <c r="F18" s="10">
        <v>0.79166666666666663</v>
      </c>
      <c r="G18" s="10">
        <v>0.8125</v>
      </c>
      <c r="H18" s="11">
        <f t="shared" si="7"/>
        <v>2.083333333333337E-2</v>
      </c>
      <c r="I18" s="9">
        <v>1</v>
      </c>
      <c r="J18" s="9">
        <v>48</v>
      </c>
      <c r="K18" s="9">
        <v>43</v>
      </c>
      <c r="L18" s="15" t="s">
        <v>231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12">
        <f t="shared" si="1"/>
        <v>0</v>
      </c>
      <c r="Z18" s="12">
        <f t="shared" si="2"/>
        <v>0</v>
      </c>
      <c r="AA18" s="13">
        <f t="shared" si="3"/>
        <v>0</v>
      </c>
      <c r="AB18" s="13">
        <f t="shared" si="4"/>
        <v>0</v>
      </c>
      <c r="AC18" s="14">
        <v>0</v>
      </c>
      <c r="AD18" s="15"/>
      <c r="AE18" s="16"/>
      <c r="AF18" s="16"/>
      <c r="AG18" s="16"/>
      <c r="AJ18" s="16"/>
      <c r="AK18" s="16"/>
      <c r="AL18" s="16"/>
      <c r="AM18" s="16"/>
      <c r="AN18" s="16"/>
      <c r="AO18" s="16"/>
      <c r="AP18" s="16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</row>
    <row r="19" spans="1:65" ht="15.75" customHeight="1">
      <c r="A19" s="34">
        <v>43177</v>
      </c>
      <c r="B19" s="114">
        <v>1921</v>
      </c>
      <c r="C19" s="114">
        <v>1950</v>
      </c>
      <c r="D19" s="20" t="str">
        <f t="shared" si="8"/>
        <v>Fred/Anne</v>
      </c>
      <c r="E19" s="20" t="s">
        <v>30</v>
      </c>
      <c r="F19" s="21">
        <v>0.78819444444444442</v>
      </c>
      <c r="G19" s="21">
        <v>0.82638888888888884</v>
      </c>
      <c r="H19" s="11">
        <f t="shared" si="7"/>
        <v>3.819444444444442E-2</v>
      </c>
      <c r="I19" s="20"/>
      <c r="J19" s="20">
        <v>46</v>
      </c>
      <c r="K19" s="20">
        <v>44</v>
      </c>
      <c r="L19" s="22" t="s">
        <v>231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12">
        <f t="shared" si="1"/>
        <v>0</v>
      </c>
      <c r="Z19" s="12">
        <f t="shared" si="2"/>
        <v>0</v>
      </c>
      <c r="AA19" s="13">
        <f t="shared" si="3"/>
        <v>0</v>
      </c>
      <c r="AB19" s="13">
        <f t="shared" si="4"/>
        <v>0</v>
      </c>
      <c r="AC19" s="14">
        <v>0.01</v>
      </c>
      <c r="AD19" s="22"/>
      <c r="AE19" s="23"/>
      <c r="AF19" s="23"/>
      <c r="AG19" s="23"/>
      <c r="AH19" s="19"/>
      <c r="AI19" s="19"/>
      <c r="AJ19" s="16"/>
      <c r="AK19" s="16"/>
      <c r="AL19" s="23"/>
      <c r="AM19" s="23"/>
      <c r="AN19" s="23"/>
      <c r="AO19" s="23"/>
      <c r="AP19" s="23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</row>
    <row r="20" spans="1:65" ht="15.75" customHeight="1">
      <c r="A20" s="36">
        <v>43178</v>
      </c>
      <c r="B20" s="89">
        <v>1922</v>
      </c>
      <c r="C20" s="89">
        <v>1952</v>
      </c>
      <c r="D20" s="9" t="str">
        <f t="shared" si="8"/>
        <v>Jane</v>
      </c>
      <c r="E20" s="9" t="s">
        <v>33</v>
      </c>
      <c r="F20" s="10">
        <v>0.8125</v>
      </c>
      <c r="G20" s="10">
        <v>0.8125</v>
      </c>
      <c r="H20" s="11">
        <f t="shared" si="7"/>
        <v>0</v>
      </c>
      <c r="I20" s="9"/>
      <c r="J20" s="9">
        <v>49</v>
      </c>
      <c r="K20" s="9"/>
      <c r="L20" s="15" t="s">
        <v>232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12">
        <f t="shared" si="1"/>
        <v>0</v>
      </c>
      <c r="Z20" s="12">
        <f t="shared" si="2"/>
        <v>0</v>
      </c>
      <c r="AA20" s="13">
        <f t="shared" si="3"/>
        <v>0</v>
      </c>
      <c r="AB20" s="13">
        <f t="shared" si="4"/>
        <v>0</v>
      </c>
      <c r="AC20" s="14">
        <v>0.04</v>
      </c>
      <c r="AD20" s="15"/>
      <c r="AE20" s="16"/>
      <c r="AF20" s="16"/>
      <c r="AG20" s="16"/>
      <c r="AJ20" s="16"/>
      <c r="AK20" s="16"/>
      <c r="AL20" s="16"/>
      <c r="AM20" s="16"/>
      <c r="AN20" s="16"/>
      <c r="AO20" s="16"/>
      <c r="AP20" s="16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</row>
    <row r="21" spans="1:65" ht="15.75" customHeight="1">
      <c r="A21" s="36">
        <v>43179</v>
      </c>
      <c r="B21" s="114">
        <v>1923</v>
      </c>
      <c r="C21" s="114">
        <v>1953</v>
      </c>
      <c r="D21" s="20" t="str">
        <f>CHOOSE(WEEKDAY(A21),"Fred/Anne", "Jane", "Phil/Tom","Sue/Panos","Shawn/Owens","Jeff", "Rob")</f>
        <v>Phil/Tom</v>
      </c>
      <c r="E21" s="20" t="s">
        <v>33</v>
      </c>
      <c r="F21" s="21">
        <v>0.8125</v>
      </c>
      <c r="G21" s="21">
        <v>0.8125</v>
      </c>
      <c r="H21" s="11">
        <f t="shared" si="7"/>
        <v>0</v>
      </c>
      <c r="I21" s="20"/>
      <c r="J21" s="20">
        <v>54</v>
      </c>
      <c r="K21" s="20"/>
      <c r="L21" s="22" t="s">
        <v>233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12">
        <f t="shared" si="1"/>
        <v>0</v>
      </c>
      <c r="Z21" s="12">
        <f t="shared" si="2"/>
        <v>0</v>
      </c>
      <c r="AA21" s="13">
        <f t="shared" si="3"/>
        <v>0</v>
      </c>
      <c r="AB21" s="13">
        <f t="shared" si="4"/>
        <v>0</v>
      </c>
      <c r="AC21" s="14">
        <v>0.09</v>
      </c>
      <c r="AD21" s="22"/>
      <c r="AE21" s="23"/>
      <c r="AF21" s="23"/>
      <c r="AG21" s="23"/>
      <c r="AH21" s="19"/>
      <c r="AI21" s="19"/>
      <c r="AJ21" s="16"/>
      <c r="AK21" s="16"/>
      <c r="AL21" s="23"/>
      <c r="AM21" s="23"/>
      <c r="AN21" s="23"/>
      <c r="AO21" s="23"/>
      <c r="AP21" s="23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</row>
    <row r="22" spans="1:65" ht="15.75" customHeight="1">
      <c r="A22" s="36">
        <v>43180</v>
      </c>
      <c r="B22" s="89">
        <v>1925</v>
      </c>
      <c r="C22" s="89">
        <v>1954</v>
      </c>
      <c r="D22" s="9" t="str">
        <f>CHOOSE(WEEKDAY(A22),"Fred/Anne", "Jane", "Phil","Sue/Panos","Shawn/Owens","Jeff", "Rob")</f>
        <v>Sue/Panos</v>
      </c>
      <c r="E22" s="9" t="s">
        <v>30</v>
      </c>
      <c r="F22" s="10">
        <v>0.8125</v>
      </c>
      <c r="G22" s="10">
        <v>7.2916666666666671E-2</v>
      </c>
      <c r="H22" s="185">
        <v>0.26041666666666669</v>
      </c>
      <c r="I22" s="9">
        <v>23.15</v>
      </c>
      <c r="J22" s="9">
        <v>50</v>
      </c>
      <c r="K22" s="9">
        <v>47</v>
      </c>
      <c r="L22" s="15" t="s">
        <v>234</v>
      </c>
      <c r="M22" s="9">
        <v>0</v>
      </c>
      <c r="N22" s="9">
        <v>0</v>
      </c>
      <c r="O22" s="9">
        <v>1</v>
      </c>
      <c r="P22" s="9">
        <v>1</v>
      </c>
      <c r="Q22" s="9">
        <v>41</v>
      </c>
      <c r="R22" s="9">
        <v>110</v>
      </c>
      <c r="S22" s="9">
        <v>2</v>
      </c>
      <c r="T22" s="9">
        <v>4</v>
      </c>
      <c r="U22" s="9">
        <v>5</v>
      </c>
      <c r="V22" s="9">
        <v>1</v>
      </c>
      <c r="W22" s="9">
        <v>0</v>
      </c>
      <c r="X22" s="9">
        <v>4</v>
      </c>
      <c r="Y22" s="12">
        <f t="shared" si="1"/>
        <v>2</v>
      </c>
      <c r="Z22" s="12">
        <f t="shared" si="2"/>
        <v>162</v>
      </c>
      <c r="AA22" s="13">
        <f t="shared" si="3"/>
        <v>0</v>
      </c>
      <c r="AB22" s="13">
        <f t="shared" si="4"/>
        <v>156</v>
      </c>
      <c r="AC22" s="14">
        <v>0.16</v>
      </c>
      <c r="AD22" s="15" t="s">
        <v>235</v>
      </c>
      <c r="AE22" s="16"/>
      <c r="AF22" s="16"/>
      <c r="AG22" s="16"/>
      <c r="AJ22" s="16"/>
      <c r="AK22" s="16"/>
      <c r="AL22" s="16"/>
      <c r="AM22" s="16"/>
      <c r="AN22" s="16"/>
      <c r="AO22" s="16"/>
      <c r="AP22" s="16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</row>
    <row r="23" spans="1:65" ht="15.75" customHeight="1">
      <c r="A23" s="36">
        <v>43181</v>
      </c>
      <c r="B23" s="114">
        <v>1926</v>
      </c>
      <c r="C23" s="114">
        <v>1956</v>
      </c>
      <c r="D23" s="20" t="str">
        <f>CHOOSE(WEEKDAY(A23),"Fred/Anne", "Jane", "Phil","Sue/Panos","Shawn/Orems","Jeff", "Rob")</f>
        <v>Shawn/Orems</v>
      </c>
      <c r="E23" s="20" t="s">
        <v>33</v>
      </c>
      <c r="F23" s="21">
        <v>0.83333333333333337</v>
      </c>
      <c r="G23" s="21">
        <v>0.83333333333333337</v>
      </c>
      <c r="H23" s="11">
        <f t="shared" ref="H23:H32" si="9">G23-F23</f>
        <v>0</v>
      </c>
      <c r="I23" s="20">
        <v>0</v>
      </c>
      <c r="J23" s="20">
        <v>43</v>
      </c>
      <c r="K23" s="20"/>
      <c r="L23" s="22" t="s">
        <v>236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12">
        <f t="shared" si="1"/>
        <v>0</v>
      </c>
      <c r="Z23" s="12">
        <f t="shared" si="2"/>
        <v>0</v>
      </c>
      <c r="AA23" s="13">
        <f t="shared" si="3"/>
        <v>0</v>
      </c>
      <c r="AB23" s="13">
        <f t="shared" si="4"/>
        <v>0</v>
      </c>
      <c r="AC23" s="14">
        <v>0.25</v>
      </c>
      <c r="AD23" s="22"/>
      <c r="AE23" s="23"/>
      <c r="AF23" s="23"/>
      <c r="AG23" s="23"/>
      <c r="AH23" s="19"/>
      <c r="AI23" s="19"/>
      <c r="AJ23" s="16"/>
      <c r="AK23" s="16"/>
      <c r="AL23" s="23"/>
      <c r="AM23" s="23"/>
      <c r="AN23" s="23"/>
      <c r="AO23" s="23"/>
      <c r="AP23" s="23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</row>
    <row r="24" spans="1:65" ht="15.75" customHeight="1">
      <c r="A24" s="38">
        <v>43182</v>
      </c>
      <c r="B24" s="89">
        <v>1927</v>
      </c>
      <c r="C24" s="89">
        <v>1957</v>
      </c>
      <c r="D24" s="9" t="str">
        <f t="shared" ref="D24:D27" si="10">CHOOSE(WEEKDAY(A24),"Fred/Anne", "Jane", "Phil","Sue/Panos","Shawn/Owens","Jeff", "Rob")</f>
        <v>Jeff</v>
      </c>
      <c r="E24" s="9" t="s">
        <v>30</v>
      </c>
      <c r="F24" s="10">
        <v>0.83333333333333337</v>
      </c>
      <c r="G24" s="10">
        <v>0.84722222222222221</v>
      </c>
      <c r="H24" s="11">
        <f t="shared" si="9"/>
        <v>1.388888888888884E-2</v>
      </c>
      <c r="I24" s="9">
        <v>0.3</v>
      </c>
      <c r="J24" s="9">
        <v>40</v>
      </c>
      <c r="K24" s="9">
        <v>40</v>
      </c>
      <c r="L24" s="15" t="s">
        <v>237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12">
        <f t="shared" si="1"/>
        <v>0</v>
      </c>
      <c r="Z24" s="12">
        <f t="shared" si="2"/>
        <v>0</v>
      </c>
      <c r="AA24" s="13">
        <f t="shared" si="3"/>
        <v>0</v>
      </c>
      <c r="AB24" s="13">
        <f t="shared" si="4"/>
        <v>0</v>
      </c>
      <c r="AC24" s="14">
        <v>0.35</v>
      </c>
      <c r="AD24" s="15"/>
      <c r="AE24" s="16"/>
      <c r="AF24" s="16"/>
      <c r="AG24" s="16"/>
      <c r="AJ24" s="16"/>
      <c r="AK24" s="16"/>
      <c r="AL24" s="16"/>
      <c r="AM24" s="16"/>
      <c r="AN24" s="16"/>
      <c r="AO24" s="16"/>
      <c r="AP24" s="16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</row>
    <row r="25" spans="1:65" ht="15.75" customHeight="1">
      <c r="A25" s="38">
        <v>43183</v>
      </c>
      <c r="B25" s="114">
        <v>1929</v>
      </c>
      <c r="C25" s="114">
        <v>1958</v>
      </c>
      <c r="D25" s="20" t="str">
        <f t="shared" si="10"/>
        <v>Rob</v>
      </c>
      <c r="E25" s="20"/>
      <c r="F25" s="21"/>
      <c r="G25" s="21"/>
      <c r="H25" s="11">
        <f t="shared" si="9"/>
        <v>0</v>
      </c>
      <c r="I25" s="20"/>
      <c r="J25" s="20"/>
      <c r="K25" s="20"/>
      <c r="L25" s="22"/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12">
        <f t="shared" si="1"/>
        <v>0</v>
      </c>
      <c r="Z25" s="12">
        <f t="shared" si="2"/>
        <v>0</v>
      </c>
      <c r="AA25" s="13">
        <f t="shared" si="3"/>
        <v>0</v>
      </c>
      <c r="AB25" s="13">
        <f t="shared" si="4"/>
        <v>0</v>
      </c>
      <c r="AC25" s="14">
        <v>0.47</v>
      </c>
      <c r="AD25" s="22"/>
      <c r="AE25" s="23"/>
      <c r="AF25" s="23"/>
      <c r="AG25" s="23"/>
      <c r="AH25" s="19"/>
      <c r="AI25" s="19"/>
      <c r="AJ25" s="16"/>
      <c r="AK25" s="16"/>
      <c r="AL25" s="23"/>
      <c r="AM25" s="23"/>
      <c r="AN25" s="23"/>
      <c r="AO25" s="23"/>
      <c r="AP25" s="23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</row>
    <row r="26" spans="1:65" ht="15.75" customHeight="1">
      <c r="A26" s="38">
        <v>43184</v>
      </c>
      <c r="B26" s="89">
        <v>1930</v>
      </c>
      <c r="C26" s="89">
        <v>2000</v>
      </c>
      <c r="D26" s="9" t="str">
        <f t="shared" si="10"/>
        <v>Fred/Anne</v>
      </c>
      <c r="E26" s="9" t="s">
        <v>30</v>
      </c>
      <c r="F26" s="10">
        <v>0.8125</v>
      </c>
      <c r="G26" s="10">
        <v>0.83333333333333337</v>
      </c>
      <c r="H26" s="11">
        <f t="shared" si="9"/>
        <v>2.083333333333337E-2</v>
      </c>
      <c r="I26" s="9">
        <v>0.5</v>
      </c>
      <c r="J26" s="9">
        <v>43</v>
      </c>
      <c r="K26" s="9">
        <v>40</v>
      </c>
      <c r="L26" s="15" t="s">
        <v>238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12">
        <f t="shared" si="1"/>
        <v>0</v>
      </c>
      <c r="Z26" s="12">
        <f t="shared" si="2"/>
        <v>0</v>
      </c>
      <c r="AA26" s="13">
        <f t="shared" si="3"/>
        <v>0</v>
      </c>
      <c r="AB26" s="13">
        <f t="shared" si="4"/>
        <v>0</v>
      </c>
      <c r="AC26" s="14">
        <v>0.57999999999999996</v>
      </c>
      <c r="AD26" s="40"/>
      <c r="AE26" s="40"/>
      <c r="AF26" s="40"/>
      <c r="AG26" s="40"/>
      <c r="AJ26" s="16"/>
      <c r="AK26" s="16"/>
      <c r="AL26" s="40"/>
      <c r="AM26" s="41"/>
      <c r="AN26" s="41"/>
      <c r="AO26" s="41"/>
      <c r="AP26" s="41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</row>
    <row r="27" spans="1:65" ht="15.75" customHeight="1">
      <c r="A27" s="38">
        <v>43185</v>
      </c>
      <c r="B27" s="114">
        <v>1931</v>
      </c>
      <c r="C27" s="114">
        <v>2001</v>
      </c>
      <c r="D27" s="20" t="str">
        <f t="shared" si="10"/>
        <v>Jane</v>
      </c>
      <c r="E27" s="20" t="s">
        <v>30</v>
      </c>
      <c r="F27" s="21">
        <v>0.8125</v>
      </c>
      <c r="G27" s="21">
        <v>0.92708333333333337</v>
      </c>
      <c r="H27" s="11">
        <f t="shared" si="9"/>
        <v>0.11458333333333337</v>
      </c>
      <c r="I27" s="20">
        <v>12</v>
      </c>
      <c r="J27" s="20">
        <v>49</v>
      </c>
      <c r="K27" s="20">
        <v>46</v>
      </c>
      <c r="L27" s="22" t="s">
        <v>238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1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12">
        <f t="shared" si="1"/>
        <v>0</v>
      </c>
      <c r="Z27" s="12">
        <f t="shared" si="2"/>
        <v>1</v>
      </c>
      <c r="AA27" s="13">
        <f t="shared" si="3"/>
        <v>0</v>
      </c>
      <c r="AB27" s="13">
        <f t="shared" si="4"/>
        <v>1</v>
      </c>
      <c r="AC27" s="14">
        <v>0.69</v>
      </c>
      <c r="AD27" s="22"/>
      <c r="AE27" s="20"/>
      <c r="AF27" s="20"/>
      <c r="AG27" s="20"/>
      <c r="AH27" s="19"/>
      <c r="AI27" s="19"/>
      <c r="AJ27" s="16"/>
      <c r="AK27" s="16"/>
      <c r="AL27" s="20"/>
      <c r="AM27" s="20"/>
      <c r="AN27" s="20"/>
      <c r="AO27" s="20"/>
      <c r="AP27" s="22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</row>
    <row r="28" spans="1:65" ht="15.75" customHeight="1">
      <c r="A28" s="39">
        <v>43186</v>
      </c>
      <c r="B28" s="89">
        <v>1932</v>
      </c>
      <c r="C28" s="89">
        <v>2002</v>
      </c>
      <c r="D28" s="9" t="str">
        <f>CHOOSE(WEEKDAY(A28),"Fred/Anne", "Jane", "Phil/Tom","Sue/Panos","Shawn/Owens","Jeff", "Rob")</f>
        <v>Phil/Tom</v>
      </c>
      <c r="E28" s="9" t="s">
        <v>30</v>
      </c>
      <c r="F28" s="21">
        <v>0.8125</v>
      </c>
      <c r="G28" s="21">
        <v>0.85416666666666663</v>
      </c>
      <c r="H28" s="11">
        <f t="shared" si="9"/>
        <v>4.166666666666663E-2</v>
      </c>
      <c r="I28" s="9"/>
      <c r="J28" s="9">
        <v>52</v>
      </c>
      <c r="K28" s="9"/>
      <c r="L28" s="186" t="s">
        <v>239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12">
        <f t="shared" si="1"/>
        <v>0</v>
      </c>
      <c r="Z28" s="12">
        <f t="shared" si="2"/>
        <v>0</v>
      </c>
      <c r="AA28" s="13">
        <f t="shared" si="3"/>
        <v>0</v>
      </c>
      <c r="AB28" s="13">
        <f t="shared" si="4"/>
        <v>0</v>
      </c>
      <c r="AC28" s="14">
        <v>0.79</v>
      </c>
      <c r="AD28" s="15"/>
      <c r="AE28" s="9"/>
      <c r="AF28" s="9"/>
      <c r="AG28" s="9"/>
      <c r="AJ28" s="16"/>
      <c r="AK28" s="16"/>
      <c r="AL28" s="9"/>
      <c r="AM28" s="9"/>
      <c r="AN28" s="9"/>
      <c r="AO28" s="9"/>
      <c r="AP28" s="15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</row>
    <row r="29" spans="1:65" ht="15.75" customHeight="1">
      <c r="A29" s="39">
        <v>43187</v>
      </c>
      <c r="B29" s="114">
        <v>1934</v>
      </c>
      <c r="C29" s="114">
        <v>2004</v>
      </c>
      <c r="D29" s="20" t="str">
        <f t="shared" ref="D29:D32" si="11">CHOOSE(WEEKDAY(A29),"Fred/Anne", "Jane", "Phil","Sue/Panos","Shawn/Owens","Jeff", "Rob")</f>
        <v>Sue/Panos</v>
      </c>
      <c r="E29" s="20"/>
      <c r="F29" s="42"/>
      <c r="G29" s="42"/>
      <c r="H29" s="11">
        <f t="shared" si="9"/>
        <v>0</v>
      </c>
      <c r="I29" s="43"/>
      <c r="J29" s="20"/>
      <c r="K29" s="20"/>
      <c r="L29" s="22"/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12">
        <f t="shared" si="1"/>
        <v>0</v>
      </c>
      <c r="Z29" s="12">
        <f t="shared" si="2"/>
        <v>0</v>
      </c>
      <c r="AA29" s="13">
        <f t="shared" si="3"/>
        <v>0</v>
      </c>
      <c r="AB29" s="13">
        <f t="shared" si="4"/>
        <v>0</v>
      </c>
      <c r="AC29" s="14">
        <v>0.88</v>
      </c>
      <c r="AD29" s="22"/>
      <c r="AE29" s="20"/>
      <c r="AF29" s="20"/>
      <c r="AG29" s="20"/>
      <c r="AH29" s="19"/>
      <c r="AI29" s="19"/>
      <c r="AJ29" s="16"/>
      <c r="AK29" s="16"/>
      <c r="AL29" s="20"/>
      <c r="AM29" s="20"/>
      <c r="AN29" s="20"/>
      <c r="AO29" s="20"/>
      <c r="AP29" s="22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</row>
    <row r="30" spans="1:65" ht="15.75" customHeight="1">
      <c r="A30" s="39">
        <v>43188</v>
      </c>
      <c r="B30" s="89">
        <v>1935</v>
      </c>
      <c r="C30" s="89">
        <v>2005</v>
      </c>
      <c r="D30" s="9" t="str">
        <f t="shared" si="11"/>
        <v>Shawn/Owens</v>
      </c>
      <c r="E30" s="9" t="s">
        <v>33</v>
      </c>
      <c r="F30" s="10">
        <v>0.83333333333333337</v>
      </c>
      <c r="G30" s="10">
        <v>0.83333333333333337</v>
      </c>
      <c r="H30" s="11">
        <f t="shared" si="9"/>
        <v>0</v>
      </c>
      <c r="I30" s="44"/>
      <c r="J30" s="9">
        <v>54</v>
      </c>
      <c r="K30" s="9"/>
      <c r="L30" s="15" t="s">
        <v>240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12">
        <f t="shared" si="1"/>
        <v>0</v>
      </c>
      <c r="Z30" s="12">
        <f t="shared" si="2"/>
        <v>0</v>
      </c>
      <c r="AA30" s="13">
        <f t="shared" si="3"/>
        <v>0</v>
      </c>
      <c r="AB30" s="13">
        <f t="shared" si="4"/>
        <v>0</v>
      </c>
      <c r="AC30" s="14">
        <v>0.94</v>
      </c>
      <c r="AD30" s="15"/>
      <c r="AE30" s="9"/>
      <c r="AF30" s="9"/>
      <c r="AG30" s="9"/>
      <c r="AJ30" s="16"/>
      <c r="AK30" s="16"/>
      <c r="AL30" s="9"/>
      <c r="AM30" s="9"/>
      <c r="AN30" s="9"/>
      <c r="AO30" s="9"/>
      <c r="AP30" s="15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</row>
    <row r="31" spans="1:65" ht="15.75" customHeight="1">
      <c r="A31" s="7">
        <v>43189</v>
      </c>
      <c r="B31" s="114">
        <v>1936</v>
      </c>
      <c r="C31" s="114">
        <v>2006</v>
      </c>
      <c r="D31" s="20" t="str">
        <f t="shared" si="11"/>
        <v>Jeff</v>
      </c>
      <c r="E31" s="20" t="s">
        <v>33</v>
      </c>
      <c r="F31" s="21">
        <v>0.78125</v>
      </c>
      <c r="G31" s="21">
        <v>0.78125</v>
      </c>
      <c r="H31" s="11">
        <f t="shared" si="9"/>
        <v>0</v>
      </c>
      <c r="I31" s="43">
        <v>0</v>
      </c>
      <c r="J31" s="20">
        <v>57</v>
      </c>
      <c r="K31" s="20"/>
      <c r="L31" s="22" t="s">
        <v>240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12">
        <f t="shared" si="1"/>
        <v>0</v>
      </c>
      <c r="Z31" s="12">
        <f t="shared" si="2"/>
        <v>0</v>
      </c>
      <c r="AA31" s="13">
        <f t="shared" si="3"/>
        <v>0</v>
      </c>
      <c r="AB31" s="13">
        <f t="shared" si="4"/>
        <v>0</v>
      </c>
      <c r="AC31" s="14">
        <v>0.98</v>
      </c>
      <c r="AD31" s="22"/>
      <c r="AE31" s="20"/>
      <c r="AF31" s="20"/>
      <c r="AG31" s="20"/>
      <c r="AH31" s="19"/>
      <c r="AI31" s="19"/>
      <c r="AJ31" s="16"/>
      <c r="AK31" s="16"/>
      <c r="AL31" s="20"/>
      <c r="AM31" s="20"/>
      <c r="AN31" s="20"/>
      <c r="AO31" s="20"/>
      <c r="AP31" s="22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</row>
    <row r="32" spans="1:65" ht="15.75" customHeight="1">
      <c r="A32" s="7">
        <v>43190</v>
      </c>
      <c r="B32" s="89">
        <v>1938</v>
      </c>
      <c r="C32" s="89">
        <v>2008</v>
      </c>
      <c r="D32" s="9" t="str">
        <f t="shared" si="11"/>
        <v>Rob</v>
      </c>
      <c r="E32" s="9"/>
      <c r="F32" s="10"/>
      <c r="G32" s="10"/>
      <c r="H32" s="11">
        <f t="shared" si="9"/>
        <v>0</v>
      </c>
      <c r="I32" s="44"/>
      <c r="J32" s="9"/>
      <c r="K32" s="9"/>
      <c r="L32" s="15"/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12">
        <f t="shared" si="1"/>
        <v>0</v>
      </c>
      <c r="Z32" s="12">
        <f t="shared" si="2"/>
        <v>0</v>
      </c>
      <c r="AA32" s="13">
        <f t="shared" si="3"/>
        <v>0</v>
      </c>
      <c r="AB32" s="13">
        <f t="shared" si="4"/>
        <v>0</v>
      </c>
      <c r="AC32" s="14">
        <v>1</v>
      </c>
      <c r="AD32" s="15"/>
      <c r="AE32" s="9"/>
      <c r="AF32" s="9"/>
      <c r="AG32" s="9"/>
      <c r="AJ32" s="16"/>
      <c r="AK32" s="16"/>
      <c r="AL32" s="9"/>
      <c r="AM32" s="9"/>
      <c r="AN32" s="9"/>
      <c r="AO32" s="9"/>
      <c r="AP32" s="15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</row>
    <row r="33" spans="1:65" ht="15.75" customHeight="1">
      <c r="A33" s="50" t="s">
        <v>241</v>
      </c>
      <c r="B33" s="50"/>
      <c r="C33" s="51"/>
      <c r="D33" s="51"/>
      <c r="E33" s="52" t="s">
        <v>52</v>
      </c>
      <c r="F33" s="51"/>
      <c r="G33" s="51"/>
      <c r="H33" s="53">
        <f>SUM(H3:H32)</f>
        <v>1.0520833333333335</v>
      </c>
      <c r="I33" s="54">
        <f>SUM(I2:I32)</f>
        <v>109.48</v>
      </c>
      <c r="J33" s="51"/>
      <c r="K33" s="51"/>
      <c r="L33" s="35"/>
      <c r="M33" s="13">
        <f t="shared" ref="M33:X33" si="12">SUM(M2:M32)</f>
        <v>9</v>
      </c>
      <c r="N33" s="13">
        <f t="shared" si="12"/>
        <v>0</v>
      </c>
      <c r="O33" s="13">
        <f t="shared" si="12"/>
        <v>2</v>
      </c>
      <c r="P33" s="12">
        <f t="shared" si="12"/>
        <v>1</v>
      </c>
      <c r="Q33" s="12">
        <f t="shared" si="12"/>
        <v>78</v>
      </c>
      <c r="R33" s="55">
        <f t="shared" si="12"/>
        <v>144</v>
      </c>
      <c r="S33" s="55">
        <f t="shared" si="12"/>
        <v>2</v>
      </c>
      <c r="T33" s="55">
        <f t="shared" si="12"/>
        <v>5</v>
      </c>
      <c r="U33" s="55">
        <f t="shared" si="12"/>
        <v>8</v>
      </c>
      <c r="V33" s="12">
        <f t="shared" si="12"/>
        <v>2</v>
      </c>
      <c r="W33" s="12">
        <f t="shared" si="12"/>
        <v>1</v>
      </c>
      <c r="X33" s="56">
        <f t="shared" si="12"/>
        <v>6</v>
      </c>
      <c r="Y33" s="12">
        <f t="shared" ref="Y33:Z33" si="13">SUM(Y2:Y32)</f>
        <v>12</v>
      </c>
      <c r="Z33" s="12">
        <f t="shared" si="13"/>
        <v>237</v>
      </c>
      <c r="AA33" s="57">
        <f t="shared" ref="AA33:AB33" si="14">SUM(AA2:AA32)</f>
        <v>9</v>
      </c>
      <c r="AB33" s="57">
        <f t="shared" si="14"/>
        <v>230</v>
      </c>
      <c r="AC33" s="15"/>
      <c r="AD33" s="15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15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</row>
    <row r="34" spans="1:65" ht="15.75" customHeight="1">
      <c r="A34" s="17"/>
      <c r="B34" s="51"/>
      <c r="C34" s="51"/>
      <c r="D34" s="51"/>
      <c r="E34" s="58" t="s">
        <v>53</v>
      </c>
      <c r="F34" s="59"/>
      <c r="H34" s="60">
        <f>'November 2017'!H$33+'December 2017'!H$33+'January 2018'!H$33+'February 2018'!H$33+'March 2018'!H$33</f>
        <v>4.7208333333333332</v>
      </c>
      <c r="I34" s="61">
        <f>'November 2017'!I$33+'December 2017'!I$33+'January 2018'!I$33+'February 2018'!I$33+'March 2018'!I$33</f>
        <v>434.30986111111122</v>
      </c>
      <c r="J34" s="51"/>
      <c r="K34" s="51"/>
      <c r="L34" s="51"/>
      <c r="M34" s="62">
        <f>'November 2017'!M$33+'December 2017'!M$33+'January 2018'!M$33+'February 2018'!M$33+'March 2018'!M$33</f>
        <v>135</v>
      </c>
      <c r="N34" s="62">
        <f>'November 2017'!N$33+'December 2017'!N$33+'January 2018'!N$33+'February 2018'!N$33+'March 2018'!N$33</f>
        <v>281</v>
      </c>
      <c r="O34" s="62">
        <f>'November 2017'!O$33+'December 2017'!O$33+'January 2018'!O$33+'February 2018'!O$33+'March 2018'!O$33</f>
        <v>7</v>
      </c>
      <c r="P34" s="62">
        <f>'November 2017'!P$33+'December 2017'!P$33+'January 2018'!P$33+'February 2018'!P$33+'March 2018'!P$33</f>
        <v>9</v>
      </c>
      <c r="Q34" s="62">
        <f>'November 2017'!Q$33+'December 2017'!Q$33+'January 2018'!Q$33+'February 2018'!Q$33+'March 2018'!Q$33</f>
        <v>93</v>
      </c>
      <c r="R34" s="62">
        <f>'November 2017'!R$33+'December 2017'!R$33+'January 2018'!R$33+'February 2018'!R$33+'March 2018'!R$33</f>
        <v>144</v>
      </c>
      <c r="S34" s="62">
        <f>'November 2017'!S$33+'December 2017'!S$33+'January 2018'!S$33+'February 2018'!S$33+'March 2018'!S$33</f>
        <v>9</v>
      </c>
      <c r="T34" s="62">
        <f>'November 2017'!T$33+'December 2017'!T$33+'January 2018'!T$33+'February 2018'!T$33+'March 2018'!T$33</f>
        <v>6</v>
      </c>
      <c r="U34" s="62">
        <f>'November 2017'!U$33+'December 2017'!U$33+'January 2018'!U$33+'February 2018'!U$33+'March 2018'!U$33</f>
        <v>8</v>
      </c>
      <c r="V34" s="62">
        <f>'November 2017'!V$33+'December 2017'!V$33+'January 2018'!V$33+'February 2018'!V$33+'March 2018'!V$33</f>
        <v>8</v>
      </c>
      <c r="W34" s="62">
        <f>'November 2017'!W$33+'December 2017'!W$33+'January 2018'!W$33+'February 2018'!W$33+'March 2018'!W$33</f>
        <v>17</v>
      </c>
      <c r="X34" s="62">
        <f>'November 2017'!X$33+'December 2017'!X$33+'January 2018'!X$33+'February 2018'!X$33+'March 2018'!X$33</f>
        <v>13</v>
      </c>
      <c r="Y34" s="62">
        <f>'November 2017'!Y$33+'December 2017'!Y$33+'January 2018'!Y$33+'February 2018'!Y$33+'March 2018'!Y$33</f>
        <v>432</v>
      </c>
      <c r="Z34" s="62">
        <f>'November 2017'!Z$33+'December 2017'!Z$33+'January 2018'!Z$33+'February 2018'!Z$33+'March 2018'!Z$33</f>
        <v>260</v>
      </c>
      <c r="AA34" s="63">
        <f>'November 2017'!AA33+'December 2017'!AA33+'January 2018'!AA33+'February 2018'!AA33+'March 2018'!AA33</f>
        <v>416</v>
      </c>
      <c r="AB34" s="63">
        <f>'November 2017'!AB33+'December 2017'!AB33+'January 2018'!AB33+'February 2018'!AB33+'March 2018'!AB33</f>
        <v>246</v>
      </c>
      <c r="AC34" s="15"/>
      <c r="AD34" s="15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15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</row>
    <row r="35" spans="1:65" ht="15.75" customHeight="1">
      <c r="A35" s="17"/>
      <c r="B35" s="17"/>
      <c r="C35" s="17"/>
      <c r="D35" s="17"/>
      <c r="E35" s="58" t="s">
        <v>54</v>
      </c>
      <c r="F35" s="59"/>
      <c r="H35" s="60">
        <f>'November 2017'!H$33+'December 2017'!H$33+'January 2018'!H$33+'February 2018'!H$33+'March 2018'!H$33+'April 2018'!H$33</f>
        <v>5.1930555555555555</v>
      </c>
      <c r="I35" s="61">
        <f>'November 2017'!I33+'December 2017'!I33+'January 2018'!I33+'February 2018'!I33+'March 2018'!I33+'April 2018'!I33</f>
        <v>486.30986111111122</v>
      </c>
      <c r="J35" s="51"/>
      <c r="K35" s="51"/>
      <c r="L35" s="51"/>
      <c r="M35" s="62">
        <f>'November 2017'!M33+'December 2017'!M33+'January 2018'!M33+'February 2018'!M33+'March 2018'!M33+'April 2018'!M33</f>
        <v>135</v>
      </c>
      <c r="N35" s="62">
        <f>'November 2017'!N33+'December 2017'!N33+'January 2018'!N33+'February 2018'!N33+'March 2018'!N33+'April 2018'!N33</f>
        <v>281</v>
      </c>
      <c r="O35" s="62">
        <f>'November 2017'!O33+'December 2017'!O33+'January 2018'!O33+'February 2018'!O33+'March 2018'!O33+'April 2018'!O33</f>
        <v>7</v>
      </c>
      <c r="P35" s="62">
        <f>'November 2017'!P33+'December 2017'!P33+'January 2018'!P33+'February 2018'!P33+'March 2018'!P33+'April 2018'!P33</f>
        <v>10</v>
      </c>
      <c r="Q35" s="62">
        <f>'November 2017'!Q33+'December 2017'!Q33+'January 2018'!Q33+'February 2018'!Q33+'March 2018'!Q33+'April 2018'!Q33</f>
        <v>104</v>
      </c>
      <c r="R35" s="62">
        <f>'November 2017'!R33+'December 2017'!R33+'January 2018'!R33+'February 2018'!R33+'March 2018'!R33+'April 2018'!R33</f>
        <v>165</v>
      </c>
      <c r="S35" s="62">
        <f>'November 2017'!S33+'December 2017'!S33+'January 2018'!S33+'February 2018'!S33+'March 2018'!S33+'April 2018'!S33</f>
        <v>9</v>
      </c>
      <c r="T35" s="62">
        <f>'November 2017'!T33+'December 2017'!T33+'January 2018'!T33+'February 2018'!T33+'March 2018'!T33+'April 2018'!T33</f>
        <v>7</v>
      </c>
      <c r="U35" s="62">
        <f>'November 2017'!U33+'December 2017'!U33+'January 2018'!U33+'February 2018'!U33+'March 2018'!U33+'April 2018'!U33</f>
        <v>12</v>
      </c>
      <c r="V35" s="62">
        <f>'November 2017'!V33+'December 2017'!V33+'January 2018'!V33+'February 2018'!V33+'March 2018'!V33+'April 2018'!V33</f>
        <v>8</v>
      </c>
      <c r="W35" s="62">
        <f>'November 2017'!W33+'December 2017'!W33+'January 2018'!W33+'February 2018'!W33+'March 2018'!W33+'April 2018'!W33</f>
        <v>17</v>
      </c>
      <c r="X35" s="62">
        <f>'November 2017'!X33+'December 2017'!X33+'January 2018'!X33+'February 2018'!X33+'March 2018'!X33+'April 2018'!X33</f>
        <v>14</v>
      </c>
      <c r="Y35" s="62">
        <f>'November 2017'!Y33+'December 2017'!Y33+'January 2018'!Y33+'February 2018'!Y33+'March 2018'!Y33+'April 2018'!Y33</f>
        <v>433</v>
      </c>
      <c r="Z35" s="62">
        <f>'November 2017'!Z33+'December 2017'!Z33+'January 2018'!Z33+'February 2018'!Z33+'March 2018'!Z33+'April 2018'!Z33</f>
        <v>297</v>
      </c>
      <c r="AA35" s="62">
        <f>'November 2017'!AA33+'December 2017'!AA33+'January 2018'!AA33+'February 2018'!AA33+'March 2018'!AA33+'April 2018'!AA33</f>
        <v>416</v>
      </c>
      <c r="AB35" s="62">
        <f>'November 2017'!AB33+'December 2017'!AB33+'January 2018'!AB33+'February 2018'!AB33+'March 2018'!AB33+'April 2018'!AB33</f>
        <v>282</v>
      </c>
      <c r="AC35" s="64"/>
      <c r="AD35" s="64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4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</row>
    <row r="36" spans="1:65" ht="15.75" customHeight="1">
      <c r="A36" s="51"/>
      <c r="B36" s="51"/>
      <c r="C36" s="51"/>
      <c r="D36" s="51"/>
      <c r="E36" s="52" t="s">
        <v>55</v>
      </c>
      <c r="F36" s="51"/>
      <c r="G36" s="51"/>
      <c r="H36" s="51"/>
      <c r="I36" s="51"/>
      <c r="J36" s="51"/>
      <c r="K36" s="51"/>
      <c r="L36" s="51"/>
      <c r="M36" s="66"/>
      <c r="N36" s="67"/>
      <c r="O36" s="67"/>
      <c r="P36" s="68"/>
      <c r="Q36" s="68"/>
      <c r="R36" s="68"/>
      <c r="S36" s="68"/>
      <c r="T36" s="69"/>
      <c r="U36" s="70"/>
      <c r="V36" s="69"/>
      <c r="W36" s="69"/>
      <c r="X36" s="71"/>
      <c r="Y36" s="68">
        <v>834</v>
      </c>
      <c r="Z36" s="68">
        <v>751</v>
      </c>
      <c r="AA36" s="68"/>
      <c r="AB36" s="71"/>
      <c r="AC36" s="71"/>
      <c r="AD36" s="71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7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17"/>
      <c r="BL36" s="17"/>
      <c r="BM36" s="17"/>
    </row>
    <row r="37" spans="1:65" ht="15.75" customHeight="1">
      <c r="A37" s="51"/>
      <c r="B37" s="51"/>
      <c r="C37" s="51"/>
      <c r="D37" s="51"/>
      <c r="E37" s="52" t="s">
        <v>56</v>
      </c>
      <c r="F37" s="51"/>
      <c r="G37" s="51"/>
      <c r="H37" s="51"/>
      <c r="I37" s="51"/>
      <c r="J37" s="51"/>
      <c r="K37" s="51"/>
      <c r="L37" s="51"/>
      <c r="M37" s="66"/>
      <c r="N37" s="67"/>
      <c r="O37" s="67"/>
      <c r="P37" s="68"/>
      <c r="Q37" s="68"/>
      <c r="R37" s="68"/>
      <c r="S37" s="68"/>
      <c r="T37" s="69"/>
      <c r="U37" s="70"/>
      <c r="V37" s="69"/>
      <c r="W37" s="69"/>
      <c r="X37" s="71"/>
      <c r="Y37" s="68">
        <v>688</v>
      </c>
      <c r="Z37" s="68">
        <v>1040</v>
      </c>
      <c r="AA37" s="68"/>
      <c r="AB37" s="71"/>
      <c r="AC37" s="71"/>
      <c r="AD37" s="71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7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17"/>
      <c r="BL37" s="17"/>
      <c r="BM37" s="17"/>
    </row>
    <row r="38" spans="1:65" ht="15.75" customHeight="1">
      <c r="A38" s="51"/>
      <c r="B38" s="51"/>
      <c r="C38" s="51"/>
      <c r="D38" s="72"/>
      <c r="E38" s="52" t="s">
        <v>57</v>
      </c>
      <c r="F38" s="51"/>
      <c r="G38" s="51"/>
      <c r="H38" s="51"/>
      <c r="I38" s="51"/>
      <c r="J38" s="51"/>
      <c r="K38" s="51"/>
      <c r="L38" s="72"/>
      <c r="M38" s="73"/>
      <c r="N38" s="74"/>
      <c r="O38" s="74"/>
      <c r="P38" s="75"/>
      <c r="Q38" s="75"/>
      <c r="R38" s="76"/>
      <c r="S38" s="76"/>
      <c r="T38" s="77"/>
      <c r="U38" s="78"/>
      <c r="V38" s="75"/>
      <c r="W38" s="75"/>
      <c r="X38" s="79"/>
      <c r="Y38" s="75">
        <v>695</v>
      </c>
      <c r="Z38" s="75">
        <v>750</v>
      </c>
      <c r="AA38" s="75"/>
      <c r="AB38" s="79"/>
      <c r="AC38" s="79"/>
      <c r="AD38" s="79"/>
      <c r="AE38" s="52"/>
      <c r="AF38" s="52"/>
      <c r="AG38" s="52"/>
      <c r="AH38" s="52"/>
      <c r="AI38" s="52"/>
      <c r="AJ38" s="52"/>
      <c r="AK38" s="75"/>
      <c r="AL38" s="75"/>
      <c r="AM38" s="80"/>
      <c r="AN38" s="80"/>
      <c r="AO38" s="80"/>
      <c r="AP38" s="79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17"/>
      <c r="BL38" s="17"/>
      <c r="BM38" s="17"/>
    </row>
    <row r="39" spans="1:65" ht="15.75" customHeight="1">
      <c r="A39" s="51"/>
      <c r="B39" s="51"/>
      <c r="C39" s="51"/>
      <c r="D39" s="72"/>
      <c r="E39" s="52" t="s">
        <v>58</v>
      </c>
      <c r="F39" s="51"/>
      <c r="G39" s="51"/>
      <c r="H39" s="51"/>
      <c r="I39" s="51"/>
      <c r="J39" s="51"/>
      <c r="K39" s="51"/>
      <c r="L39" s="72"/>
      <c r="M39" s="73"/>
      <c r="N39" s="74"/>
      <c r="O39" s="74"/>
      <c r="P39" s="75"/>
      <c r="Q39" s="75"/>
      <c r="R39" s="76"/>
      <c r="S39" s="76"/>
      <c r="T39" s="77"/>
      <c r="U39" s="78"/>
      <c r="V39" s="75"/>
      <c r="W39" s="75"/>
      <c r="X39" s="79"/>
      <c r="Y39" s="75">
        <v>580</v>
      </c>
      <c r="Z39" s="75">
        <v>572</v>
      </c>
      <c r="AA39" s="75"/>
      <c r="AB39" s="79"/>
      <c r="AC39" s="79"/>
      <c r="AD39" s="79"/>
      <c r="AE39" s="52"/>
      <c r="AF39" s="52"/>
      <c r="AG39" s="52"/>
      <c r="AH39" s="52"/>
      <c r="AI39" s="52"/>
      <c r="AJ39" s="52"/>
      <c r="AK39" s="75"/>
      <c r="AL39" s="75"/>
      <c r="AM39" s="80"/>
      <c r="AN39" s="80"/>
      <c r="AO39" s="80"/>
      <c r="AP39" s="79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17"/>
      <c r="BL39" s="17"/>
      <c r="BM39" s="17"/>
    </row>
    <row r="40" spans="1:65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83"/>
      <c r="N40" s="84"/>
      <c r="O40" s="84"/>
      <c r="P40" s="8"/>
      <c r="Q40" s="8"/>
      <c r="R40" s="85"/>
      <c r="S40" s="85"/>
      <c r="T40" s="8"/>
      <c r="U40" s="8"/>
      <c r="V40" s="8"/>
      <c r="W40" s="8"/>
      <c r="X40" s="49"/>
      <c r="Y40" s="8"/>
      <c r="Z40" s="8"/>
      <c r="AA40" s="8"/>
      <c r="AB40" s="49"/>
      <c r="AC40" s="49"/>
      <c r="AD40" s="49"/>
      <c r="AE40" s="9"/>
      <c r="AF40" s="9"/>
      <c r="AG40" s="9"/>
      <c r="AH40" s="9"/>
      <c r="AI40" s="9"/>
      <c r="AJ40" s="9"/>
      <c r="AK40" s="8"/>
      <c r="AL40" s="8"/>
      <c r="AM40" s="20"/>
      <c r="AN40" s="20"/>
      <c r="AO40" s="20"/>
      <c r="AP40" s="49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</row>
    <row r="41" spans="1:65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83"/>
      <c r="N41" s="84"/>
      <c r="O41" s="84"/>
      <c r="P41" s="8"/>
      <c r="Q41" s="8"/>
      <c r="R41" s="85"/>
      <c r="T41" s="86"/>
      <c r="U41" s="48"/>
      <c r="V41" s="8"/>
      <c r="W41" s="8"/>
      <c r="X41" s="49"/>
      <c r="Y41" s="8"/>
      <c r="Z41" s="8"/>
      <c r="AA41" s="8"/>
      <c r="AB41" s="49"/>
      <c r="AC41" s="49"/>
      <c r="AD41" s="49"/>
      <c r="AE41" s="9"/>
      <c r="AF41" s="9"/>
      <c r="AG41" s="9"/>
      <c r="AH41" s="9"/>
      <c r="AI41" s="9"/>
      <c r="AJ41" s="9"/>
      <c r="AK41" s="8"/>
      <c r="AL41" s="8"/>
      <c r="AM41" s="20"/>
      <c r="AN41" s="20"/>
      <c r="AO41" s="20"/>
      <c r="AP41" s="49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</row>
    <row r="42" spans="1:65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83"/>
      <c r="N42" s="84"/>
      <c r="O42" s="84"/>
      <c r="P42" s="8"/>
      <c r="Q42" s="8"/>
      <c r="R42" s="85"/>
      <c r="S42" s="85"/>
      <c r="T42" s="8"/>
      <c r="U42" s="48"/>
      <c r="V42" s="8"/>
      <c r="W42" s="8"/>
      <c r="X42" s="49"/>
      <c r="Y42" s="8"/>
      <c r="Z42" s="8"/>
      <c r="AA42" s="8"/>
      <c r="AB42" s="49"/>
      <c r="AC42" s="49"/>
      <c r="AD42" s="49"/>
      <c r="AE42" s="9"/>
      <c r="AF42" s="9"/>
      <c r="AG42" s="9"/>
      <c r="AH42" s="9"/>
      <c r="AI42" s="9"/>
      <c r="AJ42" s="9"/>
      <c r="AK42" s="8"/>
      <c r="AL42" s="8"/>
      <c r="AM42" s="20"/>
      <c r="AN42" s="20"/>
      <c r="AO42" s="20"/>
      <c r="AP42" s="49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</row>
    <row r="43" spans="1:65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83"/>
      <c r="N43" s="84"/>
      <c r="O43" s="84"/>
      <c r="P43" s="8"/>
      <c r="Q43" s="8"/>
      <c r="R43" s="85"/>
      <c r="S43" s="85"/>
      <c r="T43" s="8"/>
      <c r="U43" s="48"/>
      <c r="V43" s="8"/>
      <c r="W43" s="8"/>
      <c r="X43" s="49"/>
      <c r="Y43" s="8"/>
      <c r="Z43" s="8"/>
      <c r="AA43" s="8"/>
      <c r="AB43" s="49"/>
      <c r="AC43" s="49"/>
      <c r="AD43" s="49"/>
      <c r="AE43" s="9"/>
      <c r="AF43" s="9"/>
      <c r="AG43" s="9"/>
      <c r="AH43" s="9"/>
      <c r="AI43" s="9"/>
      <c r="AJ43" s="9"/>
      <c r="AK43" s="8"/>
      <c r="AL43" s="8"/>
      <c r="AM43" s="20"/>
      <c r="AN43" s="20"/>
      <c r="AO43" s="20"/>
      <c r="AP43" s="49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</row>
    <row r="44" spans="1:65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83"/>
      <c r="N44" s="84"/>
      <c r="O44" s="84"/>
      <c r="P44" s="8"/>
      <c r="Q44" s="8"/>
      <c r="R44" s="85"/>
      <c r="S44" s="85"/>
      <c r="T44" s="86"/>
      <c r="U44" s="48"/>
      <c r="V44" s="8"/>
      <c r="W44" s="8"/>
      <c r="X44" s="49"/>
      <c r="Y44" s="8"/>
      <c r="Z44" s="8"/>
      <c r="AA44" s="8"/>
      <c r="AB44" s="49"/>
      <c r="AC44" s="49"/>
      <c r="AD44" s="49"/>
      <c r="AE44" s="9"/>
      <c r="AF44" s="9"/>
      <c r="AG44" s="9"/>
      <c r="AH44" s="9"/>
      <c r="AI44" s="9"/>
      <c r="AJ44" s="9"/>
      <c r="AK44" s="8"/>
      <c r="AL44" s="8"/>
      <c r="AM44" s="20"/>
      <c r="AN44" s="20"/>
      <c r="AO44" s="20"/>
      <c r="AP44" s="49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</row>
    <row r="45" spans="1:6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83"/>
      <c r="N45" s="84"/>
      <c r="O45" s="84"/>
      <c r="P45" s="8"/>
      <c r="Q45" s="8"/>
      <c r="R45" s="85"/>
      <c r="S45" s="87"/>
      <c r="T45" s="8"/>
      <c r="U45" s="48"/>
      <c r="V45" s="8"/>
      <c r="W45" s="8"/>
      <c r="X45" s="49"/>
      <c r="Y45" s="8"/>
      <c r="Z45" s="8"/>
      <c r="AA45" s="8"/>
      <c r="AB45" s="49"/>
      <c r="AC45" s="49"/>
      <c r="AD45" s="49"/>
      <c r="AE45" s="9"/>
      <c r="AF45" s="9"/>
      <c r="AG45" s="9"/>
      <c r="AH45" s="9"/>
      <c r="AI45" s="9"/>
      <c r="AJ45" s="9"/>
      <c r="AK45" s="8"/>
      <c r="AL45" s="8"/>
      <c r="AM45" s="20"/>
      <c r="AN45" s="20"/>
      <c r="AO45" s="20"/>
      <c r="AP45" s="49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</row>
    <row r="46" spans="1:65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83"/>
      <c r="N46" s="84"/>
      <c r="O46" s="84"/>
      <c r="P46" s="8"/>
      <c r="Q46" s="8"/>
      <c r="R46" s="85"/>
      <c r="S46" s="85"/>
      <c r="T46" s="86"/>
      <c r="U46" s="48"/>
      <c r="V46" s="8"/>
      <c r="W46" s="8"/>
      <c r="X46" s="49"/>
      <c r="Y46" s="8"/>
      <c r="Z46" s="8"/>
      <c r="AA46" s="8"/>
      <c r="AB46" s="49"/>
      <c r="AC46" s="49"/>
      <c r="AD46" s="49"/>
      <c r="AE46" s="9"/>
      <c r="AF46" s="9"/>
      <c r="AG46" s="9"/>
      <c r="AH46" s="9"/>
      <c r="AI46" s="9"/>
      <c r="AJ46" s="9"/>
      <c r="AK46" s="8"/>
      <c r="AL46" s="8"/>
      <c r="AM46" s="20"/>
      <c r="AN46" s="20"/>
      <c r="AO46" s="20"/>
      <c r="AP46" s="49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</row>
    <row r="47" spans="1:65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83"/>
      <c r="N47" s="84"/>
      <c r="O47" s="84"/>
      <c r="P47" s="8"/>
      <c r="Q47" s="8"/>
      <c r="R47" s="85"/>
      <c r="S47" s="85"/>
      <c r="T47" s="86"/>
      <c r="U47" s="48"/>
      <c r="V47" s="8"/>
      <c r="W47" s="8"/>
      <c r="X47" s="49"/>
      <c r="Y47" s="8"/>
      <c r="Z47" s="8"/>
      <c r="AA47" s="8"/>
      <c r="AB47" s="49"/>
      <c r="AC47" s="49"/>
      <c r="AD47" s="49"/>
      <c r="AE47" s="9"/>
      <c r="AF47" s="9"/>
      <c r="AG47" s="9"/>
      <c r="AH47" s="9"/>
      <c r="AI47" s="9"/>
      <c r="AJ47" s="9"/>
      <c r="AK47" s="8"/>
      <c r="AL47" s="8"/>
      <c r="AM47" s="20"/>
      <c r="AN47" s="20"/>
      <c r="AO47" s="20"/>
      <c r="AP47" s="88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</row>
    <row r="48" spans="1:65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83"/>
      <c r="N48" s="84"/>
      <c r="O48" s="84"/>
      <c r="P48" s="8"/>
      <c r="Q48" s="8"/>
      <c r="R48" s="85"/>
      <c r="S48" s="85"/>
      <c r="T48" s="86"/>
      <c r="U48" s="48"/>
      <c r="V48" s="8"/>
      <c r="W48" s="8"/>
      <c r="X48" s="49"/>
      <c r="Y48" s="8"/>
      <c r="Z48" s="8"/>
      <c r="AA48" s="8"/>
      <c r="AB48" s="49"/>
      <c r="AC48" s="49"/>
      <c r="AD48" s="49"/>
      <c r="AE48" s="9"/>
      <c r="AF48" s="9"/>
      <c r="AG48" s="9"/>
      <c r="AH48" s="9"/>
      <c r="AI48" s="9"/>
      <c r="AJ48" s="9"/>
      <c r="AK48" s="8"/>
      <c r="AL48" s="8"/>
      <c r="AM48" s="20"/>
      <c r="AN48" s="20"/>
      <c r="AO48" s="20"/>
      <c r="AP48" s="49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</row>
    <row r="49" spans="1:65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83"/>
      <c r="N49" s="84"/>
      <c r="O49" s="84"/>
      <c r="P49" s="8"/>
      <c r="Q49" s="8"/>
      <c r="R49" s="85"/>
      <c r="S49" s="85"/>
      <c r="T49" s="86"/>
      <c r="U49" s="48"/>
      <c r="V49" s="8"/>
      <c r="W49" s="8"/>
      <c r="X49" s="49"/>
      <c r="Y49" s="8"/>
      <c r="Z49" s="8"/>
      <c r="AA49" s="8"/>
      <c r="AB49" s="49"/>
      <c r="AC49" s="49"/>
      <c r="AD49" s="49"/>
      <c r="AE49" s="9"/>
      <c r="AF49" s="9"/>
      <c r="AG49" s="9"/>
      <c r="AH49" s="9"/>
      <c r="AI49" s="9"/>
      <c r="AJ49" s="9"/>
      <c r="AK49" s="8"/>
      <c r="AL49" s="8"/>
      <c r="AM49" s="20"/>
      <c r="AN49" s="20"/>
      <c r="AO49" s="20"/>
      <c r="AP49" s="49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</row>
    <row r="50" spans="1:65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83"/>
      <c r="N50" s="84"/>
      <c r="O50" s="84"/>
      <c r="P50" s="8"/>
      <c r="Q50" s="8"/>
      <c r="T50" s="86"/>
      <c r="U50" s="48"/>
      <c r="V50" s="8"/>
      <c r="W50" s="8"/>
      <c r="X50" s="49"/>
      <c r="Y50" s="8"/>
      <c r="Z50" s="8"/>
      <c r="AA50" s="8"/>
      <c r="AB50" s="49"/>
      <c r="AC50" s="49"/>
      <c r="AD50" s="49"/>
      <c r="AE50" s="9"/>
      <c r="AF50" s="9"/>
      <c r="AG50" s="9"/>
      <c r="AH50" s="9"/>
      <c r="AI50" s="9"/>
      <c r="AJ50" s="9"/>
      <c r="AK50" s="8"/>
      <c r="AL50" s="8"/>
      <c r="AM50" s="20"/>
      <c r="AN50" s="20"/>
      <c r="AO50" s="20"/>
      <c r="AP50" s="88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</row>
    <row r="51" spans="1:65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83"/>
      <c r="N51" s="84"/>
      <c r="O51" s="84"/>
      <c r="P51" s="8"/>
      <c r="Q51" s="8"/>
      <c r="T51" s="86"/>
      <c r="U51" s="48"/>
      <c r="V51" s="8"/>
      <c r="W51" s="8"/>
      <c r="X51" s="49"/>
      <c r="Y51" s="8"/>
      <c r="Z51" s="8"/>
      <c r="AA51" s="8"/>
      <c r="AB51" s="49"/>
      <c r="AC51" s="49"/>
      <c r="AD51" s="49"/>
      <c r="AE51" s="9"/>
      <c r="AF51" s="9"/>
      <c r="AG51" s="9"/>
      <c r="AH51" s="9"/>
      <c r="AI51" s="9"/>
      <c r="AJ51" s="9"/>
      <c r="AK51" s="8"/>
      <c r="AL51" s="8"/>
      <c r="AM51" s="20"/>
      <c r="AN51" s="20"/>
      <c r="AO51" s="20"/>
      <c r="AP51" s="88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</row>
    <row r="52" spans="1:65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83"/>
      <c r="N52" s="84"/>
      <c r="O52" s="84"/>
      <c r="P52" s="8"/>
      <c r="Q52" s="8"/>
      <c r="T52" s="86"/>
      <c r="U52" s="48"/>
      <c r="V52" s="8"/>
      <c r="W52" s="8"/>
      <c r="X52" s="88"/>
      <c r="Y52" s="8"/>
      <c r="Z52" s="8"/>
      <c r="AA52" s="8"/>
      <c r="AB52" s="49"/>
      <c r="AC52" s="49"/>
      <c r="AD52" s="49"/>
      <c r="AE52" s="9"/>
      <c r="AF52" s="9"/>
      <c r="AG52" s="9"/>
      <c r="AH52" s="9"/>
      <c r="AI52" s="9"/>
      <c r="AJ52" s="9"/>
      <c r="AK52" s="8"/>
      <c r="AL52" s="8"/>
      <c r="AM52" s="20"/>
      <c r="AN52" s="20"/>
      <c r="AO52" s="20"/>
      <c r="AP52" s="88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</row>
    <row r="53" spans="1:65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83"/>
      <c r="N53" s="89"/>
      <c r="O53" s="89"/>
      <c r="P53" s="8"/>
      <c r="T53" s="86"/>
      <c r="U53" s="48"/>
      <c r="V53" s="8"/>
      <c r="W53" s="8"/>
      <c r="X53" s="88"/>
      <c r="Y53" s="8"/>
      <c r="Z53" s="8"/>
      <c r="AA53" s="8"/>
      <c r="AB53" s="49"/>
      <c r="AC53" s="49"/>
      <c r="AD53" s="49"/>
      <c r="AE53" s="9"/>
      <c r="AF53" s="9"/>
      <c r="AG53" s="9"/>
      <c r="AH53" s="9"/>
      <c r="AI53" s="9"/>
      <c r="AJ53" s="9"/>
      <c r="AK53" s="8"/>
      <c r="AL53" s="8"/>
      <c r="AM53" s="20"/>
      <c r="AN53" s="20"/>
      <c r="AO53" s="20"/>
      <c r="AP53" s="88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</row>
    <row r="54" spans="1:65" ht="13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35"/>
      <c r="Y54" s="17"/>
      <c r="Z54" s="17"/>
      <c r="AA54" s="17"/>
      <c r="AB54" s="35"/>
      <c r="AC54" s="35"/>
      <c r="AD54" s="35"/>
      <c r="AE54" s="17"/>
      <c r="AF54" s="17"/>
      <c r="AG54" s="17"/>
      <c r="AH54" s="17"/>
      <c r="AI54" s="17"/>
      <c r="AJ54" s="17"/>
      <c r="AK54" s="17"/>
      <c r="AL54" s="90"/>
      <c r="AM54" s="17"/>
      <c r="AN54" s="17"/>
      <c r="AO54" s="51"/>
      <c r="AP54" s="35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</row>
    <row r="55" spans="1:65" ht="13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50"/>
      <c r="N55" s="50"/>
      <c r="O55" s="51"/>
      <c r="P55" s="51"/>
      <c r="Q55" s="52"/>
      <c r="R55" s="51"/>
      <c r="S55" s="51"/>
      <c r="T55" s="91"/>
      <c r="U55" s="92"/>
      <c r="V55" s="51"/>
      <c r="W55" s="51"/>
      <c r="X55" s="35"/>
      <c r="Y55" s="93"/>
      <c r="Z55" s="93"/>
      <c r="AA55" s="93"/>
      <c r="AB55" s="94"/>
      <c r="AC55" s="94"/>
      <c r="AD55" s="94"/>
      <c r="AE55" s="95"/>
      <c r="AF55" s="95"/>
      <c r="AG55" s="95"/>
      <c r="AH55" s="95"/>
      <c r="AI55" s="95"/>
      <c r="AJ55" s="95"/>
      <c r="AK55" s="93"/>
      <c r="AL55" s="93"/>
      <c r="AM55" s="51"/>
      <c r="AN55" s="51"/>
      <c r="AO55" s="51"/>
      <c r="AP55" s="35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</row>
    <row r="56" spans="1:65" ht="13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51"/>
      <c r="O56" s="51"/>
      <c r="P56" s="51"/>
      <c r="Q56" s="52"/>
      <c r="R56" s="51"/>
      <c r="S56" s="51"/>
      <c r="T56" s="51"/>
      <c r="U56" s="92"/>
      <c r="V56" s="51"/>
      <c r="W56" s="51"/>
      <c r="X56" s="17"/>
      <c r="Y56" s="17"/>
      <c r="Z56" s="17"/>
      <c r="AA56" s="51"/>
      <c r="AB56" s="96"/>
      <c r="AC56" s="96"/>
      <c r="AD56" s="96"/>
      <c r="AE56" s="51"/>
      <c r="AF56" s="51"/>
      <c r="AG56" s="51"/>
      <c r="AH56" s="51"/>
      <c r="AI56" s="52"/>
      <c r="AJ56" s="51"/>
      <c r="AK56" s="51"/>
      <c r="AL56" s="90"/>
      <c r="AM56" s="95"/>
      <c r="AN56" s="82"/>
      <c r="AO56" s="95"/>
      <c r="AP56" s="35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</row>
    <row r="57" spans="1:65" ht="13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35"/>
      <c r="Y57" s="17"/>
      <c r="Z57" s="17"/>
      <c r="AA57" s="17"/>
      <c r="AB57" s="35"/>
      <c r="AC57" s="35"/>
      <c r="AD57" s="35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</row>
    <row r="58" spans="1:65" ht="13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35"/>
      <c r="Y58" s="17"/>
      <c r="Z58" s="17"/>
      <c r="AA58" s="17"/>
      <c r="AB58" s="35"/>
      <c r="AC58" s="35"/>
      <c r="AD58" s="35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</row>
    <row r="59" spans="1:65" ht="13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35"/>
      <c r="Y59" s="17"/>
      <c r="Z59" s="17"/>
      <c r="AA59" s="17"/>
      <c r="AB59" s="35"/>
      <c r="AC59" s="35"/>
      <c r="AD59" s="35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</row>
    <row r="60" spans="1:65" ht="13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35"/>
      <c r="Y60" s="17"/>
      <c r="Z60" s="17"/>
      <c r="AA60" s="17"/>
      <c r="AB60" s="35"/>
      <c r="AC60" s="35"/>
      <c r="AD60" s="35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</row>
    <row r="61" spans="1:65" ht="13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35"/>
      <c r="Y61" s="17"/>
      <c r="Z61" s="17"/>
      <c r="AA61" s="17"/>
      <c r="AB61" s="35"/>
      <c r="AC61" s="35"/>
      <c r="AD61" s="35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</row>
    <row r="62" spans="1:65" ht="13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35"/>
      <c r="Y62" s="17"/>
      <c r="Z62" s="17"/>
      <c r="AA62" s="17"/>
      <c r="AB62" s="35"/>
      <c r="AC62" s="35"/>
      <c r="AD62" s="35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</row>
    <row r="63" spans="1:65" ht="1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35"/>
      <c r="Y63" s="17"/>
      <c r="Z63" s="17"/>
      <c r="AA63" s="17"/>
      <c r="AB63" s="35"/>
      <c r="AC63" s="35"/>
      <c r="AD63" s="35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</row>
    <row r="64" spans="1:65" ht="13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35"/>
      <c r="Y64" s="17"/>
      <c r="Z64" s="17"/>
      <c r="AA64" s="17"/>
      <c r="AB64" s="35"/>
      <c r="AC64" s="35"/>
      <c r="AD64" s="35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</row>
    <row r="65" spans="1:65" ht="13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35"/>
      <c r="Y65" s="17"/>
      <c r="Z65" s="17"/>
      <c r="AA65" s="17"/>
      <c r="AB65" s="35"/>
      <c r="AC65" s="35"/>
      <c r="AD65" s="35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</row>
    <row r="66" spans="1:65" ht="13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35"/>
      <c r="Y66" s="17"/>
      <c r="Z66" s="17"/>
      <c r="AA66" s="17"/>
      <c r="AB66" s="35"/>
      <c r="AC66" s="35"/>
      <c r="AD66" s="35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</row>
    <row r="67" spans="1:65" ht="13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35"/>
      <c r="Y67" s="17"/>
      <c r="Z67" s="17"/>
      <c r="AA67" s="17"/>
      <c r="AB67" s="35"/>
      <c r="AC67" s="35"/>
      <c r="AD67" s="35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</row>
    <row r="68" spans="1:65" ht="13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35"/>
      <c r="Y68" s="17"/>
      <c r="Z68" s="17"/>
      <c r="AA68" s="17"/>
      <c r="AB68" s="35"/>
      <c r="AC68" s="35"/>
      <c r="AD68" s="35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</row>
    <row r="69" spans="1:65" ht="13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35"/>
      <c r="Y69" s="17"/>
      <c r="Z69" s="17"/>
      <c r="AA69" s="17"/>
      <c r="AB69" s="35"/>
      <c r="AC69" s="35"/>
      <c r="AD69" s="35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</row>
    <row r="70" spans="1:65" ht="13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35"/>
      <c r="Y70" s="17"/>
      <c r="Z70" s="17"/>
      <c r="AA70" s="17"/>
      <c r="AB70" s="35"/>
      <c r="AC70" s="35"/>
      <c r="AD70" s="35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</row>
    <row r="71" spans="1:65" ht="13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35"/>
      <c r="Y71" s="17"/>
      <c r="Z71" s="17"/>
      <c r="AA71" s="17"/>
      <c r="AB71" s="35"/>
      <c r="AC71" s="35"/>
      <c r="AD71" s="35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</row>
    <row r="72" spans="1:65" ht="13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35"/>
      <c r="Y72" s="17"/>
      <c r="Z72" s="17"/>
      <c r="AA72" s="17"/>
      <c r="AB72" s="35"/>
      <c r="AC72" s="35"/>
      <c r="AD72" s="35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</row>
    <row r="73" spans="1:65" ht="1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35"/>
      <c r="Y73" s="17"/>
      <c r="Z73" s="17"/>
      <c r="AA73" s="17"/>
      <c r="AB73" s="35"/>
      <c r="AC73" s="35"/>
      <c r="AD73" s="35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</row>
    <row r="74" spans="1:65" ht="13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35"/>
      <c r="Y74" s="17"/>
      <c r="Z74" s="17"/>
      <c r="AA74" s="17"/>
      <c r="AB74" s="35"/>
      <c r="AC74" s="35"/>
      <c r="AD74" s="35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</row>
    <row r="75" spans="1:65" ht="13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35"/>
      <c r="Y75" s="17"/>
      <c r="Z75" s="17"/>
      <c r="AA75" s="17"/>
      <c r="AB75" s="35"/>
      <c r="AC75" s="35"/>
      <c r="AD75" s="35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</row>
    <row r="76" spans="1:65" ht="13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35"/>
      <c r="Y76" s="17"/>
      <c r="Z76" s="17"/>
      <c r="AA76" s="17"/>
      <c r="AB76" s="35"/>
      <c r="AC76" s="35"/>
      <c r="AD76" s="35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</row>
    <row r="77" spans="1:65" ht="13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35"/>
      <c r="Y77" s="17"/>
      <c r="Z77" s="17"/>
      <c r="AA77" s="17"/>
      <c r="AB77" s="35"/>
      <c r="AC77" s="35"/>
      <c r="AD77" s="35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</row>
    <row r="78" spans="1:65" ht="13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35"/>
      <c r="Y78" s="17"/>
      <c r="Z78" s="17"/>
      <c r="AA78" s="17"/>
      <c r="AB78" s="35"/>
      <c r="AC78" s="35"/>
      <c r="AD78" s="35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</row>
    <row r="79" spans="1:65" ht="13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35"/>
      <c r="Y79" s="17"/>
      <c r="Z79" s="17"/>
      <c r="AA79" s="17"/>
      <c r="AB79" s="35"/>
      <c r="AC79" s="35"/>
      <c r="AD79" s="35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</row>
    <row r="80" spans="1:65" ht="13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35"/>
      <c r="Y80" s="17"/>
      <c r="Z80" s="17"/>
      <c r="AA80" s="17"/>
      <c r="AB80" s="35"/>
      <c r="AC80" s="35"/>
      <c r="AD80" s="35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</row>
    <row r="81" spans="1:65" ht="13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35"/>
      <c r="Y81" s="17"/>
      <c r="Z81" s="17"/>
      <c r="AA81" s="17"/>
      <c r="AB81" s="35"/>
      <c r="AC81" s="35"/>
      <c r="AD81" s="35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</row>
    <row r="82" spans="1:65" ht="13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35"/>
      <c r="Y82" s="17"/>
      <c r="Z82" s="17"/>
      <c r="AA82" s="17"/>
      <c r="AB82" s="35"/>
      <c r="AC82" s="35"/>
      <c r="AD82" s="35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</row>
    <row r="83" spans="1:65" ht="1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35"/>
      <c r="Y83" s="17"/>
      <c r="Z83" s="17"/>
      <c r="AA83" s="17"/>
      <c r="AB83" s="35"/>
      <c r="AC83" s="35"/>
      <c r="AD83" s="35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</row>
    <row r="84" spans="1:65" ht="13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35"/>
      <c r="Y84" s="17"/>
      <c r="Z84" s="17"/>
      <c r="AA84" s="17"/>
      <c r="AB84" s="35"/>
      <c r="AC84" s="35"/>
      <c r="AD84" s="35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</row>
    <row r="85" spans="1:65" ht="13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35"/>
      <c r="Y85" s="17"/>
      <c r="Z85" s="17"/>
      <c r="AA85" s="17"/>
      <c r="AB85" s="35"/>
      <c r="AC85" s="35"/>
      <c r="AD85" s="35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</row>
    <row r="86" spans="1:65" ht="1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35"/>
      <c r="Y86" s="17"/>
      <c r="Z86" s="17"/>
      <c r="AA86" s="17"/>
      <c r="AB86" s="35"/>
      <c r="AC86" s="35"/>
      <c r="AD86" s="35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</row>
    <row r="87" spans="1:65" ht="1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35"/>
      <c r="Y87" s="17"/>
      <c r="Z87" s="17"/>
      <c r="AA87" s="17"/>
      <c r="AB87" s="35"/>
      <c r="AC87" s="35"/>
      <c r="AD87" s="35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</row>
    <row r="88" spans="1:65" ht="13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35"/>
      <c r="Y88" s="17"/>
      <c r="Z88" s="17"/>
      <c r="AA88" s="17"/>
      <c r="AB88" s="35"/>
      <c r="AC88" s="35"/>
      <c r="AD88" s="35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</row>
    <row r="89" spans="1:65" ht="13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35"/>
      <c r="Y89" s="17"/>
      <c r="Z89" s="17"/>
      <c r="AA89" s="17"/>
      <c r="AB89" s="35"/>
      <c r="AC89" s="35"/>
      <c r="AD89" s="35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</row>
    <row r="90" spans="1:65" ht="13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35"/>
      <c r="Y90" s="17"/>
      <c r="Z90" s="17"/>
      <c r="AA90" s="17"/>
      <c r="AB90" s="35"/>
      <c r="AC90" s="35"/>
      <c r="AD90" s="35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</row>
    <row r="91" spans="1:65" ht="13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35"/>
      <c r="Y91" s="17"/>
      <c r="Z91" s="17"/>
      <c r="AA91" s="17"/>
      <c r="AB91" s="35"/>
      <c r="AC91" s="35"/>
      <c r="AD91" s="35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</row>
    <row r="92" spans="1:65" ht="13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35"/>
      <c r="Y92" s="17"/>
      <c r="Z92" s="17"/>
      <c r="AA92" s="17"/>
      <c r="AB92" s="35"/>
      <c r="AC92" s="35"/>
      <c r="AD92" s="35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</row>
    <row r="93" spans="1:65" ht="1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35"/>
      <c r="Y93" s="17"/>
      <c r="Z93" s="17"/>
      <c r="AA93" s="17"/>
      <c r="AB93" s="35"/>
      <c r="AC93" s="35"/>
      <c r="AD93" s="35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</row>
    <row r="94" spans="1:65" ht="13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35"/>
      <c r="Y94" s="17"/>
      <c r="Z94" s="17"/>
      <c r="AA94" s="17"/>
      <c r="AB94" s="35"/>
      <c r="AC94" s="35"/>
      <c r="AD94" s="35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</row>
    <row r="95" spans="1:65" ht="13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35"/>
      <c r="Y95" s="17"/>
      <c r="Z95" s="17"/>
      <c r="AA95" s="17"/>
      <c r="AB95" s="35"/>
      <c r="AC95" s="35"/>
      <c r="AD95" s="35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</row>
    <row r="96" spans="1:65" ht="13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35"/>
      <c r="Y96" s="17"/>
      <c r="Z96" s="17"/>
      <c r="AA96" s="17"/>
      <c r="AB96" s="35"/>
      <c r="AC96" s="35"/>
      <c r="AD96" s="35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</row>
    <row r="97" spans="1:65" ht="13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35"/>
      <c r="Y97" s="17"/>
      <c r="Z97" s="17"/>
      <c r="AA97" s="17"/>
      <c r="AB97" s="35"/>
      <c r="AC97" s="35"/>
      <c r="AD97" s="35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</row>
    <row r="98" spans="1:65" ht="13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35"/>
      <c r="Y98" s="17"/>
      <c r="Z98" s="17"/>
      <c r="AA98" s="17"/>
      <c r="AB98" s="35"/>
      <c r="AC98" s="35"/>
      <c r="AD98" s="35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</row>
    <row r="99" spans="1:65" ht="13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35"/>
      <c r="Y99" s="17"/>
      <c r="Z99" s="17"/>
      <c r="AA99" s="17"/>
      <c r="AB99" s="35"/>
      <c r="AC99" s="35"/>
      <c r="AD99" s="35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</row>
    <row r="100" spans="1:65" ht="13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35"/>
      <c r="Y100" s="17"/>
      <c r="Z100" s="17"/>
      <c r="AA100" s="17"/>
      <c r="AB100" s="35"/>
      <c r="AC100" s="35"/>
      <c r="AD100" s="35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</row>
    <row r="101" spans="1:65" ht="13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35"/>
      <c r="Y101" s="17"/>
      <c r="Z101" s="17"/>
      <c r="AA101" s="17"/>
      <c r="AB101" s="35"/>
      <c r="AC101" s="35"/>
      <c r="AD101" s="35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</row>
    <row r="102" spans="1:65" ht="13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35"/>
      <c r="Y102" s="17"/>
      <c r="Z102" s="17"/>
      <c r="AA102" s="17"/>
      <c r="AB102" s="35"/>
      <c r="AC102" s="35"/>
      <c r="AD102" s="35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</row>
    <row r="103" spans="1:65" ht="1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35"/>
      <c r="Y103" s="17"/>
      <c r="Z103" s="17"/>
      <c r="AA103" s="17"/>
      <c r="AB103" s="35"/>
      <c r="AC103" s="35"/>
      <c r="AD103" s="35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</row>
    <row r="104" spans="1:65" ht="13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35"/>
      <c r="Y104" s="17"/>
      <c r="Z104" s="17"/>
      <c r="AA104" s="17"/>
      <c r="AB104" s="35"/>
      <c r="AC104" s="35"/>
      <c r="AD104" s="35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</row>
    <row r="105" spans="1:65" ht="13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35"/>
      <c r="Y105" s="17"/>
      <c r="Z105" s="17"/>
      <c r="AA105" s="17"/>
      <c r="AB105" s="35"/>
      <c r="AC105" s="35"/>
      <c r="AD105" s="35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</row>
    <row r="106" spans="1:65" ht="13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35"/>
      <c r="Y106" s="17"/>
      <c r="Z106" s="17"/>
      <c r="AA106" s="17"/>
      <c r="AB106" s="35"/>
      <c r="AC106" s="35"/>
      <c r="AD106" s="35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</row>
    <row r="107" spans="1:65" ht="13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35"/>
      <c r="Y107" s="17"/>
      <c r="Z107" s="17"/>
      <c r="AA107" s="17"/>
      <c r="AB107" s="35"/>
      <c r="AC107" s="35"/>
      <c r="AD107" s="35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</row>
    <row r="108" spans="1:65" ht="13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35"/>
      <c r="Y108" s="17"/>
      <c r="Z108" s="17"/>
      <c r="AA108" s="17"/>
      <c r="AB108" s="35"/>
      <c r="AC108" s="35"/>
      <c r="AD108" s="35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</row>
    <row r="109" spans="1:65" ht="13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35"/>
      <c r="Y109" s="17"/>
      <c r="Z109" s="17"/>
      <c r="AA109" s="17"/>
      <c r="AB109" s="35"/>
      <c r="AC109" s="35"/>
      <c r="AD109" s="35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</row>
    <row r="110" spans="1:65" ht="13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35"/>
      <c r="Y110" s="17"/>
      <c r="Z110" s="17"/>
      <c r="AA110" s="17"/>
      <c r="AB110" s="35"/>
      <c r="AC110" s="35"/>
      <c r="AD110" s="35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</row>
    <row r="111" spans="1:65" ht="13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35"/>
      <c r="Y111" s="17"/>
      <c r="Z111" s="17"/>
      <c r="AA111" s="17"/>
      <c r="AB111" s="35"/>
      <c r="AC111" s="35"/>
      <c r="AD111" s="35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</row>
    <row r="112" spans="1:65" ht="13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35"/>
      <c r="Y112" s="17"/>
      <c r="Z112" s="17"/>
      <c r="AA112" s="17"/>
      <c r="AB112" s="35"/>
      <c r="AC112" s="35"/>
      <c r="AD112" s="35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</row>
    <row r="113" spans="1:65" ht="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35"/>
      <c r="Y113" s="17"/>
      <c r="Z113" s="17"/>
      <c r="AA113" s="17"/>
      <c r="AB113" s="35"/>
      <c r="AC113" s="35"/>
      <c r="AD113" s="35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</row>
    <row r="114" spans="1:65" ht="13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35"/>
      <c r="Y114" s="17"/>
      <c r="Z114" s="17"/>
      <c r="AA114" s="17"/>
      <c r="AB114" s="35"/>
      <c r="AC114" s="35"/>
      <c r="AD114" s="35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</row>
    <row r="115" spans="1:65" ht="13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35"/>
      <c r="Y115" s="17"/>
      <c r="Z115" s="17"/>
      <c r="AA115" s="17"/>
      <c r="AB115" s="35"/>
      <c r="AC115" s="35"/>
      <c r="AD115" s="35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</row>
    <row r="116" spans="1:65" ht="13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35"/>
      <c r="Y116" s="17"/>
      <c r="Z116" s="17"/>
      <c r="AA116" s="17"/>
      <c r="AB116" s="35"/>
      <c r="AC116" s="35"/>
      <c r="AD116" s="35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</row>
    <row r="117" spans="1:65" ht="13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35"/>
      <c r="Y117" s="17"/>
      <c r="Z117" s="17"/>
      <c r="AA117" s="17"/>
      <c r="AB117" s="35"/>
      <c r="AC117" s="35"/>
      <c r="AD117" s="35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</row>
    <row r="118" spans="1:65" ht="13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35"/>
      <c r="Y118" s="17"/>
      <c r="Z118" s="17"/>
      <c r="AA118" s="17"/>
      <c r="AB118" s="35"/>
      <c r="AC118" s="35"/>
      <c r="AD118" s="35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</row>
    <row r="119" spans="1:65" ht="13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35"/>
      <c r="Y119" s="17"/>
      <c r="Z119" s="17"/>
      <c r="AA119" s="17"/>
      <c r="AB119" s="35"/>
      <c r="AC119" s="35"/>
      <c r="AD119" s="35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</row>
    <row r="120" spans="1:65" ht="13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35"/>
      <c r="Y120" s="17"/>
      <c r="Z120" s="17"/>
      <c r="AA120" s="17"/>
      <c r="AB120" s="35"/>
      <c r="AC120" s="35"/>
      <c r="AD120" s="35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</row>
    <row r="121" spans="1:65" ht="13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35"/>
      <c r="Y121" s="17"/>
      <c r="Z121" s="17"/>
      <c r="AA121" s="17"/>
      <c r="AB121" s="35"/>
      <c r="AC121" s="35"/>
      <c r="AD121" s="35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</row>
    <row r="122" spans="1:65" ht="13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35"/>
      <c r="Y122" s="17"/>
      <c r="Z122" s="17"/>
      <c r="AA122" s="17"/>
      <c r="AB122" s="35"/>
      <c r="AC122" s="35"/>
      <c r="AD122" s="35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</row>
    <row r="123" spans="1:65" ht="1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35"/>
      <c r="Y123" s="17"/>
      <c r="Z123" s="17"/>
      <c r="AA123" s="17"/>
      <c r="AB123" s="35"/>
      <c r="AC123" s="35"/>
      <c r="AD123" s="35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</row>
    <row r="124" spans="1:65" ht="13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35"/>
      <c r="Y124" s="17"/>
      <c r="Z124" s="17"/>
      <c r="AA124" s="17"/>
      <c r="AB124" s="35"/>
      <c r="AC124" s="35"/>
      <c r="AD124" s="35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</row>
    <row r="125" spans="1:65" ht="13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35"/>
      <c r="Y125" s="17"/>
      <c r="Z125" s="17"/>
      <c r="AA125" s="17"/>
      <c r="AB125" s="35"/>
      <c r="AC125" s="35"/>
      <c r="AD125" s="35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</row>
    <row r="126" spans="1:65" ht="13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35"/>
      <c r="Y126" s="17"/>
      <c r="Z126" s="17"/>
      <c r="AA126" s="17"/>
      <c r="AB126" s="35"/>
      <c r="AC126" s="35"/>
      <c r="AD126" s="35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</row>
    <row r="127" spans="1:65" ht="13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35"/>
      <c r="Y127" s="17"/>
      <c r="Z127" s="17"/>
      <c r="AA127" s="17"/>
      <c r="AB127" s="35"/>
      <c r="AC127" s="35"/>
      <c r="AD127" s="35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</row>
    <row r="128" spans="1:65" ht="13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35"/>
      <c r="Y128" s="17"/>
      <c r="Z128" s="17"/>
      <c r="AA128" s="17"/>
      <c r="AB128" s="35"/>
      <c r="AC128" s="35"/>
      <c r="AD128" s="35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</row>
    <row r="129" spans="1:65" ht="13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35"/>
      <c r="Y129" s="17"/>
      <c r="Z129" s="17"/>
      <c r="AA129" s="17"/>
      <c r="AB129" s="35"/>
      <c r="AC129" s="35"/>
      <c r="AD129" s="35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</row>
    <row r="130" spans="1:65" ht="13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35"/>
      <c r="Y130" s="17"/>
      <c r="Z130" s="17"/>
      <c r="AA130" s="17"/>
      <c r="AB130" s="35"/>
      <c r="AC130" s="35"/>
      <c r="AD130" s="35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</row>
    <row r="131" spans="1:65" ht="13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35"/>
      <c r="Y131" s="17"/>
      <c r="Z131" s="17"/>
      <c r="AA131" s="17"/>
      <c r="AB131" s="35"/>
      <c r="AC131" s="35"/>
      <c r="AD131" s="35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</row>
    <row r="132" spans="1:65" ht="13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35"/>
      <c r="Y132" s="17"/>
      <c r="Z132" s="17"/>
      <c r="AA132" s="17"/>
      <c r="AB132" s="35"/>
      <c r="AC132" s="35"/>
      <c r="AD132" s="35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</row>
    <row r="133" spans="1:65" ht="1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35"/>
      <c r="Y133" s="17"/>
      <c r="Z133" s="17"/>
      <c r="AA133" s="17"/>
      <c r="AB133" s="35"/>
      <c r="AC133" s="35"/>
      <c r="AD133" s="35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</row>
    <row r="134" spans="1:65" ht="13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35"/>
      <c r="Y134" s="17"/>
      <c r="Z134" s="17"/>
      <c r="AA134" s="17"/>
      <c r="AB134" s="35"/>
      <c r="AC134" s="35"/>
      <c r="AD134" s="35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</row>
    <row r="135" spans="1:65" ht="13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35"/>
      <c r="Y135" s="17"/>
      <c r="Z135" s="17"/>
      <c r="AA135" s="17"/>
      <c r="AB135" s="35"/>
      <c r="AC135" s="35"/>
      <c r="AD135" s="35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</row>
    <row r="136" spans="1:65" ht="13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35"/>
      <c r="Y136" s="17"/>
      <c r="Z136" s="17"/>
      <c r="AA136" s="17"/>
      <c r="AB136" s="35"/>
      <c r="AC136" s="35"/>
      <c r="AD136" s="35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</row>
    <row r="137" spans="1:65" ht="13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35"/>
      <c r="Y137" s="17"/>
      <c r="Z137" s="17"/>
      <c r="AA137" s="17"/>
      <c r="AB137" s="35"/>
      <c r="AC137" s="35"/>
      <c r="AD137" s="35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</row>
    <row r="138" spans="1:65" ht="13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35"/>
      <c r="Y138" s="17"/>
      <c r="Z138" s="17"/>
      <c r="AA138" s="17"/>
      <c r="AB138" s="35"/>
      <c r="AC138" s="35"/>
      <c r="AD138" s="35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</row>
    <row r="139" spans="1:65" ht="13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35"/>
      <c r="Y139" s="17"/>
      <c r="Z139" s="17"/>
      <c r="AA139" s="17"/>
      <c r="AB139" s="35"/>
      <c r="AC139" s="35"/>
      <c r="AD139" s="35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</row>
    <row r="140" spans="1:65" ht="13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35"/>
      <c r="Y140" s="17"/>
      <c r="Z140" s="17"/>
      <c r="AA140" s="17"/>
      <c r="AB140" s="35"/>
      <c r="AC140" s="35"/>
      <c r="AD140" s="35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</row>
    <row r="141" spans="1:65" ht="13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35"/>
      <c r="Y141" s="17"/>
      <c r="Z141" s="17"/>
      <c r="AA141" s="17"/>
      <c r="AB141" s="35"/>
      <c r="AC141" s="35"/>
      <c r="AD141" s="35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</row>
    <row r="142" spans="1:65" ht="13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35"/>
      <c r="Y142" s="17"/>
      <c r="Z142" s="17"/>
      <c r="AA142" s="17"/>
      <c r="AB142" s="35"/>
      <c r="AC142" s="35"/>
      <c r="AD142" s="35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</row>
    <row r="143" spans="1:65" ht="1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35"/>
      <c r="Y143" s="17"/>
      <c r="Z143" s="17"/>
      <c r="AA143" s="17"/>
      <c r="AB143" s="35"/>
      <c r="AC143" s="35"/>
      <c r="AD143" s="35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</row>
    <row r="144" spans="1:65" ht="13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35"/>
      <c r="Y144" s="17"/>
      <c r="Z144" s="17"/>
      <c r="AA144" s="17"/>
      <c r="AB144" s="35"/>
      <c r="AC144" s="35"/>
      <c r="AD144" s="35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</row>
    <row r="145" spans="1:65" ht="13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35"/>
      <c r="Y145" s="17"/>
      <c r="Z145" s="17"/>
      <c r="AA145" s="17"/>
      <c r="AB145" s="35"/>
      <c r="AC145" s="35"/>
      <c r="AD145" s="35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</row>
    <row r="146" spans="1:65" ht="13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35"/>
      <c r="Y146" s="17"/>
      <c r="Z146" s="17"/>
      <c r="AA146" s="17"/>
      <c r="AB146" s="35"/>
      <c r="AC146" s="35"/>
      <c r="AD146" s="35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</row>
    <row r="147" spans="1:65" ht="13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35"/>
      <c r="Y147" s="17"/>
      <c r="Z147" s="17"/>
      <c r="AA147" s="17"/>
      <c r="AB147" s="35"/>
      <c r="AC147" s="35"/>
      <c r="AD147" s="35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</row>
    <row r="148" spans="1:65" ht="13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35"/>
      <c r="Y148" s="17"/>
      <c r="Z148" s="17"/>
      <c r="AA148" s="17"/>
      <c r="AB148" s="35"/>
      <c r="AC148" s="35"/>
      <c r="AD148" s="35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</row>
    <row r="149" spans="1:65" ht="13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35"/>
      <c r="Y149" s="17"/>
      <c r="Z149" s="17"/>
      <c r="AA149" s="17"/>
      <c r="AB149" s="35"/>
      <c r="AC149" s="35"/>
      <c r="AD149" s="35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</row>
    <row r="150" spans="1:65" ht="13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35"/>
      <c r="Y150" s="17"/>
      <c r="Z150" s="17"/>
      <c r="AA150" s="17"/>
      <c r="AB150" s="35"/>
      <c r="AC150" s="35"/>
      <c r="AD150" s="35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</row>
    <row r="151" spans="1:65" ht="13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35"/>
      <c r="Y151" s="17"/>
      <c r="Z151" s="17"/>
      <c r="AA151" s="17"/>
      <c r="AB151" s="35"/>
      <c r="AC151" s="35"/>
      <c r="AD151" s="35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</row>
    <row r="152" spans="1:65" ht="13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35"/>
      <c r="Y152" s="17"/>
      <c r="Z152" s="17"/>
      <c r="AA152" s="17"/>
      <c r="AB152" s="35"/>
      <c r="AC152" s="35"/>
      <c r="AD152" s="35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</row>
    <row r="153" spans="1:65" ht="1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35"/>
      <c r="Y153" s="17"/>
      <c r="Z153" s="17"/>
      <c r="AA153" s="17"/>
      <c r="AB153" s="35"/>
      <c r="AC153" s="35"/>
      <c r="AD153" s="35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</row>
    <row r="154" spans="1:65" ht="13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35"/>
      <c r="Y154" s="17"/>
      <c r="Z154" s="17"/>
      <c r="AA154" s="17"/>
      <c r="AB154" s="35"/>
      <c r="AC154" s="35"/>
      <c r="AD154" s="35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</row>
    <row r="155" spans="1:65" ht="13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35"/>
      <c r="Y155" s="17"/>
      <c r="Z155" s="17"/>
      <c r="AA155" s="17"/>
      <c r="AB155" s="35"/>
      <c r="AC155" s="35"/>
      <c r="AD155" s="35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</row>
    <row r="156" spans="1:65" ht="13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35"/>
      <c r="Y156" s="17"/>
      <c r="Z156" s="17"/>
      <c r="AA156" s="17"/>
      <c r="AB156" s="35"/>
      <c r="AC156" s="35"/>
      <c r="AD156" s="35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</row>
    <row r="157" spans="1:65" ht="13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35"/>
      <c r="Y157" s="17"/>
      <c r="Z157" s="17"/>
      <c r="AA157" s="17"/>
      <c r="AB157" s="35"/>
      <c r="AC157" s="35"/>
      <c r="AD157" s="35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</row>
    <row r="158" spans="1:65" ht="13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35"/>
      <c r="Y158" s="17"/>
      <c r="Z158" s="17"/>
      <c r="AA158" s="17"/>
      <c r="AB158" s="35"/>
      <c r="AC158" s="35"/>
      <c r="AD158" s="35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</row>
    <row r="159" spans="1:65" ht="13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35"/>
      <c r="Y159" s="17"/>
      <c r="Z159" s="17"/>
      <c r="AA159" s="17"/>
      <c r="AB159" s="35"/>
      <c r="AC159" s="35"/>
      <c r="AD159" s="35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</row>
    <row r="160" spans="1:65" ht="13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35"/>
      <c r="Y160" s="17"/>
      <c r="Z160" s="17"/>
      <c r="AA160" s="17"/>
      <c r="AB160" s="35"/>
      <c r="AC160" s="35"/>
      <c r="AD160" s="35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</row>
    <row r="161" spans="1:65" ht="13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35"/>
      <c r="Y161" s="17"/>
      <c r="Z161" s="17"/>
      <c r="AA161" s="17"/>
      <c r="AB161" s="35"/>
      <c r="AC161" s="35"/>
      <c r="AD161" s="35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</row>
    <row r="162" spans="1:65" ht="13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35"/>
      <c r="Y162" s="17"/>
      <c r="Z162" s="17"/>
      <c r="AA162" s="17"/>
      <c r="AB162" s="35"/>
      <c r="AC162" s="35"/>
      <c r="AD162" s="35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</row>
    <row r="163" spans="1:65" ht="1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35"/>
      <c r="Y163" s="17"/>
      <c r="Z163" s="17"/>
      <c r="AA163" s="17"/>
      <c r="AB163" s="35"/>
      <c r="AC163" s="35"/>
      <c r="AD163" s="35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</row>
    <row r="164" spans="1:65" ht="13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35"/>
      <c r="Y164" s="17"/>
      <c r="Z164" s="17"/>
      <c r="AA164" s="17"/>
      <c r="AB164" s="35"/>
      <c r="AC164" s="35"/>
      <c r="AD164" s="35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</row>
    <row r="165" spans="1:65" ht="13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35"/>
      <c r="Y165" s="17"/>
      <c r="Z165" s="17"/>
      <c r="AA165" s="17"/>
      <c r="AB165" s="35"/>
      <c r="AC165" s="35"/>
      <c r="AD165" s="35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</row>
    <row r="166" spans="1:65" ht="13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35"/>
      <c r="Y166" s="17"/>
      <c r="Z166" s="17"/>
      <c r="AA166" s="17"/>
      <c r="AB166" s="35"/>
      <c r="AC166" s="35"/>
      <c r="AD166" s="35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</row>
    <row r="167" spans="1:65" ht="13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35"/>
      <c r="Y167" s="17"/>
      <c r="Z167" s="17"/>
      <c r="AA167" s="17"/>
      <c r="AB167" s="35"/>
      <c r="AC167" s="35"/>
      <c r="AD167" s="35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</row>
    <row r="168" spans="1:65" ht="13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35"/>
      <c r="Y168" s="17"/>
      <c r="Z168" s="17"/>
      <c r="AA168" s="17"/>
      <c r="AB168" s="35"/>
      <c r="AC168" s="35"/>
      <c r="AD168" s="35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</row>
    <row r="169" spans="1:65" ht="13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35"/>
      <c r="Y169" s="17"/>
      <c r="Z169" s="17"/>
      <c r="AA169" s="17"/>
      <c r="AB169" s="35"/>
      <c r="AC169" s="35"/>
      <c r="AD169" s="35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</row>
    <row r="170" spans="1:65" ht="13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35"/>
      <c r="Y170" s="17"/>
      <c r="Z170" s="17"/>
      <c r="AA170" s="17"/>
      <c r="AB170" s="35"/>
      <c r="AC170" s="35"/>
      <c r="AD170" s="35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</row>
    <row r="171" spans="1:65" ht="13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35"/>
      <c r="Y171" s="17"/>
      <c r="Z171" s="17"/>
      <c r="AA171" s="17"/>
      <c r="AB171" s="35"/>
      <c r="AC171" s="35"/>
      <c r="AD171" s="35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</row>
    <row r="172" spans="1:65" ht="13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35"/>
      <c r="Y172" s="17"/>
      <c r="Z172" s="17"/>
      <c r="AA172" s="17"/>
      <c r="AB172" s="35"/>
      <c r="AC172" s="35"/>
      <c r="AD172" s="35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</row>
    <row r="173" spans="1:65" ht="1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35"/>
      <c r="Y173" s="17"/>
      <c r="Z173" s="17"/>
      <c r="AA173" s="17"/>
      <c r="AB173" s="35"/>
      <c r="AC173" s="35"/>
      <c r="AD173" s="35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</row>
    <row r="174" spans="1:65" ht="13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35"/>
      <c r="Y174" s="17"/>
      <c r="Z174" s="17"/>
      <c r="AA174" s="17"/>
      <c r="AB174" s="35"/>
      <c r="AC174" s="35"/>
      <c r="AD174" s="35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</row>
    <row r="175" spans="1:65" ht="13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35"/>
      <c r="Y175" s="17"/>
      <c r="Z175" s="17"/>
      <c r="AA175" s="17"/>
      <c r="AB175" s="35"/>
      <c r="AC175" s="35"/>
      <c r="AD175" s="35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</row>
    <row r="176" spans="1:65" ht="13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35"/>
      <c r="Y176" s="17"/>
      <c r="Z176" s="17"/>
      <c r="AA176" s="17"/>
      <c r="AB176" s="35"/>
      <c r="AC176" s="35"/>
      <c r="AD176" s="35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</row>
    <row r="177" spans="1:65" ht="13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35"/>
      <c r="Y177" s="17"/>
      <c r="Z177" s="17"/>
      <c r="AA177" s="17"/>
      <c r="AB177" s="35"/>
      <c r="AC177" s="35"/>
      <c r="AD177" s="35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</row>
    <row r="178" spans="1:65" ht="13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35"/>
      <c r="Y178" s="17"/>
      <c r="Z178" s="17"/>
      <c r="AA178" s="17"/>
      <c r="AB178" s="35"/>
      <c r="AC178" s="35"/>
      <c r="AD178" s="35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</row>
    <row r="179" spans="1:65" ht="13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35"/>
      <c r="Y179" s="17"/>
      <c r="Z179" s="17"/>
      <c r="AA179" s="17"/>
      <c r="AB179" s="35"/>
      <c r="AC179" s="35"/>
      <c r="AD179" s="35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</row>
    <row r="180" spans="1:65" ht="13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35"/>
      <c r="Y180" s="17"/>
      <c r="Z180" s="17"/>
      <c r="AA180" s="17"/>
      <c r="AB180" s="35"/>
      <c r="AC180" s="35"/>
      <c r="AD180" s="35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</row>
    <row r="181" spans="1:65" ht="13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35"/>
      <c r="Y181" s="17"/>
      <c r="Z181" s="17"/>
      <c r="AA181" s="17"/>
      <c r="AB181" s="35"/>
      <c r="AC181" s="35"/>
      <c r="AD181" s="35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</row>
    <row r="182" spans="1:65" ht="13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35"/>
      <c r="Y182" s="17"/>
      <c r="Z182" s="17"/>
      <c r="AA182" s="17"/>
      <c r="AB182" s="35"/>
      <c r="AC182" s="35"/>
      <c r="AD182" s="35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</row>
    <row r="183" spans="1:65" ht="1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35"/>
      <c r="Y183" s="17"/>
      <c r="Z183" s="17"/>
      <c r="AA183" s="17"/>
      <c r="AB183" s="35"/>
      <c r="AC183" s="35"/>
      <c r="AD183" s="35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</row>
    <row r="184" spans="1:65" ht="13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35"/>
      <c r="Y184" s="17"/>
      <c r="Z184" s="17"/>
      <c r="AA184" s="17"/>
      <c r="AB184" s="35"/>
      <c r="AC184" s="35"/>
      <c r="AD184" s="35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</row>
    <row r="185" spans="1:65" ht="13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35"/>
      <c r="Y185" s="17"/>
      <c r="Z185" s="17"/>
      <c r="AA185" s="17"/>
      <c r="AB185" s="35"/>
      <c r="AC185" s="35"/>
      <c r="AD185" s="35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</row>
    <row r="186" spans="1:65" ht="13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35"/>
      <c r="Y186" s="17"/>
      <c r="Z186" s="17"/>
      <c r="AA186" s="17"/>
      <c r="AB186" s="35"/>
      <c r="AC186" s="35"/>
      <c r="AD186" s="35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</row>
    <row r="187" spans="1:65" ht="13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35"/>
      <c r="Y187" s="17"/>
      <c r="Z187" s="17"/>
      <c r="AA187" s="17"/>
      <c r="AB187" s="35"/>
      <c r="AC187" s="35"/>
      <c r="AD187" s="35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</row>
    <row r="188" spans="1:65" ht="13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35"/>
      <c r="Y188" s="17"/>
      <c r="Z188" s="17"/>
      <c r="AA188" s="17"/>
      <c r="AB188" s="35"/>
      <c r="AC188" s="35"/>
      <c r="AD188" s="35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</row>
    <row r="189" spans="1:65" ht="13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35"/>
      <c r="Y189" s="17"/>
      <c r="Z189" s="17"/>
      <c r="AA189" s="17"/>
      <c r="AB189" s="35"/>
      <c r="AC189" s="35"/>
      <c r="AD189" s="35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</row>
    <row r="190" spans="1:65" ht="13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35"/>
      <c r="Y190" s="17"/>
      <c r="Z190" s="17"/>
      <c r="AA190" s="17"/>
      <c r="AB190" s="35"/>
      <c r="AC190" s="35"/>
      <c r="AD190" s="35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</row>
    <row r="191" spans="1:65" ht="13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35"/>
      <c r="Y191" s="17"/>
      <c r="Z191" s="17"/>
      <c r="AA191" s="17"/>
      <c r="AB191" s="35"/>
      <c r="AC191" s="35"/>
      <c r="AD191" s="35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</row>
    <row r="192" spans="1:65" ht="13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35"/>
      <c r="Y192" s="17"/>
      <c r="Z192" s="17"/>
      <c r="AA192" s="17"/>
      <c r="AB192" s="35"/>
      <c r="AC192" s="35"/>
      <c r="AD192" s="35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</row>
    <row r="193" spans="1:65" ht="1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35"/>
      <c r="Y193" s="17"/>
      <c r="Z193" s="17"/>
      <c r="AA193" s="17"/>
      <c r="AB193" s="35"/>
      <c r="AC193" s="35"/>
      <c r="AD193" s="35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</row>
    <row r="194" spans="1:65" ht="13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35"/>
      <c r="Y194" s="17"/>
      <c r="Z194" s="17"/>
      <c r="AA194" s="17"/>
      <c r="AB194" s="35"/>
      <c r="AC194" s="35"/>
      <c r="AD194" s="35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</row>
    <row r="195" spans="1:65" ht="13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35"/>
      <c r="Y195" s="17"/>
      <c r="Z195" s="17"/>
      <c r="AA195" s="17"/>
      <c r="AB195" s="35"/>
      <c r="AC195" s="35"/>
      <c r="AD195" s="35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</row>
    <row r="196" spans="1:65" ht="13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35"/>
      <c r="Y196" s="17"/>
      <c r="Z196" s="17"/>
      <c r="AA196" s="17"/>
      <c r="AB196" s="35"/>
      <c r="AC196" s="35"/>
      <c r="AD196" s="35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</row>
    <row r="197" spans="1:65" ht="13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35"/>
      <c r="Y197" s="17"/>
      <c r="Z197" s="17"/>
      <c r="AA197" s="17"/>
      <c r="AB197" s="35"/>
      <c r="AC197" s="35"/>
      <c r="AD197" s="35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</row>
    <row r="198" spans="1:65" ht="13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35"/>
      <c r="Y198" s="17"/>
      <c r="Z198" s="17"/>
      <c r="AA198" s="17"/>
      <c r="AB198" s="35"/>
      <c r="AC198" s="35"/>
      <c r="AD198" s="35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</row>
    <row r="199" spans="1:65" ht="13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35"/>
      <c r="Y199" s="17"/>
      <c r="Z199" s="17"/>
      <c r="AA199" s="17"/>
      <c r="AB199" s="35"/>
      <c r="AC199" s="35"/>
      <c r="AD199" s="35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</row>
    <row r="200" spans="1:65" ht="13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35"/>
      <c r="Y200" s="17"/>
      <c r="Z200" s="17"/>
      <c r="AA200" s="17"/>
      <c r="AB200" s="35"/>
      <c r="AC200" s="35"/>
      <c r="AD200" s="35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</row>
    <row r="201" spans="1:65" ht="13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35"/>
      <c r="Y201" s="17"/>
      <c r="Z201" s="17"/>
      <c r="AA201" s="17"/>
      <c r="AB201" s="35"/>
      <c r="AC201" s="35"/>
      <c r="AD201" s="35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</row>
    <row r="202" spans="1:65" ht="13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35"/>
      <c r="Y202" s="17"/>
      <c r="Z202" s="17"/>
      <c r="AA202" s="17"/>
      <c r="AB202" s="35"/>
      <c r="AC202" s="35"/>
      <c r="AD202" s="35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</row>
    <row r="203" spans="1:65" ht="1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35"/>
      <c r="Y203" s="17"/>
      <c r="Z203" s="17"/>
      <c r="AA203" s="17"/>
      <c r="AB203" s="35"/>
      <c r="AC203" s="35"/>
      <c r="AD203" s="35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</row>
    <row r="204" spans="1:65" ht="13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35"/>
      <c r="Y204" s="17"/>
      <c r="Z204" s="17"/>
      <c r="AA204" s="17"/>
      <c r="AB204" s="35"/>
      <c r="AC204" s="35"/>
      <c r="AD204" s="35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</row>
    <row r="205" spans="1:65" ht="13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35"/>
      <c r="Y205" s="17"/>
      <c r="Z205" s="17"/>
      <c r="AA205" s="17"/>
      <c r="AB205" s="35"/>
      <c r="AC205" s="35"/>
      <c r="AD205" s="35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</row>
    <row r="206" spans="1:65" ht="13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35"/>
      <c r="Y206" s="17"/>
      <c r="Z206" s="17"/>
      <c r="AA206" s="17"/>
      <c r="AB206" s="35"/>
      <c r="AC206" s="35"/>
      <c r="AD206" s="35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</row>
    <row r="207" spans="1:65" ht="13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35"/>
      <c r="Y207" s="17"/>
      <c r="Z207" s="17"/>
      <c r="AA207" s="17"/>
      <c r="AB207" s="35"/>
      <c r="AC207" s="35"/>
      <c r="AD207" s="35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</row>
    <row r="208" spans="1:65" ht="13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35"/>
      <c r="Y208" s="17"/>
      <c r="Z208" s="17"/>
      <c r="AA208" s="17"/>
      <c r="AB208" s="35"/>
      <c r="AC208" s="35"/>
      <c r="AD208" s="35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</row>
    <row r="209" spans="1:65" ht="13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35"/>
      <c r="Y209" s="17"/>
      <c r="Z209" s="17"/>
      <c r="AA209" s="17"/>
      <c r="AB209" s="35"/>
      <c r="AC209" s="35"/>
      <c r="AD209" s="35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</row>
    <row r="210" spans="1:65" ht="13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35"/>
      <c r="Y210" s="17"/>
      <c r="Z210" s="17"/>
      <c r="AA210" s="17"/>
      <c r="AB210" s="35"/>
      <c r="AC210" s="35"/>
      <c r="AD210" s="35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</row>
    <row r="211" spans="1:65" ht="13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35"/>
      <c r="Y211" s="17"/>
      <c r="Z211" s="17"/>
      <c r="AA211" s="17"/>
      <c r="AB211" s="35"/>
      <c r="AC211" s="35"/>
      <c r="AD211" s="35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</row>
    <row r="212" spans="1:65" ht="13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35"/>
      <c r="Y212" s="17"/>
      <c r="Z212" s="17"/>
      <c r="AA212" s="17"/>
      <c r="AB212" s="35"/>
      <c r="AC212" s="35"/>
      <c r="AD212" s="35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</row>
    <row r="213" spans="1:65" ht="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35"/>
      <c r="Y213" s="17"/>
      <c r="Z213" s="17"/>
      <c r="AA213" s="17"/>
      <c r="AB213" s="35"/>
      <c r="AC213" s="35"/>
      <c r="AD213" s="35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</row>
    <row r="214" spans="1:65" ht="13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35"/>
      <c r="Y214" s="17"/>
      <c r="Z214" s="17"/>
      <c r="AA214" s="17"/>
      <c r="AB214" s="35"/>
      <c r="AC214" s="35"/>
      <c r="AD214" s="35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</row>
    <row r="215" spans="1:65" ht="13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35"/>
      <c r="Y215" s="17"/>
      <c r="Z215" s="17"/>
      <c r="AA215" s="17"/>
      <c r="AB215" s="35"/>
      <c r="AC215" s="35"/>
      <c r="AD215" s="35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</row>
    <row r="216" spans="1:65" ht="13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35"/>
      <c r="Y216" s="17"/>
      <c r="Z216" s="17"/>
      <c r="AA216" s="17"/>
      <c r="AB216" s="35"/>
      <c r="AC216" s="35"/>
      <c r="AD216" s="35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</row>
    <row r="217" spans="1:65" ht="13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35"/>
      <c r="Y217" s="17"/>
      <c r="Z217" s="17"/>
      <c r="AA217" s="17"/>
      <c r="AB217" s="35"/>
      <c r="AC217" s="35"/>
      <c r="AD217" s="35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</row>
    <row r="218" spans="1:65" ht="13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35"/>
      <c r="Y218" s="17"/>
      <c r="Z218" s="17"/>
      <c r="AA218" s="17"/>
      <c r="AB218" s="35"/>
      <c r="AC218" s="35"/>
      <c r="AD218" s="35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</row>
    <row r="219" spans="1:65" ht="13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35"/>
      <c r="Y219" s="17"/>
      <c r="Z219" s="17"/>
      <c r="AA219" s="17"/>
      <c r="AB219" s="35"/>
      <c r="AC219" s="35"/>
      <c r="AD219" s="35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</row>
    <row r="220" spans="1:65" ht="13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35"/>
      <c r="Y220" s="17"/>
      <c r="Z220" s="17"/>
      <c r="AA220" s="17"/>
      <c r="AB220" s="35"/>
      <c r="AC220" s="35"/>
      <c r="AD220" s="35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</row>
    <row r="221" spans="1:65" ht="13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35"/>
      <c r="Y221" s="17"/>
      <c r="Z221" s="17"/>
      <c r="AA221" s="17"/>
      <c r="AB221" s="35"/>
      <c r="AC221" s="35"/>
      <c r="AD221" s="35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</row>
    <row r="222" spans="1:65" ht="13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35"/>
      <c r="Y222" s="17"/>
      <c r="Z222" s="17"/>
      <c r="AA222" s="17"/>
      <c r="AB222" s="35"/>
      <c r="AC222" s="35"/>
      <c r="AD222" s="35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</row>
    <row r="223" spans="1:65" ht="1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35"/>
      <c r="Y223" s="17"/>
      <c r="Z223" s="17"/>
      <c r="AA223" s="17"/>
      <c r="AB223" s="35"/>
      <c r="AC223" s="35"/>
      <c r="AD223" s="35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</row>
    <row r="224" spans="1:65" ht="13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35"/>
      <c r="Y224" s="17"/>
      <c r="Z224" s="17"/>
      <c r="AA224" s="17"/>
      <c r="AB224" s="35"/>
      <c r="AC224" s="35"/>
      <c r="AD224" s="35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</row>
    <row r="225" spans="1:65" ht="13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35"/>
      <c r="Y225" s="17"/>
      <c r="Z225" s="17"/>
      <c r="AA225" s="17"/>
      <c r="AB225" s="35"/>
      <c r="AC225" s="35"/>
      <c r="AD225" s="35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</row>
    <row r="226" spans="1:65" ht="13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35"/>
      <c r="Y226" s="17"/>
      <c r="Z226" s="17"/>
      <c r="AA226" s="17"/>
      <c r="AB226" s="35"/>
      <c r="AC226" s="35"/>
      <c r="AD226" s="35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</row>
    <row r="227" spans="1:65" ht="13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35"/>
      <c r="Y227" s="17"/>
      <c r="Z227" s="17"/>
      <c r="AA227" s="17"/>
      <c r="AB227" s="35"/>
      <c r="AC227" s="35"/>
      <c r="AD227" s="35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</row>
    <row r="228" spans="1:65" ht="13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35"/>
      <c r="Y228" s="17"/>
      <c r="Z228" s="17"/>
      <c r="AA228" s="17"/>
      <c r="AB228" s="35"/>
      <c r="AC228" s="35"/>
      <c r="AD228" s="35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</row>
    <row r="229" spans="1:65" ht="13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35"/>
      <c r="Y229" s="17"/>
      <c r="Z229" s="17"/>
      <c r="AA229" s="17"/>
      <c r="AB229" s="35"/>
      <c r="AC229" s="35"/>
      <c r="AD229" s="35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</row>
    <row r="230" spans="1:65" ht="13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35"/>
      <c r="Y230" s="17"/>
      <c r="Z230" s="17"/>
      <c r="AA230" s="17"/>
      <c r="AB230" s="35"/>
      <c r="AC230" s="35"/>
      <c r="AD230" s="35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</row>
    <row r="231" spans="1:65" ht="13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35"/>
      <c r="Y231" s="17"/>
      <c r="Z231" s="17"/>
      <c r="AA231" s="17"/>
      <c r="AB231" s="35"/>
      <c r="AC231" s="35"/>
      <c r="AD231" s="35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</row>
    <row r="232" spans="1:65" ht="13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35"/>
      <c r="Y232" s="17"/>
      <c r="Z232" s="17"/>
      <c r="AA232" s="17"/>
      <c r="AB232" s="35"/>
      <c r="AC232" s="35"/>
      <c r="AD232" s="35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</row>
    <row r="233" spans="1:65" ht="1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35"/>
      <c r="Y233" s="17"/>
      <c r="Z233" s="17"/>
      <c r="AA233" s="17"/>
      <c r="AB233" s="35"/>
      <c r="AC233" s="35"/>
      <c r="AD233" s="35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</row>
    <row r="234" spans="1:65" ht="13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35"/>
      <c r="Y234" s="17"/>
      <c r="Z234" s="17"/>
      <c r="AA234" s="17"/>
      <c r="AB234" s="35"/>
      <c r="AC234" s="35"/>
      <c r="AD234" s="35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</row>
    <row r="235" spans="1:65" ht="13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35"/>
      <c r="Y235" s="17"/>
      <c r="Z235" s="17"/>
      <c r="AA235" s="17"/>
      <c r="AB235" s="35"/>
      <c r="AC235" s="35"/>
      <c r="AD235" s="35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</row>
    <row r="236" spans="1:65" ht="13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35"/>
      <c r="Y236" s="17"/>
      <c r="Z236" s="17"/>
      <c r="AA236" s="17"/>
      <c r="AB236" s="35"/>
      <c r="AC236" s="35"/>
      <c r="AD236" s="35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</row>
    <row r="237" spans="1:65" ht="13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35"/>
      <c r="Y237" s="17"/>
      <c r="Z237" s="17"/>
      <c r="AA237" s="17"/>
      <c r="AB237" s="35"/>
      <c r="AC237" s="35"/>
      <c r="AD237" s="35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</row>
    <row r="238" spans="1:65" ht="13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35"/>
      <c r="Y238" s="17"/>
      <c r="Z238" s="17"/>
      <c r="AA238" s="17"/>
      <c r="AB238" s="35"/>
      <c r="AC238" s="35"/>
      <c r="AD238" s="35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</row>
    <row r="239" spans="1:65" ht="13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35"/>
      <c r="Y239" s="17"/>
      <c r="Z239" s="17"/>
      <c r="AA239" s="17"/>
      <c r="AB239" s="35"/>
      <c r="AC239" s="35"/>
      <c r="AD239" s="35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</row>
    <row r="240" spans="1:65" ht="13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35"/>
      <c r="Y240" s="17"/>
      <c r="Z240" s="17"/>
      <c r="AA240" s="17"/>
      <c r="AB240" s="35"/>
      <c r="AC240" s="35"/>
      <c r="AD240" s="35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</row>
    <row r="241" spans="1:65" ht="13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35"/>
      <c r="Y241" s="17"/>
      <c r="Z241" s="17"/>
      <c r="AA241" s="17"/>
      <c r="AB241" s="35"/>
      <c r="AC241" s="35"/>
      <c r="AD241" s="35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</row>
    <row r="242" spans="1:65" ht="13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35"/>
      <c r="Y242" s="17"/>
      <c r="Z242" s="17"/>
      <c r="AA242" s="17"/>
      <c r="AB242" s="35"/>
      <c r="AC242" s="35"/>
      <c r="AD242" s="35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</row>
    <row r="243" spans="1:65" ht="1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35"/>
      <c r="Y243" s="17"/>
      <c r="Z243" s="17"/>
      <c r="AA243" s="17"/>
      <c r="AB243" s="35"/>
      <c r="AC243" s="35"/>
      <c r="AD243" s="35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</row>
    <row r="244" spans="1:65" ht="13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35"/>
      <c r="Y244" s="17"/>
      <c r="Z244" s="17"/>
      <c r="AA244" s="17"/>
      <c r="AB244" s="35"/>
      <c r="AC244" s="35"/>
      <c r="AD244" s="35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</row>
    <row r="245" spans="1:65" ht="13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35"/>
      <c r="Y245" s="17"/>
      <c r="Z245" s="17"/>
      <c r="AA245" s="17"/>
      <c r="AB245" s="35"/>
      <c r="AC245" s="35"/>
      <c r="AD245" s="35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</row>
    <row r="246" spans="1:65" ht="13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35"/>
      <c r="Y246" s="17"/>
      <c r="Z246" s="17"/>
      <c r="AA246" s="17"/>
      <c r="AB246" s="35"/>
      <c r="AC246" s="35"/>
      <c r="AD246" s="35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</row>
    <row r="247" spans="1:65" ht="13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35"/>
      <c r="Y247" s="17"/>
      <c r="Z247" s="17"/>
      <c r="AA247" s="17"/>
      <c r="AB247" s="35"/>
      <c r="AC247" s="35"/>
      <c r="AD247" s="35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</row>
    <row r="248" spans="1:65" ht="13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35"/>
      <c r="Y248" s="17"/>
      <c r="Z248" s="17"/>
      <c r="AA248" s="17"/>
      <c r="AB248" s="35"/>
      <c r="AC248" s="35"/>
      <c r="AD248" s="35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</row>
    <row r="249" spans="1:65" ht="13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35"/>
      <c r="Y249" s="17"/>
      <c r="Z249" s="17"/>
      <c r="AA249" s="17"/>
      <c r="AB249" s="35"/>
      <c r="AC249" s="35"/>
      <c r="AD249" s="35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</row>
    <row r="250" spans="1:65" ht="13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35"/>
      <c r="Y250" s="17"/>
      <c r="Z250" s="17"/>
      <c r="AA250" s="17"/>
      <c r="AB250" s="35"/>
      <c r="AC250" s="35"/>
      <c r="AD250" s="35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</row>
    <row r="251" spans="1:65" ht="13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35"/>
      <c r="Y251" s="17"/>
      <c r="Z251" s="17"/>
      <c r="AA251" s="17"/>
      <c r="AB251" s="35"/>
      <c r="AC251" s="35"/>
      <c r="AD251" s="35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</row>
    <row r="252" spans="1:65" ht="13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35"/>
      <c r="Y252" s="17"/>
      <c r="Z252" s="17"/>
      <c r="AA252" s="17"/>
      <c r="AB252" s="35"/>
      <c r="AC252" s="35"/>
      <c r="AD252" s="35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</row>
    <row r="253" spans="1:65" ht="1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35"/>
      <c r="Y253" s="17"/>
      <c r="Z253" s="17"/>
      <c r="AA253" s="17"/>
      <c r="AB253" s="35"/>
      <c r="AC253" s="35"/>
      <c r="AD253" s="35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</row>
    <row r="254" spans="1:65" ht="13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35"/>
      <c r="Y254" s="17"/>
      <c r="Z254" s="17"/>
      <c r="AA254" s="17"/>
      <c r="AB254" s="35"/>
      <c r="AC254" s="35"/>
      <c r="AD254" s="35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</row>
    <row r="255" spans="1:65" ht="13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35"/>
      <c r="Y255" s="17"/>
      <c r="Z255" s="17"/>
      <c r="AA255" s="17"/>
      <c r="AB255" s="35"/>
      <c r="AC255" s="35"/>
      <c r="AD255" s="35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</row>
    <row r="256" spans="1:65" ht="13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35"/>
      <c r="Y256" s="17"/>
      <c r="Z256" s="17"/>
      <c r="AA256" s="17"/>
      <c r="AB256" s="35"/>
      <c r="AC256" s="35"/>
      <c r="AD256" s="35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</row>
    <row r="257" spans="1:65" ht="13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35"/>
      <c r="Y257" s="17"/>
      <c r="Z257" s="17"/>
      <c r="AA257" s="17"/>
      <c r="AB257" s="35"/>
      <c r="AC257" s="35"/>
      <c r="AD257" s="35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</row>
    <row r="258" spans="1:65" ht="13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35"/>
      <c r="Y258" s="17"/>
      <c r="Z258" s="17"/>
      <c r="AA258" s="17"/>
      <c r="AB258" s="35"/>
      <c r="AC258" s="35"/>
      <c r="AD258" s="35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</row>
    <row r="259" spans="1:65" ht="1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35"/>
      <c r="Y259" s="17"/>
      <c r="Z259" s="17"/>
      <c r="AA259" s="17"/>
      <c r="AB259" s="35"/>
      <c r="AC259" s="35"/>
      <c r="AD259" s="35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</row>
    <row r="260" spans="1:65" ht="13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35"/>
      <c r="Y260" s="17"/>
      <c r="Z260" s="17"/>
      <c r="AA260" s="17"/>
      <c r="AB260" s="35"/>
      <c r="AC260" s="35"/>
      <c r="AD260" s="35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</row>
    <row r="261" spans="1:65" ht="13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35"/>
      <c r="Y261" s="17"/>
      <c r="Z261" s="17"/>
      <c r="AA261" s="17"/>
      <c r="AB261" s="35"/>
      <c r="AC261" s="35"/>
      <c r="AD261" s="35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</row>
    <row r="262" spans="1:65" ht="13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35"/>
      <c r="Y262" s="17"/>
      <c r="Z262" s="17"/>
      <c r="AA262" s="17"/>
      <c r="AB262" s="35"/>
      <c r="AC262" s="35"/>
      <c r="AD262" s="35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</row>
    <row r="263" spans="1:65" ht="1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35"/>
      <c r="Y263" s="17"/>
      <c r="Z263" s="17"/>
      <c r="AA263" s="17"/>
      <c r="AB263" s="35"/>
      <c r="AC263" s="35"/>
      <c r="AD263" s="35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</row>
    <row r="264" spans="1:65" ht="13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35"/>
      <c r="Y264" s="17"/>
      <c r="Z264" s="17"/>
      <c r="AA264" s="17"/>
      <c r="AB264" s="35"/>
      <c r="AC264" s="35"/>
      <c r="AD264" s="35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</row>
    <row r="265" spans="1:65" ht="13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35"/>
      <c r="Y265" s="17"/>
      <c r="Z265" s="17"/>
      <c r="AA265" s="17"/>
      <c r="AB265" s="35"/>
      <c r="AC265" s="35"/>
      <c r="AD265" s="35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</row>
    <row r="266" spans="1:65" ht="13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35"/>
      <c r="Y266" s="17"/>
      <c r="Z266" s="17"/>
      <c r="AA266" s="17"/>
      <c r="AB266" s="35"/>
      <c r="AC266" s="35"/>
      <c r="AD266" s="35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</row>
    <row r="267" spans="1:65" ht="13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35"/>
      <c r="Y267" s="17"/>
      <c r="Z267" s="17"/>
      <c r="AA267" s="17"/>
      <c r="AB267" s="35"/>
      <c r="AC267" s="35"/>
      <c r="AD267" s="35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</row>
    <row r="268" spans="1:65" ht="13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35"/>
      <c r="Y268" s="17"/>
      <c r="Z268" s="17"/>
      <c r="AA268" s="17"/>
      <c r="AB268" s="35"/>
      <c r="AC268" s="35"/>
      <c r="AD268" s="35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</row>
    <row r="269" spans="1:65" ht="13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35"/>
      <c r="Y269" s="17"/>
      <c r="Z269" s="17"/>
      <c r="AA269" s="17"/>
      <c r="AB269" s="35"/>
      <c r="AC269" s="35"/>
      <c r="AD269" s="35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</row>
    <row r="270" spans="1:65" ht="13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35"/>
      <c r="Y270" s="17"/>
      <c r="Z270" s="17"/>
      <c r="AA270" s="17"/>
      <c r="AB270" s="35"/>
      <c r="AC270" s="35"/>
      <c r="AD270" s="35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</row>
    <row r="271" spans="1:65" ht="13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35"/>
      <c r="Y271" s="17"/>
      <c r="Z271" s="17"/>
      <c r="AA271" s="17"/>
      <c r="AB271" s="35"/>
      <c r="AC271" s="35"/>
      <c r="AD271" s="35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</row>
    <row r="272" spans="1:65" ht="13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35"/>
      <c r="Y272" s="17"/>
      <c r="Z272" s="17"/>
      <c r="AA272" s="17"/>
      <c r="AB272" s="35"/>
      <c r="AC272" s="35"/>
      <c r="AD272" s="35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</row>
    <row r="273" spans="1:65" ht="1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35"/>
      <c r="Y273" s="17"/>
      <c r="Z273" s="17"/>
      <c r="AA273" s="17"/>
      <c r="AB273" s="35"/>
      <c r="AC273" s="35"/>
      <c r="AD273" s="35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</row>
    <row r="274" spans="1:65" ht="13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35"/>
      <c r="Y274" s="17"/>
      <c r="Z274" s="17"/>
      <c r="AA274" s="17"/>
      <c r="AB274" s="35"/>
      <c r="AC274" s="35"/>
      <c r="AD274" s="35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</row>
    <row r="275" spans="1:65" ht="13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35"/>
      <c r="Y275" s="17"/>
      <c r="Z275" s="17"/>
      <c r="AA275" s="17"/>
      <c r="AB275" s="35"/>
      <c r="AC275" s="35"/>
      <c r="AD275" s="35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</row>
    <row r="276" spans="1:65" ht="13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35"/>
      <c r="Y276" s="17"/>
      <c r="Z276" s="17"/>
      <c r="AA276" s="17"/>
      <c r="AB276" s="35"/>
      <c r="AC276" s="35"/>
      <c r="AD276" s="35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</row>
    <row r="277" spans="1:65" ht="13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35"/>
      <c r="Y277" s="17"/>
      <c r="Z277" s="17"/>
      <c r="AA277" s="17"/>
      <c r="AB277" s="35"/>
      <c r="AC277" s="35"/>
      <c r="AD277" s="35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</row>
    <row r="278" spans="1:65" ht="13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35"/>
      <c r="Y278" s="17"/>
      <c r="Z278" s="17"/>
      <c r="AA278" s="17"/>
      <c r="AB278" s="35"/>
      <c r="AC278" s="35"/>
      <c r="AD278" s="35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</row>
    <row r="279" spans="1:65" ht="13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35"/>
      <c r="Y279" s="17"/>
      <c r="Z279" s="17"/>
      <c r="AA279" s="17"/>
      <c r="AB279" s="35"/>
      <c r="AC279" s="35"/>
      <c r="AD279" s="35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</row>
    <row r="280" spans="1:65" ht="13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35"/>
      <c r="Y280" s="17"/>
      <c r="Z280" s="17"/>
      <c r="AA280" s="17"/>
      <c r="AB280" s="35"/>
      <c r="AC280" s="35"/>
      <c r="AD280" s="35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</row>
    <row r="281" spans="1:65" ht="13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35"/>
      <c r="Y281" s="17"/>
      <c r="Z281" s="17"/>
      <c r="AA281" s="17"/>
      <c r="AB281" s="35"/>
      <c r="AC281" s="35"/>
      <c r="AD281" s="35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</row>
    <row r="282" spans="1:65" ht="13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35"/>
      <c r="Y282" s="17"/>
      <c r="Z282" s="17"/>
      <c r="AA282" s="17"/>
      <c r="AB282" s="35"/>
      <c r="AC282" s="35"/>
      <c r="AD282" s="35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</row>
    <row r="283" spans="1:65" ht="1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35"/>
      <c r="Y283" s="17"/>
      <c r="Z283" s="17"/>
      <c r="AA283" s="17"/>
      <c r="AB283" s="35"/>
      <c r="AC283" s="35"/>
      <c r="AD283" s="35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</row>
    <row r="284" spans="1:65" ht="13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35"/>
      <c r="Y284" s="17"/>
      <c r="Z284" s="17"/>
      <c r="AA284" s="17"/>
      <c r="AB284" s="35"/>
      <c r="AC284" s="35"/>
      <c r="AD284" s="35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</row>
    <row r="285" spans="1:65" ht="13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35"/>
      <c r="Y285" s="17"/>
      <c r="Z285" s="17"/>
      <c r="AA285" s="17"/>
      <c r="AB285" s="35"/>
      <c r="AC285" s="35"/>
      <c r="AD285" s="35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</row>
    <row r="286" spans="1:65" ht="13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35"/>
      <c r="Y286" s="17"/>
      <c r="Z286" s="17"/>
      <c r="AA286" s="17"/>
      <c r="AB286" s="35"/>
      <c r="AC286" s="35"/>
      <c r="AD286" s="35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</row>
    <row r="287" spans="1:65" ht="13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35"/>
      <c r="Y287" s="17"/>
      <c r="Z287" s="17"/>
      <c r="AA287" s="17"/>
      <c r="AB287" s="35"/>
      <c r="AC287" s="35"/>
      <c r="AD287" s="35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</row>
    <row r="288" spans="1:65" ht="13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35"/>
      <c r="Y288" s="17"/>
      <c r="Z288" s="17"/>
      <c r="AA288" s="17"/>
      <c r="AB288" s="35"/>
      <c r="AC288" s="35"/>
      <c r="AD288" s="35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</row>
    <row r="289" spans="1:65" ht="13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35"/>
      <c r="Y289" s="17"/>
      <c r="Z289" s="17"/>
      <c r="AA289" s="17"/>
      <c r="AB289" s="35"/>
      <c r="AC289" s="35"/>
      <c r="AD289" s="35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</row>
    <row r="290" spans="1:65" ht="13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35"/>
      <c r="Y290" s="17"/>
      <c r="Z290" s="17"/>
      <c r="AA290" s="17"/>
      <c r="AB290" s="35"/>
      <c r="AC290" s="35"/>
      <c r="AD290" s="35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</row>
    <row r="291" spans="1:65" ht="1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35"/>
      <c r="Y291" s="17"/>
      <c r="Z291" s="17"/>
      <c r="AA291" s="17"/>
      <c r="AB291" s="35"/>
      <c r="AC291" s="35"/>
      <c r="AD291" s="35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</row>
    <row r="292" spans="1:65" ht="13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35"/>
      <c r="Y292" s="17"/>
      <c r="Z292" s="17"/>
      <c r="AA292" s="17"/>
      <c r="AB292" s="35"/>
      <c r="AC292" s="35"/>
      <c r="AD292" s="35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</row>
    <row r="293" spans="1:65" ht="1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35"/>
      <c r="Y293" s="17"/>
      <c r="Z293" s="17"/>
      <c r="AA293" s="17"/>
      <c r="AB293" s="35"/>
      <c r="AC293" s="35"/>
      <c r="AD293" s="35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</row>
    <row r="294" spans="1:65" ht="13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35"/>
      <c r="Y294" s="17"/>
      <c r="Z294" s="17"/>
      <c r="AA294" s="17"/>
      <c r="AB294" s="35"/>
      <c r="AC294" s="35"/>
      <c r="AD294" s="35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</row>
    <row r="295" spans="1:65" ht="1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35"/>
      <c r="Y295" s="17"/>
      <c r="Z295" s="17"/>
      <c r="AA295" s="17"/>
      <c r="AB295" s="35"/>
      <c r="AC295" s="35"/>
      <c r="AD295" s="35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</row>
    <row r="296" spans="1:65" ht="13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35"/>
      <c r="Y296" s="17"/>
      <c r="Z296" s="17"/>
      <c r="AA296" s="17"/>
      <c r="AB296" s="35"/>
      <c r="AC296" s="35"/>
      <c r="AD296" s="35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</row>
    <row r="297" spans="1:65" ht="1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35"/>
      <c r="Y297" s="17"/>
      <c r="Z297" s="17"/>
      <c r="AA297" s="17"/>
      <c r="AB297" s="35"/>
      <c r="AC297" s="35"/>
      <c r="AD297" s="35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</row>
    <row r="298" spans="1:65" ht="13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35"/>
      <c r="Y298" s="17"/>
      <c r="Z298" s="17"/>
      <c r="AA298" s="17"/>
      <c r="AB298" s="35"/>
      <c r="AC298" s="35"/>
      <c r="AD298" s="35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</row>
    <row r="299" spans="1:65" ht="1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35"/>
      <c r="Y299" s="17"/>
      <c r="Z299" s="17"/>
      <c r="AA299" s="17"/>
      <c r="AB299" s="35"/>
      <c r="AC299" s="35"/>
      <c r="AD299" s="35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</row>
    <row r="300" spans="1:65" ht="13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35"/>
      <c r="Y300" s="17"/>
      <c r="Z300" s="17"/>
      <c r="AA300" s="17"/>
      <c r="AB300" s="35"/>
      <c r="AC300" s="35"/>
      <c r="AD300" s="35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</row>
    <row r="301" spans="1:65" ht="1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35"/>
      <c r="Y301" s="17"/>
      <c r="Z301" s="17"/>
      <c r="AA301" s="17"/>
      <c r="AB301" s="35"/>
      <c r="AC301" s="35"/>
      <c r="AD301" s="35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</row>
    <row r="302" spans="1:65" ht="13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35"/>
      <c r="Y302" s="17"/>
      <c r="Z302" s="17"/>
      <c r="AA302" s="17"/>
      <c r="AB302" s="35"/>
      <c r="AC302" s="35"/>
      <c r="AD302" s="35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</row>
    <row r="303" spans="1:65" ht="1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35"/>
      <c r="Y303" s="17"/>
      <c r="Z303" s="17"/>
      <c r="AA303" s="17"/>
      <c r="AB303" s="35"/>
      <c r="AC303" s="35"/>
      <c r="AD303" s="35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</row>
    <row r="304" spans="1:65" ht="13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35"/>
      <c r="Y304" s="17"/>
      <c r="Z304" s="17"/>
      <c r="AA304" s="17"/>
      <c r="AB304" s="35"/>
      <c r="AC304" s="35"/>
      <c r="AD304" s="35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</row>
    <row r="305" spans="1:65" ht="1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35"/>
      <c r="Y305" s="17"/>
      <c r="Z305" s="17"/>
      <c r="AA305" s="17"/>
      <c r="AB305" s="35"/>
      <c r="AC305" s="35"/>
      <c r="AD305" s="35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</row>
    <row r="306" spans="1:65" ht="13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35"/>
      <c r="Y306" s="17"/>
      <c r="Z306" s="17"/>
      <c r="AA306" s="17"/>
      <c r="AB306" s="35"/>
      <c r="AC306" s="35"/>
      <c r="AD306" s="35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</row>
    <row r="307" spans="1:65" ht="1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35"/>
      <c r="Y307" s="17"/>
      <c r="Z307" s="17"/>
      <c r="AA307" s="17"/>
      <c r="AB307" s="35"/>
      <c r="AC307" s="35"/>
      <c r="AD307" s="35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</row>
    <row r="308" spans="1:65" ht="13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35"/>
      <c r="Y308" s="17"/>
      <c r="Z308" s="17"/>
      <c r="AA308" s="17"/>
      <c r="AB308" s="35"/>
      <c r="AC308" s="35"/>
      <c r="AD308" s="35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</row>
    <row r="309" spans="1:65" ht="1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35"/>
      <c r="Y309" s="17"/>
      <c r="Z309" s="17"/>
      <c r="AA309" s="17"/>
      <c r="AB309" s="35"/>
      <c r="AC309" s="35"/>
      <c r="AD309" s="35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</row>
    <row r="310" spans="1:65" ht="13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35"/>
      <c r="Y310" s="17"/>
      <c r="Z310" s="17"/>
      <c r="AA310" s="17"/>
      <c r="AB310" s="35"/>
      <c r="AC310" s="35"/>
      <c r="AD310" s="35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</row>
    <row r="311" spans="1:65" ht="1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35"/>
      <c r="Y311" s="17"/>
      <c r="Z311" s="17"/>
      <c r="AA311" s="17"/>
      <c r="AB311" s="35"/>
      <c r="AC311" s="35"/>
      <c r="AD311" s="35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</row>
    <row r="312" spans="1:65" ht="13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35"/>
      <c r="Y312" s="17"/>
      <c r="Z312" s="17"/>
      <c r="AA312" s="17"/>
      <c r="AB312" s="35"/>
      <c r="AC312" s="35"/>
      <c r="AD312" s="35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</row>
    <row r="313" spans="1:65" ht="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35"/>
      <c r="Y313" s="17"/>
      <c r="Z313" s="17"/>
      <c r="AA313" s="17"/>
      <c r="AB313" s="35"/>
      <c r="AC313" s="35"/>
      <c r="AD313" s="35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</row>
    <row r="314" spans="1:65" ht="13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35"/>
      <c r="Y314" s="17"/>
      <c r="Z314" s="17"/>
      <c r="AA314" s="17"/>
      <c r="AB314" s="35"/>
      <c r="AC314" s="35"/>
      <c r="AD314" s="35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</row>
    <row r="315" spans="1:65" ht="1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35"/>
      <c r="Y315" s="17"/>
      <c r="Z315" s="17"/>
      <c r="AA315" s="17"/>
      <c r="AB315" s="35"/>
      <c r="AC315" s="35"/>
      <c r="AD315" s="35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</row>
    <row r="316" spans="1:65" ht="13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35"/>
      <c r="Y316" s="17"/>
      <c r="Z316" s="17"/>
      <c r="AA316" s="17"/>
      <c r="AB316" s="35"/>
      <c r="AC316" s="35"/>
      <c r="AD316" s="35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</row>
    <row r="317" spans="1:65" ht="1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35"/>
      <c r="Y317" s="17"/>
      <c r="Z317" s="17"/>
      <c r="AA317" s="17"/>
      <c r="AB317" s="35"/>
      <c r="AC317" s="35"/>
      <c r="AD317" s="35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</row>
    <row r="318" spans="1:65" ht="13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35"/>
      <c r="Y318" s="17"/>
      <c r="Z318" s="17"/>
      <c r="AA318" s="17"/>
      <c r="AB318" s="35"/>
      <c r="AC318" s="35"/>
      <c r="AD318" s="35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</row>
    <row r="319" spans="1:65" ht="1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35"/>
      <c r="Y319" s="17"/>
      <c r="Z319" s="17"/>
      <c r="AA319" s="17"/>
      <c r="AB319" s="35"/>
      <c r="AC319" s="35"/>
      <c r="AD319" s="35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</row>
    <row r="320" spans="1:65" ht="13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35"/>
      <c r="Y320" s="17"/>
      <c r="Z320" s="17"/>
      <c r="AA320" s="17"/>
      <c r="AB320" s="35"/>
      <c r="AC320" s="35"/>
      <c r="AD320" s="35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</row>
    <row r="321" spans="1:65" ht="1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35"/>
      <c r="Y321" s="17"/>
      <c r="Z321" s="17"/>
      <c r="AA321" s="17"/>
      <c r="AB321" s="35"/>
      <c r="AC321" s="35"/>
      <c r="AD321" s="35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</row>
    <row r="322" spans="1:65" ht="13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35"/>
      <c r="Y322" s="17"/>
      <c r="Z322" s="17"/>
      <c r="AA322" s="17"/>
      <c r="AB322" s="35"/>
      <c r="AC322" s="35"/>
      <c r="AD322" s="35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</row>
    <row r="323" spans="1:65" ht="1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35"/>
      <c r="Y323" s="17"/>
      <c r="Z323" s="17"/>
      <c r="AA323" s="17"/>
      <c r="AB323" s="35"/>
      <c r="AC323" s="35"/>
      <c r="AD323" s="35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</row>
    <row r="324" spans="1:65" ht="13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35"/>
      <c r="Y324" s="17"/>
      <c r="Z324" s="17"/>
      <c r="AA324" s="17"/>
      <c r="AB324" s="35"/>
      <c r="AC324" s="35"/>
      <c r="AD324" s="35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</row>
    <row r="325" spans="1:65" ht="1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35"/>
      <c r="Y325" s="17"/>
      <c r="Z325" s="17"/>
      <c r="AA325" s="17"/>
      <c r="AB325" s="35"/>
      <c r="AC325" s="35"/>
      <c r="AD325" s="35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</row>
    <row r="326" spans="1:65" ht="13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35"/>
      <c r="Y326" s="17"/>
      <c r="Z326" s="17"/>
      <c r="AA326" s="17"/>
      <c r="AB326" s="35"/>
      <c r="AC326" s="35"/>
      <c r="AD326" s="35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</row>
    <row r="327" spans="1:65" ht="1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35"/>
      <c r="Y327" s="17"/>
      <c r="Z327" s="17"/>
      <c r="AA327" s="17"/>
      <c r="AB327" s="35"/>
      <c r="AC327" s="35"/>
      <c r="AD327" s="35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</row>
    <row r="328" spans="1:65" ht="13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35"/>
      <c r="Y328" s="17"/>
      <c r="Z328" s="17"/>
      <c r="AA328" s="17"/>
      <c r="AB328" s="35"/>
      <c r="AC328" s="35"/>
      <c r="AD328" s="35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</row>
    <row r="329" spans="1:65" ht="1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35"/>
      <c r="Y329" s="17"/>
      <c r="Z329" s="17"/>
      <c r="AA329" s="17"/>
      <c r="AB329" s="35"/>
      <c r="AC329" s="35"/>
      <c r="AD329" s="35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</row>
    <row r="330" spans="1:65" ht="13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35"/>
      <c r="Y330" s="17"/>
      <c r="Z330" s="17"/>
      <c r="AA330" s="17"/>
      <c r="AB330" s="35"/>
      <c r="AC330" s="35"/>
      <c r="AD330" s="35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</row>
    <row r="331" spans="1:65" ht="1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35"/>
      <c r="Y331" s="17"/>
      <c r="Z331" s="17"/>
      <c r="AA331" s="17"/>
      <c r="AB331" s="35"/>
      <c r="AC331" s="35"/>
      <c r="AD331" s="35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</row>
    <row r="332" spans="1:65" ht="13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35"/>
      <c r="Y332" s="17"/>
      <c r="Z332" s="17"/>
      <c r="AA332" s="17"/>
      <c r="AB332" s="35"/>
      <c r="AC332" s="35"/>
      <c r="AD332" s="35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</row>
    <row r="333" spans="1:65" ht="1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35"/>
      <c r="Y333" s="17"/>
      <c r="Z333" s="17"/>
      <c r="AA333" s="17"/>
      <c r="AB333" s="35"/>
      <c r="AC333" s="35"/>
      <c r="AD333" s="35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</row>
    <row r="334" spans="1:65" ht="13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35"/>
      <c r="Y334" s="17"/>
      <c r="Z334" s="17"/>
      <c r="AA334" s="17"/>
      <c r="AB334" s="35"/>
      <c r="AC334" s="35"/>
      <c r="AD334" s="35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</row>
    <row r="335" spans="1:65" ht="1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35"/>
      <c r="Y335" s="17"/>
      <c r="Z335" s="17"/>
      <c r="AA335" s="17"/>
      <c r="AB335" s="35"/>
      <c r="AC335" s="35"/>
      <c r="AD335" s="35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</row>
    <row r="336" spans="1:65" ht="13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35"/>
      <c r="Y336" s="17"/>
      <c r="Z336" s="17"/>
      <c r="AA336" s="17"/>
      <c r="AB336" s="35"/>
      <c r="AC336" s="35"/>
      <c r="AD336" s="35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</row>
    <row r="337" spans="1:65" ht="1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35"/>
      <c r="Y337" s="17"/>
      <c r="Z337" s="17"/>
      <c r="AA337" s="17"/>
      <c r="AB337" s="35"/>
      <c r="AC337" s="35"/>
      <c r="AD337" s="35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</row>
    <row r="338" spans="1:65" ht="13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35"/>
      <c r="Y338" s="17"/>
      <c r="Z338" s="17"/>
      <c r="AA338" s="17"/>
      <c r="AB338" s="35"/>
      <c r="AC338" s="35"/>
      <c r="AD338" s="35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</row>
    <row r="339" spans="1:65" ht="1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35"/>
      <c r="Y339" s="17"/>
      <c r="Z339" s="17"/>
      <c r="AA339" s="17"/>
      <c r="AB339" s="35"/>
      <c r="AC339" s="35"/>
      <c r="AD339" s="35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</row>
    <row r="340" spans="1:65" ht="13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35"/>
      <c r="Y340" s="17"/>
      <c r="Z340" s="17"/>
      <c r="AA340" s="17"/>
      <c r="AB340" s="35"/>
      <c r="AC340" s="35"/>
      <c r="AD340" s="35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</row>
    <row r="341" spans="1:65" ht="1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35"/>
      <c r="Y341" s="17"/>
      <c r="Z341" s="17"/>
      <c r="AA341" s="17"/>
      <c r="AB341" s="35"/>
      <c r="AC341" s="35"/>
      <c r="AD341" s="35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</row>
    <row r="342" spans="1:65" ht="13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35"/>
      <c r="Y342" s="17"/>
      <c r="Z342" s="17"/>
      <c r="AA342" s="17"/>
      <c r="AB342" s="35"/>
      <c r="AC342" s="35"/>
      <c r="AD342" s="35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</row>
    <row r="343" spans="1:65" ht="1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35"/>
      <c r="Y343" s="17"/>
      <c r="Z343" s="17"/>
      <c r="AA343" s="17"/>
      <c r="AB343" s="35"/>
      <c r="AC343" s="35"/>
      <c r="AD343" s="35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</row>
    <row r="344" spans="1:65" ht="13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35"/>
      <c r="Y344" s="17"/>
      <c r="Z344" s="17"/>
      <c r="AA344" s="17"/>
      <c r="AB344" s="35"/>
      <c r="AC344" s="35"/>
      <c r="AD344" s="35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</row>
    <row r="345" spans="1:65" ht="1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35"/>
      <c r="Y345" s="17"/>
      <c r="Z345" s="17"/>
      <c r="AA345" s="17"/>
      <c r="AB345" s="35"/>
      <c r="AC345" s="35"/>
      <c r="AD345" s="35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</row>
    <row r="346" spans="1:65" ht="13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35"/>
      <c r="Y346" s="17"/>
      <c r="Z346" s="17"/>
      <c r="AA346" s="17"/>
      <c r="AB346" s="35"/>
      <c r="AC346" s="35"/>
      <c r="AD346" s="35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</row>
    <row r="347" spans="1:65" ht="1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35"/>
      <c r="Y347" s="17"/>
      <c r="Z347" s="17"/>
      <c r="AA347" s="17"/>
      <c r="AB347" s="35"/>
      <c r="AC347" s="35"/>
      <c r="AD347" s="35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</row>
    <row r="348" spans="1:65" ht="13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35"/>
      <c r="Y348" s="17"/>
      <c r="Z348" s="17"/>
      <c r="AA348" s="17"/>
      <c r="AB348" s="35"/>
      <c r="AC348" s="35"/>
      <c r="AD348" s="35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</row>
    <row r="349" spans="1:65" ht="1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35"/>
      <c r="Y349" s="17"/>
      <c r="Z349" s="17"/>
      <c r="AA349" s="17"/>
      <c r="AB349" s="35"/>
      <c r="AC349" s="35"/>
      <c r="AD349" s="35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</row>
    <row r="350" spans="1:65" ht="13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35"/>
      <c r="Y350" s="17"/>
      <c r="Z350" s="17"/>
      <c r="AA350" s="17"/>
      <c r="AB350" s="35"/>
      <c r="AC350" s="35"/>
      <c r="AD350" s="35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</row>
    <row r="351" spans="1:65" ht="13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35"/>
      <c r="Y351" s="17"/>
      <c r="Z351" s="17"/>
      <c r="AA351" s="17"/>
      <c r="AB351" s="35"/>
      <c r="AC351" s="35"/>
      <c r="AD351" s="35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</row>
    <row r="352" spans="1:65" ht="13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35"/>
      <c r="Y352" s="17"/>
      <c r="Z352" s="17"/>
      <c r="AA352" s="17"/>
      <c r="AB352" s="35"/>
      <c r="AC352" s="35"/>
      <c r="AD352" s="35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</row>
    <row r="353" spans="1:65" ht="1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35"/>
      <c r="Y353" s="17"/>
      <c r="Z353" s="17"/>
      <c r="AA353" s="17"/>
      <c r="AB353" s="35"/>
      <c r="AC353" s="35"/>
      <c r="AD353" s="35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</row>
    <row r="354" spans="1:65" ht="13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35"/>
      <c r="Y354" s="17"/>
      <c r="Z354" s="17"/>
      <c r="AA354" s="17"/>
      <c r="AB354" s="35"/>
      <c r="AC354" s="35"/>
      <c r="AD354" s="35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</row>
    <row r="355" spans="1:65" ht="13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35"/>
      <c r="Y355" s="17"/>
      <c r="Z355" s="17"/>
      <c r="AA355" s="17"/>
      <c r="AB355" s="35"/>
      <c r="AC355" s="35"/>
      <c r="AD355" s="35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</row>
    <row r="356" spans="1:65" ht="13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35"/>
      <c r="Y356" s="17"/>
      <c r="Z356" s="17"/>
      <c r="AA356" s="17"/>
      <c r="AB356" s="35"/>
      <c r="AC356" s="35"/>
      <c r="AD356" s="35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</row>
    <row r="357" spans="1:65" ht="13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35"/>
      <c r="Y357" s="17"/>
      <c r="Z357" s="17"/>
      <c r="AA357" s="17"/>
      <c r="AB357" s="35"/>
      <c r="AC357" s="35"/>
      <c r="AD357" s="35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</row>
    <row r="358" spans="1:65" ht="13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35"/>
      <c r="Y358" s="17"/>
      <c r="Z358" s="17"/>
      <c r="AA358" s="17"/>
      <c r="AB358" s="35"/>
      <c r="AC358" s="35"/>
      <c r="AD358" s="35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</row>
    <row r="359" spans="1:65" ht="13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35"/>
      <c r="Y359" s="17"/>
      <c r="Z359" s="17"/>
      <c r="AA359" s="17"/>
      <c r="AB359" s="35"/>
      <c r="AC359" s="35"/>
      <c r="AD359" s="35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</row>
    <row r="360" spans="1:65" ht="13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35"/>
      <c r="Y360" s="17"/>
      <c r="Z360" s="17"/>
      <c r="AA360" s="17"/>
      <c r="AB360" s="35"/>
      <c r="AC360" s="35"/>
      <c r="AD360" s="35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</row>
    <row r="361" spans="1:65" ht="13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35"/>
      <c r="Y361" s="17"/>
      <c r="Z361" s="17"/>
      <c r="AA361" s="17"/>
      <c r="AB361" s="35"/>
      <c r="AC361" s="35"/>
      <c r="AD361" s="35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</row>
    <row r="362" spans="1:65" ht="13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35"/>
      <c r="Y362" s="17"/>
      <c r="Z362" s="17"/>
      <c r="AA362" s="17"/>
      <c r="AB362" s="35"/>
      <c r="AC362" s="35"/>
      <c r="AD362" s="35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</row>
    <row r="363" spans="1:65" ht="1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35"/>
      <c r="Y363" s="17"/>
      <c r="Z363" s="17"/>
      <c r="AA363" s="17"/>
      <c r="AB363" s="35"/>
      <c r="AC363" s="35"/>
      <c r="AD363" s="35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</row>
    <row r="364" spans="1:65" ht="13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35"/>
      <c r="Y364" s="17"/>
      <c r="Z364" s="17"/>
      <c r="AA364" s="17"/>
      <c r="AB364" s="35"/>
      <c r="AC364" s="35"/>
      <c r="AD364" s="35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</row>
    <row r="365" spans="1:65" ht="13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35"/>
      <c r="Y365" s="17"/>
      <c r="Z365" s="17"/>
      <c r="AA365" s="17"/>
      <c r="AB365" s="35"/>
      <c r="AC365" s="35"/>
      <c r="AD365" s="35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</row>
    <row r="366" spans="1:65" ht="13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35"/>
      <c r="Y366" s="17"/>
      <c r="Z366" s="17"/>
      <c r="AA366" s="17"/>
      <c r="AB366" s="35"/>
      <c r="AC366" s="35"/>
      <c r="AD366" s="35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</row>
    <row r="367" spans="1:65" ht="13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35"/>
      <c r="Y367" s="17"/>
      <c r="Z367" s="17"/>
      <c r="AA367" s="17"/>
      <c r="AB367" s="35"/>
      <c r="AC367" s="35"/>
      <c r="AD367" s="35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</row>
    <row r="368" spans="1:65" ht="13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35"/>
      <c r="Y368" s="17"/>
      <c r="Z368" s="17"/>
      <c r="AA368" s="17"/>
      <c r="AB368" s="35"/>
      <c r="AC368" s="35"/>
      <c r="AD368" s="35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</row>
    <row r="369" spans="1:65" ht="13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35"/>
      <c r="Y369" s="17"/>
      <c r="Z369" s="17"/>
      <c r="AA369" s="17"/>
      <c r="AB369" s="35"/>
      <c r="AC369" s="35"/>
      <c r="AD369" s="35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</row>
    <row r="370" spans="1:65" ht="13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35"/>
      <c r="Y370" s="17"/>
      <c r="Z370" s="17"/>
      <c r="AA370" s="17"/>
      <c r="AB370" s="35"/>
      <c r="AC370" s="35"/>
      <c r="AD370" s="35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</row>
    <row r="371" spans="1:65" ht="13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35"/>
      <c r="Y371" s="17"/>
      <c r="Z371" s="17"/>
      <c r="AA371" s="17"/>
      <c r="AB371" s="35"/>
      <c r="AC371" s="35"/>
      <c r="AD371" s="35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</row>
    <row r="372" spans="1:65" ht="13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35"/>
      <c r="Y372" s="17"/>
      <c r="Z372" s="17"/>
      <c r="AA372" s="17"/>
      <c r="AB372" s="35"/>
      <c r="AC372" s="35"/>
      <c r="AD372" s="35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</row>
    <row r="373" spans="1:65" ht="1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35"/>
      <c r="Y373" s="17"/>
      <c r="Z373" s="17"/>
      <c r="AA373" s="17"/>
      <c r="AB373" s="35"/>
      <c r="AC373" s="35"/>
      <c r="AD373" s="35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</row>
    <row r="374" spans="1:65" ht="13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35"/>
      <c r="Y374" s="17"/>
      <c r="Z374" s="17"/>
      <c r="AA374" s="17"/>
      <c r="AB374" s="35"/>
      <c r="AC374" s="35"/>
      <c r="AD374" s="35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</row>
    <row r="375" spans="1:65" ht="13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35"/>
      <c r="Y375" s="17"/>
      <c r="Z375" s="17"/>
      <c r="AA375" s="17"/>
      <c r="AB375" s="35"/>
      <c r="AC375" s="35"/>
      <c r="AD375" s="35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</row>
    <row r="376" spans="1:65" ht="13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35"/>
      <c r="Y376" s="17"/>
      <c r="Z376" s="17"/>
      <c r="AA376" s="17"/>
      <c r="AB376" s="35"/>
      <c r="AC376" s="35"/>
      <c r="AD376" s="35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</row>
    <row r="377" spans="1:65" ht="13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35"/>
      <c r="Y377" s="17"/>
      <c r="Z377" s="17"/>
      <c r="AA377" s="17"/>
      <c r="AB377" s="35"/>
      <c r="AC377" s="35"/>
      <c r="AD377" s="35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</row>
    <row r="378" spans="1:65" ht="13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35"/>
      <c r="Y378" s="17"/>
      <c r="Z378" s="17"/>
      <c r="AA378" s="17"/>
      <c r="AB378" s="35"/>
      <c r="AC378" s="35"/>
      <c r="AD378" s="35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</row>
    <row r="379" spans="1:65" ht="13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35"/>
      <c r="Y379" s="17"/>
      <c r="Z379" s="17"/>
      <c r="AA379" s="17"/>
      <c r="AB379" s="35"/>
      <c r="AC379" s="35"/>
      <c r="AD379" s="35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</row>
    <row r="380" spans="1:65" ht="13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35"/>
      <c r="Y380" s="17"/>
      <c r="Z380" s="17"/>
      <c r="AA380" s="17"/>
      <c r="AB380" s="35"/>
      <c r="AC380" s="35"/>
      <c r="AD380" s="35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</row>
    <row r="381" spans="1:65" ht="13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35"/>
      <c r="Y381" s="17"/>
      <c r="Z381" s="17"/>
      <c r="AA381" s="17"/>
      <c r="AB381" s="35"/>
      <c r="AC381" s="35"/>
      <c r="AD381" s="35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</row>
    <row r="382" spans="1:65" ht="13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35"/>
      <c r="Y382" s="17"/>
      <c r="Z382" s="17"/>
      <c r="AA382" s="17"/>
      <c r="AB382" s="35"/>
      <c r="AC382" s="35"/>
      <c r="AD382" s="35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</row>
    <row r="383" spans="1:65" ht="1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35"/>
      <c r="Y383" s="17"/>
      <c r="Z383" s="17"/>
      <c r="AA383" s="17"/>
      <c r="AB383" s="35"/>
      <c r="AC383" s="35"/>
      <c r="AD383" s="35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</row>
    <row r="384" spans="1:65" ht="13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35"/>
      <c r="Y384" s="17"/>
      <c r="Z384" s="17"/>
      <c r="AA384" s="17"/>
      <c r="AB384" s="35"/>
      <c r="AC384" s="35"/>
      <c r="AD384" s="35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</row>
    <row r="385" spans="1:65" ht="13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35"/>
      <c r="Y385" s="17"/>
      <c r="Z385" s="17"/>
      <c r="AA385" s="17"/>
      <c r="AB385" s="35"/>
      <c r="AC385" s="35"/>
      <c r="AD385" s="35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</row>
    <row r="386" spans="1:65" ht="13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35"/>
      <c r="Y386" s="17"/>
      <c r="Z386" s="17"/>
      <c r="AA386" s="17"/>
      <c r="AB386" s="35"/>
      <c r="AC386" s="35"/>
      <c r="AD386" s="35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</row>
    <row r="387" spans="1:65" ht="13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35"/>
      <c r="Y387" s="17"/>
      <c r="Z387" s="17"/>
      <c r="AA387" s="17"/>
      <c r="AB387" s="35"/>
      <c r="AC387" s="35"/>
      <c r="AD387" s="35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</row>
    <row r="388" spans="1:65" ht="13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35"/>
      <c r="Y388" s="17"/>
      <c r="Z388" s="17"/>
      <c r="AA388" s="17"/>
      <c r="AB388" s="35"/>
      <c r="AC388" s="35"/>
      <c r="AD388" s="35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</row>
    <row r="389" spans="1:65" ht="13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35"/>
      <c r="Y389" s="17"/>
      <c r="Z389" s="17"/>
      <c r="AA389" s="17"/>
      <c r="AB389" s="35"/>
      <c r="AC389" s="35"/>
      <c r="AD389" s="35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</row>
    <row r="390" spans="1:65" ht="13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35"/>
      <c r="Y390" s="17"/>
      <c r="Z390" s="17"/>
      <c r="AA390" s="17"/>
      <c r="AB390" s="35"/>
      <c r="AC390" s="35"/>
      <c r="AD390" s="35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</row>
    <row r="391" spans="1:65" ht="13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35"/>
      <c r="Y391" s="17"/>
      <c r="Z391" s="17"/>
      <c r="AA391" s="17"/>
      <c r="AB391" s="35"/>
      <c r="AC391" s="35"/>
      <c r="AD391" s="35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</row>
    <row r="392" spans="1:65" ht="13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35"/>
      <c r="Y392" s="17"/>
      <c r="Z392" s="17"/>
      <c r="AA392" s="17"/>
      <c r="AB392" s="35"/>
      <c r="AC392" s="35"/>
      <c r="AD392" s="35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</row>
    <row r="393" spans="1:65" ht="1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35"/>
      <c r="Y393" s="17"/>
      <c r="Z393" s="17"/>
      <c r="AA393" s="17"/>
      <c r="AB393" s="35"/>
      <c r="AC393" s="35"/>
      <c r="AD393" s="35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</row>
    <row r="394" spans="1:65" ht="13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35"/>
      <c r="Y394" s="17"/>
      <c r="Z394" s="17"/>
      <c r="AA394" s="17"/>
      <c r="AB394" s="35"/>
      <c r="AC394" s="35"/>
      <c r="AD394" s="35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</row>
    <row r="395" spans="1:65" ht="13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35"/>
      <c r="Y395" s="17"/>
      <c r="Z395" s="17"/>
      <c r="AA395" s="17"/>
      <c r="AB395" s="35"/>
      <c r="AC395" s="35"/>
      <c r="AD395" s="35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</row>
    <row r="396" spans="1:65" ht="13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35"/>
      <c r="Y396" s="17"/>
      <c r="Z396" s="17"/>
      <c r="AA396" s="17"/>
      <c r="AB396" s="35"/>
      <c r="AC396" s="35"/>
      <c r="AD396" s="35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</row>
    <row r="397" spans="1:65" ht="13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35"/>
      <c r="Y397" s="17"/>
      <c r="Z397" s="17"/>
      <c r="AA397" s="17"/>
      <c r="AB397" s="35"/>
      <c r="AC397" s="35"/>
      <c r="AD397" s="35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</row>
    <row r="398" spans="1:65" ht="13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35"/>
      <c r="Y398" s="17"/>
      <c r="Z398" s="17"/>
      <c r="AA398" s="17"/>
      <c r="AB398" s="35"/>
      <c r="AC398" s="35"/>
      <c r="AD398" s="35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</row>
    <row r="399" spans="1:65" ht="13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35"/>
      <c r="Y399" s="17"/>
      <c r="Z399" s="17"/>
      <c r="AA399" s="17"/>
      <c r="AB399" s="35"/>
      <c r="AC399" s="35"/>
      <c r="AD399" s="35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</row>
    <row r="400" spans="1:65" ht="13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35"/>
      <c r="Y400" s="17"/>
      <c r="Z400" s="17"/>
      <c r="AA400" s="17"/>
      <c r="AB400" s="35"/>
      <c r="AC400" s="35"/>
      <c r="AD400" s="35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</row>
    <row r="401" spans="1:65" ht="13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35"/>
      <c r="Y401" s="17"/>
      <c r="Z401" s="17"/>
      <c r="AA401" s="17"/>
      <c r="AB401" s="35"/>
      <c r="AC401" s="35"/>
      <c r="AD401" s="35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</row>
    <row r="402" spans="1:65" ht="13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35"/>
      <c r="Y402" s="17"/>
      <c r="Z402" s="17"/>
      <c r="AA402" s="17"/>
      <c r="AB402" s="35"/>
      <c r="AC402" s="35"/>
      <c r="AD402" s="35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</row>
    <row r="403" spans="1:65" ht="1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35"/>
      <c r="Y403" s="17"/>
      <c r="Z403" s="17"/>
      <c r="AA403" s="17"/>
      <c r="AB403" s="35"/>
      <c r="AC403" s="35"/>
      <c r="AD403" s="35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</row>
    <row r="404" spans="1:65" ht="13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35"/>
      <c r="Y404" s="17"/>
      <c r="Z404" s="17"/>
      <c r="AA404" s="17"/>
      <c r="AB404" s="35"/>
      <c r="AC404" s="35"/>
      <c r="AD404" s="35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</row>
    <row r="405" spans="1:65" ht="13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35"/>
      <c r="Y405" s="17"/>
      <c r="Z405" s="17"/>
      <c r="AA405" s="17"/>
      <c r="AB405" s="35"/>
      <c r="AC405" s="35"/>
      <c r="AD405" s="35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</row>
    <row r="406" spans="1:65" ht="13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35"/>
      <c r="Y406" s="17"/>
      <c r="Z406" s="17"/>
      <c r="AA406" s="17"/>
      <c r="AB406" s="35"/>
      <c r="AC406" s="35"/>
      <c r="AD406" s="35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</row>
    <row r="407" spans="1:65" ht="13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35"/>
      <c r="Y407" s="17"/>
      <c r="Z407" s="17"/>
      <c r="AA407" s="17"/>
      <c r="AB407" s="35"/>
      <c r="AC407" s="35"/>
      <c r="AD407" s="35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</row>
    <row r="408" spans="1:65" ht="13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35"/>
      <c r="Y408" s="17"/>
      <c r="Z408" s="17"/>
      <c r="AA408" s="17"/>
      <c r="AB408" s="35"/>
      <c r="AC408" s="35"/>
      <c r="AD408" s="35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</row>
    <row r="409" spans="1:65" ht="13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35"/>
      <c r="Y409" s="17"/>
      <c r="Z409" s="17"/>
      <c r="AA409" s="17"/>
      <c r="AB409" s="35"/>
      <c r="AC409" s="35"/>
      <c r="AD409" s="35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</row>
    <row r="410" spans="1:65" ht="13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35"/>
      <c r="Y410" s="17"/>
      <c r="Z410" s="17"/>
      <c r="AA410" s="17"/>
      <c r="AB410" s="35"/>
      <c r="AC410" s="35"/>
      <c r="AD410" s="35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</row>
    <row r="411" spans="1:65" ht="13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35"/>
      <c r="Y411" s="17"/>
      <c r="Z411" s="17"/>
      <c r="AA411" s="17"/>
      <c r="AB411" s="35"/>
      <c r="AC411" s="35"/>
      <c r="AD411" s="35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</row>
    <row r="412" spans="1:65" ht="13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35"/>
      <c r="Y412" s="17"/>
      <c r="Z412" s="17"/>
      <c r="AA412" s="17"/>
      <c r="AB412" s="35"/>
      <c r="AC412" s="35"/>
      <c r="AD412" s="35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</row>
    <row r="413" spans="1:65" ht="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35"/>
      <c r="Y413" s="17"/>
      <c r="Z413" s="17"/>
      <c r="AA413" s="17"/>
      <c r="AB413" s="35"/>
      <c r="AC413" s="35"/>
      <c r="AD413" s="35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</row>
    <row r="414" spans="1:65" ht="13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35"/>
      <c r="Y414" s="17"/>
      <c r="Z414" s="17"/>
      <c r="AA414" s="17"/>
      <c r="AB414" s="35"/>
      <c r="AC414" s="35"/>
      <c r="AD414" s="35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</row>
    <row r="415" spans="1:65" ht="13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35"/>
      <c r="Y415" s="17"/>
      <c r="Z415" s="17"/>
      <c r="AA415" s="17"/>
      <c r="AB415" s="35"/>
      <c r="AC415" s="35"/>
      <c r="AD415" s="35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</row>
    <row r="416" spans="1:65" ht="13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35"/>
      <c r="Y416" s="17"/>
      <c r="Z416" s="17"/>
      <c r="AA416" s="17"/>
      <c r="AB416" s="35"/>
      <c r="AC416" s="35"/>
      <c r="AD416" s="35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</row>
    <row r="417" spans="1:65" ht="13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35"/>
      <c r="Y417" s="17"/>
      <c r="Z417" s="17"/>
      <c r="AA417" s="17"/>
      <c r="AB417" s="35"/>
      <c r="AC417" s="35"/>
      <c r="AD417" s="35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</row>
    <row r="418" spans="1:65" ht="13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35"/>
      <c r="Y418" s="17"/>
      <c r="Z418" s="17"/>
      <c r="AA418" s="17"/>
      <c r="AB418" s="35"/>
      <c r="AC418" s="35"/>
      <c r="AD418" s="35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</row>
    <row r="419" spans="1:65" ht="13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35"/>
      <c r="Y419" s="17"/>
      <c r="Z419" s="17"/>
      <c r="AA419" s="17"/>
      <c r="AB419" s="35"/>
      <c r="AC419" s="35"/>
      <c r="AD419" s="35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</row>
    <row r="420" spans="1:65" ht="13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35"/>
      <c r="Y420" s="17"/>
      <c r="Z420" s="17"/>
      <c r="AA420" s="17"/>
      <c r="AB420" s="35"/>
      <c r="AC420" s="35"/>
      <c r="AD420" s="35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</row>
    <row r="421" spans="1:65" ht="13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35"/>
      <c r="Y421" s="17"/>
      <c r="Z421" s="17"/>
      <c r="AA421" s="17"/>
      <c r="AB421" s="35"/>
      <c r="AC421" s="35"/>
      <c r="AD421" s="35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</row>
    <row r="422" spans="1:65" ht="13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35"/>
      <c r="Y422" s="17"/>
      <c r="Z422" s="17"/>
      <c r="AA422" s="17"/>
      <c r="AB422" s="35"/>
      <c r="AC422" s="35"/>
      <c r="AD422" s="35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</row>
    <row r="423" spans="1:65" ht="1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35"/>
      <c r="Y423" s="17"/>
      <c r="Z423" s="17"/>
      <c r="AA423" s="17"/>
      <c r="AB423" s="35"/>
      <c r="AC423" s="35"/>
      <c r="AD423" s="35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</row>
    <row r="424" spans="1:65" ht="13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35"/>
      <c r="Y424" s="17"/>
      <c r="Z424" s="17"/>
      <c r="AA424" s="17"/>
      <c r="AB424" s="35"/>
      <c r="AC424" s="35"/>
      <c r="AD424" s="35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</row>
    <row r="425" spans="1:65" ht="13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35"/>
      <c r="Y425" s="17"/>
      <c r="Z425" s="17"/>
      <c r="AA425" s="17"/>
      <c r="AB425" s="35"/>
      <c r="AC425" s="35"/>
      <c r="AD425" s="35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</row>
    <row r="426" spans="1:65" ht="13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35"/>
      <c r="Y426" s="17"/>
      <c r="Z426" s="17"/>
      <c r="AA426" s="17"/>
      <c r="AB426" s="35"/>
      <c r="AC426" s="35"/>
      <c r="AD426" s="35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</row>
    <row r="427" spans="1:65" ht="13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35"/>
      <c r="Y427" s="17"/>
      <c r="Z427" s="17"/>
      <c r="AA427" s="17"/>
      <c r="AB427" s="35"/>
      <c r="AC427" s="35"/>
      <c r="AD427" s="35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</row>
    <row r="428" spans="1:65" ht="13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35"/>
      <c r="Y428" s="17"/>
      <c r="Z428" s="17"/>
      <c r="AA428" s="17"/>
      <c r="AB428" s="35"/>
      <c r="AC428" s="35"/>
      <c r="AD428" s="35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</row>
    <row r="429" spans="1:65" ht="13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35"/>
      <c r="Y429" s="17"/>
      <c r="Z429" s="17"/>
      <c r="AA429" s="17"/>
      <c r="AB429" s="35"/>
      <c r="AC429" s="35"/>
      <c r="AD429" s="35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</row>
    <row r="430" spans="1:65" ht="13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35"/>
      <c r="Y430" s="17"/>
      <c r="Z430" s="17"/>
      <c r="AA430" s="17"/>
      <c r="AB430" s="35"/>
      <c r="AC430" s="35"/>
      <c r="AD430" s="35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</row>
    <row r="431" spans="1:65" ht="13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35"/>
      <c r="Y431" s="17"/>
      <c r="Z431" s="17"/>
      <c r="AA431" s="17"/>
      <c r="AB431" s="35"/>
      <c r="AC431" s="35"/>
      <c r="AD431" s="35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</row>
    <row r="432" spans="1:65" ht="13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35"/>
      <c r="Y432" s="17"/>
      <c r="Z432" s="17"/>
      <c r="AA432" s="17"/>
      <c r="AB432" s="35"/>
      <c r="AC432" s="35"/>
      <c r="AD432" s="35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</row>
    <row r="433" spans="1:65" ht="1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35"/>
      <c r="Y433" s="17"/>
      <c r="Z433" s="17"/>
      <c r="AA433" s="17"/>
      <c r="AB433" s="35"/>
      <c r="AC433" s="35"/>
      <c r="AD433" s="35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</row>
    <row r="434" spans="1:65" ht="13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35"/>
      <c r="Y434" s="17"/>
      <c r="Z434" s="17"/>
      <c r="AA434" s="17"/>
      <c r="AB434" s="35"/>
      <c r="AC434" s="35"/>
      <c r="AD434" s="35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</row>
    <row r="435" spans="1:65" ht="13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35"/>
      <c r="Y435" s="17"/>
      <c r="Z435" s="17"/>
      <c r="AA435" s="17"/>
      <c r="AB435" s="35"/>
      <c r="AC435" s="35"/>
      <c r="AD435" s="35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</row>
    <row r="436" spans="1:65" ht="13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35"/>
      <c r="Y436" s="17"/>
      <c r="Z436" s="17"/>
      <c r="AA436" s="17"/>
      <c r="AB436" s="35"/>
      <c r="AC436" s="35"/>
      <c r="AD436" s="35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</row>
    <row r="437" spans="1:65" ht="13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35"/>
      <c r="Y437" s="17"/>
      <c r="Z437" s="17"/>
      <c r="AA437" s="17"/>
      <c r="AB437" s="35"/>
      <c r="AC437" s="35"/>
      <c r="AD437" s="35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</row>
    <row r="438" spans="1:65" ht="13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35"/>
      <c r="Y438" s="17"/>
      <c r="Z438" s="17"/>
      <c r="AA438" s="17"/>
      <c r="AB438" s="35"/>
      <c r="AC438" s="35"/>
      <c r="AD438" s="35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</row>
    <row r="439" spans="1:65" ht="13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35"/>
      <c r="Y439" s="17"/>
      <c r="Z439" s="17"/>
      <c r="AA439" s="17"/>
      <c r="AB439" s="35"/>
      <c r="AC439" s="35"/>
      <c r="AD439" s="35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</row>
    <row r="440" spans="1:65" ht="13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35"/>
      <c r="Y440" s="17"/>
      <c r="Z440" s="17"/>
      <c r="AA440" s="17"/>
      <c r="AB440" s="35"/>
      <c r="AC440" s="35"/>
      <c r="AD440" s="35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</row>
    <row r="441" spans="1:65" ht="13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35"/>
      <c r="Y441" s="17"/>
      <c r="Z441" s="17"/>
      <c r="AA441" s="17"/>
      <c r="AB441" s="35"/>
      <c r="AC441" s="35"/>
      <c r="AD441" s="35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</row>
    <row r="442" spans="1:65" ht="13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35"/>
      <c r="Y442" s="17"/>
      <c r="Z442" s="17"/>
      <c r="AA442" s="17"/>
      <c r="AB442" s="35"/>
      <c r="AC442" s="35"/>
      <c r="AD442" s="35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</row>
    <row r="443" spans="1:65" ht="1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35"/>
      <c r="Y443" s="17"/>
      <c r="Z443" s="17"/>
      <c r="AA443" s="17"/>
      <c r="AB443" s="35"/>
      <c r="AC443" s="35"/>
      <c r="AD443" s="35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</row>
    <row r="444" spans="1:65" ht="13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35"/>
      <c r="Y444" s="17"/>
      <c r="Z444" s="17"/>
      <c r="AA444" s="17"/>
      <c r="AB444" s="35"/>
      <c r="AC444" s="35"/>
      <c r="AD444" s="35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</row>
    <row r="445" spans="1:65" ht="13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35"/>
      <c r="Y445" s="17"/>
      <c r="Z445" s="17"/>
      <c r="AA445" s="17"/>
      <c r="AB445" s="35"/>
      <c r="AC445" s="35"/>
      <c r="AD445" s="35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</row>
    <row r="446" spans="1:65" ht="13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35"/>
      <c r="Y446" s="17"/>
      <c r="Z446" s="17"/>
      <c r="AA446" s="17"/>
      <c r="AB446" s="35"/>
      <c r="AC446" s="35"/>
      <c r="AD446" s="35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</row>
    <row r="447" spans="1:65" ht="13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35"/>
      <c r="Y447" s="17"/>
      <c r="Z447" s="17"/>
      <c r="AA447" s="17"/>
      <c r="AB447" s="35"/>
      <c r="AC447" s="35"/>
      <c r="AD447" s="35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</row>
    <row r="448" spans="1:65" ht="13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35"/>
      <c r="Y448" s="17"/>
      <c r="Z448" s="17"/>
      <c r="AA448" s="17"/>
      <c r="AB448" s="35"/>
      <c r="AC448" s="35"/>
      <c r="AD448" s="35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</row>
    <row r="449" spans="1:65" ht="13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35"/>
      <c r="Y449" s="17"/>
      <c r="Z449" s="17"/>
      <c r="AA449" s="17"/>
      <c r="AB449" s="35"/>
      <c r="AC449" s="35"/>
      <c r="AD449" s="35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</row>
    <row r="450" spans="1:65" ht="13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35"/>
      <c r="Y450" s="17"/>
      <c r="Z450" s="17"/>
      <c r="AA450" s="17"/>
      <c r="AB450" s="35"/>
      <c r="AC450" s="35"/>
      <c r="AD450" s="35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</row>
    <row r="451" spans="1:65" ht="13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35"/>
      <c r="Y451" s="17"/>
      <c r="Z451" s="17"/>
      <c r="AA451" s="17"/>
      <c r="AB451" s="35"/>
      <c r="AC451" s="35"/>
      <c r="AD451" s="35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</row>
    <row r="452" spans="1:65" ht="13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35"/>
      <c r="Y452" s="17"/>
      <c r="Z452" s="17"/>
      <c r="AA452" s="17"/>
      <c r="AB452" s="35"/>
      <c r="AC452" s="35"/>
      <c r="AD452" s="35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</row>
    <row r="453" spans="1:65" ht="1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35"/>
      <c r="Y453" s="17"/>
      <c r="Z453" s="17"/>
      <c r="AA453" s="17"/>
      <c r="AB453" s="35"/>
      <c r="AC453" s="35"/>
      <c r="AD453" s="35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</row>
    <row r="454" spans="1:65" ht="13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35"/>
      <c r="Y454" s="17"/>
      <c r="Z454" s="17"/>
      <c r="AA454" s="17"/>
      <c r="AB454" s="35"/>
      <c r="AC454" s="35"/>
      <c r="AD454" s="35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</row>
    <row r="455" spans="1:65" ht="13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35"/>
      <c r="Y455" s="17"/>
      <c r="Z455" s="17"/>
      <c r="AA455" s="17"/>
      <c r="AB455" s="35"/>
      <c r="AC455" s="35"/>
      <c r="AD455" s="35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</row>
    <row r="456" spans="1:65" ht="13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35"/>
      <c r="Y456" s="17"/>
      <c r="Z456" s="17"/>
      <c r="AA456" s="17"/>
      <c r="AB456" s="35"/>
      <c r="AC456" s="35"/>
      <c r="AD456" s="35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</row>
    <row r="457" spans="1:65" ht="13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35"/>
      <c r="Y457" s="17"/>
      <c r="Z457" s="17"/>
      <c r="AA457" s="17"/>
      <c r="AB457" s="35"/>
      <c r="AC457" s="35"/>
      <c r="AD457" s="35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</row>
    <row r="458" spans="1:65" ht="13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35"/>
      <c r="Y458" s="17"/>
      <c r="Z458" s="17"/>
      <c r="AA458" s="17"/>
      <c r="AB458" s="35"/>
      <c r="AC458" s="35"/>
      <c r="AD458" s="35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</row>
    <row r="459" spans="1:65" ht="13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35"/>
      <c r="Y459" s="17"/>
      <c r="Z459" s="17"/>
      <c r="AA459" s="17"/>
      <c r="AB459" s="35"/>
      <c r="AC459" s="35"/>
      <c r="AD459" s="35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</row>
    <row r="460" spans="1:65" ht="13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35"/>
      <c r="Y460" s="17"/>
      <c r="Z460" s="17"/>
      <c r="AA460" s="17"/>
      <c r="AB460" s="35"/>
      <c r="AC460" s="35"/>
      <c r="AD460" s="35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</row>
    <row r="461" spans="1:65" ht="13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35"/>
      <c r="Y461" s="17"/>
      <c r="Z461" s="17"/>
      <c r="AA461" s="17"/>
      <c r="AB461" s="35"/>
      <c r="AC461" s="35"/>
      <c r="AD461" s="35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</row>
    <row r="462" spans="1:65" ht="13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35"/>
      <c r="Y462" s="17"/>
      <c r="Z462" s="17"/>
      <c r="AA462" s="17"/>
      <c r="AB462" s="35"/>
      <c r="AC462" s="35"/>
      <c r="AD462" s="35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</row>
    <row r="463" spans="1:65" ht="1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35"/>
      <c r="Y463" s="17"/>
      <c r="Z463" s="17"/>
      <c r="AA463" s="17"/>
      <c r="AB463" s="35"/>
      <c r="AC463" s="35"/>
      <c r="AD463" s="35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</row>
    <row r="464" spans="1:65" ht="13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35"/>
      <c r="Y464" s="17"/>
      <c r="Z464" s="17"/>
      <c r="AA464" s="17"/>
      <c r="AB464" s="35"/>
      <c r="AC464" s="35"/>
      <c r="AD464" s="35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</row>
    <row r="465" spans="1:65" ht="13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35"/>
      <c r="Y465" s="17"/>
      <c r="Z465" s="17"/>
      <c r="AA465" s="17"/>
      <c r="AB465" s="35"/>
      <c r="AC465" s="35"/>
      <c r="AD465" s="35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</row>
    <row r="466" spans="1:65" ht="13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35"/>
      <c r="Y466" s="17"/>
      <c r="Z466" s="17"/>
      <c r="AA466" s="17"/>
      <c r="AB466" s="35"/>
      <c r="AC466" s="35"/>
      <c r="AD466" s="35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</row>
    <row r="467" spans="1:65" ht="13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35"/>
      <c r="Y467" s="17"/>
      <c r="Z467" s="17"/>
      <c r="AA467" s="17"/>
      <c r="AB467" s="35"/>
      <c r="AC467" s="35"/>
      <c r="AD467" s="35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</row>
    <row r="468" spans="1:65" ht="13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35"/>
      <c r="Y468" s="17"/>
      <c r="Z468" s="17"/>
      <c r="AA468" s="17"/>
      <c r="AB468" s="35"/>
      <c r="AC468" s="35"/>
      <c r="AD468" s="35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</row>
    <row r="469" spans="1:65" ht="13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35"/>
      <c r="Y469" s="17"/>
      <c r="Z469" s="17"/>
      <c r="AA469" s="17"/>
      <c r="AB469" s="35"/>
      <c r="AC469" s="35"/>
      <c r="AD469" s="35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</row>
    <row r="470" spans="1:65" ht="13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35"/>
      <c r="Y470" s="17"/>
      <c r="Z470" s="17"/>
      <c r="AA470" s="17"/>
      <c r="AB470" s="35"/>
      <c r="AC470" s="35"/>
      <c r="AD470" s="35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</row>
    <row r="471" spans="1:65" ht="13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35"/>
      <c r="Y471" s="17"/>
      <c r="Z471" s="17"/>
      <c r="AA471" s="17"/>
      <c r="AB471" s="35"/>
      <c r="AC471" s="35"/>
      <c r="AD471" s="35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</row>
    <row r="472" spans="1:65" ht="13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35"/>
      <c r="Y472" s="17"/>
      <c r="Z472" s="17"/>
      <c r="AA472" s="17"/>
      <c r="AB472" s="35"/>
      <c r="AC472" s="35"/>
      <c r="AD472" s="35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</row>
    <row r="473" spans="1:65" ht="1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35"/>
      <c r="Y473" s="17"/>
      <c r="Z473" s="17"/>
      <c r="AA473" s="17"/>
      <c r="AB473" s="35"/>
      <c r="AC473" s="35"/>
      <c r="AD473" s="35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</row>
    <row r="474" spans="1:65" ht="13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35"/>
      <c r="Y474" s="17"/>
      <c r="Z474" s="17"/>
      <c r="AA474" s="17"/>
      <c r="AB474" s="35"/>
      <c r="AC474" s="35"/>
      <c r="AD474" s="35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</row>
    <row r="475" spans="1:65" ht="13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35"/>
      <c r="Y475" s="17"/>
      <c r="Z475" s="17"/>
      <c r="AA475" s="17"/>
      <c r="AB475" s="35"/>
      <c r="AC475" s="35"/>
      <c r="AD475" s="35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</row>
    <row r="476" spans="1:65" ht="13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35"/>
      <c r="Y476" s="17"/>
      <c r="Z476" s="17"/>
      <c r="AA476" s="17"/>
      <c r="AB476" s="35"/>
      <c r="AC476" s="35"/>
      <c r="AD476" s="35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</row>
    <row r="477" spans="1:65" ht="13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35"/>
      <c r="Y477" s="17"/>
      <c r="Z477" s="17"/>
      <c r="AA477" s="17"/>
      <c r="AB477" s="35"/>
      <c r="AC477" s="35"/>
      <c r="AD477" s="35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</row>
    <row r="478" spans="1:65" ht="13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35"/>
      <c r="Y478" s="17"/>
      <c r="Z478" s="17"/>
      <c r="AA478" s="17"/>
      <c r="AB478" s="35"/>
      <c r="AC478" s="35"/>
      <c r="AD478" s="35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</row>
    <row r="479" spans="1:65" ht="13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35"/>
      <c r="Y479" s="17"/>
      <c r="Z479" s="17"/>
      <c r="AA479" s="17"/>
      <c r="AB479" s="35"/>
      <c r="AC479" s="35"/>
      <c r="AD479" s="35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</row>
    <row r="480" spans="1:65" ht="13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35"/>
      <c r="Y480" s="17"/>
      <c r="Z480" s="17"/>
      <c r="AA480" s="17"/>
      <c r="AB480" s="35"/>
      <c r="AC480" s="35"/>
      <c r="AD480" s="35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</row>
    <row r="481" spans="1:65" ht="13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35"/>
      <c r="Y481" s="17"/>
      <c r="Z481" s="17"/>
      <c r="AA481" s="17"/>
      <c r="AB481" s="35"/>
      <c r="AC481" s="35"/>
      <c r="AD481" s="35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</row>
    <row r="482" spans="1:65" ht="13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35"/>
      <c r="Y482" s="17"/>
      <c r="Z482" s="17"/>
      <c r="AA482" s="17"/>
      <c r="AB482" s="35"/>
      <c r="AC482" s="35"/>
      <c r="AD482" s="35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</row>
    <row r="483" spans="1:65" ht="1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35"/>
      <c r="Y483" s="17"/>
      <c r="Z483" s="17"/>
      <c r="AA483" s="17"/>
      <c r="AB483" s="35"/>
      <c r="AC483" s="35"/>
      <c r="AD483" s="35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</row>
    <row r="484" spans="1:65" ht="13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35"/>
      <c r="Y484" s="17"/>
      <c r="Z484" s="17"/>
      <c r="AA484" s="17"/>
      <c r="AB484" s="35"/>
      <c r="AC484" s="35"/>
      <c r="AD484" s="35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</row>
    <row r="485" spans="1:65" ht="13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35"/>
      <c r="Y485" s="17"/>
      <c r="Z485" s="17"/>
      <c r="AA485" s="17"/>
      <c r="AB485" s="35"/>
      <c r="AC485" s="35"/>
      <c r="AD485" s="35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</row>
    <row r="486" spans="1:65" ht="13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35"/>
      <c r="Y486" s="17"/>
      <c r="Z486" s="17"/>
      <c r="AA486" s="17"/>
      <c r="AB486" s="35"/>
      <c r="AC486" s="35"/>
      <c r="AD486" s="35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</row>
    <row r="487" spans="1:65" ht="13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35"/>
      <c r="Y487" s="17"/>
      <c r="Z487" s="17"/>
      <c r="AA487" s="17"/>
      <c r="AB487" s="35"/>
      <c r="AC487" s="35"/>
      <c r="AD487" s="35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</row>
    <row r="488" spans="1:65" ht="13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35"/>
      <c r="Y488" s="17"/>
      <c r="Z488" s="17"/>
      <c r="AA488" s="17"/>
      <c r="AB488" s="35"/>
      <c r="AC488" s="35"/>
      <c r="AD488" s="35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</row>
    <row r="489" spans="1:65" ht="13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35"/>
      <c r="Y489" s="17"/>
      <c r="Z489" s="17"/>
      <c r="AA489" s="17"/>
      <c r="AB489" s="35"/>
      <c r="AC489" s="35"/>
      <c r="AD489" s="35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</row>
    <row r="490" spans="1:65" ht="13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35"/>
      <c r="Y490" s="17"/>
      <c r="Z490" s="17"/>
      <c r="AA490" s="17"/>
      <c r="AB490" s="35"/>
      <c r="AC490" s="35"/>
      <c r="AD490" s="35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</row>
    <row r="491" spans="1:65" ht="13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35"/>
      <c r="Y491" s="17"/>
      <c r="Z491" s="17"/>
      <c r="AA491" s="17"/>
      <c r="AB491" s="35"/>
      <c r="AC491" s="35"/>
      <c r="AD491" s="35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</row>
    <row r="492" spans="1:65" ht="13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35"/>
      <c r="Y492" s="17"/>
      <c r="Z492" s="17"/>
      <c r="AA492" s="17"/>
      <c r="AB492" s="35"/>
      <c r="AC492" s="35"/>
      <c r="AD492" s="35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</row>
    <row r="493" spans="1:65" ht="1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35"/>
      <c r="Y493" s="17"/>
      <c r="Z493" s="17"/>
      <c r="AA493" s="17"/>
      <c r="AB493" s="35"/>
      <c r="AC493" s="35"/>
      <c r="AD493" s="35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</row>
    <row r="494" spans="1:65" ht="13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35"/>
      <c r="Y494" s="17"/>
      <c r="Z494" s="17"/>
      <c r="AA494" s="17"/>
      <c r="AB494" s="35"/>
      <c r="AC494" s="35"/>
      <c r="AD494" s="35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</row>
    <row r="495" spans="1:65" ht="13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35"/>
      <c r="Y495" s="17"/>
      <c r="Z495" s="17"/>
      <c r="AA495" s="17"/>
      <c r="AB495" s="35"/>
      <c r="AC495" s="35"/>
      <c r="AD495" s="35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</row>
    <row r="496" spans="1:65" ht="13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35"/>
      <c r="Y496" s="17"/>
      <c r="Z496" s="17"/>
      <c r="AA496" s="17"/>
      <c r="AB496" s="35"/>
      <c r="AC496" s="35"/>
      <c r="AD496" s="35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</row>
    <row r="497" spans="1:65" ht="13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35"/>
      <c r="Y497" s="17"/>
      <c r="Z497" s="17"/>
      <c r="AA497" s="17"/>
      <c r="AB497" s="35"/>
      <c r="AC497" s="35"/>
      <c r="AD497" s="35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</row>
    <row r="498" spans="1:65" ht="13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35"/>
      <c r="Y498" s="17"/>
      <c r="Z498" s="17"/>
      <c r="AA498" s="17"/>
      <c r="AB498" s="35"/>
      <c r="AC498" s="35"/>
      <c r="AD498" s="35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</row>
    <row r="499" spans="1:65" ht="13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35"/>
      <c r="Y499" s="17"/>
      <c r="Z499" s="17"/>
      <c r="AA499" s="17"/>
      <c r="AB499" s="35"/>
      <c r="AC499" s="35"/>
      <c r="AD499" s="35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</row>
    <row r="500" spans="1:65" ht="13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35"/>
      <c r="Y500" s="17"/>
      <c r="Z500" s="17"/>
      <c r="AA500" s="17"/>
      <c r="AB500" s="35"/>
      <c r="AC500" s="35"/>
      <c r="AD500" s="35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</row>
    <row r="501" spans="1:65" ht="13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35"/>
      <c r="Y501" s="17"/>
      <c r="Z501" s="17"/>
      <c r="AA501" s="17"/>
      <c r="AB501" s="35"/>
      <c r="AC501" s="35"/>
      <c r="AD501" s="35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</row>
    <row r="502" spans="1:65" ht="13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35"/>
      <c r="Y502" s="17"/>
      <c r="Z502" s="17"/>
      <c r="AA502" s="17"/>
      <c r="AB502" s="35"/>
      <c r="AC502" s="35"/>
      <c r="AD502" s="35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</row>
    <row r="503" spans="1:65" ht="1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35"/>
      <c r="Y503" s="17"/>
      <c r="Z503" s="17"/>
      <c r="AA503" s="17"/>
      <c r="AB503" s="35"/>
      <c r="AC503" s="35"/>
      <c r="AD503" s="35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</row>
    <row r="504" spans="1:65" ht="13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35"/>
      <c r="Y504" s="17"/>
      <c r="Z504" s="17"/>
      <c r="AA504" s="17"/>
      <c r="AB504" s="35"/>
      <c r="AC504" s="35"/>
      <c r="AD504" s="35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</row>
    <row r="505" spans="1:65" ht="13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35"/>
      <c r="Y505" s="17"/>
      <c r="Z505" s="17"/>
      <c r="AA505" s="17"/>
      <c r="AB505" s="35"/>
      <c r="AC505" s="35"/>
      <c r="AD505" s="35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</row>
    <row r="506" spans="1:65" ht="13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35"/>
      <c r="Y506" s="17"/>
      <c r="Z506" s="17"/>
      <c r="AA506" s="17"/>
      <c r="AB506" s="35"/>
      <c r="AC506" s="35"/>
      <c r="AD506" s="35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</row>
    <row r="507" spans="1:65" ht="13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35"/>
      <c r="Y507" s="17"/>
      <c r="Z507" s="17"/>
      <c r="AA507" s="17"/>
      <c r="AB507" s="35"/>
      <c r="AC507" s="35"/>
      <c r="AD507" s="35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</row>
    <row r="508" spans="1:65" ht="13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35"/>
      <c r="Y508" s="17"/>
      <c r="Z508" s="17"/>
      <c r="AA508" s="17"/>
      <c r="AB508" s="35"/>
      <c r="AC508" s="35"/>
      <c r="AD508" s="35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</row>
    <row r="509" spans="1:65" ht="13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35"/>
      <c r="Y509" s="17"/>
      <c r="Z509" s="17"/>
      <c r="AA509" s="17"/>
      <c r="AB509" s="35"/>
      <c r="AC509" s="35"/>
      <c r="AD509" s="35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</row>
    <row r="510" spans="1:65" ht="13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35"/>
      <c r="Y510" s="17"/>
      <c r="Z510" s="17"/>
      <c r="AA510" s="17"/>
      <c r="AB510" s="35"/>
      <c r="AC510" s="35"/>
      <c r="AD510" s="35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</row>
    <row r="511" spans="1:65" ht="13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35"/>
      <c r="Y511" s="17"/>
      <c r="Z511" s="17"/>
      <c r="AA511" s="17"/>
      <c r="AB511" s="35"/>
      <c r="AC511" s="35"/>
      <c r="AD511" s="35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</row>
    <row r="512" spans="1:65" ht="13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35"/>
      <c r="Y512" s="17"/>
      <c r="Z512" s="17"/>
      <c r="AA512" s="17"/>
      <c r="AB512" s="35"/>
      <c r="AC512" s="35"/>
      <c r="AD512" s="35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</row>
    <row r="513" spans="1:65" ht="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35"/>
      <c r="Y513" s="17"/>
      <c r="Z513" s="17"/>
      <c r="AA513" s="17"/>
      <c r="AB513" s="35"/>
      <c r="AC513" s="35"/>
      <c r="AD513" s="35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</row>
    <row r="514" spans="1:65" ht="13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35"/>
      <c r="Y514" s="17"/>
      <c r="Z514" s="17"/>
      <c r="AA514" s="17"/>
      <c r="AB514" s="35"/>
      <c r="AC514" s="35"/>
      <c r="AD514" s="35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</row>
    <row r="515" spans="1:65" ht="13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35"/>
      <c r="Y515" s="17"/>
      <c r="Z515" s="17"/>
      <c r="AA515" s="17"/>
      <c r="AB515" s="35"/>
      <c r="AC515" s="35"/>
      <c r="AD515" s="35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</row>
    <row r="516" spans="1:65" ht="13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35"/>
      <c r="Y516" s="17"/>
      <c r="Z516" s="17"/>
      <c r="AA516" s="17"/>
      <c r="AB516" s="35"/>
      <c r="AC516" s="35"/>
      <c r="AD516" s="35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</row>
    <row r="517" spans="1:65" ht="13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35"/>
      <c r="Y517" s="17"/>
      <c r="Z517" s="17"/>
      <c r="AA517" s="17"/>
      <c r="AB517" s="35"/>
      <c r="AC517" s="35"/>
      <c r="AD517" s="35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</row>
    <row r="518" spans="1:65" ht="13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35"/>
      <c r="Y518" s="17"/>
      <c r="Z518" s="17"/>
      <c r="AA518" s="17"/>
      <c r="AB518" s="35"/>
      <c r="AC518" s="35"/>
      <c r="AD518" s="35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</row>
    <row r="519" spans="1:65" ht="13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35"/>
      <c r="Y519" s="17"/>
      <c r="Z519" s="17"/>
      <c r="AA519" s="17"/>
      <c r="AB519" s="35"/>
      <c r="AC519" s="35"/>
      <c r="AD519" s="35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</row>
    <row r="520" spans="1:65" ht="13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35"/>
      <c r="Y520" s="17"/>
      <c r="Z520" s="17"/>
      <c r="AA520" s="17"/>
      <c r="AB520" s="35"/>
      <c r="AC520" s="35"/>
      <c r="AD520" s="35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</row>
    <row r="521" spans="1:65" ht="13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35"/>
      <c r="Y521" s="17"/>
      <c r="Z521" s="17"/>
      <c r="AA521" s="17"/>
      <c r="AB521" s="35"/>
      <c r="AC521" s="35"/>
      <c r="AD521" s="35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</row>
    <row r="522" spans="1:65" ht="13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35"/>
      <c r="Y522" s="17"/>
      <c r="Z522" s="17"/>
      <c r="AA522" s="17"/>
      <c r="AB522" s="35"/>
      <c r="AC522" s="35"/>
      <c r="AD522" s="35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</row>
    <row r="523" spans="1:65" ht="1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35"/>
      <c r="Y523" s="17"/>
      <c r="Z523" s="17"/>
      <c r="AA523" s="17"/>
      <c r="AB523" s="35"/>
      <c r="AC523" s="35"/>
      <c r="AD523" s="35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</row>
    <row r="524" spans="1:65" ht="13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35"/>
      <c r="Y524" s="17"/>
      <c r="Z524" s="17"/>
      <c r="AA524" s="17"/>
      <c r="AB524" s="35"/>
      <c r="AC524" s="35"/>
      <c r="AD524" s="35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</row>
    <row r="525" spans="1:65" ht="13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35"/>
      <c r="Y525" s="17"/>
      <c r="Z525" s="17"/>
      <c r="AA525" s="17"/>
      <c r="AB525" s="35"/>
      <c r="AC525" s="35"/>
      <c r="AD525" s="35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</row>
    <row r="526" spans="1:65" ht="13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35"/>
      <c r="Y526" s="17"/>
      <c r="Z526" s="17"/>
      <c r="AA526" s="17"/>
      <c r="AB526" s="35"/>
      <c r="AC526" s="35"/>
      <c r="AD526" s="35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</row>
    <row r="527" spans="1:65" ht="13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35"/>
      <c r="Y527" s="17"/>
      <c r="Z527" s="17"/>
      <c r="AA527" s="17"/>
      <c r="AB527" s="35"/>
      <c r="AC527" s="35"/>
      <c r="AD527" s="35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</row>
    <row r="528" spans="1:65" ht="13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35"/>
      <c r="Y528" s="17"/>
      <c r="Z528" s="17"/>
      <c r="AA528" s="17"/>
      <c r="AB528" s="35"/>
      <c r="AC528" s="35"/>
      <c r="AD528" s="35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</row>
    <row r="529" spans="1:65" ht="13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35"/>
      <c r="Y529" s="17"/>
      <c r="Z529" s="17"/>
      <c r="AA529" s="17"/>
      <c r="AB529" s="35"/>
      <c r="AC529" s="35"/>
      <c r="AD529" s="35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</row>
    <row r="530" spans="1:65" ht="13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35"/>
      <c r="Y530" s="17"/>
      <c r="Z530" s="17"/>
      <c r="AA530" s="17"/>
      <c r="AB530" s="35"/>
      <c r="AC530" s="35"/>
      <c r="AD530" s="35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</row>
    <row r="531" spans="1:65" ht="13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35"/>
      <c r="Y531" s="17"/>
      <c r="Z531" s="17"/>
      <c r="AA531" s="17"/>
      <c r="AB531" s="35"/>
      <c r="AC531" s="35"/>
      <c r="AD531" s="35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</row>
    <row r="532" spans="1:65" ht="13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35"/>
      <c r="Y532" s="17"/>
      <c r="Z532" s="17"/>
      <c r="AA532" s="17"/>
      <c r="AB532" s="35"/>
      <c r="AC532" s="35"/>
      <c r="AD532" s="35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</row>
    <row r="533" spans="1:65" ht="1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35"/>
      <c r="Y533" s="17"/>
      <c r="Z533" s="17"/>
      <c r="AA533" s="17"/>
      <c r="AB533" s="35"/>
      <c r="AC533" s="35"/>
      <c r="AD533" s="35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</row>
    <row r="534" spans="1:65" ht="13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35"/>
      <c r="Y534" s="17"/>
      <c r="Z534" s="17"/>
      <c r="AA534" s="17"/>
      <c r="AB534" s="35"/>
      <c r="AC534" s="35"/>
      <c r="AD534" s="35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</row>
    <row r="535" spans="1:65" ht="13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35"/>
      <c r="Y535" s="17"/>
      <c r="Z535" s="17"/>
      <c r="AA535" s="17"/>
      <c r="AB535" s="35"/>
      <c r="AC535" s="35"/>
      <c r="AD535" s="35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</row>
    <row r="536" spans="1:65" ht="13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35"/>
      <c r="Y536" s="17"/>
      <c r="Z536" s="17"/>
      <c r="AA536" s="17"/>
      <c r="AB536" s="35"/>
      <c r="AC536" s="35"/>
      <c r="AD536" s="35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</row>
    <row r="537" spans="1:65" ht="13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35"/>
      <c r="Y537" s="17"/>
      <c r="Z537" s="17"/>
      <c r="AA537" s="17"/>
      <c r="AB537" s="35"/>
      <c r="AC537" s="35"/>
      <c r="AD537" s="35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</row>
    <row r="538" spans="1:65" ht="13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35"/>
      <c r="Y538" s="17"/>
      <c r="Z538" s="17"/>
      <c r="AA538" s="17"/>
      <c r="AB538" s="35"/>
      <c r="AC538" s="35"/>
      <c r="AD538" s="35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</row>
    <row r="539" spans="1:65" ht="13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35"/>
      <c r="Y539" s="17"/>
      <c r="Z539" s="17"/>
      <c r="AA539" s="17"/>
      <c r="AB539" s="35"/>
      <c r="AC539" s="35"/>
      <c r="AD539" s="35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</row>
    <row r="540" spans="1:65" ht="13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35"/>
      <c r="Y540" s="17"/>
      <c r="Z540" s="17"/>
      <c r="AA540" s="17"/>
      <c r="AB540" s="35"/>
      <c r="AC540" s="35"/>
      <c r="AD540" s="35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</row>
    <row r="541" spans="1:65" ht="13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35"/>
      <c r="Y541" s="17"/>
      <c r="Z541" s="17"/>
      <c r="AA541" s="17"/>
      <c r="AB541" s="35"/>
      <c r="AC541" s="35"/>
      <c r="AD541" s="35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</row>
    <row r="542" spans="1:65" ht="13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35"/>
      <c r="Y542" s="17"/>
      <c r="Z542" s="17"/>
      <c r="AA542" s="17"/>
      <c r="AB542" s="35"/>
      <c r="AC542" s="35"/>
      <c r="AD542" s="35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</row>
    <row r="543" spans="1:65" ht="1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35"/>
      <c r="Y543" s="17"/>
      <c r="Z543" s="17"/>
      <c r="AA543" s="17"/>
      <c r="AB543" s="35"/>
      <c r="AC543" s="35"/>
      <c r="AD543" s="35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</row>
    <row r="544" spans="1:65" ht="13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35"/>
      <c r="Y544" s="17"/>
      <c r="Z544" s="17"/>
      <c r="AA544" s="17"/>
      <c r="AB544" s="35"/>
      <c r="AC544" s="35"/>
      <c r="AD544" s="35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</row>
    <row r="545" spans="1:65" ht="13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35"/>
      <c r="Y545" s="17"/>
      <c r="Z545" s="17"/>
      <c r="AA545" s="17"/>
      <c r="AB545" s="35"/>
      <c r="AC545" s="35"/>
      <c r="AD545" s="35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</row>
    <row r="546" spans="1:65" ht="13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35"/>
      <c r="Y546" s="17"/>
      <c r="Z546" s="17"/>
      <c r="AA546" s="17"/>
      <c r="AB546" s="35"/>
      <c r="AC546" s="35"/>
      <c r="AD546" s="35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</row>
    <row r="547" spans="1:65" ht="13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35"/>
      <c r="Y547" s="17"/>
      <c r="Z547" s="17"/>
      <c r="AA547" s="17"/>
      <c r="AB547" s="35"/>
      <c r="AC547" s="35"/>
      <c r="AD547" s="35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</row>
    <row r="548" spans="1:65" ht="13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35"/>
      <c r="Y548" s="17"/>
      <c r="Z548" s="17"/>
      <c r="AA548" s="17"/>
      <c r="AB548" s="35"/>
      <c r="AC548" s="35"/>
      <c r="AD548" s="35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</row>
    <row r="549" spans="1:65" ht="13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35"/>
      <c r="Y549" s="17"/>
      <c r="Z549" s="17"/>
      <c r="AA549" s="17"/>
      <c r="AB549" s="35"/>
      <c r="AC549" s="35"/>
      <c r="AD549" s="35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</row>
    <row r="550" spans="1:65" ht="13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35"/>
      <c r="Y550" s="17"/>
      <c r="Z550" s="17"/>
      <c r="AA550" s="17"/>
      <c r="AB550" s="35"/>
      <c r="AC550" s="35"/>
      <c r="AD550" s="35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</row>
    <row r="551" spans="1:65" ht="13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35"/>
      <c r="Y551" s="17"/>
      <c r="Z551" s="17"/>
      <c r="AA551" s="17"/>
      <c r="AB551" s="35"/>
      <c r="AC551" s="35"/>
      <c r="AD551" s="35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</row>
    <row r="552" spans="1:65" ht="13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35"/>
      <c r="Y552" s="17"/>
      <c r="Z552" s="17"/>
      <c r="AA552" s="17"/>
      <c r="AB552" s="35"/>
      <c r="AC552" s="35"/>
      <c r="AD552" s="35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</row>
    <row r="553" spans="1:65" ht="1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35"/>
      <c r="Y553" s="17"/>
      <c r="Z553" s="17"/>
      <c r="AA553" s="17"/>
      <c r="AB553" s="35"/>
      <c r="AC553" s="35"/>
      <c r="AD553" s="35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</row>
    <row r="554" spans="1:65" ht="13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35"/>
      <c r="Y554" s="17"/>
      <c r="Z554" s="17"/>
      <c r="AA554" s="17"/>
      <c r="AB554" s="35"/>
      <c r="AC554" s="35"/>
      <c r="AD554" s="35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</row>
    <row r="555" spans="1:65" ht="13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35"/>
      <c r="Y555" s="17"/>
      <c r="Z555" s="17"/>
      <c r="AA555" s="17"/>
      <c r="AB555" s="35"/>
      <c r="AC555" s="35"/>
      <c r="AD555" s="35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</row>
    <row r="556" spans="1:65" ht="13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35"/>
      <c r="Y556" s="17"/>
      <c r="Z556" s="17"/>
      <c r="AA556" s="17"/>
      <c r="AB556" s="35"/>
      <c r="AC556" s="35"/>
      <c r="AD556" s="35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</row>
    <row r="557" spans="1:65" ht="13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35"/>
      <c r="Y557" s="17"/>
      <c r="Z557" s="17"/>
      <c r="AA557" s="17"/>
      <c r="AB557" s="35"/>
      <c r="AC557" s="35"/>
      <c r="AD557" s="35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</row>
    <row r="558" spans="1:65" ht="13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35"/>
      <c r="Y558" s="17"/>
      <c r="Z558" s="17"/>
      <c r="AA558" s="17"/>
      <c r="AB558" s="35"/>
      <c r="AC558" s="35"/>
      <c r="AD558" s="35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</row>
    <row r="559" spans="1:65" ht="13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35"/>
      <c r="Y559" s="17"/>
      <c r="Z559" s="17"/>
      <c r="AA559" s="17"/>
      <c r="AB559" s="35"/>
      <c r="AC559" s="35"/>
      <c r="AD559" s="35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</row>
    <row r="560" spans="1:65" ht="13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35"/>
      <c r="Y560" s="17"/>
      <c r="Z560" s="17"/>
      <c r="AA560" s="17"/>
      <c r="AB560" s="35"/>
      <c r="AC560" s="35"/>
      <c r="AD560" s="35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</row>
    <row r="561" spans="1:65" ht="13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35"/>
      <c r="Y561" s="17"/>
      <c r="Z561" s="17"/>
      <c r="AA561" s="17"/>
      <c r="AB561" s="35"/>
      <c r="AC561" s="35"/>
      <c r="AD561" s="35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</row>
    <row r="562" spans="1:65" ht="13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35"/>
      <c r="Y562" s="17"/>
      <c r="Z562" s="17"/>
      <c r="AA562" s="17"/>
      <c r="AB562" s="35"/>
      <c r="AC562" s="35"/>
      <c r="AD562" s="35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</row>
    <row r="563" spans="1:65" ht="1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35"/>
      <c r="Y563" s="17"/>
      <c r="Z563" s="17"/>
      <c r="AA563" s="17"/>
      <c r="AB563" s="35"/>
      <c r="AC563" s="35"/>
      <c r="AD563" s="35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</row>
    <row r="564" spans="1:65" ht="13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35"/>
      <c r="Y564" s="17"/>
      <c r="Z564" s="17"/>
      <c r="AA564" s="17"/>
      <c r="AB564" s="35"/>
      <c r="AC564" s="35"/>
      <c r="AD564" s="35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</row>
    <row r="565" spans="1:65" ht="13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35"/>
      <c r="Y565" s="17"/>
      <c r="Z565" s="17"/>
      <c r="AA565" s="17"/>
      <c r="AB565" s="35"/>
      <c r="AC565" s="35"/>
      <c r="AD565" s="35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</row>
    <row r="566" spans="1:65" ht="13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35"/>
      <c r="Y566" s="17"/>
      <c r="Z566" s="17"/>
      <c r="AA566" s="17"/>
      <c r="AB566" s="35"/>
      <c r="AC566" s="35"/>
      <c r="AD566" s="35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</row>
    <row r="567" spans="1:65" ht="13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35"/>
      <c r="Y567" s="17"/>
      <c r="Z567" s="17"/>
      <c r="AA567" s="17"/>
      <c r="AB567" s="35"/>
      <c r="AC567" s="35"/>
      <c r="AD567" s="35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</row>
    <row r="568" spans="1:65" ht="13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35"/>
      <c r="Y568" s="17"/>
      <c r="Z568" s="17"/>
      <c r="AA568" s="17"/>
      <c r="AB568" s="35"/>
      <c r="AC568" s="35"/>
      <c r="AD568" s="35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</row>
    <row r="569" spans="1:65" ht="13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35"/>
      <c r="Y569" s="17"/>
      <c r="Z569" s="17"/>
      <c r="AA569" s="17"/>
      <c r="AB569" s="35"/>
      <c r="AC569" s="35"/>
      <c r="AD569" s="35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</row>
    <row r="570" spans="1:65" ht="13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35"/>
      <c r="Y570" s="17"/>
      <c r="Z570" s="17"/>
      <c r="AA570" s="17"/>
      <c r="AB570" s="35"/>
      <c r="AC570" s="35"/>
      <c r="AD570" s="35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</row>
    <row r="571" spans="1:65" ht="13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35"/>
      <c r="Y571" s="17"/>
      <c r="Z571" s="17"/>
      <c r="AA571" s="17"/>
      <c r="AB571" s="35"/>
      <c r="AC571" s="35"/>
      <c r="AD571" s="35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</row>
    <row r="572" spans="1:65" ht="13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35"/>
      <c r="Y572" s="17"/>
      <c r="Z572" s="17"/>
      <c r="AA572" s="17"/>
      <c r="AB572" s="35"/>
      <c r="AC572" s="35"/>
      <c r="AD572" s="35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</row>
    <row r="573" spans="1:65" ht="1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35"/>
      <c r="Y573" s="17"/>
      <c r="Z573" s="17"/>
      <c r="AA573" s="17"/>
      <c r="AB573" s="35"/>
      <c r="AC573" s="35"/>
      <c r="AD573" s="35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</row>
    <row r="574" spans="1:65" ht="13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35"/>
      <c r="Y574" s="17"/>
      <c r="Z574" s="17"/>
      <c r="AA574" s="17"/>
      <c r="AB574" s="35"/>
      <c r="AC574" s="35"/>
      <c r="AD574" s="35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</row>
    <row r="575" spans="1:65" ht="13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35"/>
      <c r="Y575" s="17"/>
      <c r="Z575" s="17"/>
      <c r="AA575" s="17"/>
      <c r="AB575" s="35"/>
      <c r="AC575" s="35"/>
      <c r="AD575" s="35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</row>
    <row r="576" spans="1:65" ht="13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35"/>
      <c r="Y576" s="17"/>
      <c r="Z576" s="17"/>
      <c r="AA576" s="17"/>
      <c r="AB576" s="35"/>
      <c r="AC576" s="35"/>
      <c r="AD576" s="35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</row>
    <row r="577" spans="1:65" ht="13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35"/>
      <c r="Y577" s="17"/>
      <c r="Z577" s="17"/>
      <c r="AA577" s="17"/>
      <c r="AB577" s="35"/>
      <c r="AC577" s="35"/>
      <c r="AD577" s="35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</row>
    <row r="578" spans="1:65" ht="13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35"/>
      <c r="Y578" s="17"/>
      <c r="Z578" s="17"/>
      <c r="AA578" s="17"/>
      <c r="AB578" s="35"/>
      <c r="AC578" s="35"/>
      <c r="AD578" s="35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</row>
    <row r="579" spans="1:65" ht="13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35"/>
      <c r="Y579" s="17"/>
      <c r="Z579" s="17"/>
      <c r="AA579" s="17"/>
      <c r="AB579" s="35"/>
      <c r="AC579" s="35"/>
      <c r="AD579" s="35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</row>
    <row r="580" spans="1:65" ht="13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35"/>
      <c r="Y580" s="17"/>
      <c r="Z580" s="17"/>
      <c r="AA580" s="17"/>
      <c r="AB580" s="35"/>
      <c r="AC580" s="35"/>
      <c r="AD580" s="35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</row>
    <row r="581" spans="1:65" ht="13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35"/>
      <c r="Y581" s="17"/>
      <c r="Z581" s="17"/>
      <c r="AA581" s="17"/>
      <c r="AB581" s="35"/>
      <c r="AC581" s="35"/>
      <c r="AD581" s="35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</row>
    <row r="582" spans="1:65" ht="13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35"/>
      <c r="Y582" s="17"/>
      <c r="Z582" s="17"/>
      <c r="AA582" s="17"/>
      <c r="AB582" s="35"/>
      <c r="AC582" s="35"/>
      <c r="AD582" s="35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</row>
    <row r="583" spans="1:65" ht="1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35"/>
      <c r="Y583" s="17"/>
      <c r="Z583" s="17"/>
      <c r="AA583" s="17"/>
      <c r="AB583" s="35"/>
      <c r="AC583" s="35"/>
      <c r="AD583" s="35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</row>
    <row r="584" spans="1:65" ht="13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35"/>
      <c r="Y584" s="17"/>
      <c r="Z584" s="17"/>
      <c r="AA584" s="17"/>
      <c r="AB584" s="35"/>
      <c r="AC584" s="35"/>
      <c r="AD584" s="35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</row>
    <row r="585" spans="1:65" ht="13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35"/>
      <c r="Y585" s="17"/>
      <c r="Z585" s="17"/>
      <c r="AA585" s="17"/>
      <c r="AB585" s="35"/>
      <c r="AC585" s="35"/>
      <c r="AD585" s="35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</row>
    <row r="586" spans="1:65" ht="13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35"/>
      <c r="Y586" s="17"/>
      <c r="Z586" s="17"/>
      <c r="AA586" s="17"/>
      <c r="AB586" s="35"/>
      <c r="AC586" s="35"/>
      <c r="AD586" s="35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</row>
    <row r="587" spans="1:65" ht="13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35"/>
      <c r="Y587" s="17"/>
      <c r="Z587" s="17"/>
      <c r="AA587" s="17"/>
      <c r="AB587" s="35"/>
      <c r="AC587" s="35"/>
      <c r="AD587" s="35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</row>
    <row r="588" spans="1:65" ht="13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35"/>
      <c r="Y588" s="17"/>
      <c r="Z588" s="17"/>
      <c r="AA588" s="17"/>
      <c r="AB588" s="35"/>
      <c r="AC588" s="35"/>
      <c r="AD588" s="35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</row>
    <row r="589" spans="1:65" ht="13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35"/>
      <c r="Y589" s="17"/>
      <c r="Z589" s="17"/>
      <c r="AA589" s="17"/>
      <c r="AB589" s="35"/>
      <c r="AC589" s="35"/>
      <c r="AD589" s="35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</row>
    <row r="590" spans="1:65" ht="13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35"/>
      <c r="Y590" s="17"/>
      <c r="Z590" s="17"/>
      <c r="AA590" s="17"/>
      <c r="AB590" s="35"/>
      <c r="AC590" s="35"/>
      <c r="AD590" s="35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</row>
    <row r="591" spans="1:65" ht="13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35"/>
      <c r="Y591" s="17"/>
      <c r="Z591" s="17"/>
      <c r="AA591" s="17"/>
      <c r="AB591" s="35"/>
      <c r="AC591" s="35"/>
      <c r="AD591" s="35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</row>
    <row r="592" spans="1:65" ht="13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35"/>
      <c r="Y592" s="17"/>
      <c r="Z592" s="17"/>
      <c r="AA592" s="17"/>
      <c r="AB592" s="35"/>
      <c r="AC592" s="35"/>
      <c r="AD592" s="35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</row>
    <row r="593" spans="1:65" ht="1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35"/>
      <c r="Y593" s="17"/>
      <c r="Z593" s="17"/>
      <c r="AA593" s="17"/>
      <c r="AB593" s="35"/>
      <c r="AC593" s="35"/>
      <c r="AD593" s="35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</row>
    <row r="594" spans="1:65" ht="13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35"/>
      <c r="Y594" s="17"/>
      <c r="Z594" s="17"/>
      <c r="AA594" s="17"/>
      <c r="AB594" s="35"/>
      <c r="AC594" s="35"/>
      <c r="AD594" s="35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</row>
    <row r="595" spans="1:65" ht="13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35"/>
      <c r="Y595" s="17"/>
      <c r="Z595" s="17"/>
      <c r="AA595" s="17"/>
      <c r="AB595" s="35"/>
      <c r="AC595" s="35"/>
      <c r="AD595" s="35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</row>
    <row r="596" spans="1:65" ht="13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35"/>
      <c r="Y596" s="17"/>
      <c r="Z596" s="17"/>
      <c r="AA596" s="17"/>
      <c r="AB596" s="35"/>
      <c r="AC596" s="35"/>
      <c r="AD596" s="35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</row>
    <row r="597" spans="1:65" ht="13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35"/>
      <c r="Y597" s="17"/>
      <c r="Z597" s="17"/>
      <c r="AA597" s="17"/>
      <c r="AB597" s="35"/>
      <c r="AC597" s="35"/>
      <c r="AD597" s="35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</row>
    <row r="598" spans="1:65" ht="13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35"/>
      <c r="Y598" s="17"/>
      <c r="Z598" s="17"/>
      <c r="AA598" s="17"/>
      <c r="AB598" s="35"/>
      <c r="AC598" s="35"/>
      <c r="AD598" s="35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</row>
    <row r="599" spans="1:65" ht="13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35"/>
      <c r="Y599" s="17"/>
      <c r="Z599" s="17"/>
      <c r="AA599" s="17"/>
      <c r="AB599" s="35"/>
      <c r="AC599" s="35"/>
      <c r="AD599" s="35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</row>
    <row r="600" spans="1:65" ht="13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35"/>
      <c r="Y600" s="17"/>
      <c r="Z600" s="17"/>
      <c r="AA600" s="17"/>
      <c r="AB600" s="35"/>
      <c r="AC600" s="35"/>
      <c r="AD600" s="35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</row>
    <row r="601" spans="1:65" ht="13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35"/>
      <c r="Y601" s="17"/>
      <c r="Z601" s="17"/>
      <c r="AA601" s="17"/>
      <c r="AB601" s="35"/>
      <c r="AC601" s="35"/>
      <c r="AD601" s="35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</row>
    <row r="602" spans="1:65" ht="13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35"/>
      <c r="Y602" s="17"/>
      <c r="Z602" s="17"/>
      <c r="AA602" s="17"/>
      <c r="AB602" s="35"/>
      <c r="AC602" s="35"/>
      <c r="AD602" s="35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</row>
    <row r="603" spans="1:65" ht="1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35"/>
      <c r="Y603" s="17"/>
      <c r="Z603" s="17"/>
      <c r="AA603" s="17"/>
      <c r="AB603" s="35"/>
      <c r="AC603" s="35"/>
      <c r="AD603" s="35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</row>
    <row r="604" spans="1:65" ht="13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35"/>
      <c r="Y604" s="17"/>
      <c r="Z604" s="17"/>
      <c r="AA604" s="17"/>
      <c r="AB604" s="35"/>
      <c r="AC604" s="35"/>
      <c r="AD604" s="35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</row>
    <row r="605" spans="1:65" ht="13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35"/>
      <c r="Y605" s="17"/>
      <c r="Z605" s="17"/>
      <c r="AA605" s="17"/>
      <c r="AB605" s="35"/>
      <c r="AC605" s="35"/>
      <c r="AD605" s="35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</row>
    <row r="606" spans="1:65" ht="13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35"/>
      <c r="Y606" s="17"/>
      <c r="Z606" s="17"/>
      <c r="AA606" s="17"/>
      <c r="AB606" s="35"/>
      <c r="AC606" s="35"/>
      <c r="AD606" s="35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</row>
    <row r="607" spans="1:65" ht="13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35"/>
      <c r="Y607" s="17"/>
      <c r="Z607" s="17"/>
      <c r="AA607" s="17"/>
      <c r="AB607" s="35"/>
      <c r="AC607" s="35"/>
      <c r="AD607" s="35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</row>
    <row r="608" spans="1:65" ht="13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35"/>
      <c r="Y608" s="17"/>
      <c r="Z608" s="17"/>
      <c r="AA608" s="17"/>
      <c r="AB608" s="35"/>
      <c r="AC608" s="35"/>
      <c r="AD608" s="35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</row>
    <row r="609" spans="1:65" ht="13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35"/>
      <c r="Y609" s="17"/>
      <c r="Z609" s="17"/>
      <c r="AA609" s="17"/>
      <c r="AB609" s="35"/>
      <c r="AC609" s="35"/>
      <c r="AD609" s="35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</row>
    <row r="610" spans="1:65" ht="13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35"/>
      <c r="Y610" s="17"/>
      <c r="Z610" s="17"/>
      <c r="AA610" s="17"/>
      <c r="AB610" s="35"/>
      <c r="AC610" s="35"/>
      <c r="AD610" s="35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</row>
    <row r="611" spans="1:65" ht="13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35"/>
      <c r="Y611" s="17"/>
      <c r="Z611" s="17"/>
      <c r="AA611" s="17"/>
      <c r="AB611" s="35"/>
      <c r="AC611" s="35"/>
      <c r="AD611" s="35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</row>
    <row r="612" spans="1:65" ht="13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35"/>
      <c r="Y612" s="17"/>
      <c r="Z612" s="17"/>
      <c r="AA612" s="17"/>
      <c r="AB612" s="35"/>
      <c r="AC612" s="35"/>
      <c r="AD612" s="35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</row>
    <row r="613" spans="1:65" ht="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35"/>
      <c r="Y613" s="17"/>
      <c r="Z613" s="17"/>
      <c r="AA613" s="17"/>
      <c r="AB613" s="35"/>
      <c r="AC613" s="35"/>
      <c r="AD613" s="35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</row>
    <row r="614" spans="1:65" ht="13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35"/>
      <c r="Y614" s="17"/>
      <c r="Z614" s="17"/>
      <c r="AA614" s="17"/>
      <c r="AB614" s="35"/>
      <c r="AC614" s="35"/>
      <c r="AD614" s="35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</row>
    <row r="615" spans="1:65" ht="13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35"/>
      <c r="Y615" s="17"/>
      <c r="Z615" s="17"/>
      <c r="AA615" s="17"/>
      <c r="AB615" s="35"/>
      <c r="AC615" s="35"/>
      <c r="AD615" s="35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</row>
    <row r="616" spans="1:65" ht="13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35"/>
      <c r="Y616" s="17"/>
      <c r="Z616" s="17"/>
      <c r="AA616" s="17"/>
      <c r="AB616" s="35"/>
      <c r="AC616" s="35"/>
      <c r="AD616" s="35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</row>
    <row r="617" spans="1:65" ht="13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35"/>
      <c r="Y617" s="17"/>
      <c r="Z617" s="17"/>
      <c r="AA617" s="17"/>
      <c r="AB617" s="35"/>
      <c r="AC617" s="35"/>
      <c r="AD617" s="35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</row>
    <row r="618" spans="1:65" ht="13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35"/>
      <c r="Y618" s="17"/>
      <c r="Z618" s="17"/>
      <c r="AA618" s="17"/>
      <c r="AB618" s="35"/>
      <c r="AC618" s="35"/>
      <c r="AD618" s="35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</row>
    <row r="619" spans="1:65" ht="13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35"/>
      <c r="Y619" s="17"/>
      <c r="Z619" s="17"/>
      <c r="AA619" s="17"/>
      <c r="AB619" s="35"/>
      <c r="AC619" s="35"/>
      <c r="AD619" s="35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</row>
    <row r="620" spans="1:65" ht="13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35"/>
      <c r="Y620" s="17"/>
      <c r="Z620" s="17"/>
      <c r="AA620" s="17"/>
      <c r="AB620" s="35"/>
      <c r="AC620" s="35"/>
      <c r="AD620" s="35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</row>
    <row r="621" spans="1:65" ht="13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35"/>
      <c r="Y621" s="17"/>
      <c r="Z621" s="17"/>
      <c r="AA621" s="17"/>
      <c r="AB621" s="35"/>
      <c r="AC621" s="35"/>
      <c r="AD621" s="35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</row>
    <row r="622" spans="1:65" ht="13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35"/>
      <c r="Y622" s="17"/>
      <c r="Z622" s="17"/>
      <c r="AA622" s="17"/>
      <c r="AB622" s="35"/>
      <c r="AC622" s="35"/>
      <c r="AD622" s="35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</row>
    <row r="623" spans="1:65" ht="1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35"/>
      <c r="Y623" s="17"/>
      <c r="Z623" s="17"/>
      <c r="AA623" s="17"/>
      <c r="AB623" s="35"/>
      <c r="AC623" s="35"/>
      <c r="AD623" s="35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</row>
    <row r="624" spans="1:65" ht="13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35"/>
      <c r="Y624" s="17"/>
      <c r="Z624" s="17"/>
      <c r="AA624" s="17"/>
      <c r="AB624" s="35"/>
      <c r="AC624" s="35"/>
      <c r="AD624" s="35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</row>
    <row r="625" spans="1:65" ht="13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35"/>
      <c r="Y625" s="17"/>
      <c r="Z625" s="17"/>
      <c r="AA625" s="17"/>
      <c r="AB625" s="35"/>
      <c r="AC625" s="35"/>
      <c r="AD625" s="35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</row>
    <row r="626" spans="1:65" ht="13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35"/>
      <c r="Y626" s="17"/>
      <c r="Z626" s="17"/>
      <c r="AA626" s="17"/>
      <c r="AB626" s="35"/>
      <c r="AC626" s="35"/>
      <c r="AD626" s="35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</row>
    <row r="627" spans="1:65" ht="13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35"/>
      <c r="Y627" s="17"/>
      <c r="Z627" s="17"/>
      <c r="AA627" s="17"/>
      <c r="AB627" s="35"/>
      <c r="AC627" s="35"/>
      <c r="AD627" s="35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</row>
    <row r="628" spans="1:65" ht="13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35"/>
      <c r="Y628" s="17"/>
      <c r="Z628" s="17"/>
      <c r="AA628" s="17"/>
      <c r="AB628" s="35"/>
      <c r="AC628" s="35"/>
      <c r="AD628" s="35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</row>
    <row r="629" spans="1:65" ht="13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35"/>
      <c r="Y629" s="17"/>
      <c r="Z629" s="17"/>
      <c r="AA629" s="17"/>
      <c r="AB629" s="35"/>
      <c r="AC629" s="35"/>
      <c r="AD629" s="35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</row>
    <row r="630" spans="1:65" ht="13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35"/>
      <c r="Y630" s="17"/>
      <c r="Z630" s="17"/>
      <c r="AA630" s="17"/>
      <c r="AB630" s="35"/>
      <c r="AC630" s="35"/>
      <c r="AD630" s="35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</row>
    <row r="631" spans="1:65" ht="13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35"/>
      <c r="Y631" s="17"/>
      <c r="Z631" s="17"/>
      <c r="AA631" s="17"/>
      <c r="AB631" s="35"/>
      <c r="AC631" s="35"/>
      <c r="AD631" s="35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</row>
    <row r="632" spans="1:65" ht="13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35"/>
      <c r="Y632" s="17"/>
      <c r="Z632" s="17"/>
      <c r="AA632" s="17"/>
      <c r="AB632" s="35"/>
      <c r="AC632" s="35"/>
      <c r="AD632" s="35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</row>
    <row r="633" spans="1:65" ht="1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35"/>
      <c r="Y633" s="17"/>
      <c r="Z633" s="17"/>
      <c r="AA633" s="17"/>
      <c r="AB633" s="35"/>
      <c r="AC633" s="35"/>
      <c r="AD633" s="35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</row>
    <row r="634" spans="1:65" ht="13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35"/>
      <c r="Y634" s="17"/>
      <c r="Z634" s="17"/>
      <c r="AA634" s="17"/>
      <c r="AB634" s="35"/>
      <c r="AC634" s="35"/>
      <c r="AD634" s="35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</row>
    <row r="635" spans="1:65" ht="13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35"/>
      <c r="Y635" s="17"/>
      <c r="Z635" s="17"/>
      <c r="AA635" s="17"/>
      <c r="AB635" s="35"/>
      <c r="AC635" s="35"/>
      <c r="AD635" s="35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</row>
    <row r="636" spans="1:65" ht="13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35"/>
      <c r="Y636" s="17"/>
      <c r="Z636" s="17"/>
      <c r="AA636" s="17"/>
      <c r="AB636" s="35"/>
      <c r="AC636" s="35"/>
      <c r="AD636" s="35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</row>
    <row r="637" spans="1:65" ht="13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35"/>
      <c r="Y637" s="17"/>
      <c r="Z637" s="17"/>
      <c r="AA637" s="17"/>
      <c r="AB637" s="35"/>
      <c r="AC637" s="35"/>
      <c r="AD637" s="35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</row>
    <row r="638" spans="1:65" ht="13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35"/>
      <c r="Y638" s="17"/>
      <c r="Z638" s="17"/>
      <c r="AA638" s="17"/>
      <c r="AB638" s="35"/>
      <c r="AC638" s="35"/>
      <c r="AD638" s="35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</row>
    <row r="639" spans="1:65" ht="13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35"/>
      <c r="Y639" s="17"/>
      <c r="Z639" s="17"/>
      <c r="AA639" s="17"/>
      <c r="AB639" s="35"/>
      <c r="AC639" s="35"/>
      <c r="AD639" s="35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</row>
    <row r="640" spans="1:65" ht="13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35"/>
      <c r="Y640" s="17"/>
      <c r="Z640" s="17"/>
      <c r="AA640" s="17"/>
      <c r="AB640" s="35"/>
      <c r="AC640" s="35"/>
      <c r="AD640" s="35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</row>
    <row r="641" spans="1:65" ht="13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35"/>
      <c r="Y641" s="17"/>
      <c r="Z641" s="17"/>
      <c r="AA641" s="17"/>
      <c r="AB641" s="35"/>
      <c r="AC641" s="35"/>
      <c r="AD641" s="35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</row>
    <row r="642" spans="1:65" ht="13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35"/>
      <c r="Y642" s="17"/>
      <c r="Z642" s="17"/>
      <c r="AA642" s="17"/>
      <c r="AB642" s="35"/>
      <c r="AC642" s="35"/>
      <c r="AD642" s="35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</row>
    <row r="643" spans="1:65" ht="1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35"/>
      <c r="Y643" s="17"/>
      <c r="Z643" s="17"/>
      <c r="AA643" s="17"/>
      <c r="AB643" s="35"/>
      <c r="AC643" s="35"/>
      <c r="AD643" s="35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</row>
    <row r="644" spans="1:65" ht="13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35"/>
      <c r="Y644" s="17"/>
      <c r="Z644" s="17"/>
      <c r="AA644" s="17"/>
      <c r="AB644" s="35"/>
      <c r="AC644" s="35"/>
      <c r="AD644" s="35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</row>
    <row r="645" spans="1:65" ht="13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35"/>
      <c r="Y645" s="17"/>
      <c r="Z645" s="17"/>
      <c r="AA645" s="17"/>
      <c r="AB645" s="35"/>
      <c r="AC645" s="35"/>
      <c r="AD645" s="35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</row>
    <row r="646" spans="1:65" ht="13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35"/>
      <c r="Y646" s="17"/>
      <c r="Z646" s="17"/>
      <c r="AA646" s="17"/>
      <c r="AB646" s="35"/>
      <c r="AC646" s="35"/>
      <c r="AD646" s="35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</row>
    <row r="647" spans="1:65" ht="13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35"/>
      <c r="Y647" s="17"/>
      <c r="Z647" s="17"/>
      <c r="AA647" s="17"/>
      <c r="AB647" s="35"/>
      <c r="AC647" s="35"/>
      <c r="AD647" s="35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</row>
    <row r="648" spans="1:65" ht="13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35"/>
      <c r="Y648" s="17"/>
      <c r="Z648" s="17"/>
      <c r="AA648" s="17"/>
      <c r="AB648" s="35"/>
      <c r="AC648" s="35"/>
      <c r="AD648" s="35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</row>
    <row r="649" spans="1:65" ht="13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35"/>
      <c r="Y649" s="17"/>
      <c r="Z649" s="17"/>
      <c r="AA649" s="17"/>
      <c r="AB649" s="35"/>
      <c r="AC649" s="35"/>
      <c r="AD649" s="35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</row>
    <row r="650" spans="1:65" ht="13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35"/>
      <c r="Y650" s="17"/>
      <c r="Z650" s="17"/>
      <c r="AA650" s="17"/>
      <c r="AB650" s="35"/>
      <c r="AC650" s="35"/>
      <c r="AD650" s="35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</row>
    <row r="651" spans="1:65" ht="13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35"/>
      <c r="Y651" s="17"/>
      <c r="Z651" s="17"/>
      <c r="AA651" s="17"/>
      <c r="AB651" s="35"/>
      <c r="AC651" s="35"/>
      <c r="AD651" s="35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</row>
    <row r="652" spans="1:65" ht="13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35"/>
      <c r="Y652" s="17"/>
      <c r="Z652" s="17"/>
      <c r="AA652" s="17"/>
      <c r="AB652" s="35"/>
      <c r="AC652" s="35"/>
      <c r="AD652" s="35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</row>
    <row r="653" spans="1:65" ht="1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35"/>
      <c r="Y653" s="17"/>
      <c r="Z653" s="17"/>
      <c r="AA653" s="17"/>
      <c r="AB653" s="35"/>
      <c r="AC653" s="35"/>
      <c r="AD653" s="35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</row>
    <row r="654" spans="1:65" ht="13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35"/>
      <c r="Y654" s="17"/>
      <c r="Z654" s="17"/>
      <c r="AA654" s="17"/>
      <c r="AB654" s="35"/>
      <c r="AC654" s="35"/>
      <c r="AD654" s="35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</row>
    <row r="655" spans="1:65" ht="13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35"/>
      <c r="Y655" s="17"/>
      <c r="Z655" s="17"/>
      <c r="AA655" s="17"/>
      <c r="AB655" s="35"/>
      <c r="AC655" s="35"/>
      <c r="AD655" s="35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</row>
    <row r="656" spans="1:65" ht="13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35"/>
      <c r="Y656" s="17"/>
      <c r="Z656" s="17"/>
      <c r="AA656" s="17"/>
      <c r="AB656" s="35"/>
      <c r="AC656" s="35"/>
      <c r="AD656" s="35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</row>
    <row r="657" spans="1:65" ht="13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35"/>
      <c r="Y657" s="17"/>
      <c r="Z657" s="17"/>
      <c r="AA657" s="17"/>
      <c r="AB657" s="35"/>
      <c r="AC657" s="35"/>
      <c r="AD657" s="35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</row>
    <row r="658" spans="1:65" ht="13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35"/>
      <c r="Y658" s="17"/>
      <c r="Z658" s="17"/>
      <c r="AA658" s="17"/>
      <c r="AB658" s="35"/>
      <c r="AC658" s="35"/>
      <c r="AD658" s="35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</row>
    <row r="659" spans="1:65" ht="13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35"/>
      <c r="Y659" s="17"/>
      <c r="Z659" s="17"/>
      <c r="AA659" s="17"/>
      <c r="AB659" s="35"/>
      <c r="AC659" s="35"/>
      <c r="AD659" s="35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</row>
    <row r="660" spans="1:65" ht="13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35"/>
      <c r="Y660" s="17"/>
      <c r="Z660" s="17"/>
      <c r="AA660" s="17"/>
      <c r="AB660" s="35"/>
      <c r="AC660" s="35"/>
      <c r="AD660" s="35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</row>
    <row r="661" spans="1:65" ht="13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35"/>
      <c r="Y661" s="17"/>
      <c r="Z661" s="17"/>
      <c r="AA661" s="17"/>
      <c r="AB661" s="35"/>
      <c r="AC661" s="35"/>
      <c r="AD661" s="35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</row>
    <row r="662" spans="1:65" ht="13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35"/>
      <c r="Y662" s="17"/>
      <c r="Z662" s="17"/>
      <c r="AA662" s="17"/>
      <c r="AB662" s="35"/>
      <c r="AC662" s="35"/>
      <c r="AD662" s="35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</row>
    <row r="663" spans="1:65" ht="1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35"/>
      <c r="Y663" s="17"/>
      <c r="Z663" s="17"/>
      <c r="AA663" s="17"/>
      <c r="AB663" s="35"/>
      <c r="AC663" s="35"/>
      <c r="AD663" s="35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</row>
    <row r="664" spans="1:65" ht="13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35"/>
      <c r="Y664" s="17"/>
      <c r="Z664" s="17"/>
      <c r="AA664" s="17"/>
      <c r="AB664" s="35"/>
      <c r="AC664" s="35"/>
      <c r="AD664" s="35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</row>
    <row r="665" spans="1:65" ht="13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35"/>
      <c r="Y665" s="17"/>
      <c r="Z665" s="17"/>
      <c r="AA665" s="17"/>
      <c r="AB665" s="35"/>
      <c r="AC665" s="35"/>
      <c r="AD665" s="35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</row>
    <row r="666" spans="1:65" ht="13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35"/>
      <c r="Y666" s="17"/>
      <c r="Z666" s="17"/>
      <c r="AA666" s="17"/>
      <c r="AB666" s="35"/>
      <c r="AC666" s="35"/>
      <c r="AD666" s="35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</row>
    <row r="667" spans="1:65" ht="13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35"/>
      <c r="Y667" s="17"/>
      <c r="Z667" s="17"/>
      <c r="AA667" s="17"/>
      <c r="AB667" s="35"/>
      <c r="AC667" s="35"/>
      <c r="AD667" s="35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</row>
    <row r="668" spans="1:65" ht="13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35"/>
      <c r="Y668" s="17"/>
      <c r="Z668" s="17"/>
      <c r="AA668" s="17"/>
      <c r="AB668" s="35"/>
      <c r="AC668" s="35"/>
      <c r="AD668" s="35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</row>
    <row r="669" spans="1:65" ht="13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35"/>
      <c r="Y669" s="17"/>
      <c r="Z669" s="17"/>
      <c r="AA669" s="17"/>
      <c r="AB669" s="35"/>
      <c r="AC669" s="35"/>
      <c r="AD669" s="35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</row>
    <row r="670" spans="1:65" ht="13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35"/>
      <c r="Y670" s="17"/>
      <c r="Z670" s="17"/>
      <c r="AA670" s="17"/>
      <c r="AB670" s="35"/>
      <c r="AC670" s="35"/>
      <c r="AD670" s="35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</row>
    <row r="671" spans="1:65" ht="13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35"/>
      <c r="Y671" s="17"/>
      <c r="Z671" s="17"/>
      <c r="AA671" s="17"/>
      <c r="AB671" s="35"/>
      <c r="AC671" s="35"/>
      <c r="AD671" s="35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</row>
    <row r="672" spans="1:65" ht="13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35"/>
      <c r="Y672" s="17"/>
      <c r="Z672" s="17"/>
      <c r="AA672" s="17"/>
      <c r="AB672" s="35"/>
      <c r="AC672" s="35"/>
      <c r="AD672" s="35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</row>
    <row r="673" spans="1:65" ht="1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35"/>
      <c r="Y673" s="17"/>
      <c r="Z673" s="17"/>
      <c r="AA673" s="17"/>
      <c r="AB673" s="35"/>
      <c r="AC673" s="35"/>
      <c r="AD673" s="35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</row>
    <row r="674" spans="1:65" ht="13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35"/>
      <c r="Y674" s="17"/>
      <c r="Z674" s="17"/>
      <c r="AA674" s="17"/>
      <c r="AB674" s="35"/>
      <c r="AC674" s="35"/>
      <c r="AD674" s="35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</row>
    <row r="675" spans="1:65" ht="13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35"/>
      <c r="Y675" s="17"/>
      <c r="Z675" s="17"/>
      <c r="AA675" s="17"/>
      <c r="AB675" s="35"/>
      <c r="AC675" s="35"/>
      <c r="AD675" s="35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</row>
    <row r="676" spans="1:65" ht="13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35"/>
      <c r="Y676" s="17"/>
      <c r="Z676" s="17"/>
      <c r="AA676" s="17"/>
      <c r="AB676" s="35"/>
      <c r="AC676" s="35"/>
      <c r="AD676" s="35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</row>
    <row r="677" spans="1:65" ht="13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35"/>
      <c r="Y677" s="17"/>
      <c r="Z677" s="17"/>
      <c r="AA677" s="17"/>
      <c r="AB677" s="35"/>
      <c r="AC677" s="35"/>
      <c r="AD677" s="35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</row>
    <row r="678" spans="1:65" ht="13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35"/>
      <c r="Y678" s="17"/>
      <c r="Z678" s="17"/>
      <c r="AA678" s="17"/>
      <c r="AB678" s="35"/>
      <c r="AC678" s="35"/>
      <c r="AD678" s="35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</row>
    <row r="679" spans="1:65" ht="13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35"/>
      <c r="Y679" s="17"/>
      <c r="Z679" s="17"/>
      <c r="AA679" s="17"/>
      <c r="AB679" s="35"/>
      <c r="AC679" s="35"/>
      <c r="AD679" s="35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</row>
    <row r="680" spans="1:65" ht="13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35"/>
      <c r="Y680" s="17"/>
      <c r="Z680" s="17"/>
      <c r="AA680" s="17"/>
      <c r="AB680" s="35"/>
      <c r="AC680" s="35"/>
      <c r="AD680" s="35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</row>
    <row r="681" spans="1:65" ht="13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35"/>
      <c r="Y681" s="17"/>
      <c r="Z681" s="17"/>
      <c r="AA681" s="17"/>
      <c r="AB681" s="35"/>
      <c r="AC681" s="35"/>
      <c r="AD681" s="35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</row>
    <row r="682" spans="1:65" ht="13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35"/>
      <c r="Y682" s="17"/>
      <c r="Z682" s="17"/>
      <c r="AA682" s="17"/>
      <c r="AB682" s="35"/>
      <c r="AC682" s="35"/>
      <c r="AD682" s="35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</row>
    <row r="683" spans="1:65" ht="1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35"/>
      <c r="Y683" s="17"/>
      <c r="Z683" s="17"/>
      <c r="AA683" s="17"/>
      <c r="AB683" s="35"/>
      <c r="AC683" s="35"/>
      <c r="AD683" s="35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</row>
    <row r="684" spans="1:65" ht="13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35"/>
      <c r="Y684" s="17"/>
      <c r="Z684" s="17"/>
      <c r="AA684" s="17"/>
      <c r="AB684" s="35"/>
      <c r="AC684" s="35"/>
      <c r="AD684" s="35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</row>
    <row r="685" spans="1:65" ht="13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35"/>
      <c r="Y685" s="17"/>
      <c r="Z685" s="17"/>
      <c r="AA685" s="17"/>
      <c r="AB685" s="35"/>
      <c r="AC685" s="35"/>
      <c r="AD685" s="35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</row>
    <row r="686" spans="1:65" ht="13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35"/>
      <c r="Y686" s="17"/>
      <c r="Z686" s="17"/>
      <c r="AA686" s="17"/>
      <c r="AB686" s="35"/>
      <c r="AC686" s="35"/>
      <c r="AD686" s="35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</row>
    <row r="687" spans="1:65" ht="13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35"/>
      <c r="Y687" s="17"/>
      <c r="Z687" s="17"/>
      <c r="AA687" s="17"/>
      <c r="AB687" s="35"/>
      <c r="AC687" s="35"/>
      <c r="AD687" s="35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</row>
    <row r="688" spans="1:65" ht="13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35"/>
      <c r="Y688" s="17"/>
      <c r="Z688" s="17"/>
      <c r="AA688" s="17"/>
      <c r="AB688" s="35"/>
      <c r="AC688" s="35"/>
      <c r="AD688" s="35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</row>
    <row r="689" spans="1:65" ht="13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35"/>
      <c r="Y689" s="17"/>
      <c r="Z689" s="17"/>
      <c r="AA689" s="17"/>
      <c r="AB689" s="35"/>
      <c r="AC689" s="35"/>
      <c r="AD689" s="35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</row>
    <row r="690" spans="1:65" ht="13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35"/>
      <c r="Y690" s="17"/>
      <c r="Z690" s="17"/>
      <c r="AA690" s="17"/>
      <c r="AB690" s="35"/>
      <c r="AC690" s="35"/>
      <c r="AD690" s="35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</row>
    <row r="691" spans="1:65" ht="13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35"/>
      <c r="Y691" s="17"/>
      <c r="Z691" s="17"/>
      <c r="AA691" s="17"/>
      <c r="AB691" s="35"/>
      <c r="AC691" s="35"/>
      <c r="AD691" s="35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</row>
    <row r="692" spans="1:65" ht="13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35"/>
      <c r="Y692" s="17"/>
      <c r="Z692" s="17"/>
      <c r="AA692" s="17"/>
      <c r="AB692" s="35"/>
      <c r="AC692" s="35"/>
      <c r="AD692" s="35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</row>
    <row r="693" spans="1:65" ht="1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35"/>
      <c r="Y693" s="17"/>
      <c r="Z693" s="17"/>
      <c r="AA693" s="17"/>
      <c r="AB693" s="35"/>
      <c r="AC693" s="35"/>
      <c r="AD693" s="35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</row>
    <row r="694" spans="1:65" ht="13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35"/>
      <c r="Y694" s="17"/>
      <c r="Z694" s="17"/>
      <c r="AA694" s="17"/>
      <c r="AB694" s="35"/>
      <c r="AC694" s="35"/>
      <c r="AD694" s="35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</row>
    <row r="695" spans="1:65" ht="13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35"/>
      <c r="Y695" s="17"/>
      <c r="Z695" s="17"/>
      <c r="AA695" s="17"/>
      <c r="AB695" s="35"/>
      <c r="AC695" s="35"/>
      <c r="AD695" s="35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</row>
    <row r="696" spans="1:65" ht="13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35"/>
      <c r="Y696" s="17"/>
      <c r="Z696" s="17"/>
      <c r="AA696" s="17"/>
      <c r="AB696" s="35"/>
      <c r="AC696" s="35"/>
      <c r="AD696" s="35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</row>
    <row r="697" spans="1:65" ht="13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35"/>
      <c r="Y697" s="17"/>
      <c r="Z697" s="17"/>
      <c r="AA697" s="17"/>
      <c r="AB697" s="35"/>
      <c r="AC697" s="35"/>
      <c r="AD697" s="35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</row>
    <row r="698" spans="1:65" ht="13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35"/>
      <c r="Y698" s="17"/>
      <c r="Z698" s="17"/>
      <c r="AA698" s="17"/>
      <c r="AB698" s="35"/>
      <c r="AC698" s="35"/>
      <c r="AD698" s="35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</row>
    <row r="699" spans="1:65" ht="13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35"/>
      <c r="Y699" s="17"/>
      <c r="Z699" s="17"/>
      <c r="AA699" s="17"/>
      <c r="AB699" s="35"/>
      <c r="AC699" s="35"/>
      <c r="AD699" s="35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</row>
    <row r="700" spans="1:65" ht="13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35"/>
      <c r="Y700" s="17"/>
      <c r="Z700" s="17"/>
      <c r="AA700" s="17"/>
      <c r="AB700" s="35"/>
      <c r="AC700" s="35"/>
      <c r="AD700" s="35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</row>
    <row r="701" spans="1:65" ht="13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35"/>
      <c r="Y701" s="17"/>
      <c r="Z701" s="17"/>
      <c r="AA701" s="17"/>
      <c r="AB701" s="35"/>
      <c r="AC701" s="35"/>
      <c r="AD701" s="35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</row>
    <row r="702" spans="1:65" ht="13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35"/>
      <c r="Y702" s="17"/>
      <c r="Z702" s="17"/>
      <c r="AA702" s="17"/>
      <c r="AB702" s="35"/>
      <c r="AC702" s="35"/>
      <c r="AD702" s="35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</row>
    <row r="703" spans="1:65" ht="1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35"/>
      <c r="Y703" s="17"/>
      <c r="Z703" s="17"/>
      <c r="AA703" s="17"/>
      <c r="AB703" s="35"/>
      <c r="AC703" s="35"/>
      <c r="AD703" s="35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</row>
    <row r="704" spans="1:65" ht="13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35"/>
      <c r="Y704" s="17"/>
      <c r="Z704" s="17"/>
      <c r="AA704" s="17"/>
      <c r="AB704" s="35"/>
      <c r="AC704" s="35"/>
      <c r="AD704" s="35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</row>
    <row r="705" spans="1:65" ht="13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35"/>
      <c r="Y705" s="17"/>
      <c r="Z705" s="17"/>
      <c r="AA705" s="17"/>
      <c r="AB705" s="35"/>
      <c r="AC705" s="35"/>
      <c r="AD705" s="35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</row>
    <row r="706" spans="1:65" ht="13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35"/>
      <c r="Y706" s="17"/>
      <c r="Z706" s="17"/>
      <c r="AA706" s="17"/>
      <c r="AB706" s="35"/>
      <c r="AC706" s="35"/>
      <c r="AD706" s="35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</row>
    <row r="707" spans="1:65" ht="13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35"/>
      <c r="Y707" s="17"/>
      <c r="Z707" s="17"/>
      <c r="AA707" s="17"/>
      <c r="AB707" s="35"/>
      <c r="AC707" s="35"/>
      <c r="AD707" s="35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</row>
    <row r="708" spans="1:65" ht="13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35"/>
      <c r="Y708" s="17"/>
      <c r="Z708" s="17"/>
      <c r="AA708" s="17"/>
      <c r="AB708" s="35"/>
      <c r="AC708" s="35"/>
      <c r="AD708" s="35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</row>
    <row r="709" spans="1:65" ht="13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35"/>
      <c r="Y709" s="17"/>
      <c r="Z709" s="17"/>
      <c r="AA709" s="17"/>
      <c r="AB709" s="35"/>
      <c r="AC709" s="35"/>
      <c r="AD709" s="35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</row>
    <row r="710" spans="1:65" ht="13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35"/>
      <c r="Y710" s="17"/>
      <c r="Z710" s="17"/>
      <c r="AA710" s="17"/>
      <c r="AB710" s="35"/>
      <c r="AC710" s="35"/>
      <c r="AD710" s="35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</row>
    <row r="711" spans="1:65" ht="13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35"/>
      <c r="Y711" s="17"/>
      <c r="Z711" s="17"/>
      <c r="AA711" s="17"/>
      <c r="AB711" s="35"/>
      <c r="AC711" s="35"/>
      <c r="AD711" s="35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</row>
    <row r="712" spans="1:65" ht="13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35"/>
      <c r="Y712" s="17"/>
      <c r="Z712" s="17"/>
      <c r="AA712" s="17"/>
      <c r="AB712" s="35"/>
      <c r="AC712" s="35"/>
      <c r="AD712" s="35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</row>
    <row r="713" spans="1:65" ht="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35"/>
      <c r="Y713" s="17"/>
      <c r="Z713" s="17"/>
      <c r="AA713" s="17"/>
      <c r="AB713" s="35"/>
      <c r="AC713" s="35"/>
      <c r="AD713" s="35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</row>
    <row r="714" spans="1:65" ht="13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35"/>
      <c r="Y714" s="17"/>
      <c r="Z714" s="17"/>
      <c r="AA714" s="17"/>
      <c r="AB714" s="35"/>
      <c r="AC714" s="35"/>
      <c r="AD714" s="35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</row>
    <row r="715" spans="1:65" ht="13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35"/>
      <c r="Y715" s="17"/>
      <c r="Z715" s="17"/>
      <c r="AA715" s="17"/>
      <c r="AB715" s="35"/>
      <c r="AC715" s="35"/>
      <c r="AD715" s="35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</row>
    <row r="716" spans="1:65" ht="13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35"/>
      <c r="Y716" s="17"/>
      <c r="Z716" s="17"/>
      <c r="AA716" s="17"/>
      <c r="AB716" s="35"/>
      <c r="AC716" s="35"/>
      <c r="AD716" s="35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</row>
    <row r="717" spans="1:65" ht="13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35"/>
      <c r="Y717" s="17"/>
      <c r="Z717" s="17"/>
      <c r="AA717" s="17"/>
      <c r="AB717" s="35"/>
      <c r="AC717" s="35"/>
      <c r="AD717" s="35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</row>
    <row r="718" spans="1:65" ht="13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35"/>
      <c r="Y718" s="17"/>
      <c r="Z718" s="17"/>
      <c r="AA718" s="17"/>
      <c r="AB718" s="35"/>
      <c r="AC718" s="35"/>
      <c r="AD718" s="35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</row>
    <row r="719" spans="1:65" ht="13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35"/>
      <c r="Y719" s="17"/>
      <c r="Z719" s="17"/>
      <c r="AA719" s="17"/>
      <c r="AB719" s="35"/>
      <c r="AC719" s="35"/>
      <c r="AD719" s="35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</row>
    <row r="720" spans="1:65" ht="13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35"/>
      <c r="Y720" s="17"/>
      <c r="Z720" s="17"/>
      <c r="AA720" s="17"/>
      <c r="AB720" s="35"/>
      <c r="AC720" s="35"/>
      <c r="AD720" s="35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</row>
    <row r="721" spans="1:65" ht="13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35"/>
      <c r="Y721" s="17"/>
      <c r="Z721" s="17"/>
      <c r="AA721" s="17"/>
      <c r="AB721" s="35"/>
      <c r="AC721" s="35"/>
      <c r="AD721" s="35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</row>
    <row r="722" spans="1:65" ht="13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35"/>
      <c r="Y722" s="17"/>
      <c r="Z722" s="17"/>
      <c r="AA722" s="17"/>
      <c r="AB722" s="35"/>
      <c r="AC722" s="35"/>
      <c r="AD722" s="35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</row>
    <row r="723" spans="1:65" ht="1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35"/>
      <c r="Y723" s="17"/>
      <c r="Z723" s="17"/>
      <c r="AA723" s="17"/>
      <c r="AB723" s="35"/>
      <c r="AC723" s="35"/>
      <c r="AD723" s="35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</row>
    <row r="724" spans="1:65" ht="13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35"/>
      <c r="Y724" s="17"/>
      <c r="Z724" s="17"/>
      <c r="AA724" s="17"/>
      <c r="AB724" s="35"/>
      <c r="AC724" s="35"/>
      <c r="AD724" s="35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</row>
    <row r="725" spans="1:65" ht="13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35"/>
      <c r="Y725" s="17"/>
      <c r="Z725" s="17"/>
      <c r="AA725" s="17"/>
      <c r="AB725" s="35"/>
      <c r="AC725" s="35"/>
      <c r="AD725" s="35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</row>
    <row r="726" spans="1:65" ht="13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35"/>
      <c r="Y726" s="17"/>
      <c r="Z726" s="17"/>
      <c r="AA726" s="17"/>
      <c r="AB726" s="35"/>
      <c r="AC726" s="35"/>
      <c r="AD726" s="35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</row>
    <row r="727" spans="1:65" ht="13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35"/>
      <c r="Y727" s="17"/>
      <c r="Z727" s="17"/>
      <c r="AA727" s="17"/>
      <c r="AB727" s="35"/>
      <c r="AC727" s="35"/>
      <c r="AD727" s="35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</row>
    <row r="728" spans="1:65" ht="13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35"/>
      <c r="Y728" s="17"/>
      <c r="Z728" s="17"/>
      <c r="AA728" s="17"/>
      <c r="AB728" s="35"/>
      <c r="AC728" s="35"/>
      <c r="AD728" s="35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</row>
    <row r="729" spans="1:65" ht="13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35"/>
      <c r="Y729" s="17"/>
      <c r="Z729" s="17"/>
      <c r="AA729" s="17"/>
      <c r="AB729" s="35"/>
      <c r="AC729" s="35"/>
      <c r="AD729" s="35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</row>
    <row r="730" spans="1:65" ht="13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35"/>
      <c r="Y730" s="17"/>
      <c r="Z730" s="17"/>
      <c r="AA730" s="17"/>
      <c r="AB730" s="35"/>
      <c r="AC730" s="35"/>
      <c r="AD730" s="35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</row>
    <row r="731" spans="1:65" ht="13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35"/>
      <c r="Y731" s="17"/>
      <c r="Z731" s="17"/>
      <c r="AA731" s="17"/>
      <c r="AB731" s="35"/>
      <c r="AC731" s="35"/>
      <c r="AD731" s="35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</row>
    <row r="732" spans="1:65" ht="13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35"/>
      <c r="Y732" s="17"/>
      <c r="Z732" s="17"/>
      <c r="AA732" s="17"/>
      <c r="AB732" s="35"/>
      <c r="AC732" s="35"/>
      <c r="AD732" s="35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</row>
    <row r="733" spans="1:65" ht="1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35"/>
      <c r="Y733" s="17"/>
      <c r="Z733" s="17"/>
      <c r="AA733" s="17"/>
      <c r="AB733" s="35"/>
      <c r="AC733" s="35"/>
      <c r="AD733" s="35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</row>
    <row r="734" spans="1:65" ht="13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35"/>
      <c r="Y734" s="17"/>
      <c r="Z734" s="17"/>
      <c r="AA734" s="17"/>
      <c r="AB734" s="35"/>
      <c r="AC734" s="35"/>
      <c r="AD734" s="35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</row>
    <row r="735" spans="1:65" ht="13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35"/>
      <c r="Y735" s="17"/>
      <c r="Z735" s="17"/>
      <c r="AA735" s="17"/>
      <c r="AB735" s="35"/>
      <c r="AC735" s="35"/>
      <c r="AD735" s="35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</row>
    <row r="736" spans="1:65" ht="13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35"/>
      <c r="Y736" s="17"/>
      <c r="Z736" s="17"/>
      <c r="AA736" s="17"/>
      <c r="AB736" s="35"/>
      <c r="AC736" s="35"/>
      <c r="AD736" s="35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</row>
    <row r="737" spans="1:65" ht="13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35"/>
      <c r="Y737" s="17"/>
      <c r="Z737" s="17"/>
      <c r="AA737" s="17"/>
      <c r="AB737" s="35"/>
      <c r="AC737" s="35"/>
      <c r="AD737" s="35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</row>
    <row r="738" spans="1:65" ht="13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35"/>
      <c r="Y738" s="17"/>
      <c r="Z738" s="17"/>
      <c r="AA738" s="17"/>
      <c r="AB738" s="35"/>
      <c r="AC738" s="35"/>
      <c r="AD738" s="35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</row>
    <row r="739" spans="1:65" ht="13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35"/>
      <c r="Y739" s="17"/>
      <c r="Z739" s="17"/>
      <c r="AA739" s="17"/>
      <c r="AB739" s="35"/>
      <c r="AC739" s="35"/>
      <c r="AD739" s="35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</row>
    <row r="740" spans="1:65" ht="13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35"/>
      <c r="Y740" s="17"/>
      <c r="Z740" s="17"/>
      <c r="AA740" s="17"/>
      <c r="AB740" s="35"/>
      <c r="AC740" s="35"/>
      <c r="AD740" s="35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</row>
    <row r="741" spans="1:65" ht="13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35"/>
      <c r="Y741" s="17"/>
      <c r="Z741" s="17"/>
      <c r="AA741" s="17"/>
      <c r="AB741" s="35"/>
      <c r="AC741" s="35"/>
      <c r="AD741" s="35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</row>
    <row r="742" spans="1:65" ht="13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35"/>
      <c r="Y742" s="17"/>
      <c r="Z742" s="17"/>
      <c r="AA742" s="17"/>
      <c r="AB742" s="35"/>
      <c r="AC742" s="35"/>
      <c r="AD742" s="35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</row>
    <row r="743" spans="1:65" ht="1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35"/>
      <c r="Y743" s="17"/>
      <c r="Z743" s="17"/>
      <c r="AA743" s="17"/>
      <c r="AB743" s="35"/>
      <c r="AC743" s="35"/>
      <c r="AD743" s="35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</row>
    <row r="744" spans="1:65" ht="13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35"/>
      <c r="Y744" s="17"/>
      <c r="Z744" s="17"/>
      <c r="AA744" s="17"/>
      <c r="AB744" s="35"/>
      <c r="AC744" s="35"/>
      <c r="AD744" s="35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</row>
    <row r="745" spans="1:65" ht="13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35"/>
      <c r="Y745" s="17"/>
      <c r="Z745" s="17"/>
      <c r="AA745" s="17"/>
      <c r="AB745" s="35"/>
      <c r="AC745" s="35"/>
      <c r="AD745" s="35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</row>
    <row r="746" spans="1:65" ht="13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35"/>
      <c r="Y746" s="17"/>
      <c r="Z746" s="17"/>
      <c r="AA746" s="17"/>
      <c r="AB746" s="35"/>
      <c r="AC746" s="35"/>
      <c r="AD746" s="35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</row>
    <row r="747" spans="1:65" ht="13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35"/>
      <c r="Y747" s="17"/>
      <c r="Z747" s="17"/>
      <c r="AA747" s="17"/>
      <c r="AB747" s="35"/>
      <c r="AC747" s="35"/>
      <c r="AD747" s="35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</row>
    <row r="748" spans="1:65" ht="13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35"/>
      <c r="Y748" s="17"/>
      <c r="Z748" s="17"/>
      <c r="AA748" s="17"/>
      <c r="AB748" s="35"/>
      <c r="AC748" s="35"/>
      <c r="AD748" s="35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</row>
    <row r="749" spans="1:65" ht="13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35"/>
      <c r="Y749" s="17"/>
      <c r="Z749" s="17"/>
      <c r="AA749" s="17"/>
      <c r="AB749" s="35"/>
      <c r="AC749" s="35"/>
      <c r="AD749" s="35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</row>
    <row r="750" spans="1:65" ht="13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35"/>
      <c r="Y750" s="17"/>
      <c r="Z750" s="17"/>
      <c r="AA750" s="17"/>
      <c r="AB750" s="35"/>
      <c r="AC750" s="35"/>
      <c r="AD750" s="35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</row>
    <row r="751" spans="1:65" ht="13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35"/>
      <c r="Y751" s="17"/>
      <c r="Z751" s="17"/>
      <c r="AA751" s="17"/>
      <c r="AB751" s="35"/>
      <c r="AC751" s="35"/>
      <c r="AD751" s="35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</row>
    <row r="752" spans="1:65" ht="13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35"/>
      <c r="Y752" s="17"/>
      <c r="Z752" s="17"/>
      <c r="AA752" s="17"/>
      <c r="AB752" s="35"/>
      <c r="AC752" s="35"/>
      <c r="AD752" s="35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</row>
    <row r="753" spans="1:65" ht="1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35"/>
      <c r="Y753" s="17"/>
      <c r="Z753" s="17"/>
      <c r="AA753" s="17"/>
      <c r="AB753" s="35"/>
      <c r="AC753" s="35"/>
      <c r="AD753" s="35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</row>
    <row r="754" spans="1:65" ht="13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35"/>
      <c r="Y754" s="17"/>
      <c r="Z754" s="17"/>
      <c r="AA754" s="17"/>
      <c r="AB754" s="35"/>
      <c r="AC754" s="35"/>
      <c r="AD754" s="35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</row>
    <row r="755" spans="1:65" ht="13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35"/>
      <c r="Y755" s="17"/>
      <c r="Z755" s="17"/>
      <c r="AA755" s="17"/>
      <c r="AB755" s="35"/>
      <c r="AC755" s="35"/>
      <c r="AD755" s="35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</row>
    <row r="756" spans="1:65" ht="13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35"/>
      <c r="Y756" s="17"/>
      <c r="Z756" s="17"/>
      <c r="AA756" s="17"/>
      <c r="AB756" s="35"/>
      <c r="AC756" s="35"/>
      <c r="AD756" s="35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</row>
    <row r="757" spans="1:65" ht="13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35"/>
      <c r="Y757" s="17"/>
      <c r="Z757" s="17"/>
      <c r="AA757" s="17"/>
      <c r="AB757" s="35"/>
      <c r="AC757" s="35"/>
      <c r="AD757" s="35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</row>
    <row r="758" spans="1:65" ht="13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35"/>
      <c r="Y758" s="17"/>
      <c r="Z758" s="17"/>
      <c r="AA758" s="17"/>
      <c r="AB758" s="35"/>
      <c r="AC758" s="35"/>
      <c r="AD758" s="35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</row>
    <row r="759" spans="1:65" ht="13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35"/>
      <c r="Y759" s="17"/>
      <c r="Z759" s="17"/>
      <c r="AA759" s="17"/>
      <c r="AB759" s="35"/>
      <c r="AC759" s="35"/>
      <c r="AD759" s="35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</row>
    <row r="760" spans="1:65" ht="13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35"/>
      <c r="Y760" s="17"/>
      <c r="Z760" s="17"/>
      <c r="AA760" s="17"/>
      <c r="AB760" s="35"/>
      <c r="AC760" s="35"/>
      <c r="AD760" s="35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</row>
    <row r="761" spans="1:65" ht="13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35"/>
      <c r="Y761" s="17"/>
      <c r="Z761" s="17"/>
      <c r="AA761" s="17"/>
      <c r="AB761" s="35"/>
      <c r="AC761" s="35"/>
      <c r="AD761" s="35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</row>
    <row r="762" spans="1:65" ht="13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35"/>
      <c r="Y762" s="17"/>
      <c r="Z762" s="17"/>
      <c r="AA762" s="17"/>
      <c r="AB762" s="35"/>
      <c r="AC762" s="35"/>
      <c r="AD762" s="35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</row>
    <row r="763" spans="1:65" ht="1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35"/>
      <c r="Y763" s="17"/>
      <c r="Z763" s="17"/>
      <c r="AA763" s="17"/>
      <c r="AB763" s="35"/>
      <c r="AC763" s="35"/>
      <c r="AD763" s="35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</row>
    <row r="764" spans="1:65" ht="13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35"/>
      <c r="Y764" s="17"/>
      <c r="Z764" s="17"/>
      <c r="AA764" s="17"/>
      <c r="AB764" s="35"/>
      <c r="AC764" s="35"/>
      <c r="AD764" s="35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</row>
    <row r="765" spans="1:65" ht="13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35"/>
      <c r="Y765" s="17"/>
      <c r="Z765" s="17"/>
      <c r="AA765" s="17"/>
      <c r="AB765" s="35"/>
      <c r="AC765" s="35"/>
      <c r="AD765" s="35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</row>
    <row r="766" spans="1:65" ht="13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35"/>
      <c r="Y766" s="17"/>
      <c r="Z766" s="17"/>
      <c r="AA766" s="17"/>
      <c r="AB766" s="35"/>
      <c r="AC766" s="35"/>
      <c r="AD766" s="35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</row>
    <row r="767" spans="1:65" ht="13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35"/>
      <c r="Y767" s="17"/>
      <c r="Z767" s="17"/>
      <c r="AA767" s="17"/>
      <c r="AB767" s="35"/>
      <c r="AC767" s="35"/>
      <c r="AD767" s="35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</row>
    <row r="768" spans="1:65" ht="13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35"/>
      <c r="Y768" s="17"/>
      <c r="Z768" s="17"/>
      <c r="AA768" s="17"/>
      <c r="AB768" s="35"/>
      <c r="AC768" s="35"/>
      <c r="AD768" s="35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</row>
    <row r="769" spans="1:65" ht="13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35"/>
      <c r="Y769" s="17"/>
      <c r="Z769" s="17"/>
      <c r="AA769" s="17"/>
      <c r="AB769" s="35"/>
      <c r="AC769" s="35"/>
      <c r="AD769" s="35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</row>
    <row r="770" spans="1:65" ht="13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35"/>
      <c r="Y770" s="17"/>
      <c r="Z770" s="17"/>
      <c r="AA770" s="17"/>
      <c r="AB770" s="35"/>
      <c r="AC770" s="35"/>
      <c r="AD770" s="35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</row>
    <row r="771" spans="1:65" ht="13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35"/>
      <c r="Y771" s="17"/>
      <c r="Z771" s="17"/>
      <c r="AA771" s="17"/>
      <c r="AB771" s="35"/>
      <c r="AC771" s="35"/>
      <c r="AD771" s="35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</row>
    <row r="772" spans="1:65" ht="13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35"/>
      <c r="Y772" s="17"/>
      <c r="Z772" s="17"/>
      <c r="AA772" s="17"/>
      <c r="AB772" s="35"/>
      <c r="AC772" s="35"/>
      <c r="AD772" s="35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</row>
    <row r="773" spans="1:65" ht="1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35"/>
      <c r="Y773" s="17"/>
      <c r="Z773" s="17"/>
      <c r="AA773" s="17"/>
      <c r="AB773" s="35"/>
      <c r="AC773" s="35"/>
      <c r="AD773" s="35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</row>
    <row r="774" spans="1:65" ht="13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35"/>
      <c r="Y774" s="17"/>
      <c r="Z774" s="17"/>
      <c r="AA774" s="17"/>
      <c r="AB774" s="35"/>
      <c r="AC774" s="35"/>
      <c r="AD774" s="35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</row>
    <row r="775" spans="1:65" ht="13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35"/>
      <c r="Y775" s="17"/>
      <c r="Z775" s="17"/>
      <c r="AA775" s="17"/>
      <c r="AB775" s="35"/>
      <c r="AC775" s="35"/>
      <c r="AD775" s="35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</row>
    <row r="776" spans="1:65" ht="13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35"/>
      <c r="Y776" s="17"/>
      <c r="Z776" s="17"/>
      <c r="AA776" s="17"/>
      <c r="AB776" s="35"/>
      <c r="AC776" s="35"/>
      <c r="AD776" s="35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</row>
    <row r="777" spans="1:65" ht="13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35"/>
      <c r="Y777" s="17"/>
      <c r="Z777" s="17"/>
      <c r="AA777" s="17"/>
      <c r="AB777" s="35"/>
      <c r="AC777" s="35"/>
      <c r="AD777" s="35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</row>
    <row r="778" spans="1:65" ht="13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35"/>
      <c r="Y778" s="17"/>
      <c r="Z778" s="17"/>
      <c r="AA778" s="17"/>
      <c r="AB778" s="35"/>
      <c r="AC778" s="35"/>
      <c r="AD778" s="35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</row>
    <row r="779" spans="1:65" ht="13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35"/>
      <c r="Y779" s="17"/>
      <c r="Z779" s="17"/>
      <c r="AA779" s="17"/>
      <c r="AB779" s="35"/>
      <c r="AC779" s="35"/>
      <c r="AD779" s="35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</row>
    <row r="780" spans="1:65" ht="13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35"/>
      <c r="Y780" s="17"/>
      <c r="Z780" s="17"/>
      <c r="AA780" s="17"/>
      <c r="AB780" s="35"/>
      <c r="AC780" s="35"/>
      <c r="AD780" s="35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</row>
    <row r="781" spans="1:65" ht="13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35"/>
      <c r="Y781" s="17"/>
      <c r="Z781" s="17"/>
      <c r="AA781" s="17"/>
      <c r="AB781" s="35"/>
      <c r="AC781" s="35"/>
      <c r="AD781" s="35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</row>
    <row r="782" spans="1:65" ht="13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35"/>
      <c r="Y782" s="17"/>
      <c r="Z782" s="17"/>
      <c r="AA782" s="17"/>
      <c r="AB782" s="35"/>
      <c r="AC782" s="35"/>
      <c r="AD782" s="35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</row>
    <row r="783" spans="1:65" ht="1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35"/>
      <c r="Y783" s="17"/>
      <c r="Z783" s="17"/>
      <c r="AA783" s="17"/>
      <c r="AB783" s="35"/>
      <c r="AC783" s="35"/>
      <c r="AD783" s="35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</row>
    <row r="784" spans="1:65" ht="13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35"/>
      <c r="Y784" s="17"/>
      <c r="Z784" s="17"/>
      <c r="AA784" s="17"/>
      <c r="AB784" s="35"/>
      <c r="AC784" s="35"/>
      <c r="AD784" s="35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</row>
    <row r="785" spans="1:65" ht="13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35"/>
      <c r="Y785" s="17"/>
      <c r="Z785" s="17"/>
      <c r="AA785" s="17"/>
      <c r="AB785" s="35"/>
      <c r="AC785" s="35"/>
      <c r="AD785" s="35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</row>
    <row r="786" spans="1:65" ht="13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35"/>
      <c r="Y786" s="17"/>
      <c r="Z786" s="17"/>
      <c r="AA786" s="17"/>
      <c r="AB786" s="35"/>
      <c r="AC786" s="35"/>
      <c r="AD786" s="35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</row>
    <row r="787" spans="1:65" ht="13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35"/>
      <c r="Y787" s="17"/>
      <c r="Z787" s="17"/>
      <c r="AA787" s="17"/>
      <c r="AB787" s="35"/>
      <c r="AC787" s="35"/>
      <c r="AD787" s="35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</row>
    <row r="788" spans="1:65" ht="13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35"/>
      <c r="Y788" s="17"/>
      <c r="Z788" s="17"/>
      <c r="AA788" s="17"/>
      <c r="AB788" s="35"/>
      <c r="AC788" s="35"/>
      <c r="AD788" s="35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</row>
    <row r="789" spans="1:65" ht="13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35"/>
      <c r="Y789" s="17"/>
      <c r="Z789" s="17"/>
      <c r="AA789" s="17"/>
      <c r="AB789" s="35"/>
      <c r="AC789" s="35"/>
      <c r="AD789" s="35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</row>
    <row r="790" spans="1:65" ht="13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35"/>
      <c r="Y790" s="17"/>
      <c r="Z790" s="17"/>
      <c r="AA790" s="17"/>
      <c r="AB790" s="35"/>
      <c r="AC790" s="35"/>
      <c r="AD790" s="35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</row>
    <row r="791" spans="1:65" ht="13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35"/>
      <c r="Y791" s="17"/>
      <c r="Z791" s="17"/>
      <c r="AA791" s="17"/>
      <c r="AB791" s="35"/>
      <c r="AC791" s="35"/>
      <c r="AD791" s="35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</row>
    <row r="792" spans="1:65" ht="13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35"/>
      <c r="Y792" s="17"/>
      <c r="Z792" s="17"/>
      <c r="AA792" s="17"/>
      <c r="AB792" s="35"/>
      <c r="AC792" s="35"/>
      <c r="AD792" s="35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</row>
    <row r="793" spans="1:65" ht="1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35"/>
      <c r="Y793" s="17"/>
      <c r="Z793" s="17"/>
      <c r="AA793" s="17"/>
      <c r="AB793" s="35"/>
      <c r="AC793" s="35"/>
      <c r="AD793" s="35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</row>
    <row r="794" spans="1:65" ht="13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35"/>
      <c r="Y794" s="17"/>
      <c r="Z794" s="17"/>
      <c r="AA794" s="17"/>
      <c r="AB794" s="35"/>
      <c r="AC794" s="35"/>
      <c r="AD794" s="35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</row>
    <row r="795" spans="1:65" ht="13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35"/>
      <c r="Y795" s="17"/>
      <c r="Z795" s="17"/>
      <c r="AA795" s="17"/>
      <c r="AB795" s="35"/>
      <c r="AC795" s="35"/>
      <c r="AD795" s="35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</row>
    <row r="796" spans="1:65" ht="13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35"/>
      <c r="Y796" s="17"/>
      <c r="Z796" s="17"/>
      <c r="AA796" s="17"/>
      <c r="AB796" s="35"/>
      <c r="AC796" s="35"/>
      <c r="AD796" s="35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</row>
    <row r="797" spans="1:65" ht="13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35"/>
      <c r="Y797" s="17"/>
      <c r="Z797" s="17"/>
      <c r="AA797" s="17"/>
      <c r="AB797" s="35"/>
      <c r="AC797" s="35"/>
      <c r="AD797" s="35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</row>
    <row r="798" spans="1:65" ht="13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35"/>
      <c r="Y798" s="17"/>
      <c r="Z798" s="17"/>
      <c r="AA798" s="17"/>
      <c r="AB798" s="35"/>
      <c r="AC798" s="35"/>
      <c r="AD798" s="35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</row>
    <row r="799" spans="1:65" ht="13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35"/>
      <c r="Y799" s="17"/>
      <c r="Z799" s="17"/>
      <c r="AA799" s="17"/>
      <c r="AB799" s="35"/>
      <c r="AC799" s="35"/>
      <c r="AD799" s="35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</row>
    <row r="800" spans="1:65" ht="13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35"/>
      <c r="Y800" s="17"/>
      <c r="Z800" s="17"/>
      <c r="AA800" s="17"/>
      <c r="AB800" s="35"/>
      <c r="AC800" s="35"/>
      <c r="AD800" s="35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</row>
    <row r="801" spans="1:65" ht="13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35"/>
      <c r="Y801" s="17"/>
      <c r="Z801" s="17"/>
      <c r="AA801" s="17"/>
      <c r="AB801" s="35"/>
      <c r="AC801" s="35"/>
      <c r="AD801" s="35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</row>
    <row r="802" spans="1:65" ht="13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35"/>
      <c r="Y802" s="17"/>
      <c r="Z802" s="17"/>
      <c r="AA802" s="17"/>
      <c r="AB802" s="35"/>
      <c r="AC802" s="35"/>
      <c r="AD802" s="35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</row>
    <row r="803" spans="1:65" ht="1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35"/>
      <c r="Y803" s="17"/>
      <c r="Z803" s="17"/>
      <c r="AA803" s="17"/>
      <c r="AB803" s="35"/>
      <c r="AC803" s="35"/>
      <c r="AD803" s="35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</row>
    <row r="804" spans="1:65" ht="13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35"/>
      <c r="Y804" s="17"/>
      <c r="Z804" s="17"/>
      <c r="AA804" s="17"/>
      <c r="AB804" s="35"/>
      <c r="AC804" s="35"/>
      <c r="AD804" s="35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</row>
    <row r="805" spans="1:65" ht="13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35"/>
      <c r="Y805" s="17"/>
      <c r="Z805" s="17"/>
      <c r="AA805" s="17"/>
      <c r="AB805" s="35"/>
      <c r="AC805" s="35"/>
      <c r="AD805" s="35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</row>
    <row r="806" spans="1:65" ht="13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35"/>
      <c r="Y806" s="17"/>
      <c r="Z806" s="17"/>
      <c r="AA806" s="17"/>
      <c r="AB806" s="35"/>
      <c r="AC806" s="35"/>
      <c r="AD806" s="35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</row>
    <row r="807" spans="1:65" ht="13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35"/>
      <c r="Y807" s="17"/>
      <c r="Z807" s="17"/>
      <c r="AA807" s="17"/>
      <c r="AB807" s="35"/>
      <c r="AC807" s="35"/>
      <c r="AD807" s="35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</row>
    <row r="808" spans="1:65" ht="13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35"/>
      <c r="Y808" s="17"/>
      <c r="Z808" s="17"/>
      <c r="AA808" s="17"/>
      <c r="AB808" s="35"/>
      <c r="AC808" s="35"/>
      <c r="AD808" s="35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</row>
    <row r="809" spans="1:65" ht="13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35"/>
      <c r="Y809" s="17"/>
      <c r="Z809" s="17"/>
      <c r="AA809" s="17"/>
      <c r="AB809" s="35"/>
      <c r="AC809" s="35"/>
      <c r="AD809" s="35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</row>
    <row r="810" spans="1:65" ht="13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35"/>
      <c r="Y810" s="17"/>
      <c r="Z810" s="17"/>
      <c r="AA810" s="17"/>
      <c r="AB810" s="35"/>
      <c r="AC810" s="35"/>
      <c r="AD810" s="35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</row>
    <row r="811" spans="1:65" ht="13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35"/>
      <c r="Y811" s="17"/>
      <c r="Z811" s="17"/>
      <c r="AA811" s="17"/>
      <c r="AB811" s="35"/>
      <c r="AC811" s="35"/>
      <c r="AD811" s="35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</row>
    <row r="812" spans="1:65" ht="13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35"/>
      <c r="Y812" s="17"/>
      <c r="Z812" s="17"/>
      <c r="AA812" s="17"/>
      <c r="AB812" s="35"/>
      <c r="AC812" s="35"/>
      <c r="AD812" s="35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</row>
    <row r="813" spans="1:65" ht="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35"/>
      <c r="Y813" s="17"/>
      <c r="Z813" s="17"/>
      <c r="AA813" s="17"/>
      <c r="AB813" s="35"/>
      <c r="AC813" s="35"/>
      <c r="AD813" s="35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</row>
    <row r="814" spans="1:65" ht="13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35"/>
      <c r="Y814" s="17"/>
      <c r="Z814" s="17"/>
      <c r="AA814" s="17"/>
      <c r="AB814" s="35"/>
      <c r="AC814" s="35"/>
      <c r="AD814" s="35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</row>
    <row r="815" spans="1:65" ht="13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35"/>
      <c r="Y815" s="17"/>
      <c r="Z815" s="17"/>
      <c r="AA815" s="17"/>
      <c r="AB815" s="35"/>
      <c r="AC815" s="35"/>
      <c r="AD815" s="35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</row>
    <row r="816" spans="1:65" ht="13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35"/>
      <c r="Y816" s="17"/>
      <c r="Z816" s="17"/>
      <c r="AA816" s="17"/>
      <c r="AB816" s="35"/>
      <c r="AC816" s="35"/>
      <c r="AD816" s="35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</row>
    <row r="817" spans="1:65" ht="13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35"/>
      <c r="Y817" s="17"/>
      <c r="Z817" s="17"/>
      <c r="AA817" s="17"/>
      <c r="AB817" s="35"/>
      <c r="AC817" s="35"/>
      <c r="AD817" s="35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</row>
    <row r="818" spans="1:65" ht="13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35"/>
      <c r="Y818" s="17"/>
      <c r="Z818" s="17"/>
      <c r="AA818" s="17"/>
      <c r="AB818" s="35"/>
      <c r="AC818" s="35"/>
      <c r="AD818" s="35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</row>
    <row r="819" spans="1:65" ht="13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35"/>
      <c r="Y819" s="17"/>
      <c r="Z819" s="17"/>
      <c r="AA819" s="17"/>
      <c r="AB819" s="35"/>
      <c r="AC819" s="35"/>
      <c r="AD819" s="35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</row>
    <row r="820" spans="1:65" ht="13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35"/>
      <c r="Y820" s="17"/>
      <c r="Z820" s="17"/>
      <c r="AA820" s="17"/>
      <c r="AB820" s="35"/>
      <c r="AC820" s="35"/>
      <c r="AD820" s="35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</row>
    <row r="821" spans="1:65" ht="13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35"/>
      <c r="Y821" s="17"/>
      <c r="Z821" s="17"/>
      <c r="AA821" s="17"/>
      <c r="AB821" s="35"/>
      <c r="AC821" s="35"/>
      <c r="AD821" s="35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</row>
    <row r="822" spans="1:65" ht="13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35"/>
      <c r="Y822" s="17"/>
      <c r="Z822" s="17"/>
      <c r="AA822" s="17"/>
      <c r="AB822" s="35"/>
      <c r="AC822" s="35"/>
      <c r="AD822" s="35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</row>
    <row r="823" spans="1:65" ht="1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35"/>
      <c r="Y823" s="17"/>
      <c r="Z823" s="17"/>
      <c r="AA823" s="17"/>
      <c r="AB823" s="35"/>
      <c r="AC823" s="35"/>
      <c r="AD823" s="35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</row>
    <row r="824" spans="1:65" ht="13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35"/>
      <c r="Y824" s="17"/>
      <c r="Z824" s="17"/>
      <c r="AA824" s="17"/>
      <c r="AB824" s="35"/>
      <c r="AC824" s="35"/>
      <c r="AD824" s="35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</row>
    <row r="825" spans="1:65" ht="13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35"/>
      <c r="Y825" s="17"/>
      <c r="Z825" s="17"/>
      <c r="AA825" s="17"/>
      <c r="AB825" s="35"/>
      <c r="AC825" s="35"/>
      <c r="AD825" s="35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</row>
    <row r="826" spans="1:65" ht="13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35"/>
      <c r="Y826" s="17"/>
      <c r="Z826" s="17"/>
      <c r="AA826" s="17"/>
      <c r="AB826" s="35"/>
      <c r="AC826" s="35"/>
      <c r="AD826" s="35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</row>
    <row r="827" spans="1:65" ht="13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35"/>
      <c r="Y827" s="17"/>
      <c r="Z827" s="17"/>
      <c r="AA827" s="17"/>
      <c r="AB827" s="35"/>
      <c r="AC827" s="35"/>
      <c r="AD827" s="35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</row>
    <row r="828" spans="1:65" ht="13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35"/>
      <c r="Y828" s="17"/>
      <c r="Z828" s="17"/>
      <c r="AA828" s="17"/>
      <c r="AB828" s="35"/>
      <c r="AC828" s="35"/>
      <c r="AD828" s="35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</row>
    <row r="829" spans="1:65" ht="13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35"/>
      <c r="Y829" s="17"/>
      <c r="Z829" s="17"/>
      <c r="AA829" s="17"/>
      <c r="AB829" s="35"/>
      <c r="AC829" s="35"/>
      <c r="AD829" s="35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</row>
    <row r="830" spans="1:65" ht="13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35"/>
      <c r="Y830" s="17"/>
      <c r="Z830" s="17"/>
      <c r="AA830" s="17"/>
      <c r="AB830" s="35"/>
      <c r="AC830" s="35"/>
      <c r="AD830" s="35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</row>
    <row r="831" spans="1:65" ht="13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35"/>
      <c r="Y831" s="17"/>
      <c r="Z831" s="17"/>
      <c r="AA831" s="17"/>
      <c r="AB831" s="35"/>
      <c r="AC831" s="35"/>
      <c r="AD831" s="35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</row>
    <row r="832" spans="1:65" ht="13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35"/>
      <c r="Y832" s="17"/>
      <c r="Z832" s="17"/>
      <c r="AA832" s="17"/>
      <c r="AB832" s="35"/>
      <c r="AC832" s="35"/>
      <c r="AD832" s="35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</row>
    <row r="833" spans="1:65" ht="1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35"/>
      <c r="Y833" s="17"/>
      <c r="Z833" s="17"/>
      <c r="AA833" s="17"/>
      <c r="AB833" s="35"/>
      <c r="AC833" s="35"/>
      <c r="AD833" s="35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</row>
    <row r="834" spans="1:65" ht="13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35"/>
      <c r="Y834" s="17"/>
      <c r="Z834" s="17"/>
      <c r="AA834" s="17"/>
      <c r="AB834" s="35"/>
      <c r="AC834" s="35"/>
      <c r="AD834" s="35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</row>
    <row r="835" spans="1:65" ht="13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35"/>
      <c r="Y835" s="17"/>
      <c r="Z835" s="17"/>
      <c r="AA835" s="17"/>
      <c r="AB835" s="35"/>
      <c r="AC835" s="35"/>
      <c r="AD835" s="35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</row>
    <row r="836" spans="1:65" ht="13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35"/>
      <c r="Y836" s="17"/>
      <c r="Z836" s="17"/>
      <c r="AA836" s="17"/>
      <c r="AB836" s="35"/>
      <c r="AC836" s="35"/>
      <c r="AD836" s="35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</row>
    <row r="837" spans="1:65" ht="13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35"/>
      <c r="Y837" s="17"/>
      <c r="Z837" s="17"/>
      <c r="AA837" s="17"/>
      <c r="AB837" s="35"/>
      <c r="AC837" s="35"/>
      <c r="AD837" s="35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</row>
    <row r="838" spans="1:65" ht="13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35"/>
      <c r="Y838" s="17"/>
      <c r="Z838" s="17"/>
      <c r="AA838" s="17"/>
      <c r="AB838" s="35"/>
      <c r="AC838" s="35"/>
      <c r="AD838" s="35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</row>
    <row r="839" spans="1:65" ht="13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35"/>
      <c r="Y839" s="17"/>
      <c r="Z839" s="17"/>
      <c r="AA839" s="17"/>
      <c r="AB839" s="35"/>
      <c r="AC839" s="35"/>
      <c r="AD839" s="35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</row>
    <row r="840" spans="1:65" ht="13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35"/>
      <c r="Y840" s="17"/>
      <c r="Z840" s="17"/>
      <c r="AA840" s="17"/>
      <c r="AB840" s="35"/>
      <c r="AC840" s="35"/>
      <c r="AD840" s="35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</row>
    <row r="841" spans="1:65" ht="13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35"/>
      <c r="Y841" s="17"/>
      <c r="Z841" s="17"/>
      <c r="AA841" s="17"/>
      <c r="AB841" s="35"/>
      <c r="AC841" s="35"/>
      <c r="AD841" s="35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</row>
    <row r="842" spans="1:65" ht="13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35"/>
      <c r="Y842" s="17"/>
      <c r="Z842" s="17"/>
      <c r="AA842" s="17"/>
      <c r="AB842" s="35"/>
      <c r="AC842" s="35"/>
      <c r="AD842" s="35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</row>
    <row r="843" spans="1:65" ht="1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35"/>
      <c r="Y843" s="17"/>
      <c r="Z843" s="17"/>
      <c r="AA843" s="17"/>
      <c r="AB843" s="35"/>
      <c r="AC843" s="35"/>
      <c r="AD843" s="35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</row>
    <row r="844" spans="1:65" ht="13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35"/>
      <c r="Y844" s="17"/>
      <c r="Z844" s="17"/>
      <c r="AA844" s="17"/>
      <c r="AB844" s="35"/>
      <c r="AC844" s="35"/>
      <c r="AD844" s="35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</row>
    <row r="845" spans="1:65" ht="13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35"/>
      <c r="Y845" s="17"/>
      <c r="Z845" s="17"/>
      <c r="AA845" s="17"/>
      <c r="AB845" s="35"/>
      <c r="AC845" s="35"/>
      <c r="AD845" s="35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</row>
    <row r="846" spans="1:65" ht="13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35"/>
      <c r="Y846" s="17"/>
      <c r="Z846" s="17"/>
      <c r="AA846" s="17"/>
      <c r="AB846" s="35"/>
      <c r="AC846" s="35"/>
      <c r="AD846" s="35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</row>
    <row r="847" spans="1:65" ht="13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35"/>
      <c r="Y847" s="17"/>
      <c r="Z847" s="17"/>
      <c r="AA847" s="17"/>
      <c r="AB847" s="35"/>
      <c r="AC847" s="35"/>
      <c r="AD847" s="35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</row>
    <row r="848" spans="1:65" ht="13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35"/>
      <c r="Y848" s="17"/>
      <c r="Z848" s="17"/>
      <c r="AA848" s="17"/>
      <c r="AB848" s="35"/>
      <c r="AC848" s="35"/>
      <c r="AD848" s="35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</row>
    <row r="849" spans="1:65" ht="13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35"/>
      <c r="Y849" s="17"/>
      <c r="Z849" s="17"/>
      <c r="AA849" s="17"/>
      <c r="AB849" s="35"/>
      <c r="AC849" s="35"/>
      <c r="AD849" s="35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</row>
    <row r="850" spans="1:65" ht="13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35"/>
      <c r="Y850" s="17"/>
      <c r="Z850" s="17"/>
      <c r="AA850" s="17"/>
      <c r="AB850" s="35"/>
      <c r="AC850" s="35"/>
      <c r="AD850" s="35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</row>
    <row r="851" spans="1:65" ht="13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35"/>
      <c r="Y851" s="17"/>
      <c r="Z851" s="17"/>
      <c r="AA851" s="17"/>
      <c r="AB851" s="35"/>
      <c r="AC851" s="35"/>
      <c r="AD851" s="35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</row>
    <row r="852" spans="1:65" ht="13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35"/>
      <c r="Y852" s="17"/>
      <c r="Z852" s="17"/>
      <c r="AA852" s="17"/>
      <c r="AB852" s="35"/>
      <c r="AC852" s="35"/>
      <c r="AD852" s="35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</row>
    <row r="853" spans="1:65" ht="1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35"/>
      <c r="Y853" s="17"/>
      <c r="Z853" s="17"/>
      <c r="AA853" s="17"/>
      <c r="AB853" s="35"/>
      <c r="AC853" s="35"/>
      <c r="AD853" s="35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</row>
    <row r="854" spans="1:65" ht="13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35"/>
      <c r="Y854" s="17"/>
      <c r="Z854" s="17"/>
      <c r="AA854" s="17"/>
      <c r="AB854" s="35"/>
      <c r="AC854" s="35"/>
      <c r="AD854" s="35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</row>
    <row r="855" spans="1:65" ht="13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35"/>
      <c r="Y855" s="17"/>
      <c r="Z855" s="17"/>
      <c r="AA855" s="17"/>
      <c r="AB855" s="35"/>
      <c r="AC855" s="35"/>
      <c r="AD855" s="35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</row>
    <row r="856" spans="1:65" ht="13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35"/>
      <c r="Y856" s="17"/>
      <c r="Z856" s="17"/>
      <c r="AA856" s="17"/>
      <c r="AB856" s="35"/>
      <c r="AC856" s="35"/>
      <c r="AD856" s="35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</row>
    <row r="857" spans="1:65" ht="13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35"/>
      <c r="Y857" s="17"/>
      <c r="Z857" s="17"/>
      <c r="AA857" s="17"/>
      <c r="AB857" s="35"/>
      <c r="AC857" s="35"/>
      <c r="AD857" s="35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</row>
    <row r="858" spans="1:65" ht="13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35"/>
      <c r="Y858" s="17"/>
      <c r="Z858" s="17"/>
      <c r="AA858" s="17"/>
      <c r="AB858" s="35"/>
      <c r="AC858" s="35"/>
      <c r="AD858" s="35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</row>
    <row r="859" spans="1:65" ht="13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35"/>
      <c r="Y859" s="17"/>
      <c r="Z859" s="17"/>
      <c r="AA859" s="17"/>
      <c r="AB859" s="35"/>
      <c r="AC859" s="35"/>
      <c r="AD859" s="35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</row>
    <row r="860" spans="1:65" ht="13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35"/>
      <c r="Y860" s="17"/>
      <c r="Z860" s="17"/>
      <c r="AA860" s="17"/>
      <c r="AB860" s="35"/>
      <c r="AC860" s="35"/>
      <c r="AD860" s="35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</row>
    <row r="861" spans="1:65" ht="13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35"/>
      <c r="Y861" s="17"/>
      <c r="Z861" s="17"/>
      <c r="AA861" s="17"/>
      <c r="AB861" s="35"/>
      <c r="AC861" s="35"/>
      <c r="AD861" s="35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</row>
    <row r="862" spans="1:65" ht="13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35"/>
      <c r="Y862" s="17"/>
      <c r="Z862" s="17"/>
      <c r="AA862" s="17"/>
      <c r="AB862" s="35"/>
      <c r="AC862" s="35"/>
      <c r="AD862" s="35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</row>
    <row r="863" spans="1:65" ht="1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35"/>
      <c r="Y863" s="17"/>
      <c r="Z863" s="17"/>
      <c r="AA863" s="17"/>
      <c r="AB863" s="35"/>
      <c r="AC863" s="35"/>
      <c r="AD863" s="35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</row>
    <row r="864" spans="1:65" ht="13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35"/>
      <c r="Y864" s="17"/>
      <c r="Z864" s="17"/>
      <c r="AA864" s="17"/>
      <c r="AB864" s="35"/>
      <c r="AC864" s="35"/>
      <c r="AD864" s="35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</row>
    <row r="865" spans="1:65" ht="13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35"/>
      <c r="Y865" s="17"/>
      <c r="Z865" s="17"/>
      <c r="AA865" s="17"/>
      <c r="AB865" s="35"/>
      <c r="AC865" s="35"/>
      <c r="AD865" s="35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</row>
    <row r="866" spans="1:65" ht="13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35"/>
      <c r="Y866" s="17"/>
      <c r="Z866" s="17"/>
      <c r="AA866" s="17"/>
      <c r="AB866" s="35"/>
      <c r="AC866" s="35"/>
      <c r="AD866" s="35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</row>
    <row r="867" spans="1:65" ht="13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35"/>
      <c r="Y867" s="17"/>
      <c r="Z867" s="17"/>
      <c r="AA867" s="17"/>
      <c r="AB867" s="35"/>
      <c r="AC867" s="35"/>
      <c r="AD867" s="35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</row>
    <row r="868" spans="1:65" ht="13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35"/>
      <c r="Y868" s="17"/>
      <c r="Z868" s="17"/>
      <c r="AA868" s="17"/>
      <c r="AB868" s="35"/>
      <c r="AC868" s="35"/>
      <c r="AD868" s="35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</row>
    <row r="869" spans="1:65" ht="13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35"/>
      <c r="Y869" s="17"/>
      <c r="Z869" s="17"/>
      <c r="AA869" s="17"/>
      <c r="AB869" s="35"/>
      <c r="AC869" s="35"/>
      <c r="AD869" s="35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</row>
    <row r="870" spans="1:65" ht="13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35"/>
      <c r="Y870" s="17"/>
      <c r="Z870" s="17"/>
      <c r="AA870" s="17"/>
      <c r="AB870" s="35"/>
      <c r="AC870" s="35"/>
      <c r="AD870" s="35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</row>
    <row r="871" spans="1:65" ht="13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35"/>
      <c r="Y871" s="17"/>
      <c r="Z871" s="17"/>
      <c r="AA871" s="17"/>
      <c r="AB871" s="35"/>
      <c r="AC871" s="35"/>
      <c r="AD871" s="35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</row>
    <row r="872" spans="1:65" ht="13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35"/>
      <c r="Y872" s="17"/>
      <c r="Z872" s="17"/>
      <c r="AA872" s="17"/>
      <c r="AB872" s="35"/>
      <c r="AC872" s="35"/>
      <c r="AD872" s="35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</row>
    <row r="873" spans="1:65" ht="1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35"/>
      <c r="Y873" s="17"/>
      <c r="Z873" s="17"/>
      <c r="AA873" s="17"/>
      <c r="AB873" s="35"/>
      <c r="AC873" s="35"/>
      <c r="AD873" s="35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</row>
    <row r="874" spans="1:65" ht="13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35"/>
      <c r="Y874" s="17"/>
      <c r="Z874" s="17"/>
      <c r="AA874" s="17"/>
      <c r="AB874" s="35"/>
      <c r="AC874" s="35"/>
      <c r="AD874" s="35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</row>
    <row r="875" spans="1:65" ht="13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35"/>
      <c r="Y875" s="17"/>
      <c r="Z875" s="17"/>
      <c r="AA875" s="17"/>
      <c r="AB875" s="35"/>
      <c r="AC875" s="35"/>
      <c r="AD875" s="35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</row>
    <row r="876" spans="1:65" ht="13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35"/>
      <c r="Y876" s="17"/>
      <c r="Z876" s="17"/>
      <c r="AA876" s="17"/>
      <c r="AB876" s="35"/>
      <c r="AC876" s="35"/>
      <c r="AD876" s="35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</row>
    <row r="877" spans="1:65" ht="13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35"/>
      <c r="Y877" s="17"/>
      <c r="Z877" s="17"/>
      <c r="AA877" s="17"/>
      <c r="AB877" s="35"/>
      <c r="AC877" s="35"/>
      <c r="AD877" s="35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</row>
    <row r="878" spans="1:65" ht="13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35"/>
      <c r="Y878" s="17"/>
      <c r="Z878" s="17"/>
      <c r="AA878" s="17"/>
      <c r="AB878" s="35"/>
      <c r="AC878" s="35"/>
      <c r="AD878" s="35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</row>
    <row r="879" spans="1:65" ht="13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35"/>
      <c r="Y879" s="17"/>
      <c r="Z879" s="17"/>
      <c r="AA879" s="17"/>
      <c r="AB879" s="35"/>
      <c r="AC879" s="35"/>
      <c r="AD879" s="35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</row>
    <row r="880" spans="1:65" ht="13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35"/>
      <c r="Y880" s="17"/>
      <c r="Z880" s="17"/>
      <c r="AA880" s="17"/>
      <c r="AB880" s="35"/>
      <c r="AC880" s="35"/>
      <c r="AD880" s="35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</row>
    <row r="881" spans="1:65" ht="13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35"/>
      <c r="Y881" s="17"/>
      <c r="Z881" s="17"/>
      <c r="AA881" s="17"/>
      <c r="AB881" s="35"/>
      <c r="AC881" s="35"/>
      <c r="AD881" s="35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</row>
    <row r="882" spans="1:65" ht="13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35"/>
      <c r="Y882" s="17"/>
      <c r="Z882" s="17"/>
      <c r="AA882" s="17"/>
      <c r="AB882" s="35"/>
      <c r="AC882" s="35"/>
      <c r="AD882" s="35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</row>
    <row r="883" spans="1:65" ht="1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35"/>
      <c r="Y883" s="17"/>
      <c r="Z883" s="17"/>
      <c r="AA883" s="17"/>
      <c r="AB883" s="35"/>
      <c r="AC883" s="35"/>
      <c r="AD883" s="35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</row>
    <row r="884" spans="1:65" ht="13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35"/>
      <c r="Y884" s="17"/>
      <c r="Z884" s="17"/>
      <c r="AA884" s="17"/>
      <c r="AB884" s="35"/>
      <c r="AC884" s="35"/>
      <c r="AD884" s="35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</row>
    <row r="885" spans="1:65" ht="13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35"/>
      <c r="Y885" s="17"/>
      <c r="Z885" s="17"/>
      <c r="AA885" s="17"/>
      <c r="AB885" s="35"/>
      <c r="AC885" s="35"/>
      <c r="AD885" s="35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</row>
    <row r="886" spans="1:65" ht="13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35"/>
      <c r="Y886" s="17"/>
      <c r="Z886" s="17"/>
      <c r="AA886" s="17"/>
      <c r="AB886" s="35"/>
      <c r="AC886" s="35"/>
      <c r="AD886" s="35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</row>
    <row r="887" spans="1:65" ht="13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35"/>
      <c r="Y887" s="17"/>
      <c r="Z887" s="17"/>
      <c r="AA887" s="17"/>
      <c r="AB887" s="35"/>
      <c r="AC887" s="35"/>
      <c r="AD887" s="35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</row>
    <row r="888" spans="1:65" ht="13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35"/>
      <c r="Y888" s="17"/>
      <c r="Z888" s="17"/>
      <c r="AA888" s="17"/>
      <c r="AB888" s="35"/>
      <c r="AC888" s="35"/>
      <c r="AD888" s="35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</row>
    <row r="889" spans="1:65" ht="13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35"/>
      <c r="Y889" s="17"/>
      <c r="Z889" s="17"/>
      <c r="AA889" s="17"/>
      <c r="AB889" s="35"/>
      <c r="AC889" s="35"/>
      <c r="AD889" s="35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</row>
    <row r="890" spans="1:65" ht="13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35"/>
      <c r="Y890" s="17"/>
      <c r="Z890" s="17"/>
      <c r="AA890" s="17"/>
      <c r="AB890" s="35"/>
      <c r="AC890" s="35"/>
      <c r="AD890" s="35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</row>
    <row r="891" spans="1:65" ht="13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35"/>
      <c r="Y891" s="17"/>
      <c r="Z891" s="17"/>
      <c r="AA891" s="17"/>
      <c r="AB891" s="35"/>
      <c r="AC891" s="35"/>
      <c r="AD891" s="35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</row>
    <row r="892" spans="1:65" ht="13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35"/>
      <c r="Y892" s="17"/>
      <c r="Z892" s="17"/>
      <c r="AA892" s="17"/>
      <c r="AB892" s="35"/>
      <c r="AC892" s="35"/>
      <c r="AD892" s="35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</row>
    <row r="893" spans="1:65" ht="1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35"/>
      <c r="Y893" s="17"/>
      <c r="Z893" s="17"/>
      <c r="AA893" s="17"/>
      <c r="AB893" s="35"/>
      <c r="AC893" s="35"/>
      <c r="AD893" s="35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</row>
    <row r="894" spans="1:65" ht="13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35"/>
      <c r="Y894" s="17"/>
      <c r="Z894" s="17"/>
      <c r="AA894" s="17"/>
      <c r="AB894" s="35"/>
      <c r="AC894" s="35"/>
      <c r="AD894" s="35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</row>
    <row r="895" spans="1:65" ht="13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35"/>
      <c r="Y895" s="17"/>
      <c r="Z895" s="17"/>
      <c r="AA895" s="17"/>
      <c r="AB895" s="35"/>
      <c r="AC895" s="35"/>
      <c r="AD895" s="35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</row>
    <row r="896" spans="1:65" ht="13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35"/>
      <c r="Y896" s="17"/>
      <c r="Z896" s="17"/>
      <c r="AA896" s="17"/>
      <c r="AB896" s="35"/>
      <c r="AC896" s="35"/>
      <c r="AD896" s="35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</row>
    <row r="897" spans="1:65" ht="13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35"/>
      <c r="Y897" s="17"/>
      <c r="Z897" s="17"/>
      <c r="AA897" s="17"/>
      <c r="AB897" s="35"/>
      <c r="AC897" s="35"/>
      <c r="AD897" s="35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</row>
    <row r="898" spans="1:65" ht="13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35"/>
      <c r="Y898" s="17"/>
      <c r="Z898" s="17"/>
      <c r="AA898" s="17"/>
      <c r="AB898" s="35"/>
      <c r="AC898" s="35"/>
      <c r="AD898" s="35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</row>
    <row r="899" spans="1:65" ht="13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35"/>
      <c r="Y899" s="17"/>
      <c r="Z899" s="17"/>
      <c r="AA899" s="17"/>
      <c r="AB899" s="35"/>
      <c r="AC899" s="35"/>
      <c r="AD899" s="35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</row>
    <row r="900" spans="1:65" ht="13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35"/>
      <c r="Y900" s="17"/>
      <c r="Z900" s="17"/>
      <c r="AA900" s="17"/>
      <c r="AB900" s="35"/>
      <c r="AC900" s="35"/>
      <c r="AD900" s="35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</row>
    <row r="901" spans="1:65" ht="13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35"/>
      <c r="Y901" s="17"/>
      <c r="Z901" s="17"/>
      <c r="AA901" s="17"/>
      <c r="AB901" s="35"/>
      <c r="AC901" s="35"/>
      <c r="AD901" s="35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</row>
    <row r="902" spans="1:65" ht="13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35"/>
      <c r="Y902" s="17"/>
      <c r="Z902" s="17"/>
      <c r="AA902" s="17"/>
      <c r="AB902" s="35"/>
      <c r="AC902" s="35"/>
      <c r="AD902" s="35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</row>
    <row r="903" spans="1:65" ht="1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35"/>
      <c r="Y903" s="17"/>
      <c r="Z903" s="17"/>
      <c r="AA903" s="17"/>
      <c r="AB903" s="35"/>
      <c r="AC903" s="35"/>
      <c r="AD903" s="35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</row>
    <row r="904" spans="1:65" ht="13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35"/>
      <c r="Y904" s="17"/>
      <c r="Z904" s="17"/>
      <c r="AA904" s="17"/>
      <c r="AB904" s="35"/>
      <c r="AC904" s="35"/>
      <c r="AD904" s="35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</row>
    <row r="905" spans="1:65" ht="13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35"/>
      <c r="Y905" s="17"/>
      <c r="Z905" s="17"/>
      <c r="AA905" s="17"/>
      <c r="AB905" s="35"/>
      <c r="AC905" s="35"/>
      <c r="AD905" s="35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</row>
    <row r="906" spans="1:65" ht="13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35"/>
      <c r="Y906" s="17"/>
      <c r="Z906" s="17"/>
      <c r="AA906" s="17"/>
      <c r="AB906" s="35"/>
      <c r="AC906" s="35"/>
      <c r="AD906" s="35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</row>
    <row r="907" spans="1:65" ht="13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35"/>
      <c r="Y907" s="17"/>
      <c r="Z907" s="17"/>
      <c r="AA907" s="17"/>
      <c r="AB907" s="35"/>
      <c r="AC907" s="35"/>
      <c r="AD907" s="35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</row>
    <row r="908" spans="1:65" ht="13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35"/>
      <c r="Y908" s="17"/>
      <c r="Z908" s="17"/>
      <c r="AA908" s="17"/>
      <c r="AB908" s="35"/>
      <c r="AC908" s="35"/>
      <c r="AD908" s="35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</row>
    <row r="909" spans="1:65" ht="13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35"/>
      <c r="Y909" s="17"/>
      <c r="Z909" s="17"/>
      <c r="AA909" s="17"/>
      <c r="AB909" s="35"/>
      <c r="AC909" s="35"/>
      <c r="AD909" s="35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</row>
    <row r="910" spans="1:65" ht="13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35"/>
      <c r="Y910" s="17"/>
      <c r="Z910" s="17"/>
      <c r="AA910" s="17"/>
      <c r="AB910" s="35"/>
      <c r="AC910" s="35"/>
      <c r="AD910" s="35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</row>
    <row r="911" spans="1:65" ht="13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35"/>
      <c r="Y911" s="17"/>
      <c r="Z911" s="17"/>
      <c r="AA911" s="17"/>
      <c r="AB911" s="35"/>
      <c r="AC911" s="35"/>
      <c r="AD911" s="35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</row>
    <row r="912" spans="1:65" ht="13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35"/>
      <c r="Y912" s="17"/>
      <c r="Z912" s="17"/>
      <c r="AA912" s="17"/>
      <c r="AB912" s="35"/>
      <c r="AC912" s="35"/>
      <c r="AD912" s="35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</row>
    <row r="913" spans="1:65" ht="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35"/>
      <c r="Y913" s="17"/>
      <c r="Z913" s="17"/>
      <c r="AA913" s="17"/>
      <c r="AB913" s="35"/>
      <c r="AC913" s="35"/>
      <c r="AD913" s="35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</row>
    <row r="914" spans="1:65" ht="13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35"/>
      <c r="Y914" s="17"/>
      <c r="Z914" s="17"/>
      <c r="AA914" s="17"/>
      <c r="AB914" s="35"/>
      <c r="AC914" s="35"/>
      <c r="AD914" s="35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</row>
    <row r="915" spans="1:65" ht="13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35"/>
      <c r="Y915" s="17"/>
      <c r="Z915" s="17"/>
      <c r="AA915" s="17"/>
      <c r="AB915" s="35"/>
      <c r="AC915" s="35"/>
      <c r="AD915" s="35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</row>
    <row r="916" spans="1:65" ht="13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35"/>
      <c r="Y916" s="17"/>
      <c r="Z916" s="17"/>
      <c r="AA916" s="17"/>
      <c r="AB916" s="35"/>
      <c r="AC916" s="35"/>
      <c r="AD916" s="35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</row>
    <row r="917" spans="1:65" ht="13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35"/>
      <c r="Y917" s="17"/>
      <c r="Z917" s="17"/>
      <c r="AA917" s="17"/>
      <c r="AB917" s="35"/>
      <c r="AC917" s="35"/>
      <c r="AD917" s="35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</row>
    <row r="918" spans="1:65" ht="13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35"/>
      <c r="Y918" s="17"/>
      <c r="Z918" s="17"/>
      <c r="AA918" s="17"/>
      <c r="AB918" s="35"/>
      <c r="AC918" s="35"/>
      <c r="AD918" s="35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</row>
    <row r="919" spans="1:65" ht="13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35"/>
      <c r="Y919" s="17"/>
      <c r="Z919" s="17"/>
      <c r="AA919" s="17"/>
      <c r="AB919" s="35"/>
      <c r="AC919" s="35"/>
      <c r="AD919" s="35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</row>
    <row r="920" spans="1:65" ht="13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35"/>
      <c r="Y920" s="17"/>
      <c r="Z920" s="17"/>
      <c r="AA920" s="17"/>
      <c r="AB920" s="35"/>
      <c r="AC920" s="35"/>
      <c r="AD920" s="35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</row>
    <row r="921" spans="1:65" ht="13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35"/>
      <c r="Y921" s="17"/>
      <c r="Z921" s="17"/>
      <c r="AA921" s="17"/>
      <c r="AB921" s="35"/>
      <c r="AC921" s="35"/>
      <c r="AD921" s="35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</row>
    <row r="922" spans="1:65" ht="13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35"/>
      <c r="Y922" s="17"/>
      <c r="Z922" s="17"/>
      <c r="AA922" s="17"/>
      <c r="AB922" s="35"/>
      <c r="AC922" s="35"/>
      <c r="AD922" s="35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</row>
    <row r="923" spans="1:65" ht="1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35"/>
      <c r="Y923" s="17"/>
      <c r="Z923" s="17"/>
      <c r="AA923" s="17"/>
      <c r="AB923" s="35"/>
      <c r="AC923" s="35"/>
      <c r="AD923" s="35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</row>
    <row r="924" spans="1:65" ht="13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35"/>
      <c r="Y924" s="17"/>
      <c r="Z924" s="17"/>
      <c r="AA924" s="17"/>
      <c r="AB924" s="35"/>
      <c r="AC924" s="35"/>
      <c r="AD924" s="35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</row>
    <row r="925" spans="1:65" ht="13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35"/>
      <c r="Y925" s="17"/>
      <c r="Z925" s="17"/>
      <c r="AA925" s="17"/>
      <c r="AB925" s="35"/>
      <c r="AC925" s="35"/>
      <c r="AD925" s="35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</row>
    <row r="926" spans="1:65" ht="13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35"/>
      <c r="Y926" s="17"/>
      <c r="Z926" s="17"/>
      <c r="AA926" s="17"/>
      <c r="AB926" s="35"/>
      <c r="AC926" s="35"/>
      <c r="AD926" s="35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</row>
    <row r="927" spans="1:65" ht="13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35"/>
      <c r="Y927" s="17"/>
      <c r="Z927" s="17"/>
      <c r="AA927" s="17"/>
      <c r="AB927" s="35"/>
      <c r="AC927" s="35"/>
      <c r="AD927" s="35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</row>
    <row r="928" spans="1:65" ht="13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35"/>
      <c r="Y928" s="17"/>
      <c r="Z928" s="17"/>
      <c r="AA928" s="17"/>
      <c r="AB928" s="35"/>
      <c r="AC928" s="35"/>
      <c r="AD928" s="35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</row>
    <row r="929" spans="1:65" ht="13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35"/>
      <c r="Y929" s="17"/>
      <c r="Z929" s="17"/>
      <c r="AA929" s="17"/>
      <c r="AB929" s="35"/>
      <c r="AC929" s="35"/>
      <c r="AD929" s="35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</row>
    <row r="930" spans="1:65" ht="13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35"/>
      <c r="Y930" s="17"/>
      <c r="Z930" s="17"/>
      <c r="AA930" s="17"/>
      <c r="AB930" s="35"/>
      <c r="AC930" s="35"/>
      <c r="AD930" s="35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</row>
    <row r="931" spans="1:65" ht="13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35"/>
      <c r="Y931" s="17"/>
      <c r="Z931" s="17"/>
      <c r="AA931" s="17"/>
      <c r="AB931" s="35"/>
      <c r="AC931" s="35"/>
      <c r="AD931" s="35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</row>
    <row r="932" spans="1:65" ht="13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35"/>
      <c r="Y932" s="17"/>
      <c r="Z932" s="17"/>
      <c r="AA932" s="17"/>
      <c r="AB932" s="35"/>
      <c r="AC932" s="35"/>
      <c r="AD932" s="35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</row>
    <row r="933" spans="1:65" ht="1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35"/>
      <c r="Y933" s="17"/>
      <c r="Z933" s="17"/>
      <c r="AA933" s="17"/>
      <c r="AB933" s="35"/>
      <c r="AC933" s="35"/>
      <c r="AD933" s="35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</row>
    <row r="934" spans="1:65" ht="13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35"/>
      <c r="Y934" s="17"/>
      <c r="Z934" s="17"/>
      <c r="AA934" s="17"/>
      <c r="AB934" s="35"/>
      <c r="AC934" s="35"/>
      <c r="AD934" s="35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</row>
    <row r="935" spans="1:65" ht="13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35"/>
      <c r="Y935" s="17"/>
      <c r="Z935" s="17"/>
      <c r="AA935" s="17"/>
      <c r="AB935" s="35"/>
      <c r="AC935" s="35"/>
      <c r="AD935" s="35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</row>
    <row r="936" spans="1:65" ht="13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35"/>
      <c r="Y936" s="17"/>
      <c r="Z936" s="17"/>
      <c r="AA936" s="17"/>
      <c r="AB936" s="35"/>
      <c r="AC936" s="35"/>
      <c r="AD936" s="35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</row>
    <row r="937" spans="1:65" ht="13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35"/>
      <c r="Y937" s="17"/>
      <c r="Z937" s="17"/>
      <c r="AA937" s="17"/>
      <c r="AB937" s="35"/>
      <c r="AC937" s="35"/>
      <c r="AD937" s="35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</row>
    <row r="938" spans="1:65" ht="13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35"/>
      <c r="Y938" s="17"/>
      <c r="Z938" s="17"/>
      <c r="AA938" s="17"/>
      <c r="AB938" s="35"/>
      <c r="AC938" s="35"/>
      <c r="AD938" s="35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</row>
    <row r="939" spans="1:65" ht="13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35"/>
      <c r="Y939" s="17"/>
      <c r="Z939" s="17"/>
      <c r="AA939" s="17"/>
      <c r="AB939" s="35"/>
      <c r="AC939" s="35"/>
      <c r="AD939" s="35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</row>
    <row r="940" spans="1:65" ht="13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35"/>
      <c r="Y940" s="17"/>
      <c r="Z940" s="17"/>
      <c r="AA940" s="17"/>
      <c r="AB940" s="35"/>
      <c r="AC940" s="35"/>
      <c r="AD940" s="35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</row>
    <row r="941" spans="1:65" ht="13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35"/>
      <c r="Y941" s="17"/>
      <c r="Z941" s="17"/>
      <c r="AA941" s="17"/>
      <c r="AB941" s="35"/>
      <c r="AC941" s="35"/>
      <c r="AD941" s="35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</row>
    <row r="942" spans="1:65" ht="13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35"/>
      <c r="Y942" s="17"/>
      <c r="Z942" s="17"/>
      <c r="AA942" s="17"/>
      <c r="AB942" s="35"/>
      <c r="AC942" s="35"/>
      <c r="AD942" s="35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</row>
    <row r="943" spans="1:65" ht="1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35"/>
      <c r="Y943" s="17"/>
      <c r="Z943" s="17"/>
      <c r="AA943" s="17"/>
      <c r="AB943" s="35"/>
      <c r="AC943" s="35"/>
      <c r="AD943" s="35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</row>
    <row r="944" spans="1:65" ht="13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35"/>
      <c r="Y944" s="17"/>
      <c r="Z944" s="17"/>
      <c r="AA944" s="17"/>
      <c r="AB944" s="35"/>
      <c r="AC944" s="35"/>
      <c r="AD944" s="35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</row>
    <row r="945" spans="1:65" ht="13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35"/>
      <c r="Y945" s="17"/>
      <c r="Z945" s="17"/>
      <c r="AA945" s="17"/>
      <c r="AB945" s="35"/>
      <c r="AC945" s="35"/>
      <c r="AD945" s="35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</row>
    <row r="946" spans="1:65" ht="13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35"/>
      <c r="Y946" s="17"/>
      <c r="Z946" s="17"/>
      <c r="AA946" s="17"/>
      <c r="AB946" s="35"/>
      <c r="AC946" s="35"/>
      <c r="AD946" s="35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</row>
    <row r="947" spans="1:65" ht="13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35"/>
      <c r="Y947" s="17"/>
      <c r="Z947" s="17"/>
      <c r="AA947" s="17"/>
      <c r="AB947" s="35"/>
      <c r="AC947" s="35"/>
      <c r="AD947" s="35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</row>
    <row r="948" spans="1:65" ht="13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35"/>
      <c r="Y948" s="17"/>
      <c r="Z948" s="17"/>
      <c r="AA948" s="17"/>
      <c r="AB948" s="35"/>
      <c r="AC948" s="35"/>
      <c r="AD948" s="35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</row>
    <row r="949" spans="1:65" ht="13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35"/>
      <c r="Y949" s="17"/>
      <c r="Z949" s="17"/>
      <c r="AA949" s="17"/>
      <c r="AB949" s="35"/>
      <c r="AC949" s="35"/>
      <c r="AD949" s="35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</row>
    <row r="950" spans="1:65" ht="13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35"/>
      <c r="Y950" s="17"/>
      <c r="Z950" s="17"/>
      <c r="AA950" s="17"/>
      <c r="AB950" s="35"/>
      <c r="AC950" s="35"/>
      <c r="AD950" s="35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</row>
    <row r="951" spans="1:65" ht="13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35"/>
      <c r="Y951" s="17"/>
      <c r="Z951" s="17"/>
      <c r="AA951" s="17"/>
      <c r="AB951" s="35"/>
      <c r="AC951" s="35"/>
      <c r="AD951" s="35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</row>
    <row r="952" spans="1:65" ht="13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35"/>
      <c r="Y952" s="17"/>
      <c r="Z952" s="17"/>
      <c r="AA952" s="17"/>
      <c r="AB952" s="35"/>
      <c r="AC952" s="35"/>
      <c r="AD952" s="35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</row>
    <row r="953" spans="1:65" ht="1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35"/>
      <c r="Y953" s="17"/>
      <c r="Z953" s="17"/>
      <c r="AA953" s="17"/>
      <c r="AB953" s="35"/>
      <c r="AC953" s="35"/>
      <c r="AD953" s="35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</row>
    <row r="954" spans="1:65" ht="13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35"/>
      <c r="Y954" s="17"/>
      <c r="Z954" s="17"/>
      <c r="AA954" s="17"/>
      <c r="AB954" s="35"/>
      <c r="AC954" s="35"/>
      <c r="AD954" s="35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</row>
    <row r="955" spans="1:65" ht="13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35"/>
      <c r="Y955" s="17"/>
      <c r="Z955" s="17"/>
      <c r="AA955" s="17"/>
      <c r="AB955" s="35"/>
      <c r="AC955" s="35"/>
      <c r="AD955" s="35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</row>
    <row r="956" spans="1:65" ht="13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35"/>
      <c r="Y956" s="17"/>
      <c r="Z956" s="17"/>
      <c r="AA956" s="17"/>
      <c r="AB956" s="35"/>
      <c r="AC956" s="35"/>
      <c r="AD956" s="35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</row>
    <row r="957" spans="1:65" ht="13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35"/>
      <c r="Y957" s="17"/>
      <c r="Z957" s="17"/>
      <c r="AA957" s="17"/>
      <c r="AB957" s="35"/>
      <c r="AC957" s="35"/>
      <c r="AD957" s="35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</row>
    <row r="958" spans="1:65" ht="13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35"/>
      <c r="Y958" s="17"/>
      <c r="Z958" s="17"/>
      <c r="AA958" s="17"/>
      <c r="AB958" s="35"/>
      <c r="AC958" s="35"/>
      <c r="AD958" s="35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</row>
    <row r="959" spans="1:65" ht="13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35"/>
      <c r="Y959" s="17"/>
      <c r="Z959" s="17"/>
      <c r="AA959" s="17"/>
      <c r="AB959" s="35"/>
      <c r="AC959" s="35"/>
      <c r="AD959" s="35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</row>
    <row r="960" spans="1:65" ht="13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35"/>
      <c r="Y960" s="17"/>
      <c r="Z960" s="17"/>
      <c r="AA960" s="17"/>
      <c r="AB960" s="35"/>
      <c r="AC960" s="35"/>
      <c r="AD960" s="35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</row>
    <row r="961" spans="1:65" ht="13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35"/>
      <c r="Y961" s="17"/>
      <c r="Z961" s="17"/>
      <c r="AA961" s="17"/>
      <c r="AB961" s="35"/>
      <c r="AC961" s="35"/>
      <c r="AD961" s="35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</row>
    <row r="962" spans="1:65" ht="13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35"/>
      <c r="Y962" s="17"/>
      <c r="Z962" s="17"/>
      <c r="AA962" s="17"/>
      <c r="AB962" s="35"/>
      <c r="AC962" s="35"/>
      <c r="AD962" s="35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</row>
    <row r="963" spans="1:65" ht="1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35"/>
      <c r="Y963" s="17"/>
      <c r="Z963" s="17"/>
      <c r="AA963" s="17"/>
      <c r="AB963" s="35"/>
      <c r="AC963" s="35"/>
      <c r="AD963" s="35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</row>
    <row r="964" spans="1:65" ht="13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35"/>
      <c r="Y964" s="17"/>
      <c r="Z964" s="17"/>
      <c r="AA964" s="17"/>
      <c r="AB964" s="35"/>
      <c r="AC964" s="35"/>
      <c r="AD964" s="35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</row>
    <row r="965" spans="1:65" ht="13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35"/>
      <c r="Y965" s="17"/>
      <c r="Z965" s="17"/>
      <c r="AA965" s="17"/>
      <c r="AB965" s="35"/>
      <c r="AC965" s="35"/>
      <c r="AD965" s="35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</row>
    <row r="966" spans="1:65" ht="13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35"/>
      <c r="Y966" s="17"/>
      <c r="Z966" s="17"/>
      <c r="AA966" s="17"/>
      <c r="AB966" s="35"/>
      <c r="AC966" s="35"/>
      <c r="AD966" s="35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</row>
    <row r="967" spans="1:65" ht="13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35"/>
      <c r="Y967" s="17"/>
      <c r="Z967" s="17"/>
      <c r="AA967" s="17"/>
      <c r="AB967" s="35"/>
      <c r="AC967" s="35"/>
      <c r="AD967" s="35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</row>
    <row r="968" spans="1:65" ht="13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35"/>
      <c r="Y968" s="17"/>
      <c r="Z968" s="17"/>
      <c r="AA968" s="17"/>
      <c r="AB968" s="35"/>
      <c r="AC968" s="35"/>
      <c r="AD968" s="35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</row>
    <row r="969" spans="1:65" ht="13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35"/>
      <c r="Y969" s="17"/>
      <c r="Z969" s="17"/>
      <c r="AA969" s="17"/>
      <c r="AB969" s="35"/>
      <c r="AC969" s="35"/>
      <c r="AD969" s="35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</row>
    <row r="970" spans="1:65" ht="13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35"/>
      <c r="Y970" s="17"/>
      <c r="Z970" s="17"/>
      <c r="AA970" s="17"/>
      <c r="AB970" s="35"/>
      <c r="AC970" s="35"/>
      <c r="AD970" s="35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</row>
    <row r="971" spans="1:65" ht="13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35"/>
      <c r="Y971" s="17"/>
      <c r="Z971" s="17"/>
      <c r="AA971" s="17"/>
      <c r="AB971" s="35"/>
      <c r="AC971" s="35"/>
      <c r="AD971" s="35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</row>
    <row r="972" spans="1:65" ht="13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35"/>
      <c r="Y972" s="17"/>
      <c r="Z972" s="17"/>
      <c r="AA972" s="17"/>
      <c r="AB972" s="35"/>
      <c r="AC972" s="35"/>
      <c r="AD972" s="35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</row>
    <row r="973" spans="1:65" ht="1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35"/>
      <c r="Y973" s="17"/>
      <c r="Z973" s="17"/>
      <c r="AA973" s="17"/>
      <c r="AB973" s="35"/>
      <c r="AC973" s="35"/>
      <c r="AD973" s="35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</row>
    <row r="974" spans="1:65" ht="13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35"/>
      <c r="Y974" s="17"/>
      <c r="Z974" s="17"/>
      <c r="AA974" s="17"/>
      <c r="AB974" s="35"/>
      <c r="AC974" s="35"/>
      <c r="AD974" s="35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</row>
    <row r="975" spans="1:65" ht="13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35"/>
      <c r="Y975" s="17"/>
      <c r="Z975" s="17"/>
      <c r="AA975" s="17"/>
      <c r="AB975" s="35"/>
      <c r="AC975" s="35"/>
      <c r="AD975" s="35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</row>
    <row r="976" spans="1:65" ht="13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35"/>
      <c r="Y976" s="17"/>
      <c r="Z976" s="17"/>
      <c r="AA976" s="17"/>
      <c r="AB976" s="35"/>
      <c r="AC976" s="35"/>
      <c r="AD976" s="35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</row>
    <row r="977" spans="1:65" ht="13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35"/>
      <c r="Y977" s="17"/>
      <c r="Z977" s="17"/>
      <c r="AA977" s="17"/>
      <c r="AB977" s="35"/>
      <c r="AC977" s="35"/>
      <c r="AD977" s="35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</row>
    <row r="978" spans="1:65" ht="13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35"/>
      <c r="Y978" s="17"/>
      <c r="Z978" s="17"/>
      <c r="AA978" s="17"/>
      <c r="AB978" s="35"/>
      <c r="AC978" s="35"/>
      <c r="AD978" s="35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</row>
    <row r="979" spans="1:65" ht="13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35"/>
      <c r="Y979" s="17"/>
      <c r="Z979" s="17"/>
      <c r="AA979" s="17"/>
      <c r="AB979" s="35"/>
      <c r="AC979" s="35"/>
      <c r="AD979" s="35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</row>
    <row r="980" spans="1:65" ht="13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35"/>
      <c r="Y980" s="17"/>
      <c r="Z980" s="17"/>
      <c r="AA980" s="17"/>
      <c r="AB980" s="35"/>
      <c r="AC980" s="35"/>
      <c r="AD980" s="35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</row>
    <row r="981" spans="1:65" ht="13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35"/>
      <c r="Y981" s="17"/>
      <c r="Z981" s="17"/>
      <c r="AA981" s="17"/>
      <c r="AB981" s="35"/>
      <c r="AC981" s="35"/>
      <c r="AD981" s="35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</row>
    <row r="982" spans="1:65" ht="13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35"/>
      <c r="Y982" s="17"/>
      <c r="Z982" s="17"/>
      <c r="AA982" s="17"/>
      <c r="AB982" s="35"/>
      <c r="AC982" s="35"/>
      <c r="AD982" s="35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</row>
    <row r="983" spans="1:65" ht="1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35"/>
      <c r="Y983" s="17"/>
      <c r="Z983" s="17"/>
      <c r="AA983" s="17"/>
      <c r="AB983" s="35"/>
      <c r="AC983" s="35"/>
      <c r="AD983" s="35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</row>
    <row r="984" spans="1:65" ht="13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35"/>
      <c r="Y984" s="17"/>
      <c r="Z984" s="17"/>
      <c r="AA984" s="17"/>
      <c r="AB984" s="35"/>
      <c r="AC984" s="35"/>
      <c r="AD984" s="35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</row>
    <row r="985" spans="1:65" ht="13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35"/>
      <c r="Y985" s="17"/>
      <c r="Z985" s="17"/>
      <c r="AA985" s="17"/>
      <c r="AB985" s="35"/>
      <c r="AC985" s="35"/>
      <c r="AD985" s="35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</row>
    <row r="986" spans="1:65" ht="13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35"/>
      <c r="Y986" s="17"/>
      <c r="Z986" s="17"/>
      <c r="AA986" s="17"/>
      <c r="AB986" s="35"/>
      <c r="AC986" s="35"/>
      <c r="AD986" s="35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</row>
    <row r="987" spans="1:65" ht="13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35"/>
      <c r="Y987" s="17"/>
      <c r="Z987" s="17"/>
      <c r="AA987" s="17"/>
      <c r="AB987" s="35"/>
      <c r="AC987" s="35"/>
      <c r="AD987" s="35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</row>
    <row r="988" spans="1:65" ht="13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35"/>
      <c r="Y988" s="17"/>
      <c r="Z988" s="17"/>
      <c r="AA988" s="17"/>
      <c r="AB988" s="35"/>
      <c r="AC988" s="35"/>
      <c r="AD988" s="35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</row>
    <row r="989" spans="1:65" ht="13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35"/>
      <c r="Y989" s="17"/>
      <c r="Z989" s="17"/>
      <c r="AA989" s="17"/>
      <c r="AB989" s="35"/>
      <c r="AC989" s="35"/>
      <c r="AD989" s="35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</row>
    <row r="990" spans="1:65" ht="13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35"/>
      <c r="Y990" s="17"/>
      <c r="Z990" s="17"/>
      <c r="AA990" s="17"/>
      <c r="AB990" s="35"/>
      <c r="AC990" s="35"/>
      <c r="AD990" s="35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</row>
    <row r="991" spans="1:65" ht="13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35"/>
      <c r="Y991" s="17"/>
      <c r="Z991" s="17"/>
      <c r="AA991" s="17"/>
      <c r="AB991" s="35"/>
      <c r="AC991" s="35"/>
      <c r="AD991" s="35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</row>
    <row r="992" spans="1:65" ht="13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35"/>
      <c r="Y992" s="17"/>
      <c r="Z992" s="17"/>
      <c r="AA992" s="17"/>
      <c r="AB992" s="35"/>
      <c r="AC992" s="35"/>
      <c r="AD992" s="35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</row>
    <row r="993" spans="1:65" ht="1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35"/>
      <c r="Y993" s="17"/>
      <c r="Z993" s="17"/>
      <c r="AA993" s="17"/>
      <c r="AB993" s="35"/>
      <c r="AC993" s="35"/>
      <c r="AD993" s="35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</row>
    <row r="994" spans="1:65" ht="13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35"/>
      <c r="Y994" s="17"/>
      <c r="Z994" s="17"/>
      <c r="AA994" s="17"/>
      <c r="AB994" s="35"/>
      <c r="AC994" s="35"/>
      <c r="AD994" s="35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</row>
    <row r="995" spans="1:65" ht="13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35"/>
      <c r="Y995" s="17"/>
      <c r="Z995" s="17"/>
      <c r="AA995" s="17"/>
      <c r="AB995" s="35"/>
      <c r="AC995" s="35"/>
      <c r="AD995" s="35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</row>
    <row r="996" spans="1:65" ht="13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35"/>
      <c r="Y996" s="17"/>
      <c r="Z996" s="17"/>
      <c r="AA996" s="17"/>
      <c r="AB996" s="35"/>
      <c r="AC996" s="35"/>
      <c r="AD996" s="35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</row>
    <row r="997" spans="1:65" ht="13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35"/>
      <c r="Y997" s="17"/>
      <c r="Z997" s="17"/>
      <c r="AA997" s="17"/>
      <c r="AB997" s="35"/>
      <c r="AC997" s="35"/>
      <c r="AD997" s="35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</row>
    <row r="998" spans="1:65" ht="13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35"/>
      <c r="Y998" s="17"/>
      <c r="Z998" s="17"/>
      <c r="AA998" s="17"/>
      <c r="AB998" s="35"/>
      <c r="AC998" s="35"/>
      <c r="AD998" s="35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</row>
    <row r="999" spans="1:65" ht="13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35"/>
      <c r="Y999" s="17"/>
      <c r="Z999" s="17"/>
      <c r="AA999" s="17"/>
      <c r="AB999" s="35"/>
      <c r="AC999" s="35"/>
      <c r="AD999" s="35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</row>
    <row r="1000" spans="1:65" ht="13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35"/>
      <c r="Y1000" s="17"/>
      <c r="Z1000" s="17"/>
      <c r="AA1000" s="17"/>
      <c r="AB1000" s="35"/>
      <c r="AC1000" s="35"/>
      <c r="AD1000" s="35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</row>
    <row r="1001" spans="1:65" ht="13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35"/>
      <c r="Y1001" s="17"/>
      <c r="Z1001" s="17"/>
      <c r="AA1001" s="17"/>
      <c r="AB1001" s="35"/>
      <c r="AC1001" s="35"/>
      <c r="AD1001" s="35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  <c r="BA1001" s="17"/>
      <c r="BB1001" s="17"/>
      <c r="BC1001" s="17"/>
      <c r="BD1001" s="17"/>
      <c r="BE1001" s="17"/>
      <c r="BF1001" s="17"/>
      <c r="BG1001" s="17"/>
      <c r="BH1001" s="17"/>
      <c r="BI1001" s="17"/>
      <c r="BJ1001" s="17"/>
      <c r="BK1001" s="17"/>
      <c r="BL1001" s="17"/>
      <c r="BM1001" s="17"/>
    </row>
    <row r="1002" spans="1:65" ht="13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35"/>
      <c r="Y1002" s="17"/>
      <c r="Z1002" s="17"/>
      <c r="AA1002" s="17"/>
      <c r="AB1002" s="35"/>
      <c r="AC1002" s="35"/>
      <c r="AD1002" s="35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  <c r="BA1002" s="17"/>
      <c r="BB1002" s="17"/>
      <c r="BC1002" s="17"/>
      <c r="BD1002" s="17"/>
      <c r="BE1002" s="17"/>
      <c r="BF1002" s="17"/>
      <c r="BG1002" s="17"/>
      <c r="BH1002" s="17"/>
      <c r="BI1002" s="17"/>
      <c r="BJ1002" s="17"/>
      <c r="BK1002" s="17"/>
      <c r="BL1002" s="17"/>
      <c r="BM1002" s="17"/>
    </row>
  </sheetData>
  <conditionalFormatting sqref="E12:G12 I12:L12">
    <cfRule type="expression" dxfId="6" priority="1">
      <formula>SUM($M12:$X12) &gt; 0</formula>
    </cfRule>
  </conditionalFormatting>
  <conditionalFormatting sqref="L8">
    <cfRule type="expression" dxfId="5" priority="2">
      <formula>SUM($M7:$X7) &gt;0</formula>
    </cfRule>
  </conditionalFormatting>
  <conditionalFormatting sqref="J8">
    <cfRule type="expression" dxfId="4" priority="3">
      <formula>SUM($M7:$X7) &gt;0</formula>
    </cfRule>
  </conditionalFormatting>
  <conditionalFormatting sqref="G8">
    <cfRule type="expression" dxfId="3" priority="4">
      <formula>SUM($M7:$X7) &gt;0</formula>
    </cfRule>
  </conditionalFormatting>
  <conditionalFormatting sqref="F8">
    <cfRule type="expression" dxfId="2" priority="5">
      <formula>SUM($M7:$X7) &gt;0</formula>
    </cfRule>
  </conditionalFormatting>
  <conditionalFormatting sqref="E8">
    <cfRule type="expression" dxfId="1" priority="6">
      <formula>SUM($M7:$X7) &gt;0</formula>
    </cfRule>
  </conditionalFormatting>
  <conditionalFormatting sqref="B2:D32 E2:E6 F2:F7 G2:G6 I2:I32 J2:J6 K2:K32 L2:L6 M2:X32 AD2:AD32 E9:G32 J9:J32 L9:L32 AH12:AI32">
    <cfRule type="expression" dxfId="0" priority="7">
      <formula>SUM($M2:$X2) &gt;0</formula>
    </cfRule>
  </conditionalFormatting>
  <conditionalFormatting sqref="AC2:AC32">
    <cfRule type="colorScale" priority="8">
      <colorScale>
        <cfvo type="min"/>
        <cfvo type="max"/>
        <color rgb="FF999999"/>
        <color rgb="FFFFFFFF"/>
      </colorScale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Y142"/>
  <sheetViews>
    <sheetView workbookViewId="0"/>
  </sheetViews>
  <sheetFormatPr baseColWidth="10" defaultColWidth="12.6640625" defaultRowHeight="15.75" customHeight="1"/>
  <cols>
    <col min="1" max="1" width="7.5" customWidth="1"/>
    <col min="2" max="59" width="6.33203125" customWidth="1"/>
  </cols>
  <sheetData>
    <row r="1" spans="1:25" ht="15.75" customHeight="1">
      <c r="A1" s="8" t="s">
        <v>242</v>
      </c>
    </row>
    <row r="2" spans="1:25" ht="15.75" customHeight="1">
      <c r="B2" t="s">
        <v>243</v>
      </c>
      <c r="D2" t="s">
        <v>244</v>
      </c>
      <c r="F2" t="s">
        <v>245</v>
      </c>
      <c r="H2" t="s">
        <v>246</v>
      </c>
      <c r="J2" t="s">
        <v>247</v>
      </c>
      <c r="L2" t="s">
        <v>248</v>
      </c>
      <c r="N2" t="s">
        <v>249</v>
      </c>
      <c r="P2" t="s">
        <v>250</v>
      </c>
      <c r="R2" t="s">
        <v>251</v>
      </c>
      <c r="T2" t="s">
        <v>252</v>
      </c>
      <c r="V2" t="s">
        <v>253</v>
      </c>
      <c r="X2" t="s">
        <v>254</v>
      </c>
    </row>
    <row r="3" spans="1:25" ht="15.75" customHeight="1">
      <c r="A3" t="s">
        <v>255</v>
      </c>
      <c r="B3" t="s">
        <v>256</v>
      </c>
      <c r="C3" t="s">
        <v>257</v>
      </c>
      <c r="D3" t="s">
        <v>256</v>
      </c>
      <c r="E3" t="s">
        <v>257</v>
      </c>
      <c r="F3" t="s">
        <v>256</v>
      </c>
      <c r="G3" t="s">
        <v>257</v>
      </c>
      <c r="H3" t="s">
        <v>256</v>
      </c>
      <c r="I3" t="s">
        <v>257</v>
      </c>
      <c r="J3" t="s">
        <v>256</v>
      </c>
      <c r="K3" t="s">
        <v>257</v>
      </c>
      <c r="L3" t="s">
        <v>256</v>
      </c>
      <c r="M3" t="s">
        <v>257</v>
      </c>
      <c r="N3" t="s">
        <v>256</v>
      </c>
      <c r="O3" t="s">
        <v>257</v>
      </c>
      <c r="P3" t="s">
        <v>256</v>
      </c>
      <c r="Q3" t="s">
        <v>257</v>
      </c>
      <c r="R3" t="s">
        <v>256</v>
      </c>
      <c r="S3" t="s">
        <v>257</v>
      </c>
      <c r="T3" t="s">
        <v>256</v>
      </c>
      <c r="U3" t="s">
        <v>257</v>
      </c>
      <c r="V3" t="s">
        <v>256</v>
      </c>
      <c r="W3" t="s">
        <v>257</v>
      </c>
      <c r="X3" t="s">
        <v>256</v>
      </c>
      <c r="Y3" t="s">
        <v>257</v>
      </c>
    </row>
    <row r="4" spans="1:25" ht="15.75" customHeight="1">
      <c r="A4">
        <v>1</v>
      </c>
      <c r="B4">
        <v>751</v>
      </c>
      <c r="C4">
        <v>1638</v>
      </c>
      <c r="D4">
        <v>731</v>
      </c>
      <c r="E4">
        <v>1718</v>
      </c>
      <c r="F4">
        <v>648</v>
      </c>
      <c r="G4">
        <v>1758</v>
      </c>
      <c r="H4">
        <v>550</v>
      </c>
      <c r="I4">
        <v>1839</v>
      </c>
      <c r="J4">
        <v>458</v>
      </c>
      <c r="K4">
        <v>1918</v>
      </c>
      <c r="L4">
        <v>425</v>
      </c>
      <c r="M4">
        <v>1952</v>
      </c>
      <c r="N4">
        <v>426</v>
      </c>
      <c r="O4">
        <v>2003</v>
      </c>
      <c r="P4">
        <v>455</v>
      </c>
      <c r="Q4">
        <v>1938</v>
      </c>
      <c r="R4">
        <v>532</v>
      </c>
      <c r="S4">
        <v>1848</v>
      </c>
      <c r="T4">
        <v>609</v>
      </c>
      <c r="U4">
        <v>1750</v>
      </c>
      <c r="V4">
        <v>651</v>
      </c>
      <c r="W4">
        <v>1657</v>
      </c>
      <c r="X4">
        <v>731</v>
      </c>
      <c r="Y4">
        <v>1629</v>
      </c>
    </row>
    <row r="5" spans="1:25" ht="15.75" customHeight="1">
      <c r="A5">
        <v>2</v>
      </c>
      <c r="B5">
        <v>751</v>
      </c>
      <c r="C5">
        <v>1639</v>
      </c>
      <c r="D5">
        <v>730</v>
      </c>
      <c r="E5">
        <v>1719</v>
      </c>
      <c r="F5">
        <v>647</v>
      </c>
      <c r="G5">
        <v>1759</v>
      </c>
      <c r="H5">
        <v>548</v>
      </c>
      <c r="I5">
        <v>1841</v>
      </c>
      <c r="J5">
        <v>457</v>
      </c>
      <c r="K5">
        <v>1919</v>
      </c>
      <c r="L5">
        <v>425</v>
      </c>
      <c r="M5">
        <v>1953</v>
      </c>
      <c r="N5">
        <v>427</v>
      </c>
      <c r="O5">
        <v>2003</v>
      </c>
      <c r="P5">
        <v>456</v>
      </c>
      <c r="Q5">
        <v>1937</v>
      </c>
      <c r="R5">
        <v>534</v>
      </c>
      <c r="S5">
        <v>1846</v>
      </c>
      <c r="T5">
        <v>611</v>
      </c>
      <c r="U5">
        <v>1748</v>
      </c>
      <c r="V5">
        <v>652</v>
      </c>
      <c r="W5">
        <v>1656</v>
      </c>
      <c r="X5">
        <v>732</v>
      </c>
      <c r="Y5">
        <v>1628</v>
      </c>
    </row>
    <row r="6" spans="1:25" ht="15.75" customHeight="1">
      <c r="A6">
        <v>3</v>
      </c>
      <c r="B6">
        <v>751</v>
      </c>
      <c r="C6">
        <v>1640</v>
      </c>
      <c r="D6">
        <v>729</v>
      </c>
      <c r="E6">
        <v>1721</v>
      </c>
      <c r="F6">
        <v>645</v>
      </c>
      <c r="G6">
        <v>1801</v>
      </c>
      <c r="H6">
        <v>546</v>
      </c>
      <c r="I6">
        <v>1842</v>
      </c>
      <c r="J6">
        <v>455</v>
      </c>
      <c r="K6">
        <v>1920</v>
      </c>
      <c r="L6">
        <v>424</v>
      </c>
      <c r="M6">
        <v>1954</v>
      </c>
      <c r="N6">
        <v>427</v>
      </c>
      <c r="O6">
        <v>2002</v>
      </c>
      <c r="P6">
        <v>457</v>
      </c>
      <c r="Q6">
        <v>1935</v>
      </c>
      <c r="R6">
        <v>535</v>
      </c>
      <c r="S6">
        <v>1844</v>
      </c>
      <c r="T6">
        <v>612</v>
      </c>
      <c r="U6">
        <v>1746</v>
      </c>
      <c r="V6">
        <v>654</v>
      </c>
      <c r="W6">
        <v>1654</v>
      </c>
      <c r="X6">
        <v>733</v>
      </c>
      <c r="Y6">
        <v>1628</v>
      </c>
    </row>
    <row r="7" spans="1:25" ht="15.75" customHeight="1">
      <c r="A7">
        <v>4</v>
      </c>
      <c r="B7">
        <v>751</v>
      </c>
      <c r="C7">
        <v>1641</v>
      </c>
      <c r="D7">
        <v>727</v>
      </c>
      <c r="E7">
        <v>1722</v>
      </c>
      <c r="F7">
        <v>643</v>
      </c>
      <c r="G7">
        <v>1802</v>
      </c>
      <c r="H7">
        <v>545</v>
      </c>
      <c r="I7">
        <v>1843</v>
      </c>
      <c r="J7">
        <v>454</v>
      </c>
      <c r="K7">
        <v>1922</v>
      </c>
      <c r="L7">
        <v>424</v>
      </c>
      <c r="M7">
        <v>1955</v>
      </c>
      <c r="N7">
        <v>428</v>
      </c>
      <c r="O7">
        <v>2002</v>
      </c>
      <c r="P7">
        <v>458</v>
      </c>
      <c r="Q7">
        <v>1934</v>
      </c>
      <c r="R7">
        <v>536</v>
      </c>
      <c r="S7">
        <v>1842</v>
      </c>
      <c r="T7">
        <v>613</v>
      </c>
      <c r="U7">
        <v>1744</v>
      </c>
      <c r="V7">
        <v>655</v>
      </c>
      <c r="W7">
        <v>1653</v>
      </c>
      <c r="X7">
        <v>734</v>
      </c>
      <c r="Y7">
        <v>1628</v>
      </c>
    </row>
    <row r="8" spans="1:25" ht="15.75" customHeight="1">
      <c r="A8">
        <v>5</v>
      </c>
      <c r="B8">
        <v>751</v>
      </c>
      <c r="C8">
        <v>1642</v>
      </c>
      <c r="D8">
        <v>726</v>
      </c>
      <c r="E8">
        <v>1724</v>
      </c>
      <c r="F8">
        <v>641</v>
      </c>
      <c r="G8">
        <v>1804</v>
      </c>
      <c r="H8">
        <v>543</v>
      </c>
      <c r="I8">
        <v>1844</v>
      </c>
      <c r="J8">
        <v>452</v>
      </c>
      <c r="K8">
        <v>1923</v>
      </c>
      <c r="L8">
        <v>423</v>
      </c>
      <c r="M8">
        <v>1956</v>
      </c>
      <c r="N8">
        <v>429</v>
      </c>
      <c r="O8">
        <v>2002</v>
      </c>
      <c r="P8">
        <v>500</v>
      </c>
      <c r="Q8">
        <v>1933</v>
      </c>
      <c r="R8">
        <v>537</v>
      </c>
      <c r="S8">
        <v>1840</v>
      </c>
      <c r="T8">
        <v>614</v>
      </c>
      <c r="U8">
        <v>1743</v>
      </c>
      <c r="V8">
        <v>656</v>
      </c>
      <c r="W8">
        <v>1652</v>
      </c>
      <c r="X8">
        <v>735</v>
      </c>
      <c r="Y8">
        <v>1627</v>
      </c>
    </row>
    <row r="9" spans="1:25" ht="15.75" customHeight="1">
      <c r="A9">
        <v>6</v>
      </c>
      <c r="B9">
        <v>750</v>
      </c>
      <c r="C9">
        <v>1643</v>
      </c>
      <c r="D9">
        <v>725</v>
      </c>
      <c r="E9">
        <v>1725</v>
      </c>
      <c r="F9">
        <v>639</v>
      </c>
      <c r="G9">
        <v>1805</v>
      </c>
      <c r="H9">
        <v>541</v>
      </c>
      <c r="I9">
        <v>1846</v>
      </c>
      <c r="J9">
        <v>451</v>
      </c>
      <c r="K9">
        <v>1924</v>
      </c>
      <c r="L9">
        <v>423</v>
      </c>
      <c r="M9">
        <v>1956</v>
      </c>
      <c r="N9">
        <v>429</v>
      </c>
      <c r="O9">
        <v>2001</v>
      </c>
      <c r="P9">
        <v>501</v>
      </c>
      <c r="Q9">
        <v>1931</v>
      </c>
      <c r="R9">
        <v>539</v>
      </c>
      <c r="S9">
        <v>1838</v>
      </c>
      <c r="T9">
        <v>616</v>
      </c>
      <c r="U9">
        <v>1741</v>
      </c>
      <c r="V9">
        <v>658</v>
      </c>
      <c r="W9">
        <v>1650</v>
      </c>
      <c r="X9">
        <v>736</v>
      </c>
      <c r="Y9">
        <v>1627</v>
      </c>
    </row>
    <row r="10" spans="1:25" ht="15.75" customHeight="1">
      <c r="A10">
        <v>7</v>
      </c>
      <c r="B10">
        <v>750</v>
      </c>
      <c r="C10">
        <v>1644</v>
      </c>
      <c r="D10">
        <v>723</v>
      </c>
      <c r="E10">
        <v>1727</v>
      </c>
      <c r="F10">
        <v>637</v>
      </c>
      <c r="G10">
        <v>1806</v>
      </c>
      <c r="H10">
        <v>539</v>
      </c>
      <c r="I10">
        <v>1847</v>
      </c>
      <c r="J10">
        <v>450</v>
      </c>
      <c r="K10">
        <v>1925</v>
      </c>
      <c r="L10">
        <v>422</v>
      </c>
      <c r="M10">
        <v>1957</v>
      </c>
      <c r="N10">
        <v>430</v>
      </c>
      <c r="O10">
        <v>2001</v>
      </c>
      <c r="P10">
        <v>502</v>
      </c>
      <c r="Q10">
        <v>1930</v>
      </c>
      <c r="R10">
        <v>540</v>
      </c>
      <c r="S10">
        <v>1836</v>
      </c>
      <c r="T10">
        <v>617</v>
      </c>
      <c r="U10">
        <v>1739</v>
      </c>
      <c r="V10">
        <v>659</v>
      </c>
      <c r="W10">
        <v>1649</v>
      </c>
      <c r="X10">
        <v>737</v>
      </c>
      <c r="Y10">
        <v>1627</v>
      </c>
    </row>
    <row r="11" spans="1:25" ht="15.75" customHeight="1">
      <c r="A11">
        <v>8</v>
      </c>
      <c r="B11">
        <v>750</v>
      </c>
      <c r="C11">
        <v>1646</v>
      </c>
      <c r="D11">
        <v>722</v>
      </c>
      <c r="E11">
        <v>1728</v>
      </c>
      <c r="F11">
        <v>636</v>
      </c>
      <c r="G11">
        <v>1808</v>
      </c>
      <c r="H11">
        <v>537</v>
      </c>
      <c r="I11">
        <v>1848</v>
      </c>
      <c r="J11">
        <v>448</v>
      </c>
      <c r="K11">
        <v>1927</v>
      </c>
      <c r="L11">
        <v>422</v>
      </c>
      <c r="M11">
        <v>1958</v>
      </c>
      <c r="N11">
        <v>431</v>
      </c>
      <c r="O11">
        <v>2000</v>
      </c>
      <c r="P11">
        <v>503</v>
      </c>
      <c r="Q11">
        <v>1928</v>
      </c>
      <c r="R11">
        <v>541</v>
      </c>
      <c r="S11">
        <v>1834</v>
      </c>
      <c r="T11">
        <v>618</v>
      </c>
      <c r="U11">
        <v>1737</v>
      </c>
      <c r="V11">
        <v>701</v>
      </c>
      <c r="W11">
        <v>1648</v>
      </c>
      <c r="X11">
        <v>738</v>
      </c>
      <c r="Y11">
        <v>1627</v>
      </c>
    </row>
    <row r="12" spans="1:25" ht="15.75" customHeight="1">
      <c r="A12">
        <v>9</v>
      </c>
      <c r="B12">
        <v>750</v>
      </c>
      <c r="C12">
        <v>1647</v>
      </c>
      <c r="D12">
        <v>721</v>
      </c>
      <c r="E12">
        <v>1730</v>
      </c>
      <c r="F12">
        <v>634</v>
      </c>
      <c r="G12">
        <v>1809</v>
      </c>
      <c r="H12">
        <v>535</v>
      </c>
      <c r="I12">
        <v>1850</v>
      </c>
      <c r="J12">
        <v>447</v>
      </c>
      <c r="K12">
        <v>1928</v>
      </c>
      <c r="L12">
        <v>422</v>
      </c>
      <c r="M12">
        <v>1958</v>
      </c>
      <c r="N12">
        <v>432</v>
      </c>
      <c r="O12">
        <v>2000</v>
      </c>
      <c r="P12">
        <v>504</v>
      </c>
      <c r="Q12">
        <v>1927</v>
      </c>
      <c r="R12">
        <v>542</v>
      </c>
      <c r="S12">
        <v>1832</v>
      </c>
      <c r="T12">
        <v>620</v>
      </c>
      <c r="U12">
        <v>1735</v>
      </c>
      <c r="V12">
        <v>702</v>
      </c>
      <c r="W12">
        <v>1647</v>
      </c>
      <c r="X12">
        <v>739</v>
      </c>
      <c r="Y12">
        <v>1627</v>
      </c>
    </row>
    <row r="13" spans="1:25" ht="15.75" customHeight="1">
      <c r="A13">
        <v>10</v>
      </c>
      <c r="B13">
        <v>749</v>
      </c>
      <c r="C13">
        <v>1648</v>
      </c>
      <c r="D13">
        <v>719</v>
      </c>
      <c r="E13">
        <v>1731</v>
      </c>
      <c r="F13">
        <v>632</v>
      </c>
      <c r="G13">
        <v>1810</v>
      </c>
      <c r="H13">
        <v>533</v>
      </c>
      <c r="I13">
        <v>1851</v>
      </c>
      <c r="J13">
        <v>446</v>
      </c>
      <c r="K13">
        <v>1929</v>
      </c>
      <c r="L13">
        <v>422</v>
      </c>
      <c r="M13">
        <v>1959</v>
      </c>
      <c r="N13">
        <v>432</v>
      </c>
      <c r="O13">
        <v>1959</v>
      </c>
      <c r="P13">
        <v>506</v>
      </c>
      <c r="Q13">
        <v>1925</v>
      </c>
      <c r="R13">
        <v>543</v>
      </c>
      <c r="S13">
        <v>1831</v>
      </c>
      <c r="T13">
        <v>621</v>
      </c>
      <c r="U13">
        <v>1733</v>
      </c>
      <c r="V13">
        <v>703</v>
      </c>
      <c r="W13">
        <v>1645</v>
      </c>
      <c r="X13">
        <v>740</v>
      </c>
      <c r="Y13">
        <v>1627</v>
      </c>
    </row>
    <row r="14" spans="1:25" ht="15.75" customHeight="1">
      <c r="A14">
        <v>11</v>
      </c>
      <c r="B14">
        <v>749</v>
      </c>
      <c r="C14">
        <v>1649</v>
      </c>
      <c r="D14">
        <v>718</v>
      </c>
      <c r="E14">
        <v>1732</v>
      </c>
      <c r="F14">
        <v>630</v>
      </c>
      <c r="G14">
        <v>1812</v>
      </c>
      <c r="H14">
        <v>532</v>
      </c>
      <c r="I14">
        <v>1852</v>
      </c>
      <c r="J14">
        <v>444</v>
      </c>
      <c r="K14">
        <v>1930</v>
      </c>
      <c r="L14">
        <v>421</v>
      </c>
      <c r="M14">
        <v>1959</v>
      </c>
      <c r="N14">
        <v>433</v>
      </c>
      <c r="O14">
        <v>1959</v>
      </c>
      <c r="P14">
        <v>507</v>
      </c>
      <c r="Q14">
        <v>1924</v>
      </c>
      <c r="R14">
        <v>545</v>
      </c>
      <c r="S14">
        <v>1829</v>
      </c>
      <c r="T14">
        <v>622</v>
      </c>
      <c r="U14">
        <v>1732</v>
      </c>
      <c r="V14">
        <v>705</v>
      </c>
      <c r="W14">
        <v>1644</v>
      </c>
      <c r="X14">
        <v>741</v>
      </c>
      <c r="Y14">
        <v>1627</v>
      </c>
    </row>
    <row r="15" spans="1:25" ht="15.75" customHeight="1">
      <c r="A15">
        <v>12</v>
      </c>
      <c r="B15">
        <v>748</v>
      </c>
      <c r="C15">
        <v>1650</v>
      </c>
      <c r="D15">
        <v>716</v>
      </c>
      <c r="E15">
        <v>1734</v>
      </c>
      <c r="F15">
        <v>628</v>
      </c>
      <c r="G15">
        <v>1813</v>
      </c>
      <c r="H15">
        <v>530</v>
      </c>
      <c r="I15">
        <v>1854</v>
      </c>
      <c r="J15">
        <v>443</v>
      </c>
      <c r="K15">
        <v>1932</v>
      </c>
      <c r="L15">
        <v>421</v>
      </c>
      <c r="M15">
        <v>2000</v>
      </c>
      <c r="N15">
        <v>434</v>
      </c>
      <c r="O15">
        <v>1958</v>
      </c>
      <c r="P15">
        <v>508</v>
      </c>
      <c r="Q15">
        <v>1922</v>
      </c>
      <c r="R15">
        <v>546</v>
      </c>
      <c r="S15">
        <v>1827</v>
      </c>
      <c r="T15">
        <v>623</v>
      </c>
      <c r="U15">
        <v>1730</v>
      </c>
      <c r="V15">
        <v>706</v>
      </c>
      <c r="W15">
        <v>1643</v>
      </c>
      <c r="X15">
        <v>742</v>
      </c>
      <c r="Y15">
        <v>1627</v>
      </c>
    </row>
    <row r="16" spans="1:25" ht="15.75" customHeight="1">
      <c r="A16">
        <v>13</v>
      </c>
      <c r="B16">
        <v>748</v>
      </c>
      <c r="C16">
        <v>1652</v>
      </c>
      <c r="D16">
        <v>715</v>
      </c>
      <c r="E16">
        <v>1735</v>
      </c>
      <c r="F16">
        <v>626</v>
      </c>
      <c r="G16">
        <v>1814</v>
      </c>
      <c r="H16">
        <v>528</v>
      </c>
      <c r="I16">
        <v>1855</v>
      </c>
      <c r="J16">
        <v>442</v>
      </c>
      <c r="K16">
        <v>1933</v>
      </c>
      <c r="L16">
        <v>421</v>
      </c>
      <c r="M16">
        <v>2000</v>
      </c>
      <c r="N16">
        <v>435</v>
      </c>
      <c r="O16">
        <v>1957</v>
      </c>
      <c r="P16">
        <v>509</v>
      </c>
      <c r="Q16">
        <v>1921</v>
      </c>
      <c r="R16">
        <v>547</v>
      </c>
      <c r="S16">
        <v>1825</v>
      </c>
      <c r="T16">
        <v>625</v>
      </c>
      <c r="U16">
        <v>1728</v>
      </c>
      <c r="V16">
        <v>707</v>
      </c>
      <c r="W16">
        <v>1642</v>
      </c>
      <c r="X16">
        <v>743</v>
      </c>
      <c r="Y16">
        <v>1627</v>
      </c>
    </row>
    <row r="17" spans="1:25" ht="15.75" customHeight="1">
      <c r="A17">
        <v>14</v>
      </c>
      <c r="B17">
        <v>747</v>
      </c>
      <c r="C17">
        <v>1653</v>
      </c>
      <c r="D17">
        <v>713</v>
      </c>
      <c r="E17">
        <v>1737</v>
      </c>
      <c r="F17">
        <v>624</v>
      </c>
      <c r="G17">
        <v>1816</v>
      </c>
      <c r="H17">
        <v>526</v>
      </c>
      <c r="I17">
        <v>1856</v>
      </c>
      <c r="J17">
        <v>441</v>
      </c>
      <c r="K17">
        <v>1934</v>
      </c>
      <c r="L17">
        <v>421</v>
      </c>
      <c r="M17">
        <v>2001</v>
      </c>
      <c r="N17">
        <v>436</v>
      </c>
      <c r="O17">
        <v>1957</v>
      </c>
      <c r="P17">
        <v>510</v>
      </c>
      <c r="Q17">
        <v>1919</v>
      </c>
      <c r="R17">
        <v>548</v>
      </c>
      <c r="S17">
        <v>1823</v>
      </c>
      <c r="T17">
        <v>626</v>
      </c>
      <c r="U17">
        <v>1726</v>
      </c>
      <c r="V17">
        <v>709</v>
      </c>
      <c r="W17">
        <v>1641</v>
      </c>
      <c r="X17">
        <v>743</v>
      </c>
      <c r="Y17">
        <v>1627</v>
      </c>
    </row>
    <row r="18" spans="1:25" ht="15.75" customHeight="1">
      <c r="A18">
        <v>15</v>
      </c>
      <c r="B18">
        <v>747</v>
      </c>
      <c r="C18">
        <v>1654</v>
      </c>
      <c r="D18">
        <v>712</v>
      </c>
      <c r="E18">
        <v>1738</v>
      </c>
      <c r="F18">
        <v>622</v>
      </c>
      <c r="G18">
        <v>1817</v>
      </c>
      <c r="H18">
        <v>524</v>
      </c>
      <c r="I18">
        <v>1857</v>
      </c>
      <c r="J18">
        <v>440</v>
      </c>
      <c r="K18">
        <v>1935</v>
      </c>
      <c r="L18">
        <v>421</v>
      </c>
      <c r="M18">
        <v>2001</v>
      </c>
      <c r="N18">
        <v>437</v>
      </c>
      <c r="O18">
        <v>1956</v>
      </c>
      <c r="P18">
        <v>512</v>
      </c>
      <c r="Q18">
        <v>1917</v>
      </c>
      <c r="R18">
        <v>549</v>
      </c>
      <c r="S18">
        <v>1821</v>
      </c>
      <c r="T18">
        <v>627</v>
      </c>
      <c r="U18">
        <v>1724</v>
      </c>
      <c r="V18">
        <v>710</v>
      </c>
      <c r="W18">
        <v>1640</v>
      </c>
      <c r="X18">
        <v>744</v>
      </c>
      <c r="Y18">
        <v>1628</v>
      </c>
    </row>
    <row r="19" spans="1:25" ht="15.75" customHeight="1">
      <c r="A19">
        <v>16</v>
      </c>
      <c r="B19">
        <v>746</v>
      </c>
      <c r="C19">
        <v>1655</v>
      </c>
      <c r="D19">
        <v>710</v>
      </c>
      <c r="E19">
        <v>1740</v>
      </c>
      <c r="F19">
        <v>621</v>
      </c>
      <c r="G19">
        <v>1818</v>
      </c>
      <c r="H19">
        <v>523</v>
      </c>
      <c r="I19">
        <v>1859</v>
      </c>
      <c r="J19">
        <v>438</v>
      </c>
      <c r="K19">
        <v>1936</v>
      </c>
      <c r="L19">
        <v>421</v>
      </c>
      <c r="M19">
        <v>2002</v>
      </c>
      <c r="N19">
        <v>438</v>
      </c>
      <c r="O19">
        <v>1955</v>
      </c>
      <c r="P19">
        <v>513</v>
      </c>
      <c r="Q19">
        <v>1916</v>
      </c>
      <c r="R19">
        <v>551</v>
      </c>
      <c r="S19">
        <v>1819</v>
      </c>
      <c r="T19">
        <v>629</v>
      </c>
      <c r="U19">
        <v>1723</v>
      </c>
      <c r="V19">
        <v>712</v>
      </c>
      <c r="W19">
        <v>1639</v>
      </c>
      <c r="X19">
        <v>745</v>
      </c>
      <c r="Y19">
        <v>1628</v>
      </c>
    </row>
    <row r="20" spans="1:25" ht="15.75" customHeight="1">
      <c r="A20">
        <v>17</v>
      </c>
      <c r="B20">
        <v>745</v>
      </c>
      <c r="C20">
        <v>1657</v>
      </c>
      <c r="D20">
        <v>709</v>
      </c>
      <c r="E20">
        <v>1741</v>
      </c>
      <c r="F20">
        <v>619</v>
      </c>
      <c r="G20">
        <v>1820</v>
      </c>
      <c r="H20">
        <v>521</v>
      </c>
      <c r="I20">
        <v>1900</v>
      </c>
      <c r="J20">
        <v>437</v>
      </c>
      <c r="K20">
        <v>1937</v>
      </c>
      <c r="L20">
        <v>421</v>
      </c>
      <c r="M20">
        <v>2002</v>
      </c>
      <c r="N20">
        <v>439</v>
      </c>
      <c r="O20">
        <v>1954</v>
      </c>
      <c r="P20">
        <v>514</v>
      </c>
      <c r="Q20">
        <v>1914</v>
      </c>
      <c r="R20">
        <v>552</v>
      </c>
      <c r="S20">
        <v>1817</v>
      </c>
      <c r="T20">
        <v>630</v>
      </c>
      <c r="U20">
        <v>1721</v>
      </c>
      <c r="V20">
        <v>713</v>
      </c>
      <c r="W20">
        <v>1638</v>
      </c>
      <c r="X20">
        <v>746</v>
      </c>
      <c r="Y20">
        <v>1628</v>
      </c>
    </row>
    <row r="21" spans="1:25" ht="15.75" customHeight="1">
      <c r="A21">
        <v>18</v>
      </c>
      <c r="B21">
        <v>745</v>
      </c>
      <c r="C21">
        <v>1658</v>
      </c>
      <c r="D21">
        <v>707</v>
      </c>
      <c r="E21">
        <v>1743</v>
      </c>
      <c r="F21">
        <v>617</v>
      </c>
      <c r="G21">
        <v>1821</v>
      </c>
      <c r="H21">
        <v>519</v>
      </c>
      <c r="I21">
        <v>1901</v>
      </c>
      <c r="J21">
        <v>436</v>
      </c>
      <c r="K21">
        <v>1938</v>
      </c>
      <c r="L21">
        <v>421</v>
      </c>
      <c r="M21">
        <v>2002</v>
      </c>
      <c r="N21">
        <v>440</v>
      </c>
      <c r="O21">
        <v>1954</v>
      </c>
      <c r="P21">
        <v>515</v>
      </c>
      <c r="Q21">
        <v>1912</v>
      </c>
      <c r="R21">
        <v>553</v>
      </c>
      <c r="S21">
        <v>1815</v>
      </c>
      <c r="T21">
        <v>631</v>
      </c>
      <c r="U21">
        <v>1719</v>
      </c>
      <c r="V21">
        <v>714</v>
      </c>
      <c r="W21">
        <v>1637</v>
      </c>
      <c r="X21">
        <v>746</v>
      </c>
      <c r="Y21">
        <v>1629</v>
      </c>
    </row>
    <row r="22" spans="1:25" ht="15.75" customHeight="1">
      <c r="A22">
        <v>19</v>
      </c>
      <c r="B22">
        <v>744</v>
      </c>
      <c r="C22">
        <v>1659</v>
      </c>
      <c r="D22">
        <v>705</v>
      </c>
      <c r="E22">
        <v>1744</v>
      </c>
      <c r="F22">
        <v>615</v>
      </c>
      <c r="G22">
        <v>1822</v>
      </c>
      <c r="H22">
        <v>518</v>
      </c>
      <c r="I22">
        <v>1903</v>
      </c>
      <c r="J22">
        <v>435</v>
      </c>
      <c r="K22">
        <v>1940</v>
      </c>
      <c r="L22">
        <v>421</v>
      </c>
      <c r="M22">
        <v>2003</v>
      </c>
      <c r="N22">
        <v>441</v>
      </c>
      <c r="O22">
        <v>1953</v>
      </c>
      <c r="P22">
        <v>517</v>
      </c>
      <c r="Q22">
        <v>1911</v>
      </c>
      <c r="R22">
        <v>554</v>
      </c>
      <c r="S22">
        <v>1813</v>
      </c>
      <c r="T22">
        <v>633</v>
      </c>
      <c r="U22">
        <v>1717</v>
      </c>
      <c r="V22">
        <v>716</v>
      </c>
      <c r="W22">
        <v>1636</v>
      </c>
      <c r="X22">
        <v>747</v>
      </c>
      <c r="Y22">
        <v>1629</v>
      </c>
    </row>
    <row r="23" spans="1:25" ht="15.75" customHeight="1">
      <c r="A23">
        <v>20</v>
      </c>
      <c r="B23">
        <v>743</v>
      </c>
      <c r="C23">
        <v>1701</v>
      </c>
      <c r="D23">
        <v>704</v>
      </c>
      <c r="E23">
        <v>1745</v>
      </c>
      <c r="F23">
        <v>613</v>
      </c>
      <c r="G23">
        <v>1824</v>
      </c>
      <c r="H23">
        <v>516</v>
      </c>
      <c r="I23">
        <v>1904</v>
      </c>
      <c r="J23">
        <v>434</v>
      </c>
      <c r="K23">
        <v>1941</v>
      </c>
      <c r="L23">
        <v>422</v>
      </c>
      <c r="M23">
        <v>2003</v>
      </c>
      <c r="N23">
        <v>442</v>
      </c>
      <c r="O23">
        <v>1952</v>
      </c>
      <c r="P23">
        <v>518</v>
      </c>
      <c r="Q23">
        <v>1909</v>
      </c>
      <c r="R23">
        <v>556</v>
      </c>
      <c r="S23">
        <v>1811</v>
      </c>
      <c r="T23">
        <v>634</v>
      </c>
      <c r="U23">
        <v>1716</v>
      </c>
      <c r="V23">
        <v>717</v>
      </c>
      <c r="W23">
        <v>1635</v>
      </c>
      <c r="X23">
        <v>747</v>
      </c>
      <c r="Y23">
        <v>1630</v>
      </c>
    </row>
    <row r="24" spans="1:25" ht="15.75" customHeight="1">
      <c r="A24">
        <v>21</v>
      </c>
      <c r="B24">
        <v>742</v>
      </c>
      <c r="C24">
        <v>1702</v>
      </c>
      <c r="D24">
        <v>702</v>
      </c>
      <c r="E24">
        <v>1747</v>
      </c>
      <c r="F24">
        <v>611</v>
      </c>
      <c r="G24">
        <v>1825</v>
      </c>
      <c r="H24">
        <v>514</v>
      </c>
      <c r="I24">
        <v>1905</v>
      </c>
      <c r="J24">
        <v>433</v>
      </c>
      <c r="K24">
        <v>1942</v>
      </c>
      <c r="L24">
        <v>422</v>
      </c>
      <c r="M24">
        <v>2003</v>
      </c>
      <c r="N24">
        <v>443</v>
      </c>
      <c r="O24">
        <v>1951</v>
      </c>
      <c r="P24">
        <v>519</v>
      </c>
      <c r="Q24">
        <v>1907</v>
      </c>
      <c r="R24">
        <v>557</v>
      </c>
      <c r="S24">
        <v>1809</v>
      </c>
      <c r="T24">
        <v>636</v>
      </c>
      <c r="U24">
        <v>1714</v>
      </c>
      <c r="V24">
        <v>718</v>
      </c>
      <c r="W24">
        <v>1634</v>
      </c>
      <c r="X24">
        <v>748</v>
      </c>
      <c r="Y24">
        <v>1630</v>
      </c>
    </row>
    <row r="25" spans="1:25" ht="15.75" customHeight="1">
      <c r="A25">
        <v>22</v>
      </c>
      <c r="B25">
        <v>742</v>
      </c>
      <c r="C25">
        <v>1704</v>
      </c>
      <c r="D25">
        <v>700</v>
      </c>
      <c r="E25">
        <v>1748</v>
      </c>
      <c r="F25">
        <v>609</v>
      </c>
      <c r="G25">
        <v>1826</v>
      </c>
      <c r="H25">
        <v>512</v>
      </c>
      <c r="I25">
        <v>1906</v>
      </c>
      <c r="J25">
        <v>432</v>
      </c>
      <c r="K25">
        <v>1943</v>
      </c>
      <c r="L25">
        <v>422</v>
      </c>
      <c r="M25">
        <v>2003</v>
      </c>
      <c r="N25">
        <v>444</v>
      </c>
      <c r="O25">
        <v>1950</v>
      </c>
      <c r="P25">
        <v>520</v>
      </c>
      <c r="Q25">
        <v>1906</v>
      </c>
      <c r="R25">
        <v>558</v>
      </c>
      <c r="S25">
        <v>1807</v>
      </c>
      <c r="T25">
        <v>637</v>
      </c>
      <c r="U25">
        <v>1712</v>
      </c>
      <c r="V25">
        <v>720</v>
      </c>
      <c r="W25">
        <v>1634</v>
      </c>
      <c r="X25">
        <v>748</v>
      </c>
      <c r="Y25">
        <v>1631</v>
      </c>
    </row>
    <row r="26" spans="1:25" ht="15.75" customHeight="1">
      <c r="A26">
        <v>23</v>
      </c>
      <c r="B26">
        <v>741</v>
      </c>
      <c r="C26">
        <v>1705</v>
      </c>
      <c r="D26">
        <v>659</v>
      </c>
      <c r="E26">
        <v>1750</v>
      </c>
      <c r="F26">
        <v>607</v>
      </c>
      <c r="G26">
        <v>1828</v>
      </c>
      <c r="H26">
        <v>511</v>
      </c>
      <c r="I26">
        <v>1908</v>
      </c>
      <c r="J26">
        <v>431</v>
      </c>
      <c r="K26">
        <v>1944</v>
      </c>
      <c r="L26">
        <v>422</v>
      </c>
      <c r="M26">
        <v>2003</v>
      </c>
      <c r="N26">
        <v>445</v>
      </c>
      <c r="O26">
        <v>1949</v>
      </c>
      <c r="P26">
        <v>521</v>
      </c>
      <c r="Q26">
        <v>1904</v>
      </c>
      <c r="R26">
        <v>559</v>
      </c>
      <c r="S26">
        <v>1805</v>
      </c>
      <c r="T26">
        <v>638</v>
      </c>
      <c r="U26">
        <v>1711</v>
      </c>
      <c r="V26">
        <v>721</v>
      </c>
      <c r="W26">
        <v>1633</v>
      </c>
      <c r="X26">
        <v>749</v>
      </c>
      <c r="Y26">
        <v>1631</v>
      </c>
    </row>
    <row r="27" spans="1:25" ht="15.75" customHeight="1">
      <c r="A27">
        <v>24</v>
      </c>
      <c r="B27">
        <v>740</v>
      </c>
      <c r="C27">
        <v>1706</v>
      </c>
      <c r="D27">
        <v>657</v>
      </c>
      <c r="E27">
        <v>1751</v>
      </c>
      <c r="F27">
        <v>605</v>
      </c>
      <c r="G27">
        <v>1829</v>
      </c>
      <c r="H27">
        <v>509</v>
      </c>
      <c r="I27">
        <v>1909</v>
      </c>
      <c r="J27">
        <v>431</v>
      </c>
      <c r="K27">
        <v>1945</v>
      </c>
      <c r="L27">
        <v>423</v>
      </c>
      <c r="M27">
        <v>2003</v>
      </c>
      <c r="N27">
        <v>446</v>
      </c>
      <c r="O27">
        <v>1948</v>
      </c>
      <c r="P27">
        <v>523</v>
      </c>
      <c r="Q27">
        <v>1902</v>
      </c>
      <c r="R27">
        <v>601</v>
      </c>
      <c r="S27">
        <v>1804</v>
      </c>
      <c r="T27">
        <v>640</v>
      </c>
      <c r="U27">
        <v>1709</v>
      </c>
      <c r="V27">
        <v>722</v>
      </c>
      <c r="W27">
        <v>1632</v>
      </c>
      <c r="X27">
        <v>749</v>
      </c>
      <c r="Y27">
        <v>1632</v>
      </c>
    </row>
    <row r="28" spans="1:25" ht="15.75" customHeight="1">
      <c r="A28">
        <v>25</v>
      </c>
      <c r="B28">
        <v>739</v>
      </c>
      <c r="C28">
        <v>1708</v>
      </c>
      <c r="D28">
        <v>655</v>
      </c>
      <c r="E28">
        <v>1753</v>
      </c>
      <c r="F28">
        <v>603</v>
      </c>
      <c r="G28">
        <v>1830</v>
      </c>
      <c r="H28">
        <v>508</v>
      </c>
      <c r="I28">
        <v>1910</v>
      </c>
      <c r="J28">
        <v>430</v>
      </c>
      <c r="K28">
        <v>1946</v>
      </c>
      <c r="L28">
        <v>423</v>
      </c>
      <c r="M28">
        <v>2003</v>
      </c>
      <c r="N28">
        <v>447</v>
      </c>
      <c r="O28">
        <v>1947</v>
      </c>
      <c r="P28">
        <v>524</v>
      </c>
      <c r="Q28">
        <v>1900</v>
      </c>
      <c r="R28">
        <v>602</v>
      </c>
      <c r="S28">
        <v>1802</v>
      </c>
      <c r="T28">
        <v>641</v>
      </c>
      <c r="U28">
        <v>1708</v>
      </c>
      <c r="V28">
        <v>724</v>
      </c>
      <c r="W28">
        <v>1632</v>
      </c>
      <c r="X28">
        <v>750</v>
      </c>
      <c r="Y28">
        <v>1632</v>
      </c>
    </row>
    <row r="29" spans="1:25" ht="15.75" customHeight="1">
      <c r="A29">
        <v>26</v>
      </c>
      <c r="B29">
        <v>738</v>
      </c>
      <c r="C29">
        <v>1709</v>
      </c>
      <c r="D29">
        <v>654</v>
      </c>
      <c r="E29">
        <v>1754</v>
      </c>
      <c r="F29">
        <v>602</v>
      </c>
      <c r="G29">
        <v>1831</v>
      </c>
      <c r="H29">
        <v>506</v>
      </c>
      <c r="I29">
        <v>1912</v>
      </c>
      <c r="J29">
        <v>429</v>
      </c>
      <c r="K29">
        <v>1947</v>
      </c>
      <c r="L29">
        <v>423</v>
      </c>
      <c r="M29">
        <v>2003</v>
      </c>
      <c r="N29">
        <v>448</v>
      </c>
      <c r="O29">
        <v>1945</v>
      </c>
      <c r="P29">
        <v>525</v>
      </c>
      <c r="Q29">
        <v>1859</v>
      </c>
      <c r="R29">
        <v>603</v>
      </c>
      <c r="S29">
        <v>1800</v>
      </c>
      <c r="T29">
        <v>642</v>
      </c>
      <c r="U29">
        <v>1706</v>
      </c>
      <c r="V29">
        <v>725</v>
      </c>
      <c r="W29">
        <v>1631</v>
      </c>
      <c r="X29">
        <v>750</v>
      </c>
      <c r="Y29">
        <v>1633</v>
      </c>
    </row>
    <row r="30" spans="1:25" ht="15.75" customHeight="1">
      <c r="A30">
        <v>27</v>
      </c>
      <c r="B30">
        <v>737</v>
      </c>
      <c r="C30">
        <v>1711</v>
      </c>
      <c r="D30">
        <v>652</v>
      </c>
      <c r="E30">
        <v>1755</v>
      </c>
      <c r="F30">
        <v>600</v>
      </c>
      <c r="G30">
        <v>1833</v>
      </c>
      <c r="H30">
        <v>504</v>
      </c>
      <c r="I30">
        <v>1913</v>
      </c>
      <c r="J30">
        <v>428</v>
      </c>
      <c r="K30">
        <v>1948</v>
      </c>
      <c r="L30">
        <v>424</v>
      </c>
      <c r="M30">
        <v>2003</v>
      </c>
      <c r="N30">
        <v>449</v>
      </c>
      <c r="O30">
        <v>1944</v>
      </c>
      <c r="P30">
        <v>526</v>
      </c>
      <c r="Q30">
        <v>1857</v>
      </c>
      <c r="R30">
        <v>604</v>
      </c>
      <c r="S30">
        <v>1758</v>
      </c>
      <c r="T30">
        <v>644</v>
      </c>
      <c r="U30">
        <v>1705</v>
      </c>
      <c r="V30">
        <v>726</v>
      </c>
      <c r="W30">
        <v>1630</v>
      </c>
      <c r="X30">
        <v>750</v>
      </c>
      <c r="Y30">
        <v>1634</v>
      </c>
    </row>
    <row r="31" spans="1:25" ht="15.75" customHeight="1">
      <c r="A31">
        <v>28</v>
      </c>
      <c r="B31">
        <v>736</v>
      </c>
      <c r="C31">
        <v>1712</v>
      </c>
      <c r="D31">
        <v>650</v>
      </c>
      <c r="E31">
        <v>1757</v>
      </c>
      <c r="F31">
        <v>558</v>
      </c>
      <c r="G31">
        <v>1834</v>
      </c>
      <c r="H31">
        <v>503</v>
      </c>
      <c r="I31">
        <v>1914</v>
      </c>
      <c r="J31">
        <v>428</v>
      </c>
      <c r="K31">
        <v>1949</v>
      </c>
      <c r="L31">
        <v>424</v>
      </c>
      <c r="M31">
        <v>2003</v>
      </c>
      <c r="N31">
        <v>450</v>
      </c>
      <c r="O31">
        <v>1943</v>
      </c>
      <c r="P31">
        <v>528</v>
      </c>
      <c r="Q31">
        <v>1855</v>
      </c>
      <c r="R31">
        <v>606</v>
      </c>
      <c r="S31">
        <v>1756</v>
      </c>
      <c r="T31">
        <v>645</v>
      </c>
      <c r="U31">
        <v>1703</v>
      </c>
      <c r="V31">
        <v>727</v>
      </c>
      <c r="W31">
        <v>1630</v>
      </c>
      <c r="X31">
        <v>750</v>
      </c>
      <c r="Y31">
        <v>1635</v>
      </c>
    </row>
    <row r="32" spans="1:25" ht="15.75" customHeight="1">
      <c r="A32">
        <v>29</v>
      </c>
      <c r="B32">
        <v>735</v>
      </c>
      <c r="C32">
        <v>1713</v>
      </c>
      <c r="F32">
        <v>556</v>
      </c>
      <c r="G32">
        <v>1835</v>
      </c>
      <c r="H32">
        <v>501</v>
      </c>
      <c r="I32">
        <v>1915</v>
      </c>
      <c r="J32">
        <v>427</v>
      </c>
      <c r="K32">
        <v>1950</v>
      </c>
      <c r="L32">
        <v>425</v>
      </c>
      <c r="M32">
        <v>2003</v>
      </c>
      <c r="N32">
        <v>452</v>
      </c>
      <c r="O32">
        <v>1942</v>
      </c>
      <c r="P32">
        <v>529</v>
      </c>
      <c r="Q32">
        <v>1853</v>
      </c>
      <c r="R32">
        <v>607</v>
      </c>
      <c r="S32">
        <v>1754</v>
      </c>
      <c r="T32">
        <v>647</v>
      </c>
      <c r="U32">
        <v>1701</v>
      </c>
      <c r="V32">
        <v>728</v>
      </c>
      <c r="W32">
        <v>1629</v>
      </c>
      <c r="X32">
        <v>751</v>
      </c>
      <c r="Y32">
        <v>1635</v>
      </c>
    </row>
    <row r="33" spans="1:25" ht="15.75" customHeight="1">
      <c r="A33">
        <v>30</v>
      </c>
      <c r="B33">
        <v>734</v>
      </c>
      <c r="C33">
        <v>1715</v>
      </c>
      <c r="F33">
        <v>554</v>
      </c>
      <c r="G33">
        <v>1837</v>
      </c>
      <c r="H33">
        <v>500</v>
      </c>
      <c r="I33">
        <v>1917</v>
      </c>
      <c r="J33">
        <v>426</v>
      </c>
      <c r="K33">
        <v>1951</v>
      </c>
      <c r="L33">
        <v>425</v>
      </c>
      <c r="M33">
        <v>2003</v>
      </c>
      <c r="N33">
        <v>453</v>
      </c>
      <c r="O33">
        <v>1941</v>
      </c>
      <c r="P33">
        <v>530</v>
      </c>
      <c r="Q33">
        <v>1851</v>
      </c>
      <c r="R33">
        <v>608</v>
      </c>
      <c r="S33">
        <v>1752</v>
      </c>
      <c r="T33">
        <v>648</v>
      </c>
      <c r="U33">
        <v>1700</v>
      </c>
      <c r="V33">
        <v>730</v>
      </c>
      <c r="W33">
        <v>1629</v>
      </c>
      <c r="X33">
        <v>751</v>
      </c>
      <c r="Y33">
        <v>1636</v>
      </c>
    </row>
    <row r="34" spans="1:25" ht="15.75" customHeight="1">
      <c r="A34">
        <v>31</v>
      </c>
      <c r="B34">
        <v>732</v>
      </c>
      <c r="C34">
        <v>1716</v>
      </c>
      <c r="F34">
        <v>552</v>
      </c>
      <c r="G34">
        <v>1838</v>
      </c>
      <c r="J34">
        <v>426</v>
      </c>
      <c r="K34">
        <v>1952</v>
      </c>
      <c r="N34">
        <v>454</v>
      </c>
      <c r="O34">
        <v>1939</v>
      </c>
      <c r="P34">
        <v>531</v>
      </c>
      <c r="Q34">
        <v>1849</v>
      </c>
      <c r="T34">
        <v>649</v>
      </c>
      <c r="U34">
        <v>1659</v>
      </c>
      <c r="X34">
        <v>751</v>
      </c>
      <c r="Y34">
        <v>1637</v>
      </c>
    </row>
    <row r="37" spans="1:25" ht="15.75" customHeight="1">
      <c r="A37" s="8" t="s">
        <v>258</v>
      </c>
    </row>
    <row r="38" spans="1:25" ht="15.75" customHeight="1">
      <c r="B38" t="s">
        <v>243</v>
      </c>
      <c r="D38" t="s">
        <v>244</v>
      </c>
      <c r="F38" t="s">
        <v>245</v>
      </c>
      <c r="H38" t="s">
        <v>246</v>
      </c>
      <c r="J38" t="s">
        <v>247</v>
      </c>
      <c r="L38" t="s">
        <v>248</v>
      </c>
      <c r="N38" t="s">
        <v>249</v>
      </c>
      <c r="P38" t="s">
        <v>250</v>
      </c>
      <c r="R38" t="s">
        <v>251</v>
      </c>
      <c r="T38" t="s">
        <v>252</v>
      </c>
      <c r="V38" t="s">
        <v>253</v>
      </c>
      <c r="X38" t="s">
        <v>254</v>
      </c>
    </row>
    <row r="39" spans="1:25" ht="15.75" customHeight="1">
      <c r="A39" t="s">
        <v>255</v>
      </c>
      <c r="B39" t="s">
        <v>256</v>
      </c>
      <c r="C39" t="s">
        <v>257</v>
      </c>
      <c r="D39" t="s">
        <v>256</v>
      </c>
      <c r="E39" t="s">
        <v>257</v>
      </c>
      <c r="F39" t="s">
        <v>256</v>
      </c>
      <c r="G39" t="s">
        <v>257</v>
      </c>
      <c r="H39" t="s">
        <v>256</v>
      </c>
      <c r="I39" t="s">
        <v>257</v>
      </c>
      <c r="J39" t="s">
        <v>256</v>
      </c>
      <c r="K39" t="s">
        <v>257</v>
      </c>
      <c r="L39" t="s">
        <v>256</v>
      </c>
      <c r="M39" t="s">
        <v>257</v>
      </c>
      <c r="N39" t="s">
        <v>256</v>
      </c>
      <c r="O39" t="s">
        <v>257</v>
      </c>
      <c r="P39" t="s">
        <v>256</v>
      </c>
      <c r="Q39" t="s">
        <v>257</v>
      </c>
      <c r="R39" t="s">
        <v>256</v>
      </c>
      <c r="S39" t="s">
        <v>257</v>
      </c>
      <c r="T39" t="s">
        <v>256</v>
      </c>
      <c r="U39" t="s">
        <v>257</v>
      </c>
      <c r="V39" t="s">
        <v>256</v>
      </c>
      <c r="W39" t="s">
        <v>257</v>
      </c>
      <c r="X39" t="s">
        <v>256</v>
      </c>
      <c r="Y39" t="s">
        <v>257</v>
      </c>
    </row>
    <row r="40" spans="1:25" ht="15.75" customHeight="1">
      <c r="A40">
        <v>1</v>
      </c>
      <c r="B40">
        <v>751</v>
      </c>
      <c r="C40">
        <v>1638</v>
      </c>
      <c r="D40">
        <v>731</v>
      </c>
      <c r="E40">
        <v>1717</v>
      </c>
      <c r="F40">
        <v>649</v>
      </c>
      <c r="G40">
        <v>1758</v>
      </c>
      <c r="H40">
        <v>551</v>
      </c>
      <c r="I40">
        <v>1839</v>
      </c>
      <c r="J40">
        <v>459</v>
      </c>
      <c r="K40">
        <v>1918</v>
      </c>
      <c r="L40">
        <v>425</v>
      </c>
      <c r="M40">
        <v>1952</v>
      </c>
      <c r="N40">
        <v>426</v>
      </c>
      <c r="O40">
        <v>2003</v>
      </c>
      <c r="P40">
        <v>455</v>
      </c>
      <c r="Q40">
        <v>1938</v>
      </c>
      <c r="R40">
        <v>532</v>
      </c>
      <c r="S40">
        <v>1848</v>
      </c>
      <c r="T40">
        <v>609</v>
      </c>
      <c r="U40">
        <v>1751</v>
      </c>
      <c r="V40">
        <v>650</v>
      </c>
      <c r="W40">
        <v>1657</v>
      </c>
      <c r="X40">
        <v>730</v>
      </c>
      <c r="Y40">
        <v>1629</v>
      </c>
    </row>
    <row r="41" spans="1:25" ht="15.75" customHeight="1">
      <c r="A41">
        <v>2</v>
      </c>
      <c r="B41">
        <v>751</v>
      </c>
      <c r="C41">
        <v>1639</v>
      </c>
      <c r="D41">
        <v>730</v>
      </c>
      <c r="E41">
        <v>1719</v>
      </c>
      <c r="F41">
        <v>647</v>
      </c>
      <c r="G41">
        <v>1759</v>
      </c>
      <c r="H41">
        <v>549</v>
      </c>
      <c r="I41">
        <v>1840</v>
      </c>
      <c r="J41">
        <v>457</v>
      </c>
      <c r="K41">
        <v>1919</v>
      </c>
      <c r="L41">
        <v>425</v>
      </c>
      <c r="M41">
        <v>1953</v>
      </c>
      <c r="N41">
        <v>426</v>
      </c>
      <c r="O41">
        <v>2003</v>
      </c>
      <c r="P41">
        <v>456</v>
      </c>
      <c r="Q41">
        <v>1937</v>
      </c>
      <c r="R41">
        <v>533</v>
      </c>
      <c r="S41">
        <v>1846</v>
      </c>
      <c r="T41">
        <v>610</v>
      </c>
      <c r="U41">
        <v>1749</v>
      </c>
      <c r="V41">
        <v>652</v>
      </c>
      <c r="W41">
        <v>1656</v>
      </c>
      <c r="X41">
        <v>732</v>
      </c>
      <c r="Y41">
        <v>1628</v>
      </c>
    </row>
    <row r="42" spans="1:25" ht="15.75" customHeight="1">
      <c r="A42">
        <v>3</v>
      </c>
      <c r="B42">
        <v>751</v>
      </c>
      <c r="C42">
        <v>1640</v>
      </c>
      <c r="D42">
        <v>729</v>
      </c>
      <c r="E42">
        <v>1720</v>
      </c>
      <c r="F42">
        <v>645</v>
      </c>
      <c r="G42">
        <v>1801</v>
      </c>
      <c r="H42">
        <v>547</v>
      </c>
      <c r="I42">
        <v>1842</v>
      </c>
      <c r="J42">
        <v>456</v>
      </c>
      <c r="K42">
        <v>1920</v>
      </c>
      <c r="L42">
        <v>424</v>
      </c>
      <c r="M42">
        <v>1954</v>
      </c>
      <c r="N42">
        <v>427</v>
      </c>
      <c r="O42">
        <v>2002</v>
      </c>
      <c r="P42">
        <v>457</v>
      </c>
      <c r="Q42">
        <v>1936</v>
      </c>
      <c r="R42">
        <v>535</v>
      </c>
      <c r="S42">
        <v>1844</v>
      </c>
      <c r="T42">
        <v>611</v>
      </c>
      <c r="U42">
        <v>1747</v>
      </c>
      <c r="V42">
        <v>653</v>
      </c>
      <c r="W42">
        <v>1655</v>
      </c>
      <c r="X42">
        <v>733</v>
      </c>
      <c r="Y42">
        <v>1628</v>
      </c>
    </row>
    <row r="43" spans="1:25" ht="15.75" customHeight="1">
      <c r="A43">
        <v>4</v>
      </c>
      <c r="B43">
        <v>751</v>
      </c>
      <c r="C43">
        <v>1641</v>
      </c>
      <c r="D43">
        <v>728</v>
      </c>
      <c r="E43">
        <v>1722</v>
      </c>
      <c r="F43">
        <v>643</v>
      </c>
      <c r="G43">
        <v>1802</v>
      </c>
      <c r="H43">
        <v>545</v>
      </c>
      <c r="I43">
        <v>1843</v>
      </c>
      <c r="J43">
        <v>454</v>
      </c>
      <c r="K43">
        <v>1921</v>
      </c>
      <c r="L43">
        <v>424</v>
      </c>
      <c r="M43">
        <v>1955</v>
      </c>
      <c r="N43">
        <v>428</v>
      </c>
      <c r="O43">
        <v>2002</v>
      </c>
      <c r="P43">
        <v>458</v>
      </c>
      <c r="Q43">
        <v>1934</v>
      </c>
      <c r="R43">
        <v>536</v>
      </c>
      <c r="S43">
        <v>1842</v>
      </c>
      <c r="T43">
        <v>613</v>
      </c>
      <c r="U43">
        <v>1745</v>
      </c>
      <c r="V43">
        <v>655</v>
      </c>
      <c r="W43">
        <v>1653</v>
      </c>
      <c r="X43">
        <v>734</v>
      </c>
      <c r="Y43">
        <v>1628</v>
      </c>
    </row>
    <row r="44" spans="1:25" ht="15.75" customHeight="1">
      <c r="A44">
        <v>5</v>
      </c>
      <c r="B44">
        <v>751</v>
      </c>
      <c r="C44">
        <v>1642</v>
      </c>
      <c r="D44">
        <v>726</v>
      </c>
      <c r="E44">
        <v>1723</v>
      </c>
      <c r="F44">
        <v>642</v>
      </c>
      <c r="G44">
        <v>1803</v>
      </c>
      <c r="H44">
        <v>543</v>
      </c>
      <c r="I44">
        <v>1844</v>
      </c>
      <c r="J44">
        <v>453</v>
      </c>
      <c r="K44">
        <v>1923</v>
      </c>
      <c r="L44">
        <v>423</v>
      </c>
      <c r="M44">
        <v>1955</v>
      </c>
      <c r="N44">
        <v>428</v>
      </c>
      <c r="O44">
        <v>2002</v>
      </c>
      <c r="P44">
        <v>459</v>
      </c>
      <c r="Q44">
        <v>1933</v>
      </c>
      <c r="R44">
        <v>537</v>
      </c>
      <c r="S44">
        <v>1841</v>
      </c>
      <c r="T44">
        <v>614</v>
      </c>
      <c r="U44">
        <v>1743</v>
      </c>
      <c r="V44">
        <v>656</v>
      </c>
      <c r="W44">
        <v>1652</v>
      </c>
      <c r="X44">
        <v>735</v>
      </c>
      <c r="Y44">
        <v>1627</v>
      </c>
    </row>
    <row r="45" spans="1:25" ht="15.75" customHeight="1">
      <c r="A45">
        <v>6</v>
      </c>
      <c r="B45">
        <v>750</v>
      </c>
      <c r="C45">
        <v>1643</v>
      </c>
      <c r="D45">
        <v>725</v>
      </c>
      <c r="E45">
        <v>1725</v>
      </c>
      <c r="F45">
        <v>640</v>
      </c>
      <c r="G45">
        <v>1805</v>
      </c>
      <c r="H45">
        <v>541</v>
      </c>
      <c r="I45">
        <v>1845</v>
      </c>
      <c r="J45">
        <v>451</v>
      </c>
      <c r="K45">
        <v>1924</v>
      </c>
      <c r="L45">
        <v>423</v>
      </c>
      <c r="M45">
        <v>1956</v>
      </c>
      <c r="N45">
        <v>429</v>
      </c>
      <c r="O45">
        <v>2001</v>
      </c>
      <c r="P45">
        <v>501</v>
      </c>
      <c r="Q45">
        <v>1932</v>
      </c>
      <c r="R45">
        <v>538</v>
      </c>
      <c r="S45">
        <v>1839</v>
      </c>
      <c r="T45">
        <v>615</v>
      </c>
      <c r="U45">
        <v>1741</v>
      </c>
      <c r="V45">
        <v>657</v>
      </c>
      <c r="W45">
        <v>1651</v>
      </c>
      <c r="X45">
        <v>736</v>
      </c>
      <c r="Y45">
        <v>1627</v>
      </c>
    </row>
    <row r="46" spans="1:25" ht="15.75" customHeight="1">
      <c r="A46">
        <v>7</v>
      </c>
      <c r="B46">
        <v>750</v>
      </c>
      <c r="C46">
        <v>1644</v>
      </c>
      <c r="D46">
        <v>724</v>
      </c>
      <c r="E46">
        <v>1726</v>
      </c>
      <c r="F46">
        <v>638</v>
      </c>
      <c r="G46">
        <v>1806</v>
      </c>
      <c r="H46">
        <v>539</v>
      </c>
      <c r="I46">
        <v>1847</v>
      </c>
      <c r="J46">
        <v>450</v>
      </c>
      <c r="K46">
        <v>1925</v>
      </c>
      <c r="L46">
        <v>423</v>
      </c>
      <c r="M46">
        <v>1957</v>
      </c>
      <c r="N46">
        <v>430</v>
      </c>
      <c r="O46">
        <v>2001</v>
      </c>
      <c r="P46">
        <v>502</v>
      </c>
      <c r="Q46">
        <v>1930</v>
      </c>
      <c r="R46">
        <v>539</v>
      </c>
      <c r="S46">
        <v>1837</v>
      </c>
      <c r="T46">
        <v>617</v>
      </c>
      <c r="U46">
        <v>1739</v>
      </c>
      <c r="V46">
        <v>659</v>
      </c>
      <c r="W46">
        <v>1649</v>
      </c>
      <c r="X46">
        <v>737</v>
      </c>
      <c r="Y46">
        <v>1627</v>
      </c>
    </row>
    <row r="47" spans="1:25" ht="15.75" customHeight="1">
      <c r="A47">
        <v>8</v>
      </c>
      <c r="B47">
        <v>750</v>
      </c>
      <c r="C47">
        <v>1645</v>
      </c>
      <c r="D47">
        <v>722</v>
      </c>
      <c r="E47">
        <v>1728</v>
      </c>
      <c r="F47">
        <v>636</v>
      </c>
      <c r="G47">
        <v>1807</v>
      </c>
      <c r="H47">
        <v>538</v>
      </c>
      <c r="I47">
        <v>1848</v>
      </c>
      <c r="J47">
        <v>449</v>
      </c>
      <c r="K47">
        <v>1926</v>
      </c>
      <c r="L47">
        <v>422</v>
      </c>
      <c r="M47">
        <v>1958</v>
      </c>
      <c r="N47">
        <v>431</v>
      </c>
      <c r="O47">
        <v>2001</v>
      </c>
      <c r="P47">
        <v>503</v>
      </c>
      <c r="Q47">
        <v>1929</v>
      </c>
      <c r="R47">
        <v>541</v>
      </c>
      <c r="S47">
        <v>1835</v>
      </c>
      <c r="T47">
        <v>618</v>
      </c>
      <c r="U47">
        <v>1737</v>
      </c>
      <c r="V47">
        <v>700</v>
      </c>
      <c r="W47">
        <v>1648</v>
      </c>
      <c r="X47">
        <v>738</v>
      </c>
      <c r="Y47">
        <v>1627</v>
      </c>
    </row>
    <row r="48" spans="1:25" ht="15.75" customHeight="1">
      <c r="A48">
        <v>9</v>
      </c>
      <c r="B48">
        <v>750</v>
      </c>
      <c r="C48">
        <v>1646</v>
      </c>
      <c r="D48">
        <v>721</v>
      </c>
      <c r="E48">
        <v>1729</v>
      </c>
      <c r="F48">
        <v>634</v>
      </c>
      <c r="G48">
        <v>1809</v>
      </c>
      <c r="H48">
        <v>536</v>
      </c>
      <c r="I48">
        <v>1849</v>
      </c>
      <c r="J48">
        <v>447</v>
      </c>
      <c r="K48">
        <v>1928</v>
      </c>
      <c r="L48">
        <v>422</v>
      </c>
      <c r="M48">
        <v>1958</v>
      </c>
      <c r="N48">
        <v>431</v>
      </c>
      <c r="O48">
        <v>2000</v>
      </c>
      <c r="P48">
        <v>504</v>
      </c>
      <c r="Q48">
        <v>1927</v>
      </c>
      <c r="R48">
        <v>542</v>
      </c>
      <c r="S48">
        <v>1833</v>
      </c>
      <c r="T48">
        <v>619</v>
      </c>
      <c r="U48">
        <v>1736</v>
      </c>
      <c r="V48">
        <v>702</v>
      </c>
      <c r="W48">
        <v>1647</v>
      </c>
      <c r="X48">
        <v>739</v>
      </c>
      <c r="Y48">
        <v>1627</v>
      </c>
    </row>
    <row r="49" spans="1:25" ht="15.75" customHeight="1">
      <c r="A49">
        <v>10</v>
      </c>
      <c r="B49">
        <v>749</v>
      </c>
      <c r="C49">
        <v>1648</v>
      </c>
      <c r="D49">
        <v>720</v>
      </c>
      <c r="E49">
        <v>1731</v>
      </c>
      <c r="F49">
        <v>632</v>
      </c>
      <c r="G49">
        <v>1810</v>
      </c>
      <c r="H49">
        <v>534</v>
      </c>
      <c r="I49">
        <v>1851</v>
      </c>
      <c r="J49">
        <v>446</v>
      </c>
      <c r="K49">
        <v>1929</v>
      </c>
      <c r="L49">
        <v>422</v>
      </c>
      <c r="M49">
        <v>1959</v>
      </c>
      <c r="N49">
        <v>432</v>
      </c>
      <c r="O49">
        <v>1959</v>
      </c>
      <c r="P49">
        <v>505</v>
      </c>
      <c r="Q49">
        <v>1926</v>
      </c>
      <c r="R49">
        <v>543</v>
      </c>
      <c r="S49">
        <v>1831</v>
      </c>
      <c r="T49">
        <v>621</v>
      </c>
      <c r="U49">
        <v>1734</v>
      </c>
      <c r="V49">
        <v>703</v>
      </c>
      <c r="W49">
        <v>1646</v>
      </c>
      <c r="X49">
        <v>740</v>
      </c>
      <c r="Y49">
        <v>1627</v>
      </c>
    </row>
    <row r="50" spans="1:25" ht="15.75" customHeight="1">
      <c r="A50">
        <v>11</v>
      </c>
      <c r="B50">
        <v>749</v>
      </c>
      <c r="C50">
        <v>1649</v>
      </c>
      <c r="D50">
        <v>718</v>
      </c>
      <c r="E50">
        <v>1732</v>
      </c>
      <c r="F50">
        <v>630</v>
      </c>
      <c r="G50">
        <v>1811</v>
      </c>
      <c r="H50">
        <v>532</v>
      </c>
      <c r="I50">
        <v>1852</v>
      </c>
      <c r="J50">
        <v>445</v>
      </c>
      <c r="K50">
        <v>1930</v>
      </c>
      <c r="L50">
        <v>422</v>
      </c>
      <c r="M50">
        <v>1959</v>
      </c>
      <c r="N50">
        <v>433</v>
      </c>
      <c r="O50">
        <v>1959</v>
      </c>
      <c r="P50">
        <v>507</v>
      </c>
      <c r="Q50">
        <v>1924</v>
      </c>
      <c r="R50">
        <v>544</v>
      </c>
      <c r="S50">
        <v>1829</v>
      </c>
      <c r="T50">
        <v>622</v>
      </c>
      <c r="U50">
        <v>1732</v>
      </c>
      <c r="V50">
        <v>704</v>
      </c>
      <c r="W50">
        <v>1644</v>
      </c>
      <c r="X50">
        <v>741</v>
      </c>
      <c r="Y50">
        <v>1627</v>
      </c>
    </row>
    <row r="51" spans="1:25" ht="13">
      <c r="A51">
        <v>12</v>
      </c>
      <c r="B51">
        <v>748</v>
      </c>
      <c r="C51">
        <v>1650</v>
      </c>
      <c r="D51">
        <v>717</v>
      </c>
      <c r="E51">
        <v>1734</v>
      </c>
      <c r="F51">
        <v>629</v>
      </c>
      <c r="G51">
        <v>1813</v>
      </c>
      <c r="H51">
        <v>530</v>
      </c>
      <c r="I51">
        <v>1853</v>
      </c>
      <c r="J51">
        <v>443</v>
      </c>
      <c r="K51">
        <v>1931</v>
      </c>
      <c r="L51">
        <v>421</v>
      </c>
      <c r="M51">
        <v>2000</v>
      </c>
      <c r="N51">
        <v>434</v>
      </c>
      <c r="O51">
        <v>1958</v>
      </c>
      <c r="P51">
        <v>508</v>
      </c>
      <c r="Q51">
        <v>1923</v>
      </c>
      <c r="R51">
        <v>546</v>
      </c>
      <c r="S51">
        <v>1827</v>
      </c>
      <c r="T51">
        <v>623</v>
      </c>
      <c r="U51">
        <v>1730</v>
      </c>
      <c r="V51">
        <v>706</v>
      </c>
      <c r="W51">
        <v>1643</v>
      </c>
      <c r="X51">
        <v>742</v>
      </c>
      <c r="Y51">
        <v>1627</v>
      </c>
    </row>
    <row r="52" spans="1:25" ht="13">
      <c r="A52">
        <v>13</v>
      </c>
      <c r="B52">
        <v>748</v>
      </c>
      <c r="C52">
        <v>1651</v>
      </c>
      <c r="D52">
        <v>715</v>
      </c>
      <c r="E52">
        <v>1735</v>
      </c>
      <c r="F52">
        <v>627</v>
      </c>
      <c r="G52">
        <v>1814</v>
      </c>
      <c r="H52">
        <v>528</v>
      </c>
      <c r="I52">
        <v>1854</v>
      </c>
      <c r="J52">
        <v>442</v>
      </c>
      <c r="K52">
        <v>1932</v>
      </c>
      <c r="L52">
        <v>421</v>
      </c>
      <c r="M52">
        <v>2000</v>
      </c>
      <c r="N52">
        <v>435</v>
      </c>
      <c r="O52">
        <v>1958</v>
      </c>
      <c r="P52">
        <v>509</v>
      </c>
      <c r="Q52">
        <v>1921</v>
      </c>
      <c r="R52">
        <v>547</v>
      </c>
      <c r="S52">
        <v>1825</v>
      </c>
      <c r="T52">
        <v>624</v>
      </c>
      <c r="U52">
        <v>1728</v>
      </c>
      <c r="V52">
        <v>707</v>
      </c>
      <c r="W52">
        <v>1642</v>
      </c>
      <c r="X52">
        <v>742</v>
      </c>
      <c r="Y52">
        <v>1627</v>
      </c>
    </row>
    <row r="53" spans="1:25" ht="13">
      <c r="A53">
        <v>14</v>
      </c>
      <c r="B53">
        <v>747</v>
      </c>
      <c r="C53">
        <v>1653</v>
      </c>
      <c r="D53">
        <v>714</v>
      </c>
      <c r="E53">
        <v>1736</v>
      </c>
      <c r="F53">
        <v>625</v>
      </c>
      <c r="G53">
        <v>1815</v>
      </c>
      <c r="H53">
        <v>527</v>
      </c>
      <c r="I53">
        <v>1856</v>
      </c>
      <c r="J53">
        <v>441</v>
      </c>
      <c r="K53">
        <v>1934</v>
      </c>
      <c r="L53">
        <v>421</v>
      </c>
      <c r="M53">
        <v>2001</v>
      </c>
      <c r="N53">
        <v>436</v>
      </c>
      <c r="O53">
        <v>1957</v>
      </c>
      <c r="P53">
        <v>510</v>
      </c>
      <c r="Q53">
        <v>1919</v>
      </c>
      <c r="R53">
        <v>548</v>
      </c>
      <c r="S53">
        <v>1823</v>
      </c>
      <c r="T53">
        <v>626</v>
      </c>
      <c r="U53">
        <v>1727</v>
      </c>
      <c r="V53">
        <v>709</v>
      </c>
      <c r="W53">
        <v>1641</v>
      </c>
      <c r="X53">
        <v>743</v>
      </c>
      <c r="Y53">
        <v>1627</v>
      </c>
    </row>
    <row r="54" spans="1:25" ht="13">
      <c r="A54">
        <v>15</v>
      </c>
      <c r="B54">
        <v>747</v>
      </c>
      <c r="C54">
        <v>1654</v>
      </c>
      <c r="D54">
        <v>712</v>
      </c>
      <c r="E54">
        <v>1738</v>
      </c>
      <c r="F54">
        <v>623</v>
      </c>
      <c r="G54">
        <v>1817</v>
      </c>
      <c r="H54">
        <v>525</v>
      </c>
      <c r="I54">
        <v>1857</v>
      </c>
      <c r="J54">
        <v>440</v>
      </c>
      <c r="K54">
        <v>1935</v>
      </c>
      <c r="L54">
        <v>421</v>
      </c>
      <c r="M54">
        <v>2001</v>
      </c>
      <c r="N54">
        <v>437</v>
      </c>
      <c r="O54">
        <v>1956</v>
      </c>
      <c r="P54">
        <v>511</v>
      </c>
      <c r="Q54">
        <v>1918</v>
      </c>
      <c r="R54">
        <v>549</v>
      </c>
      <c r="S54">
        <v>1821</v>
      </c>
      <c r="T54">
        <v>627</v>
      </c>
      <c r="U54">
        <v>1725</v>
      </c>
      <c r="V54">
        <v>710</v>
      </c>
      <c r="W54">
        <v>1640</v>
      </c>
      <c r="X54">
        <v>744</v>
      </c>
      <c r="Y54">
        <v>1628</v>
      </c>
    </row>
    <row r="55" spans="1:25" ht="13">
      <c r="A55">
        <v>16</v>
      </c>
      <c r="B55">
        <v>746</v>
      </c>
      <c r="C55">
        <v>1655</v>
      </c>
      <c r="D55">
        <v>711</v>
      </c>
      <c r="E55">
        <v>1739</v>
      </c>
      <c r="F55">
        <v>621</v>
      </c>
      <c r="G55">
        <v>1818</v>
      </c>
      <c r="H55">
        <v>523</v>
      </c>
      <c r="I55">
        <v>1858</v>
      </c>
      <c r="J55">
        <v>439</v>
      </c>
      <c r="K55">
        <v>1936</v>
      </c>
      <c r="L55">
        <v>421</v>
      </c>
      <c r="M55">
        <v>2002</v>
      </c>
      <c r="N55">
        <v>438</v>
      </c>
      <c r="O55">
        <v>1955</v>
      </c>
      <c r="P55">
        <v>513</v>
      </c>
      <c r="Q55">
        <v>1916</v>
      </c>
      <c r="R55">
        <v>550</v>
      </c>
      <c r="S55">
        <v>1819</v>
      </c>
      <c r="T55">
        <v>628</v>
      </c>
      <c r="U55">
        <v>1723</v>
      </c>
      <c r="V55">
        <v>711</v>
      </c>
      <c r="W55">
        <v>1639</v>
      </c>
      <c r="X55">
        <v>745</v>
      </c>
      <c r="Y55">
        <v>1628</v>
      </c>
    </row>
    <row r="56" spans="1:25" ht="13">
      <c r="A56">
        <v>17</v>
      </c>
      <c r="B56">
        <v>746</v>
      </c>
      <c r="C56">
        <v>1656</v>
      </c>
      <c r="D56">
        <v>709</v>
      </c>
      <c r="E56">
        <v>1741</v>
      </c>
      <c r="F56">
        <v>619</v>
      </c>
      <c r="G56">
        <v>1819</v>
      </c>
      <c r="H56">
        <v>521</v>
      </c>
      <c r="I56">
        <v>1900</v>
      </c>
      <c r="J56">
        <v>438</v>
      </c>
      <c r="K56">
        <v>1937</v>
      </c>
      <c r="L56">
        <v>421</v>
      </c>
      <c r="M56">
        <v>2002</v>
      </c>
      <c r="N56">
        <v>438</v>
      </c>
      <c r="O56">
        <v>1955</v>
      </c>
      <c r="P56">
        <v>514</v>
      </c>
      <c r="Q56">
        <v>1915</v>
      </c>
      <c r="R56">
        <v>552</v>
      </c>
      <c r="S56">
        <v>1818</v>
      </c>
      <c r="T56">
        <v>630</v>
      </c>
      <c r="U56">
        <v>1721</v>
      </c>
      <c r="V56">
        <v>713</v>
      </c>
      <c r="W56">
        <v>1638</v>
      </c>
      <c r="X56">
        <v>745</v>
      </c>
      <c r="Y56">
        <v>1628</v>
      </c>
    </row>
    <row r="57" spans="1:25" ht="13">
      <c r="A57">
        <v>18</v>
      </c>
      <c r="B57">
        <v>745</v>
      </c>
      <c r="C57">
        <v>1658</v>
      </c>
      <c r="D57">
        <v>707</v>
      </c>
      <c r="E57">
        <v>1742</v>
      </c>
      <c r="F57">
        <v>617</v>
      </c>
      <c r="G57">
        <v>1821</v>
      </c>
      <c r="H57">
        <v>520</v>
      </c>
      <c r="I57">
        <v>1901</v>
      </c>
      <c r="J57">
        <v>437</v>
      </c>
      <c r="K57">
        <v>1938</v>
      </c>
      <c r="L57">
        <v>421</v>
      </c>
      <c r="M57">
        <v>2002</v>
      </c>
      <c r="N57">
        <v>439</v>
      </c>
      <c r="O57">
        <v>1954</v>
      </c>
      <c r="P57">
        <v>515</v>
      </c>
      <c r="Q57">
        <v>1913</v>
      </c>
      <c r="R57">
        <v>553</v>
      </c>
      <c r="S57">
        <v>1816</v>
      </c>
      <c r="T57">
        <v>631</v>
      </c>
      <c r="U57">
        <v>1720</v>
      </c>
      <c r="V57">
        <v>714</v>
      </c>
      <c r="W57">
        <v>1637</v>
      </c>
      <c r="X57">
        <v>746</v>
      </c>
      <c r="Y57">
        <v>1629</v>
      </c>
    </row>
    <row r="58" spans="1:25" ht="13">
      <c r="A58">
        <v>19</v>
      </c>
      <c r="B58">
        <v>744</v>
      </c>
      <c r="C58">
        <v>1659</v>
      </c>
      <c r="D58">
        <v>706</v>
      </c>
      <c r="E58">
        <v>1744</v>
      </c>
      <c r="F58">
        <v>615</v>
      </c>
      <c r="G58">
        <v>1822</v>
      </c>
      <c r="H58">
        <v>518</v>
      </c>
      <c r="I58">
        <v>1902</v>
      </c>
      <c r="J58">
        <v>436</v>
      </c>
      <c r="K58">
        <v>1939</v>
      </c>
      <c r="L58">
        <v>421</v>
      </c>
      <c r="M58">
        <v>2003</v>
      </c>
      <c r="N58">
        <v>440</v>
      </c>
      <c r="O58">
        <v>1953</v>
      </c>
      <c r="P58">
        <v>516</v>
      </c>
      <c r="Q58">
        <v>1911</v>
      </c>
      <c r="R58">
        <v>554</v>
      </c>
      <c r="S58">
        <v>1814</v>
      </c>
      <c r="T58">
        <v>632</v>
      </c>
      <c r="U58">
        <v>1718</v>
      </c>
      <c r="V58">
        <v>715</v>
      </c>
      <c r="W58">
        <v>1636</v>
      </c>
      <c r="X58">
        <v>747</v>
      </c>
      <c r="Y58">
        <v>1629</v>
      </c>
    </row>
    <row r="59" spans="1:25" ht="13">
      <c r="A59">
        <v>20</v>
      </c>
      <c r="B59">
        <v>743</v>
      </c>
      <c r="C59">
        <v>1700</v>
      </c>
      <c r="D59">
        <v>704</v>
      </c>
      <c r="E59">
        <v>1745</v>
      </c>
      <c r="F59">
        <v>613</v>
      </c>
      <c r="G59">
        <v>1823</v>
      </c>
      <c r="H59">
        <v>516</v>
      </c>
      <c r="I59">
        <v>1904</v>
      </c>
      <c r="J59">
        <v>435</v>
      </c>
      <c r="K59">
        <v>1940</v>
      </c>
      <c r="L59">
        <v>422</v>
      </c>
      <c r="M59">
        <v>2003</v>
      </c>
      <c r="N59">
        <v>441</v>
      </c>
      <c r="O59">
        <v>1952</v>
      </c>
      <c r="P59">
        <v>517</v>
      </c>
      <c r="Q59">
        <v>1909</v>
      </c>
      <c r="R59">
        <v>555</v>
      </c>
      <c r="S59">
        <v>1812</v>
      </c>
      <c r="T59">
        <v>634</v>
      </c>
      <c r="U59">
        <v>1716</v>
      </c>
      <c r="V59">
        <v>717</v>
      </c>
      <c r="W59">
        <v>1635</v>
      </c>
      <c r="X59">
        <v>747</v>
      </c>
      <c r="Y59">
        <v>1629</v>
      </c>
    </row>
    <row r="60" spans="1:25" ht="13">
      <c r="A60">
        <v>21</v>
      </c>
      <c r="B60">
        <v>743</v>
      </c>
      <c r="C60">
        <v>1702</v>
      </c>
      <c r="D60">
        <v>702</v>
      </c>
      <c r="E60">
        <v>1747</v>
      </c>
      <c r="F60">
        <v>612</v>
      </c>
      <c r="G60">
        <v>1825</v>
      </c>
      <c r="H60">
        <v>515</v>
      </c>
      <c r="I60">
        <v>1905</v>
      </c>
      <c r="J60">
        <v>434</v>
      </c>
      <c r="K60">
        <v>1942</v>
      </c>
      <c r="L60">
        <v>422</v>
      </c>
      <c r="M60">
        <v>2003</v>
      </c>
      <c r="N60">
        <v>443</v>
      </c>
      <c r="O60">
        <v>1951</v>
      </c>
      <c r="P60">
        <v>519</v>
      </c>
      <c r="Q60">
        <v>1908</v>
      </c>
      <c r="R60">
        <v>557</v>
      </c>
      <c r="S60">
        <v>1810</v>
      </c>
      <c r="T60">
        <v>635</v>
      </c>
      <c r="U60">
        <v>1715</v>
      </c>
      <c r="V60">
        <v>718</v>
      </c>
      <c r="W60">
        <v>1635</v>
      </c>
      <c r="X60">
        <v>748</v>
      </c>
      <c r="Y60">
        <v>1630</v>
      </c>
    </row>
    <row r="61" spans="1:25" ht="13">
      <c r="A61">
        <v>22</v>
      </c>
      <c r="B61">
        <v>742</v>
      </c>
      <c r="C61">
        <v>1703</v>
      </c>
      <c r="D61">
        <v>701</v>
      </c>
      <c r="E61">
        <v>1748</v>
      </c>
      <c r="F61">
        <v>610</v>
      </c>
      <c r="G61">
        <v>1826</v>
      </c>
      <c r="H61">
        <v>513</v>
      </c>
      <c r="I61">
        <v>1906</v>
      </c>
      <c r="J61">
        <v>433</v>
      </c>
      <c r="K61">
        <v>1943</v>
      </c>
      <c r="L61">
        <v>422</v>
      </c>
      <c r="M61">
        <v>2003</v>
      </c>
      <c r="N61">
        <v>444</v>
      </c>
      <c r="O61">
        <v>1950</v>
      </c>
      <c r="P61">
        <v>520</v>
      </c>
      <c r="Q61">
        <v>1906</v>
      </c>
      <c r="R61">
        <v>558</v>
      </c>
      <c r="S61">
        <v>1808</v>
      </c>
      <c r="T61">
        <v>637</v>
      </c>
      <c r="U61">
        <v>1713</v>
      </c>
      <c r="V61">
        <v>719</v>
      </c>
      <c r="W61">
        <v>1634</v>
      </c>
      <c r="X61">
        <v>748</v>
      </c>
      <c r="Y61">
        <v>1630</v>
      </c>
    </row>
    <row r="62" spans="1:25" ht="13">
      <c r="A62">
        <v>23</v>
      </c>
      <c r="B62">
        <v>741</v>
      </c>
      <c r="C62">
        <v>1705</v>
      </c>
      <c r="D62">
        <v>659</v>
      </c>
      <c r="E62">
        <v>1749</v>
      </c>
      <c r="F62">
        <v>608</v>
      </c>
      <c r="G62">
        <v>1827</v>
      </c>
      <c r="H62">
        <v>511</v>
      </c>
      <c r="I62">
        <v>1907</v>
      </c>
      <c r="J62">
        <v>432</v>
      </c>
      <c r="K62">
        <v>1944</v>
      </c>
      <c r="L62">
        <v>422</v>
      </c>
      <c r="M62">
        <v>2003</v>
      </c>
      <c r="N62">
        <v>445</v>
      </c>
      <c r="O62">
        <v>1949</v>
      </c>
      <c r="P62">
        <v>521</v>
      </c>
      <c r="Q62">
        <v>1904</v>
      </c>
      <c r="R62">
        <v>559</v>
      </c>
      <c r="S62">
        <v>1806</v>
      </c>
      <c r="T62">
        <v>638</v>
      </c>
      <c r="U62">
        <v>1711</v>
      </c>
      <c r="V62">
        <v>721</v>
      </c>
      <c r="W62">
        <v>1633</v>
      </c>
      <c r="X62">
        <v>749</v>
      </c>
      <c r="Y62">
        <v>1631</v>
      </c>
    </row>
    <row r="63" spans="1:25" ht="13">
      <c r="A63">
        <v>24</v>
      </c>
      <c r="B63">
        <v>740</v>
      </c>
      <c r="C63">
        <v>1706</v>
      </c>
      <c r="D63">
        <v>657</v>
      </c>
      <c r="E63">
        <v>1751</v>
      </c>
      <c r="F63">
        <v>606</v>
      </c>
      <c r="G63">
        <v>1829</v>
      </c>
      <c r="H63">
        <v>510</v>
      </c>
      <c r="I63">
        <v>1909</v>
      </c>
      <c r="J63">
        <v>431</v>
      </c>
      <c r="K63">
        <v>1945</v>
      </c>
      <c r="L63">
        <v>423</v>
      </c>
      <c r="M63">
        <v>2003</v>
      </c>
      <c r="N63">
        <v>446</v>
      </c>
      <c r="O63">
        <v>1948</v>
      </c>
      <c r="P63">
        <v>522</v>
      </c>
      <c r="Q63">
        <v>1903</v>
      </c>
      <c r="R63">
        <v>600</v>
      </c>
      <c r="S63">
        <v>1804</v>
      </c>
      <c r="T63">
        <v>639</v>
      </c>
      <c r="U63">
        <v>1710</v>
      </c>
      <c r="V63">
        <v>722</v>
      </c>
      <c r="W63">
        <v>1632</v>
      </c>
      <c r="X63">
        <v>749</v>
      </c>
      <c r="Y63">
        <v>1632</v>
      </c>
    </row>
    <row r="64" spans="1:25" ht="13">
      <c r="A64">
        <v>25</v>
      </c>
      <c r="B64">
        <v>739</v>
      </c>
      <c r="C64">
        <v>1707</v>
      </c>
      <c r="D64">
        <v>656</v>
      </c>
      <c r="E64">
        <v>1752</v>
      </c>
      <c r="F64">
        <v>604</v>
      </c>
      <c r="G64">
        <v>1830</v>
      </c>
      <c r="H64">
        <v>508</v>
      </c>
      <c r="I64">
        <v>1910</v>
      </c>
      <c r="J64">
        <v>430</v>
      </c>
      <c r="K64">
        <v>1946</v>
      </c>
      <c r="L64">
        <v>423</v>
      </c>
      <c r="M64">
        <v>2004</v>
      </c>
      <c r="N64">
        <v>447</v>
      </c>
      <c r="O64">
        <v>1947</v>
      </c>
      <c r="P64">
        <v>524</v>
      </c>
      <c r="Q64">
        <v>1901</v>
      </c>
      <c r="R64">
        <v>601</v>
      </c>
      <c r="S64">
        <v>1802</v>
      </c>
      <c r="T64">
        <v>641</v>
      </c>
      <c r="U64">
        <v>1708</v>
      </c>
      <c r="V64">
        <v>723</v>
      </c>
      <c r="W64">
        <v>1632</v>
      </c>
      <c r="X64">
        <v>749</v>
      </c>
      <c r="Y64">
        <v>1632</v>
      </c>
    </row>
    <row r="65" spans="1:25" ht="13">
      <c r="A65">
        <v>26</v>
      </c>
      <c r="B65">
        <v>738</v>
      </c>
      <c r="C65">
        <v>1709</v>
      </c>
      <c r="D65">
        <v>654</v>
      </c>
      <c r="E65">
        <v>1754</v>
      </c>
      <c r="F65">
        <v>602</v>
      </c>
      <c r="G65">
        <v>1831</v>
      </c>
      <c r="H65">
        <v>506</v>
      </c>
      <c r="I65">
        <v>1911</v>
      </c>
      <c r="J65">
        <v>429</v>
      </c>
      <c r="K65">
        <v>1947</v>
      </c>
      <c r="L65">
        <v>423</v>
      </c>
      <c r="M65">
        <v>2004</v>
      </c>
      <c r="N65">
        <v>448</v>
      </c>
      <c r="O65">
        <v>1946</v>
      </c>
      <c r="P65">
        <v>525</v>
      </c>
      <c r="Q65">
        <v>1859</v>
      </c>
      <c r="R65">
        <v>603</v>
      </c>
      <c r="S65">
        <v>1800</v>
      </c>
      <c r="T65">
        <v>642</v>
      </c>
      <c r="U65">
        <v>1706</v>
      </c>
      <c r="V65">
        <v>724</v>
      </c>
      <c r="W65">
        <v>1631</v>
      </c>
      <c r="X65">
        <v>750</v>
      </c>
      <c r="Y65">
        <v>1633</v>
      </c>
    </row>
    <row r="66" spans="1:25" ht="13">
      <c r="A66">
        <v>27</v>
      </c>
      <c r="B66">
        <v>737</v>
      </c>
      <c r="C66">
        <v>1710</v>
      </c>
      <c r="D66">
        <v>652</v>
      </c>
      <c r="E66">
        <v>1755</v>
      </c>
      <c r="F66">
        <v>600</v>
      </c>
      <c r="G66">
        <v>1832</v>
      </c>
      <c r="H66">
        <v>505</v>
      </c>
      <c r="I66">
        <v>1913</v>
      </c>
      <c r="J66">
        <v>428</v>
      </c>
      <c r="K66">
        <v>1948</v>
      </c>
      <c r="L66">
        <v>424</v>
      </c>
      <c r="M66">
        <v>2003</v>
      </c>
      <c r="N66">
        <v>449</v>
      </c>
      <c r="O66">
        <v>1945</v>
      </c>
      <c r="P66">
        <v>526</v>
      </c>
      <c r="Q66">
        <v>1857</v>
      </c>
      <c r="R66">
        <v>604</v>
      </c>
      <c r="S66">
        <v>1758</v>
      </c>
      <c r="T66">
        <v>643</v>
      </c>
      <c r="U66">
        <v>1705</v>
      </c>
      <c r="V66">
        <v>726</v>
      </c>
      <c r="W66">
        <v>1631</v>
      </c>
      <c r="X66">
        <v>750</v>
      </c>
      <c r="Y66">
        <v>1634</v>
      </c>
    </row>
    <row r="67" spans="1:25" ht="13">
      <c r="A67">
        <v>28</v>
      </c>
      <c r="B67">
        <v>736</v>
      </c>
      <c r="C67">
        <v>1712</v>
      </c>
      <c r="D67">
        <v>650</v>
      </c>
      <c r="E67">
        <v>1756</v>
      </c>
      <c r="F67">
        <v>558</v>
      </c>
      <c r="G67">
        <v>1834</v>
      </c>
      <c r="H67">
        <v>503</v>
      </c>
      <c r="I67">
        <v>1914</v>
      </c>
      <c r="J67">
        <v>428</v>
      </c>
      <c r="K67">
        <v>1949</v>
      </c>
      <c r="L67">
        <v>424</v>
      </c>
      <c r="M67">
        <v>2003</v>
      </c>
      <c r="N67">
        <v>450</v>
      </c>
      <c r="O67">
        <v>1943</v>
      </c>
      <c r="P67">
        <v>527</v>
      </c>
      <c r="Q67">
        <v>1855</v>
      </c>
      <c r="R67">
        <v>605</v>
      </c>
      <c r="S67">
        <v>1756</v>
      </c>
      <c r="T67">
        <v>645</v>
      </c>
      <c r="U67">
        <v>1703</v>
      </c>
      <c r="V67">
        <v>727</v>
      </c>
      <c r="W67">
        <v>1630</v>
      </c>
      <c r="X67">
        <v>750</v>
      </c>
      <c r="Y67">
        <v>1634</v>
      </c>
    </row>
    <row r="68" spans="1:25" ht="13">
      <c r="A68">
        <v>29</v>
      </c>
      <c r="B68">
        <v>735</v>
      </c>
      <c r="C68">
        <v>1713</v>
      </c>
      <c r="F68">
        <v>556</v>
      </c>
      <c r="G68">
        <v>1835</v>
      </c>
      <c r="H68">
        <v>502</v>
      </c>
      <c r="I68">
        <v>1915</v>
      </c>
      <c r="J68">
        <v>427</v>
      </c>
      <c r="K68">
        <v>1950</v>
      </c>
      <c r="L68">
        <v>425</v>
      </c>
      <c r="M68">
        <v>2003</v>
      </c>
      <c r="N68">
        <v>451</v>
      </c>
      <c r="O68">
        <v>1942</v>
      </c>
      <c r="P68">
        <v>528</v>
      </c>
      <c r="Q68">
        <v>1854</v>
      </c>
      <c r="R68">
        <v>606</v>
      </c>
      <c r="S68">
        <v>1754</v>
      </c>
      <c r="T68">
        <v>646</v>
      </c>
      <c r="U68">
        <v>1702</v>
      </c>
      <c r="V68">
        <v>728</v>
      </c>
      <c r="W68">
        <v>1630</v>
      </c>
      <c r="X68">
        <v>750</v>
      </c>
      <c r="Y68">
        <v>1635</v>
      </c>
    </row>
    <row r="69" spans="1:25" ht="13">
      <c r="A69">
        <v>30</v>
      </c>
      <c r="B69">
        <v>734</v>
      </c>
      <c r="C69">
        <v>1715</v>
      </c>
      <c r="F69">
        <v>554</v>
      </c>
      <c r="G69">
        <v>1836</v>
      </c>
      <c r="H69">
        <v>500</v>
      </c>
      <c r="I69">
        <v>1916</v>
      </c>
      <c r="J69">
        <v>426</v>
      </c>
      <c r="K69">
        <v>1951</v>
      </c>
      <c r="L69">
        <v>425</v>
      </c>
      <c r="M69">
        <v>2003</v>
      </c>
      <c r="N69">
        <v>452</v>
      </c>
      <c r="O69">
        <v>1941</v>
      </c>
      <c r="P69">
        <v>530</v>
      </c>
      <c r="Q69">
        <v>1852</v>
      </c>
      <c r="R69">
        <v>608</v>
      </c>
      <c r="S69">
        <v>1752</v>
      </c>
      <c r="T69">
        <v>648</v>
      </c>
      <c r="U69">
        <v>1700</v>
      </c>
      <c r="V69">
        <v>729</v>
      </c>
      <c r="W69">
        <v>1629</v>
      </c>
      <c r="X69">
        <v>751</v>
      </c>
      <c r="Y69">
        <v>1636</v>
      </c>
    </row>
    <row r="70" spans="1:25" ht="13">
      <c r="A70">
        <v>31</v>
      </c>
      <c r="B70">
        <v>733</v>
      </c>
      <c r="C70">
        <v>1716</v>
      </c>
      <c r="F70">
        <v>553</v>
      </c>
      <c r="G70">
        <v>1838</v>
      </c>
      <c r="J70">
        <v>426</v>
      </c>
      <c r="K70">
        <v>1951</v>
      </c>
      <c r="N70">
        <v>454</v>
      </c>
      <c r="O70">
        <v>1940</v>
      </c>
      <c r="P70">
        <v>531</v>
      </c>
      <c r="Q70">
        <v>1850</v>
      </c>
      <c r="T70">
        <v>649</v>
      </c>
      <c r="U70">
        <v>1659</v>
      </c>
      <c r="X70">
        <v>751</v>
      </c>
      <c r="Y70">
        <v>1637</v>
      </c>
    </row>
    <row r="73" spans="1:25" ht="13">
      <c r="A73" s="8" t="s">
        <v>259</v>
      </c>
    </row>
    <row r="74" spans="1:25" ht="13">
      <c r="B74" t="s">
        <v>243</v>
      </c>
      <c r="D74" t="s">
        <v>244</v>
      </c>
      <c r="F74" t="s">
        <v>245</v>
      </c>
      <c r="H74" t="s">
        <v>246</v>
      </c>
      <c r="J74" t="s">
        <v>247</v>
      </c>
      <c r="L74" t="s">
        <v>248</v>
      </c>
      <c r="N74" t="s">
        <v>249</v>
      </c>
      <c r="P74" t="s">
        <v>250</v>
      </c>
      <c r="R74" t="s">
        <v>251</v>
      </c>
      <c r="T74" t="s">
        <v>252</v>
      </c>
      <c r="V74" t="s">
        <v>253</v>
      </c>
      <c r="X74" t="s">
        <v>254</v>
      </c>
    </row>
    <row r="75" spans="1:25" ht="13">
      <c r="A75" t="s">
        <v>255</v>
      </c>
      <c r="B75" t="s">
        <v>260</v>
      </c>
      <c r="C75" t="s">
        <v>261</v>
      </c>
      <c r="D75" t="s">
        <v>260</v>
      </c>
      <c r="E75" t="s">
        <v>261</v>
      </c>
      <c r="F75" t="s">
        <v>260</v>
      </c>
      <c r="G75" t="s">
        <v>261</v>
      </c>
      <c r="H75" t="s">
        <v>260</v>
      </c>
      <c r="I75" t="s">
        <v>261</v>
      </c>
      <c r="J75" t="s">
        <v>260</v>
      </c>
      <c r="K75" t="s">
        <v>261</v>
      </c>
      <c r="L75" t="s">
        <v>260</v>
      </c>
      <c r="M75" t="s">
        <v>261</v>
      </c>
      <c r="N75" t="s">
        <v>260</v>
      </c>
      <c r="O75" t="s">
        <v>261</v>
      </c>
      <c r="P75" t="s">
        <v>260</v>
      </c>
      <c r="Q75" t="s">
        <v>261</v>
      </c>
      <c r="R75" t="s">
        <v>260</v>
      </c>
      <c r="S75" t="s">
        <v>261</v>
      </c>
      <c r="T75" t="s">
        <v>260</v>
      </c>
      <c r="U75" t="s">
        <v>261</v>
      </c>
      <c r="V75" t="s">
        <v>260</v>
      </c>
      <c r="W75" t="s">
        <v>261</v>
      </c>
      <c r="X75" t="s">
        <v>260</v>
      </c>
      <c r="Y75" t="s">
        <v>261</v>
      </c>
    </row>
    <row r="76" spans="1:25" ht="13">
      <c r="A76">
        <v>1</v>
      </c>
      <c r="B76">
        <v>717</v>
      </c>
      <c r="C76">
        <v>1712</v>
      </c>
      <c r="D76">
        <v>700</v>
      </c>
      <c r="E76">
        <v>1749</v>
      </c>
      <c r="F76">
        <v>619</v>
      </c>
      <c r="G76">
        <v>1828</v>
      </c>
      <c r="H76">
        <v>520</v>
      </c>
      <c r="I76">
        <v>1909</v>
      </c>
      <c r="J76">
        <v>425</v>
      </c>
      <c r="K76">
        <v>1951</v>
      </c>
      <c r="L76">
        <v>348</v>
      </c>
      <c r="M76">
        <v>2029</v>
      </c>
      <c r="N76">
        <v>348</v>
      </c>
      <c r="O76">
        <v>2041</v>
      </c>
      <c r="P76">
        <v>421</v>
      </c>
      <c r="Q76">
        <v>2012</v>
      </c>
      <c r="R76">
        <v>502</v>
      </c>
      <c r="S76">
        <v>1918</v>
      </c>
      <c r="T76">
        <v>540</v>
      </c>
      <c r="U76">
        <v>1820</v>
      </c>
      <c r="V76">
        <v>620</v>
      </c>
      <c r="W76">
        <v>1728</v>
      </c>
      <c r="X76">
        <v>657</v>
      </c>
      <c r="Y76">
        <v>1702</v>
      </c>
    </row>
    <row r="77" spans="1:25" ht="13">
      <c r="A77">
        <v>2</v>
      </c>
      <c r="B77">
        <v>717</v>
      </c>
      <c r="C77">
        <v>1713</v>
      </c>
      <c r="D77">
        <v>659</v>
      </c>
      <c r="E77">
        <v>1751</v>
      </c>
      <c r="F77">
        <v>617</v>
      </c>
      <c r="G77">
        <v>1829</v>
      </c>
      <c r="H77">
        <v>518</v>
      </c>
      <c r="I77">
        <v>1911</v>
      </c>
      <c r="J77">
        <v>424</v>
      </c>
      <c r="K77">
        <v>1952</v>
      </c>
      <c r="L77">
        <v>348</v>
      </c>
      <c r="M77">
        <v>2030</v>
      </c>
      <c r="N77">
        <v>349</v>
      </c>
      <c r="O77">
        <v>2040</v>
      </c>
      <c r="P77">
        <v>422</v>
      </c>
      <c r="Q77">
        <v>2011</v>
      </c>
      <c r="R77">
        <v>503</v>
      </c>
      <c r="S77">
        <v>1916</v>
      </c>
      <c r="T77">
        <v>541</v>
      </c>
      <c r="U77">
        <v>1818</v>
      </c>
      <c r="V77">
        <v>621</v>
      </c>
      <c r="W77">
        <v>1727</v>
      </c>
      <c r="X77">
        <v>658</v>
      </c>
      <c r="Y77">
        <v>1702</v>
      </c>
    </row>
    <row r="78" spans="1:25" ht="13">
      <c r="A78">
        <v>3</v>
      </c>
      <c r="B78">
        <v>717</v>
      </c>
      <c r="C78">
        <v>1714</v>
      </c>
      <c r="D78">
        <v>657</v>
      </c>
      <c r="E78">
        <v>1752</v>
      </c>
      <c r="F78">
        <v>615</v>
      </c>
      <c r="G78">
        <v>1831</v>
      </c>
      <c r="H78">
        <v>516</v>
      </c>
      <c r="I78">
        <v>1912</v>
      </c>
      <c r="J78">
        <v>422</v>
      </c>
      <c r="K78">
        <v>1954</v>
      </c>
      <c r="L78">
        <v>347</v>
      </c>
      <c r="M78">
        <v>2031</v>
      </c>
      <c r="N78">
        <v>350</v>
      </c>
      <c r="O78">
        <v>2040</v>
      </c>
      <c r="P78">
        <v>423</v>
      </c>
      <c r="Q78">
        <v>2009</v>
      </c>
      <c r="R78">
        <v>504</v>
      </c>
      <c r="S78">
        <v>1914</v>
      </c>
      <c r="T78">
        <v>542</v>
      </c>
      <c r="U78">
        <v>1816</v>
      </c>
      <c r="V78">
        <v>622</v>
      </c>
      <c r="W78">
        <v>1725</v>
      </c>
      <c r="X78">
        <v>659</v>
      </c>
      <c r="Y78">
        <v>1702</v>
      </c>
    </row>
    <row r="79" spans="1:25" ht="13">
      <c r="A79">
        <v>4</v>
      </c>
      <c r="B79">
        <v>717</v>
      </c>
      <c r="C79">
        <v>1715</v>
      </c>
      <c r="D79">
        <v>656</v>
      </c>
      <c r="E79">
        <v>1754</v>
      </c>
      <c r="F79">
        <v>613</v>
      </c>
      <c r="G79">
        <v>1832</v>
      </c>
      <c r="H79">
        <v>514</v>
      </c>
      <c r="I79">
        <v>1913</v>
      </c>
      <c r="J79">
        <v>421</v>
      </c>
      <c r="K79">
        <v>1955</v>
      </c>
      <c r="L79">
        <v>346</v>
      </c>
      <c r="M79">
        <v>2032</v>
      </c>
      <c r="N79">
        <v>350</v>
      </c>
      <c r="O79">
        <v>2040</v>
      </c>
      <c r="P79">
        <v>425</v>
      </c>
      <c r="Q79">
        <v>2008</v>
      </c>
      <c r="R79">
        <v>506</v>
      </c>
      <c r="S79">
        <v>1912</v>
      </c>
      <c r="T79">
        <v>544</v>
      </c>
      <c r="U79">
        <v>1814</v>
      </c>
      <c r="V79">
        <v>624</v>
      </c>
      <c r="W79">
        <v>1724</v>
      </c>
      <c r="X79">
        <v>700</v>
      </c>
      <c r="Y79">
        <v>1701</v>
      </c>
    </row>
    <row r="80" spans="1:25" ht="13">
      <c r="A80">
        <v>5</v>
      </c>
      <c r="B80">
        <v>717</v>
      </c>
      <c r="C80">
        <v>1716</v>
      </c>
      <c r="D80">
        <v>655</v>
      </c>
      <c r="E80">
        <v>1755</v>
      </c>
      <c r="F80">
        <v>611</v>
      </c>
      <c r="G80">
        <v>1833</v>
      </c>
      <c r="H80">
        <v>512</v>
      </c>
      <c r="I80">
        <v>1915</v>
      </c>
      <c r="J80">
        <v>419</v>
      </c>
      <c r="K80">
        <v>1956</v>
      </c>
      <c r="L80">
        <v>346</v>
      </c>
      <c r="M80">
        <v>2033</v>
      </c>
      <c r="N80">
        <v>351</v>
      </c>
      <c r="O80">
        <v>2039</v>
      </c>
      <c r="P80">
        <v>426</v>
      </c>
      <c r="Q80">
        <v>2006</v>
      </c>
      <c r="R80">
        <v>507</v>
      </c>
      <c r="S80">
        <v>1910</v>
      </c>
      <c r="T80">
        <v>545</v>
      </c>
      <c r="U80">
        <v>1812</v>
      </c>
      <c r="V80">
        <v>625</v>
      </c>
      <c r="W80">
        <v>1723</v>
      </c>
      <c r="X80">
        <v>701</v>
      </c>
      <c r="Y80">
        <v>1701</v>
      </c>
    </row>
    <row r="81" spans="1:25" ht="13">
      <c r="A81">
        <v>6</v>
      </c>
      <c r="B81">
        <v>717</v>
      </c>
      <c r="C81">
        <v>1717</v>
      </c>
      <c r="D81">
        <v>654</v>
      </c>
      <c r="E81">
        <v>1756</v>
      </c>
      <c r="F81">
        <v>610</v>
      </c>
      <c r="G81">
        <v>1835</v>
      </c>
      <c r="H81">
        <v>511</v>
      </c>
      <c r="I81">
        <v>1916</v>
      </c>
      <c r="J81">
        <v>417</v>
      </c>
      <c r="K81">
        <v>1958</v>
      </c>
      <c r="L81">
        <v>345</v>
      </c>
      <c r="M81">
        <v>2034</v>
      </c>
      <c r="N81">
        <v>352</v>
      </c>
      <c r="O81">
        <v>2039</v>
      </c>
      <c r="P81">
        <v>427</v>
      </c>
      <c r="Q81">
        <v>2005</v>
      </c>
      <c r="R81">
        <v>508</v>
      </c>
      <c r="S81">
        <v>1908</v>
      </c>
      <c r="T81">
        <v>546</v>
      </c>
      <c r="U81">
        <v>1810</v>
      </c>
      <c r="V81">
        <v>626</v>
      </c>
      <c r="W81">
        <v>1722</v>
      </c>
      <c r="X81">
        <v>702</v>
      </c>
      <c r="Y81">
        <v>1701</v>
      </c>
    </row>
    <row r="82" spans="1:25" ht="13">
      <c r="A82">
        <v>7</v>
      </c>
      <c r="B82">
        <v>716</v>
      </c>
      <c r="C82">
        <v>1718</v>
      </c>
      <c r="D82">
        <v>652</v>
      </c>
      <c r="E82">
        <v>1758</v>
      </c>
      <c r="F82">
        <v>608</v>
      </c>
      <c r="G82">
        <v>1836</v>
      </c>
      <c r="H82">
        <v>509</v>
      </c>
      <c r="I82">
        <v>1917</v>
      </c>
      <c r="J82">
        <v>416</v>
      </c>
      <c r="K82">
        <v>1959</v>
      </c>
      <c r="L82">
        <v>345</v>
      </c>
      <c r="M82">
        <v>2035</v>
      </c>
      <c r="N82">
        <v>353</v>
      </c>
      <c r="O82">
        <v>2038</v>
      </c>
      <c r="P82">
        <v>429</v>
      </c>
      <c r="Q82">
        <v>2003</v>
      </c>
      <c r="R82">
        <v>510</v>
      </c>
      <c r="S82">
        <v>1906</v>
      </c>
      <c r="T82">
        <v>547</v>
      </c>
      <c r="U82">
        <v>1808</v>
      </c>
      <c r="V82">
        <v>628</v>
      </c>
      <c r="W82">
        <v>1720</v>
      </c>
      <c r="X82">
        <v>703</v>
      </c>
      <c r="Y82">
        <v>1701</v>
      </c>
    </row>
    <row r="83" spans="1:25" ht="13">
      <c r="A83">
        <v>8</v>
      </c>
      <c r="B83">
        <v>716</v>
      </c>
      <c r="C83">
        <v>1719</v>
      </c>
      <c r="D83">
        <v>651</v>
      </c>
      <c r="E83">
        <v>1759</v>
      </c>
      <c r="F83">
        <v>606</v>
      </c>
      <c r="G83">
        <v>1837</v>
      </c>
      <c r="H83">
        <v>507</v>
      </c>
      <c r="I83">
        <v>1919</v>
      </c>
      <c r="J83">
        <v>414</v>
      </c>
      <c r="K83">
        <v>2001</v>
      </c>
      <c r="L83">
        <v>345</v>
      </c>
      <c r="M83">
        <v>2035</v>
      </c>
      <c r="N83">
        <v>354</v>
      </c>
      <c r="O83">
        <v>2038</v>
      </c>
      <c r="P83">
        <v>430</v>
      </c>
      <c r="Q83">
        <v>2001</v>
      </c>
      <c r="R83">
        <v>511</v>
      </c>
      <c r="S83">
        <v>1904</v>
      </c>
      <c r="T83">
        <v>549</v>
      </c>
      <c r="U83">
        <v>1807</v>
      </c>
      <c r="V83">
        <v>629</v>
      </c>
      <c r="W83">
        <v>1719</v>
      </c>
      <c r="X83">
        <v>704</v>
      </c>
      <c r="Y83">
        <v>1701</v>
      </c>
    </row>
    <row r="84" spans="1:25" ht="13">
      <c r="A84">
        <v>9</v>
      </c>
      <c r="B84">
        <v>716</v>
      </c>
      <c r="C84">
        <v>1720</v>
      </c>
      <c r="D84">
        <v>650</v>
      </c>
      <c r="E84">
        <v>1800</v>
      </c>
      <c r="F84">
        <v>604</v>
      </c>
      <c r="G84">
        <v>1839</v>
      </c>
      <c r="H84">
        <v>505</v>
      </c>
      <c r="I84">
        <v>1920</v>
      </c>
      <c r="J84">
        <v>413</v>
      </c>
      <c r="K84">
        <v>2002</v>
      </c>
      <c r="L84">
        <v>344</v>
      </c>
      <c r="M84">
        <v>2036</v>
      </c>
      <c r="N84">
        <v>354</v>
      </c>
      <c r="O84">
        <v>2037</v>
      </c>
      <c r="P84">
        <v>431</v>
      </c>
      <c r="Q84">
        <v>2000</v>
      </c>
      <c r="R84">
        <v>512</v>
      </c>
      <c r="S84">
        <v>1902</v>
      </c>
      <c r="T84">
        <v>550</v>
      </c>
      <c r="U84">
        <v>1805</v>
      </c>
      <c r="V84">
        <v>630</v>
      </c>
      <c r="W84">
        <v>1718</v>
      </c>
      <c r="X84">
        <v>705</v>
      </c>
      <c r="Y84">
        <v>1701</v>
      </c>
    </row>
    <row r="85" spans="1:25" ht="13">
      <c r="A85">
        <v>10</v>
      </c>
      <c r="B85">
        <v>716</v>
      </c>
      <c r="C85">
        <v>1721</v>
      </c>
      <c r="D85">
        <v>648</v>
      </c>
      <c r="E85">
        <v>1802</v>
      </c>
      <c r="F85">
        <v>602</v>
      </c>
      <c r="G85">
        <v>1840</v>
      </c>
      <c r="H85">
        <v>503</v>
      </c>
      <c r="I85">
        <v>1922</v>
      </c>
      <c r="J85">
        <v>412</v>
      </c>
      <c r="K85">
        <v>2003</v>
      </c>
      <c r="L85">
        <v>344</v>
      </c>
      <c r="M85">
        <v>2037</v>
      </c>
      <c r="N85">
        <v>355</v>
      </c>
      <c r="O85">
        <v>2036</v>
      </c>
      <c r="P85">
        <v>433</v>
      </c>
      <c r="Q85">
        <v>1958</v>
      </c>
      <c r="R85">
        <v>513</v>
      </c>
      <c r="S85">
        <v>1900</v>
      </c>
      <c r="T85">
        <v>551</v>
      </c>
      <c r="U85">
        <v>1803</v>
      </c>
      <c r="V85">
        <v>632</v>
      </c>
      <c r="W85">
        <v>1717</v>
      </c>
      <c r="X85">
        <v>706</v>
      </c>
      <c r="Y85">
        <v>1701</v>
      </c>
    </row>
    <row r="86" spans="1:25" ht="13">
      <c r="A86">
        <v>11</v>
      </c>
      <c r="B86">
        <v>715</v>
      </c>
      <c r="C86">
        <v>1722</v>
      </c>
      <c r="D86">
        <v>647</v>
      </c>
      <c r="E86">
        <v>1803</v>
      </c>
      <c r="F86">
        <v>601</v>
      </c>
      <c r="G86">
        <v>1841</v>
      </c>
      <c r="H86">
        <v>501</v>
      </c>
      <c r="I86">
        <v>1923</v>
      </c>
      <c r="J86">
        <v>410</v>
      </c>
      <c r="K86">
        <v>2005</v>
      </c>
      <c r="L86">
        <v>344</v>
      </c>
      <c r="M86">
        <v>2037</v>
      </c>
      <c r="N86">
        <v>356</v>
      </c>
      <c r="O86">
        <v>2036</v>
      </c>
      <c r="P86">
        <v>434</v>
      </c>
      <c r="Q86">
        <v>1956</v>
      </c>
      <c r="R86">
        <v>515</v>
      </c>
      <c r="S86">
        <v>1859</v>
      </c>
      <c r="T86">
        <v>552</v>
      </c>
      <c r="U86">
        <v>1801</v>
      </c>
      <c r="V86">
        <v>633</v>
      </c>
      <c r="W86">
        <v>1716</v>
      </c>
      <c r="X86">
        <v>707</v>
      </c>
      <c r="Y86">
        <v>1701</v>
      </c>
    </row>
    <row r="87" spans="1:25" ht="13">
      <c r="A87">
        <v>12</v>
      </c>
      <c r="B87">
        <v>715</v>
      </c>
      <c r="C87">
        <v>1724</v>
      </c>
      <c r="D87">
        <v>646</v>
      </c>
      <c r="E87">
        <v>1805</v>
      </c>
      <c r="F87">
        <v>559</v>
      </c>
      <c r="G87">
        <v>1843</v>
      </c>
      <c r="H87">
        <v>459</v>
      </c>
      <c r="I87">
        <v>1924</v>
      </c>
      <c r="J87">
        <v>409</v>
      </c>
      <c r="K87">
        <v>2006</v>
      </c>
      <c r="L87">
        <v>344</v>
      </c>
      <c r="M87">
        <v>2038</v>
      </c>
      <c r="N87">
        <v>357</v>
      </c>
      <c r="O87">
        <v>2035</v>
      </c>
      <c r="P87">
        <v>435</v>
      </c>
      <c r="Q87">
        <v>1955</v>
      </c>
      <c r="R87">
        <v>516</v>
      </c>
      <c r="S87">
        <v>1857</v>
      </c>
      <c r="T87">
        <v>554</v>
      </c>
      <c r="U87">
        <v>1759</v>
      </c>
      <c r="V87">
        <v>634</v>
      </c>
      <c r="W87">
        <v>1715</v>
      </c>
      <c r="X87">
        <v>708</v>
      </c>
      <c r="Y87">
        <v>1701</v>
      </c>
    </row>
    <row r="88" spans="1:25" ht="13">
      <c r="A88">
        <v>13</v>
      </c>
      <c r="B88">
        <v>715</v>
      </c>
      <c r="C88">
        <v>1725</v>
      </c>
      <c r="D88">
        <v>644</v>
      </c>
      <c r="E88">
        <v>1806</v>
      </c>
      <c r="F88">
        <v>557</v>
      </c>
      <c r="G88">
        <v>1844</v>
      </c>
      <c r="H88">
        <v>457</v>
      </c>
      <c r="I88">
        <v>1926</v>
      </c>
      <c r="J88">
        <v>407</v>
      </c>
      <c r="K88">
        <v>2007</v>
      </c>
      <c r="L88">
        <v>343</v>
      </c>
      <c r="M88">
        <v>2038</v>
      </c>
      <c r="N88">
        <v>358</v>
      </c>
      <c r="O88">
        <v>2034</v>
      </c>
      <c r="P88">
        <v>437</v>
      </c>
      <c r="Q88">
        <v>1953</v>
      </c>
      <c r="R88">
        <v>517</v>
      </c>
      <c r="S88">
        <v>1855</v>
      </c>
      <c r="T88">
        <v>555</v>
      </c>
      <c r="U88">
        <v>1758</v>
      </c>
      <c r="V88">
        <v>636</v>
      </c>
      <c r="W88">
        <v>1714</v>
      </c>
      <c r="X88">
        <v>708</v>
      </c>
      <c r="Y88">
        <v>1701</v>
      </c>
    </row>
    <row r="89" spans="1:25" ht="13">
      <c r="A89">
        <v>14</v>
      </c>
      <c r="B89">
        <v>714</v>
      </c>
      <c r="C89">
        <v>1726</v>
      </c>
      <c r="D89">
        <v>643</v>
      </c>
      <c r="E89">
        <v>1807</v>
      </c>
      <c r="F89">
        <v>555</v>
      </c>
      <c r="G89">
        <v>1845</v>
      </c>
      <c r="H89">
        <v>455</v>
      </c>
      <c r="I89">
        <v>1927</v>
      </c>
      <c r="J89">
        <v>406</v>
      </c>
      <c r="K89">
        <v>2009</v>
      </c>
      <c r="L89">
        <v>343</v>
      </c>
      <c r="M89">
        <v>2039</v>
      </c>
      <c r="N89">
        <v>359</v>
      </c>
      <c r="O89">
        <v>2033</v>
      </c>
      <c r="P89">
        <v>438</v>
      </c>
      <c r="Q89">
        <v>1951</v>
      </c>
      <c r="R89">
        <v>518</v>
      </c>
      <c r="S89">
        <v>1853</v>
      </c>
      <c r="T89">
        <v>556</v>
      </c>
      <c r="U89">
        <v>1756</v>
      </c>
      <c r="V89">
        <v>637</v>
      </c>
      <c r="W89">
        <v>1713</v>
      </c>
      <c r="X89">
        <v>709</v>
      </c>
      <c r="Y89">
        <v>1702</v>
      </c>
    </row>
    <row r="90" spans="1:25" ht="13">
      <c r="A90">
        <v>15</v>
      </c>
      <c r="B90">
        <v>714</v>
      </c>
      <c r="C90">
        <v>1727</v>
      </c>
      <c r="D90">
        <v>641</v>
      </c>
      <c r="E90">
        <v>1809</v>
      </c>
      <c r="F90">
        <v>553</v>
      </c>
      <c r="G90">
        <v>1847</v>
      </c>
      <c r="H90">
        <v>454</v>
      </c>
      <c r="I90">
        <v>1928</v>
      </c>
      <c r="J90">
        <v>405</v>
      </c>
      <c r="K90">
        <v>2010</v>
      </c>
      <c r="L90">
        <v>343</v>
      </c>
      <c r="M90">
        <v>2039</v>
      </c>
      <c r="N90">
        <v>400</v>
      </c>
      <c r="O90">
        <v>2032</v>
      </c>
      <c r="P90">
        <v>439</v>
      </c>
      <c r="Q90">
        <v>1950</v>
      </c>
      <c r="R90">
        <v>520</v>
      </c>
      <c r="S90">
        <v>1851</v>
      </c>
      <c r="T90">
        <v>558</v>
      </c>
      <c r="U90">
        <v>1754</v>
      </c>
      <c r="V90">
        <v>638</v>
      </c>
      <c r="W90">
        <v>1712</v>
      </c>
      <c r="X90">
        <v>710</v>
      </c>
      <c r="Y90">
        <v>1702</v>
      </c>
    </row>
    <row r="91" spans="1:25" ht="13">
      <c r="A91">
        <v>16</v>
      </c>
      <c r="B91">
        <v>713</v>
      </c>
      <c r="C91">
        <v>1728</v>
      </c>
      <c r="D91">
        <v>640</v>
      </c>
      <c r="E91">
        <v>1810</v>
      </c>
      <c r="F91">
        <v>551</v>
      </c>
      <c r="G91">
        <v>1848</v>
      </c>
      <c r="H91">
        <v>452</v>
      </c>
      <c r="I91">
        <v>1930</v>
      </c>
      <c r="J91">
        <v>404</v>
      </c>
      <c r="K91">
        <v>2011</v>
      </c>
      <c r="L91">
        <v>343</v>
      </c>
      <c r="M91">
        <v>2040</v>
      </c>
      <c r="N91">
        <v>401</v>
      </c>
      <c r="O91">
        <v>2031</v>
      </c>
      <c r="P91">
        <v>441</v>
      </c>
      <c r="Q91">
        <v>1948</v>
      </c>
      <c r="R91">
        <v>521</v>
      </c>
      <c r="S91">
        <v>1849</v>
      </c>
      <c r="T91">
        <v>559</v>
      </c>
      <c r="U91">
        <v>1753</v>
      </c>
      <c r="V91">
        <v>639</v>
      </c>
      <c r="W91">
        <v>1711</v>
      </c>
      <c r="X91">
        <v>711</v>
      </c>
      <c r="Y91">
        <v>1702</v>
      </c>
    </row>
    <row r="92" spans="1:25" ht="13">
      <c r="A92">
        <v>17</v>
      </c>
      <c r="B92">
        <v>712</v>
      </c>
      <c r="C92">
        <v>1730</v>
      </c>
      <c r="D92">
        <v>638</v>
      </c>
      <c r="E92">
        <v>1811</v>
      </c>
      <c r="F92">
        <v>549</v>
      </c>
      <c r="G92">
        <v>1849</v>
      </c>
      <c r="H92">
        <v>450</v>
      </c>
      <c r="I92">
        <v>1931</v>
      </c>
      <c r="J92">
        <v>402</v>
      </c>
      <c r="K92">
        <v>2012</v>
      </c>
      <c r="L92">
        <v>343</v>
      </c>
      <c r="M92">
        <v>2040</v>
      </c>
      <c r="N92">
        <v>402</v>
      </c>
      <c r="O92">
        <v>2030</v>
      </c>
      <c r="P92">
        <v>442</v>
      </c>
      <c r="Q92">
        <v>1946</v>
      </c>
      <c r="R92">
        <v>522</v>
      </c>
      <c r="S92">
        <v>1847</v>
      </c>
      <c r="T92">
        <v>600</v>
      </c>
      <c r="U92">
        <v>1751</v>
      </c>
      <c r="V92">
        <v>641</v>
      </c>
      <c r="W92">
        <v>1710</v>
      </c>
      <c r="X92">
        <v>711</v>
      </c>
      <c r="Y92">
        <v>1703</v>
      </c>
    </row>
    <row r="93" spans="1:25" ht="13">
      <c r="A93">
        <v>18</v>
      </c>
      <c r="B93">
        <v>712</v>
      </c>
      <c r="C93">
        <v>1731</v>
      </c>
      <c r="D93">
        <v>637</v>
      </c>
      <c r="E93">
        <v>1813</v>
      </c>
      <c r="F93">
        <v>547</v>
      </c>
      <c r="G93">
        <v>1851</v>
      </c>
      <c r="H93">
        <v>448</v>
      </c>
      <c r="I93">
        <v>1933</v>
      </c>
      <c r="J93">
        <v>401</v>
      </c>
      <c r="K93">
        <v>2014</v>
      </c>
      <c r="L93">
        <v>343</v>
      </c>
      <c r="M93">
        <v>2040</v>
      </c>
      <c r="N93">
        <v>404</v>
      </c>
      <c r="O93">
        <v>2029</v>
      </c>
      <c r="P93">
        <v>443</v>
      </c>
      <c r="Q93">
        <v>1944</v>
      </c>
      <c r="R93">
        <v>523</v>
      </c>
      <c r="S93">
        <v>1845</v>
      </c>
      <c r="T93">
        <v>601</v>
      </c>
      <c r="U93">
        <v>1749</v>
      </c>
      <c r="V93">
        <v>642</v>
      </c>
      <c r="W93">
        <v>1709</v>
      </c>
      <c r="X93">
        <v>712</v>
      </c>
      <c r="Y93">
        <v>1703</v>
      </c>
    </row>
    <row r="94" spans="1:25" ht="13">
      <c r="A94">
        <v>19</v>
      </c>
      <c r="B94">
        <v>711</v>
      </c>
      <c r="C94">
        <v>1732</v>
      </c>
      <c r="D94">
        <v>635</v>
      </c>
      <c r="E94">
        <v>1814</v>
      </c>
      <c r="F94">
        <v>545</v>
      </c>
      <c r="G94">
        <v>1852</v>
      </c>
      <c r="H94">
        <v>446</v>
      </c>
      <c r="I94">
        <v>1934</v>
      </c>
      <c r="J94">
        <v>400</v>
      </c>
      <c r="K94">
        <v>2015</v>
      </c>
      <c r="L94">
        <v>343</v>
      </c>
      <c r="M94">
        <v>2041</v>
      </c>
      <c r="N94">
        <v>405</v>
      </c>
      <c r="O94">
        <v>2028</v>
      </c>
      <c r="P94">
        <v>445</v>
      </c>
      <c r="Q94">
        <v>1943</v>
      </c>
      <c r="R94">
        <v>525</v>
      </c>
      <c r="S94">
        <v>1843</v>
      </c>
      <c r="T94">
        <v>603</v>
      </c>
      <c r="U94">
        <v>1748</v>
      </c>
      <c r="V94">
        <v>643</v>
      </c>
      <c r="W94">
        <v>1709</v>
      </c>
      <c r="X94">
        <v>713</v>
      </c>
      <c r="Y94">
        <v>1703</v>
      </c>
    </row>
    <row r="95" spans="1:25" ht="13">
      <c r="A95">
        <v>20</v>
      </c>
      <c r="B95">
        <v>711</v>
      </c>
      <c r="C95">
        <v>1733</v>
      </c>
      <c r="D95">
        <v>634</v>
      </c>
      <c r="E95">
        <v>1816</v>
      </c>
      <c r="F95">
        <v>543</v>
      </c>
      <c r="G95">
        <v>1853</v>
      </c>
      <c r="H95">
        <v>444</v>
      </c>
      <c r="I95">
        <v>1935</v>
      </c>
      <c r="J95">
        <v>359</v>
      </c>
      <c r="K95">
        <v>2016</v>
      </c>
      <c r="L95">
        <v>344</v>
      </c>
      <c r="M95">
        <v>2041</v>
      </c>
      <c r="N95">
        <v>406</v>
      </c>
      <c r="O95">
        <v>2027</v>
      </c>
      <c r="P95">
        <v>446</v>
      </c>
      <c r="Q95">
        <v>1941</v>
      </c>
      <c r="R95">
        <v>526</v>
      </c>
      <c r="S95">
        <v>1841</v>
      </c>
      <c r="T95">
        <v>604</v>
      </c>
      <c r="U95">
        <v>1746</v>
      </c>
      <c r="V95">
        <v>644</v>
      </c>
      <c r="W95">
        <v>1708</v>
      </c>
      <c r="X95">
        <v>713</v>
      </c>
      <c r="Y95">
        <v>1704</v>
      </c>
    </row>
    <row r="96" spans="1:25" ht="13">
      <c r="A96">
        <v>21</v>
      </c>
      <c r="B96">
        <v>710</v>
      </c>
      <c r="C96">
        <v>1735</v>
      </c>
      <c r="D96">
        <v>632</v>
      </c>
      <c r="E96">
        <v>1817</v>
      </c>
      <c r="F96">
        <v>542</v>
      </c>
      <c r="G96">
        <v>1855</v>
      </c>
      <c r="H96">
        <v>443</v>
      </c>
      <c r="I96">
        <v>1937</v>
      </c>
      <c r="J96">
        <v>358</v>
      </c>
      <c r="K96">
        <v>2017</v>
      </c>
      <c r="L96">
        <v>344</v>
      </c>
      <c r="M96">
        <v>2041</v>
      </c>
      <c r="N96">
        <v>407</v>
      </c>
      <c r="O96">
        <v>2026</v>
      </c>
      <c r="P96">
        <v>447</v>
      </c>
      <c r="Q96">
        <v>1939</v>
      </c>
      <c r="R96">
        <v>527</v>
      </c>
      <c r="S96">
        <v>1839</v>
      </c>
      <c r="T96">
        <v>605</v>
      </c>
      <c r="U96">
        <v>1744</v>
      </c>
      <c r="V96">
        <v>646</v>
      </c>
      <c r="W96">
        <v>1707</v>
      </c>
      <c r="X96">
        <v>714</v>
      </c>
      <c r="Y96">
        <v>1704</v>
      </c>
    </row>
    <row r="97" spans="1:25" ht="13">
      <c r="A97">
        <v>22</v>
      </c>
      <c r="B97">
        <v>709</v>
      </c>
      <c r="C97">
        <v>1736</v>
      </c>
      <c r="D97">
        <v>630</v>
      </c>
      <c r="E97">
        <v>1818</v>
      </c>
      <c r="F97">
        <v>540</v>
      </c>
      <c r="G97">
        <v>1856</v>
      </c>
      <c r="H97">
        <v>441</v>
      </c>
      <c r="I97">
        <v>1938</v>
      </c>
      <c r="J97">
        <v>357</v>
      </c>
      <c r="K97">
        <v>2019</v>
      </c>
      <c r="L97">
        <v>344</v>
      </c>
      <c r="M97">
        <v>2041</v>
      </c>
      <c r="N97">
        <v>408</v>
      </c>
      <c r="O97">
        <v>2025</v>
      </c>
      <c r="P97">
        <v>449</v>
      </c>
      <c r="Q97">
        <v>1937</v>
      </c>
      <c r="R97">
        <v>528</v>
      </c>
      <c r="S97">
        <v>1837</v>
      </c>
      <c r="T97">
        <v>607</v>
      </c>
      <c r="U97">
        <v>1743</v>
      </c>
      <c r="V97">
        <v>647</v>
      </c>
      <c r="W97">
        <v>1706</v>
      </c>
      <c r="X97">
        <v>714</v>
      </c>
      <c r="Y97">
        <v>1705</v>
      </c>
    </row>
    <row r="98" spans="1:25" ht="13">
      <c r="A98">
        <v>23</v>
      </c>
      <c r="B98">
        <v>708</v>
      </c>
      <c r="C98">
        <v>1737</v>
      </c>
      <c r="D98">
        <v>629</v>
      </c>
      <c r="E98">
        <v>1820</v>
      </c>
      <c r="F98">
        <v>538</v>
      </c>
      <c r="G98">
        <v>1857</v>
      </c>
      <c r="H98">
        <v>439</v>
      </c>
      <c r="I98">
        <v>1940</v>
      </c>
      <c r="J98">
        <v>356</v>
      </c>
      <c r="K98">
        <v>2020</v>
      </c>
      <c r="L98">
        <v>344</v>
      </c>
      <c r="M98">
        <v>2041</v>
      </c>
      <c r="N98">
        <v>409</v>
      </c>
      <c r="O98">
        <v>2024</v>
      </c>
      <c r="P98">
        <v>450</v>
      </c>
      <c r="Q98">
        <v>1935</v>
      </c>
      <c r="R98">
        <v>530</v>
      </c>
      <c r="S98">
        <v>1835</v>
      </c>
      <c r="T98">
        <v>608</v>
      </c>
      <c r="U98">
        <v>1741</v>
      </c>
      <c r="V98">
        <v>648</v>
      </c>
      <c r="W98">
        <v>1706</v>
      </c>
      <c r="X98">
        <v>715</v>
      </c>
      <c r="Y98">
        <v>1705</v>
      </c>
    </row>
    <row r="99" spans="1:25" ht="13">
      <c r="A99">
        <v>24</v>
      </c>
      <c r="B99">
        <v>707</v>
      </c>
      <c r="C99">
        <v>1739</v>
      </c>
      <c r="D99">
        <v>627</v>
      </c>
      <c r="E99">
        <v>1821</v>
      </c>
      <c r="F99">
        <v>536</v>
      </c>
      <c r="G99">
        <v>1859</v>
      </c>
      <c r="H99">
        <v>437</v>
      </c>
      <c r="I99">
        <v>1941</v>
      </c>
      <c r="J99">
        <v>355</v>
      </c>
      <c r="K99">
        <v>2021</v>
      </c>
      <c r="L99">
        <v>345</v>
      </c>
      <c r="M99">
        <v>2042</v>
      </c>
      <c r="N99">
        <v>411</v>
      </c>
      <c r="O99">
        <v>2023</v>
      </c>
      <c r="P99">
        <v>451</v>
      </c>
      <c r="Q99">
        <v>1933</v>
      </c>
      <c r="R99">
        <v>531</v>
      </c>
      <c r="S99">
        <v>1833</v>
      </c>
      <c r="T99">
        <v>609</v>
      </c>
      <c r="U99">
        <v>1740</v>
      </c>
      <c r="V99">
        <v>649</v>
      </c>
      <c r="W99">
        <v>1705</v>
      </c>
      <c r="X99">
        <v>715</v>
      </c>
      <c r="Y99">
        <v>1706</v>
      </c>
    </row>
    <row r="100" spans="1:25" ht="13">
      <c r="A100">
        <v>25</v>
      </c>
      <c r="B100">
        <v>707</v>
      </c>
      <c r="C100">
        <v>1740</v>
      </c>
      <c r="D100">
        <v>625</v>
      </c>
      <c r="E100">
        <v>1822</v>
      </c>
      <c r="F100">
        <v>534</v>
      </c>
      <c r="G100">
        <v>1900</v>
      </c>
      <c r="H100">
        <v>435</v>
      </c>
      <c r="I100">
        <v>1942</v>
      </c>
      <c r="J100">
        <v>354</v>
      </c>
      <c r="K100">
        <v>2022</v>
      </c>
      <c r="L100">
        <v>345</v>
      </c>
      <c r="M100">
        <v>2042</v>
      </c>
      <c r="N100">
        <v>412</v>
      </c>
      <c r="O100">
        <v>2022</v>
      </c>
      <c r="P100">
        <v>453</v>
      </c>
      <c r="Q100">
        <v>1931</v>
      </c>
      <c r="R100">
        <v>532</v>
      </c>
      <c r="S100">
        <v>1831</v>
      </c>
      <c r="T100">
        <v>611</v>
      </c>
      <c r="U100">
        <v>1738</v>
      </c>
      <c r="V100">
        <v>651</v>
      </c>
      <c r="W100">
        <v>1705</v>
      </c>
      <c r="X100">
        <v>715</v>
      </c>
      <c r="Y100">
        <v>1707</v>
      </c>
    </row>
    <row r="101" spans="1:25" ht="13">
      <c r="A101">
        <v>26</v>
      </c>
      <c r="B101">
        <v>706</v>
      </c>
      <c r="C101">
        <v>1741</v>
      </c>
      <c r="D101">
        <v>624</v>
      </c>
      <c r="E101">
        <v>1824</v>
      </c>
      <c r="F101">
        <v>532</v>
      </c>
      <c r="G101">
        <v>1901</v>
      </c>
      <c r="H101">
        <v>434</v>
      </c>
      <c r="I101">
        <v>1944</v>
      </c>
      <c r="J101">
        <v>353</v>
      </c>
      <c r="K101">
        <v>2023</v>
      </c>
      <c r="L101">
        <v>346</v>
      </c>
      <c r="M101">
        <v>2042</v>
      </c>
      <c r="N101">
        <v>413</v>
      </c>
      <c r="O101">
        <v>2020</v>
      </c>
      <c r="P101">
        <v>454</v>
      </c>
      <c r="Q101">
        <v>1930</v>
      </c>
      <c r="R101">
        <v>533</v>
      </c>
      <c r="S101">
        <v>1829</v>
      </c>
      <c r="T101">
        <v>612</v>
      </c>
      <c r="U101">
        <v>1737</v>
      </c>
      <c r="V101">
        <v>652</v>
      </c>
      <c r="W101">
        <v>1704</v>
      </c>
      <c r="X101">
        <v>716</v>
      </c>
      <c r="Y101">
        <v>1707</v>
      </c>
    </row>
    <row r="102" spans="1:25" ht="13">
      <c r="A102">
        <v>27</v>
      </c>
      <c r="B102">
        <v>705</v>
      </c>
      <c r="C102">
        <v>1743</v>
      </c>
      <c r="D102">
        <v>622</v>
      </c>
      <c r="E102">
        <v>1825</v>
      </c>
      <c r="F102">
        <v>530</v>
      </c>
      <c r="G102">
        <v>1903</v>
      </c>
      <c r="H102">
        <v>432</v>
      </c>
      <c r="I102">
        <v>1945</v>
      </c>
      <c r="J102">
        <v>352</v>
      </c>
      <c r="K102">
        <v>2024</v>
      </c>
      <c r="L102">
        <v>346</v>
      </c>
      <c r="M102">
        <v>2041</v>
      </c>
      <c r="N102">
        <v>414</v>
      </c>
      <c r="O102">
        <v>2019</v>
      </c>
      <c r="P102">
        <v>455</v>
      </c>
      <c r="Q102">
        <v>1928</v>
      </c>
      <c r="R102">
        <v>535</v>
      </c>
      <c r="S102">
        <v>1827</v>
      </c>
      <c r="T102">
        <v>613</v>
      </c>
      <c r="U102">
        <v>1735</v>
      </c>
      <c r="V102">
        <v>653</v>
      </c>
      <c r="W102">
        <v>1704</v>
      </c>
      <c r="X102">
        <v>716</v>
      </c>
      <c r="Y102">
        <v>1708</v>
      </c>
    </row>
    <row r="103" spans="1:25" ht="13">
      <c r="A103">
        <v>28</v>
      </c>
      <c r="B103">
        <v>704</v>
      </c>
      <c r="C103">
        <v>1744</v>
      </c>
      <c r="D103">
        <v>620</v>
      </c>
      <c r="E103">
        <v>1826</v>
      </c>
      <c r="F103">
        <v>528</v>
      </c>
      <c r="G103">
        <v>1904</v>
      </c>
      <c r="H103">
        <v>430</v>
      </c>
      <c r="I103">
        <v>1947</v>
      </c>
      <c r="J103">
        <v>351</v>
      </c>
      <c r="K103">
        <v>2025</v>
      </c>
      <c r="L103">
        <v>346</v>
      </c>
      <c r="M103">
        <v>2041</v>
      </c>
      <c r="N103">
        <v>416</v>
      </c>
      <c r="O103">
        <v>2018</v>
      </c>
      <c r="P103">
        <v>457</v>
      </c>
      <c r="Q103">
        <v>1926</v>
      </c>
      <c r="R103">
        <v>536</v>
      </c>
      <c r="S103">
        <v>1825</v>
      </c>
      <c r="T103">
        <v>614</v>
      </c>
      <c r="U103">
        <v>1734</v>
      </c>
      <c r="V103">
        <v>654</v>
      </c>
      <c r="W103">
        <v>1703</v>
      </c>
      <c r="X103">
        <v>716</v>
      </c>
      <c r="Y103">
        <v>1709</v>
      </c>
    </row>
    <row r="104" spans="1:25" ht="13">
      <c r="A104">
        <v>29</v>
      </c>
      <c r="B104">
        <v>703</v>
      </c>
      <c r="C104">
        <v>1745</v>
      </c>
      <c r="F104">
        <v>526</v>
      </c>
      <c r="G104">
        <v>1905</v>
      </c>
      <c r="H104">
        <v>429</v>
      </c>
      <c r="I104">
        <v>1948</v>
      </c>
      <c r="J104">
        <v>350</v>
      </c>
      <c r="K104">
        <v>2026</v>
      </c>
      <c r="L104">
        <v>347</v>
      </c>
      <c r="M104">
        <v>2041</v>
      </c>
      <c r="N104">
        <v>417</v>
      </c>
      <c r="O104">
        <v>2016</v>
      </c>
      <c r="P104">
        <v>458</v>
      </c>
      <c r="Q104">
        <v>1924</v>
      </c>
      <c r="R104">
        <v>537</v>
      </c>
      <c r="S104">
        <v>1823</v>
      </c>
      <c r="T104">
        <v>616</v>
      </c>
      <c r="U104">
        <v>1732</v>
      </c>
      <c r="V104">
        <v>655</v>
      </c>
      <c r="W104">
        <v>1703</v>
      </c>
      <c r="X104">
        <v>716</v>
      </c>
      <c r="Y104">
        <v>1710</v>
      </c>
    </row>
    <row r="105" spans="1:25" ht="13">
      <c r="A105">
        <v>30</v>
      </c>
      <c r="B105">
        <v>702</v>
      </c>
      <c r="C105">
        <v>1747</v>
      </c>
      <c r="F105">
        <v>524</v>
      </c>
      <c r="G105">
        <v>1907</v>
      </c>
      <c r="H105">
        <v>427</v>
      </c>
      <c r="I105">
        <v>1950</v>
      </c>
      <c r="J105">
        <v>350</v>
      </c>
      <c r="K105">
        <v>2028</v>
      </c>
      <c r="L105">
        <v>348</v>
      </c>
      <c r="M105">
        <v>2041</v>
      </c>
      <c r="N105">
        <v>418</v>
      </c>
      <c r="O105">
        <v>2015</v>
      </c>
      <c r="P105">
        <v>459</v>
      </c>
      <c r="Q105">
        <v>1922</v>
      </c>
      <c r="R105">
        <v>539</v>
      </c>
      <c r="S105">
        <v>1821</v>
      </c>
      <c r="T105">
        <v>617</v>
      </c>
      <c r="U105">
        <v>1731</v>
      </c>
      <c r="V105">
        <v>656</v>
      </c>
      <c r="W105">
        <v>1702</v>
      </c>
      <c r="X105">
        <v>717</v>
      </c>
      <c r="Y105">
        <v>1710</v>
      </c>
    </row>
    <row r="106" spans="1:25" ht="13">
      <c r="A106">
        <v>31</v>
      </c>
      <c r="B106">
        <v>701</v>
      </c>
      <c r="C106">
        <v>1748</v>
      </c>
      <c r="F106">
        <v>522</v>
      </c>
      <c r="G106">
        <v>1908</v>
      </c>
      <c r="J106">
        <v>349</v>
      </c>
      <c r="K106">
        <v>2029</v>
      </c>
      <c r="N106">
        <v>419</v>
      </c>
      <c r="O106">
        <v>2014</v>
      </c>
      <c r="P106">
        <v>501</v>
      </c>
      <c r="Q106">
        <v>1920</v>
      </c>
      <c r="T106">
        <v>618</v>
      </c>
      <c r="U106">
        <v>1729</v>
      </c>
      <c r="X106">
        <v>717</v>
      </c>
      <c r="Y106">
        <v>1711</v>
      </c>
    </row>
    <row r="109" spans="1:25" ht="13">
      <c r="A109" s="8" t="s">
        <v>262</v>
      </c>
    </row>
    <row r="110" spans="1:25" ht="13">
      <c r="B110" t="s">
        <v>243</v>
      </c>
      <c r="D110" t="s">
        <v>244</v>
      </c>
      <c r="F110" t="s">
        <v>245</v>
      </c>
      <c r="H110" t="s">
        <v>246</v>
      </c>
      <c r="J110" t="s">
        <v>247</v>
      </c>
      <c r="L110" t="s">
        <v>248</v>
      </c>
      <c r="N110" t="s">
        <v>249</v>
      </c>
      <c r="P110" t="s">
        <v>250</v>
      </c>
      <c r="R110" t="s">
        <v>251</v>
      </c>
      <c r="T110" t="s">
        <v>252</v>
      </c>
      <c r="V110" t="s">
        <v>253</v>
      </c>
      <c r="X110" t="s">
        <v>254</v>
      </c>
    </row>
    <row r="111" spans="1:25" ht="13">
      <c r="A111" t="s">
        <v>255</v>
      </c>
      <c r="B111" t="s">
        <v>260</v>
      </c>
      <c r="C111" t="s">
        <v>261</v>
      </c>
      <c r="D111" t="s">
        <v>260</v>
      </c>
      <c r="E111" t="s">
        <v>261</v>
      </c>
      <c r="F111" t="s">
        <v>260</v>
      </c>
      <c r="G111" t="s">
        <v>261</v>
      </c>
      <c r="H111" t="s">
        <v>260</v>
      </c>
      <c r="I111" t="s">
        <v>261</v>
      </c>
      <c r="J111" t="s">
        <v>260</v>
      </c>
      <c r="K111" t="s">
        <v>261</v>
      </c>
      <c r="L111" t="s">
        <v>260</v>
      </c>
      <c r="M111" t="s">
        <v>261</v>
      </c>
      <c r="N111" t="s">
        <v>260</v>
      </c>
      <c r="O111" t="s">
        <v>261</v>
      </c>
      <c r="P111" t="s">
        <v>260</v>
      </c>
      <c r="Q111" t="s">
        <v>261</v>
      </c>
      <c r="R111" t="s">
        <v>260</v>
      </c>
      <c r="S111" t="s">
        <v>261</v>
      </c>
      <c r="T111" t="s">
        <v>260</v>
      </c>
      <c r="U111" t="s">
        <v>261</v>
      </c>
      <c r="V111" t="s">
        <v>260</v>
      </c>
      <c r="W111" t="s">
        <v>261</v>
      </c>
      <c r="X111" t="s">
        <v>260</v>
      </c>
      <c r="Y111" t="s">
        <v>261</v>
      </c>
    </row>
    <row r="112" spans="1:25" ht="13">
      <c r="A112">
        <v>1</v>
      </c>
      <c r="B112">
        <v>717</v>
      </c>
      <c r="C112">
        <v>1712</v>
      </c>
      <c r="D112">
        <v>700</v>
      </c>
      <c r="E112">
        <v>1749</v>
      </c>
      <c r="F112">
        <v>619</v>
      </c>
      <c r="G112">
        <v>1828</v>
      </c>
      <c r="H112">
        <v>521</v>
      </c>
      <c r="I112">
        <v>1909</v>
      </c>
      <c r="J112">
        <v>426</v>
      </c>
      <c r="K112">
        <v>1951</v>
      </c>
      <c r="L112">
        <v>348</v>
      </c>
      <c r="M112">
        <v>2029</v>
      </c>
      <c r="N112">
        <v>348</v>
      </c>
      <c r="O112">
        <v>2041</v>
      </c>
      <c r="P112">
        <v>420</v>
      </c>
      <c r="Q112">
        <v>2012</v>
      </c>
      <c r="R112">
        <v>501</v>
      </c>
      <c r="S112">
        <v>1919</v>
      </c>
      <c r="T112">
        <v>539</v>
      </c>
      <c r="U112">
        <v>1820</v>
      </c>
      <c r="V112">
        <v>619</v>
      </c>
      <c r="W112">
        <v>1728</v>
      </c>
      <c r="X112">
        <v>657</v>
      </c>
      <c r="Y112">
        <v>1702</v>
      </c>
    </row>
    <row r="113" spans="1:25" ht="13">
      <c r="A113">
        <v>2</v>
      </c>
      <c r="B113">
        <v>717</v>
      </c>
      <c r="C113">
        <v>1713</v>
      </c>
      <c r="D113">
        <v>659</v>
      </c>
      <c r="E113">
        <v>1750</v>
      </c>
      <c r="F113">
        <v>617</v>
      </c>
      <c r="G113">
        <v>1829</v>
      </c>
      <c r="H113">
        <v>519</v>
      </c>
      <c r="I113">
        <v>1910</v>
      </c>
      <c r="J113">
        <v>424</v>
      </c>
      <c r="K113">
        <v>1952</v>
      </c>
      <c r="L113">
        <v>348</v>
      </c>
      <c r="M113">
        <v>2030</v>
      </c>
      <c r="N113">
        <v>349</v>
      </c>
      <c r="O113">
        <v>2040</v>
      </c>
      <c r="P113">
        <v>422</v>
      </c>
      <c r="Q113">
        <v>2011</v>
      </c>
      <c r="R113">
        <v>503</v>
      </c>
      <c r="S113">
        <v>1917</v>
      </c>
      <c r="T113">
        <v>541</v>
      </c>
      <c r="U113">
        <v>1818</v>
      </c>
      <c r="V113">
        <v>621</v>
      </c>
      <c r="W113">
        <v>1727</v>
      </c>
      <c r="X113">
        <v>658</v>
      </c>
      <c r="Y113">
        <v>1702</v>
      </c>
    </row>
    <row r="114" spans="1:25" ht="13">
      <c r="A114">
        <v>3</v>
      </c>
      <c r="B114">
        <v>717</v>
      </c>
      <c r="C114">
        <v>1714</v>
      </c>
      <c r="D114">
        <v>658</v>
      </c>
      <c r="E114">
        <v>1752</v>
      </c>
      <c r="F114">
        <v>615</v>
      </c>
      <c r="G114">
        <v>1830</v>
      </c>
      <c r="H114">
        <v>517</v>
      </c>
      <c r="I114">
        <v>1912</v>
      </c>
      <c r="J114">
        <v>423</v>
      </c>
      <c r="K114">
        <v>1953</v>
      </c>
      <c r="L114">
        <v>347</v>
      </c>
      <c r="M114">
        <v>2031</v>
      </c>
      <c r="N114">
        <v>349</v>
      </c>
      <c r="O114">
        <v>2040</v>
      </c>
      <c r="P114">
        <v>423</v>
      </c>
      <c r="Q114">
        <v>2010</v>
      </c>
      <c r="R114">
        <v>504</v>
      </c>
      <c r="S114">
        <v>1915</v>
      </c>
      <c r="T114">
        <v>542</v>
      </c>
      <c r="U114">
        <v>1816</v>
      </c>
      <c r="V114">
        <v>622</v>
      </c>
      <c r="W114">
        <v>1726</v>
      </c>
      <c r="X114">
        <v>659</v>
      </c>
      <c r="Y114">
        <v>1702</v>
      </c>
    </row>
    <row r="115" spans="1:25" ht="13">
      <c r="A115">
        <v>4</v>
      </c>
      <c r="B115">
        <v>717</v>
      </c>
      <c r="C115">
        <v>1715</v>
      </c>
      <c r="D115">
        <v>656</v>
      </c>
      <c r="E115">
        <v>1753</v>
      </c>
      <c r="F115">
        <v>614</v>
      </c>
      <c r="G115">
        <v>1832</v>
      </c>
      <c r="H115">
        <v>515</v>
      </c>
      <c r="I115">
        <v>1913</v>
      </c>
      <c r="J115">
        <v>421</v>
      </c>
      <c r="K115">
        <v>1955</v>
      </c>
      <c r="L115">
        <v>347</v>
      </c>
      <c r="M115">
        <v>2032</v>
      </c>
      <c r="N115">
        <v>350</v>
      </c>
      <c r="O115">
        <v>2040</v>
      </c>
      <c r="P115">
        <v>424</v>
      </c>
      <c r="Q115">
        <v>2008</v>
      </c>
      <c r="R115">
        <v>505</v>
      </c>
      <c r="S115">
        <v>1913</v>
      </c>
      <c r="T115">
        <v>543</v>
      </c>
      <c r="U115">
        <v>1814</v>
      </c>
      <c r="V115">
        <v>623</v>
      </c>
      <c r="W115">
        <v>1724</v>
      </c>
      <c r="X115">
        <v>700</v>
      </c>
      <c r="Y115">
        <v>1701</v>
      </c>
    </row>
    <row r="116" spans="1:25" ht="13">
      <c r="A116">
        <v>5</v>
      </c>
      <c r="B116">
        <v>717</v>
      </c>
      <c r="C116">
        <v>1716</v>
      </c>
      <c r="D116">
        <v>655</v>
      </c>
      <c r="E116">
        <v>1755</v>
      </c>
      <c r="F116">
        <v>612</v>
      </c>
      <c r="G116">
        <v>1833</v>
      </c>
      <c r="H116">
        <v>513</v>
      </c>
      <c r="I116">
        <v>1914</v>
      </c>
      <c r="J116">
        <v>419</v>
      </c>
      <c r="K116">
        <v>1956</v>
      </c>
      <c r="L116">
        <v>346</v>
      </c>
      <c r="M116">
        <v>2033</v>
      </c>
      <c r="N116">
        <v>351</v>
      </c>
      <c r="O116">
        <v>2039</v>
      </c>
      <c r="P116">
        <v>426</v>
      </c>
      <c r="Q116">
        <v>2006</v>
      </c>
      <c r="R116">
        <v>507</v>
      </c>
      <c r="S116">
        <v>1911</v>
      </c>
      <c r="T116">
        <v>544</v>
      </c>
      <c r="U116">
        <v>1813</v>
      </c>
      <c r="V116">
        <v>625</v>
      </c>
      <c r="W116">
        <v>1723</v>
      </c>
      <c r="X116">
        <v>701</v>
      </c>
      <c r="Y116">
        <v>1701</v>
      </c>
    </row>
    <row r="117" spans="1:25" ht="13">
      <c r="A117">
        <v>6</v>
      </c>
      <c r="B117">
        <v>717</v>
      </c>
      <c r="C117">
        <v>1717</v>
      </c>
      <c r="D117">
        <v>654</v>
      </c>
      <c r="E117">
        <v>1756</v>
      </c>
      <c r="F117">
        <v>610</v>
      </c>
      <c r="G117">
        <v>1834</v>
      </c>
      <c r="H117">
        <v>511</v>
      </c>
      <c r="I117">
        <v>1916</v>
      </c>
      <c r="J117">
        <v>418</v>
      </c>
      <c r="K117">
        <v>1957</v>
      </c>
      <c r="L117">
        <v>346</v>
      </c>
      <c r="M117">
        <v>2034</v>
      </c>
      <c r="N117">
        <v>352</v>
      </c>
      <c r="O117">
        <v>2039</v>
      </c>
      <c r="P117">
        <v>427</v>
      </c>
      <c r="Q117">
        <v>2005</v>
      </c>
      <c r="R117">
        <v>508</v>
      </c>
      <c r="S117">
        <v>1909</v>
      </c>
      <c r="T117">
        <v>546</v>
      </c>
      <c r="U117">
        <v>1811</v>
      </c>
      <c r="V117">
        <v>626</v>
      </c>
      <c r="W117">
        <v>1722</v>
      </c>
      <c r="X117">
        <v>702</v>
      </c>
      <c r="Y117">
        <v>1701</v>
      </c>
    </row>
    <row r="118" spans="1:25" ht="13">
      <c r="A118">
        <v>7</v>
      </c>
      <c r="B118">
        <v>716</v>
      </c>
      <c r="C118">
        <v>1718</v>
      </c>
      <c r="D118">
        <v>653</v>
      </c>
      <c r="E118">
        <v>1757</v>
      </c>
      <c r="F118">
        <v>608</v>
      </c>
      <c r="G118">
        <v>1836</v>
      </c>
      <c r="H118">
        <v>509</v>
      </c>
      <c r="I118">
        <v>1917</v>
      </c>
      <c r="J118">
        <v>416</v>
      </c>
      <c r="K118">
        <v>1959</v>
      </c>
      <c r="L118">
        <v>345</v>
      </c>
      <c r="M118">
        <v>2034</v>
      </c>
      <c r="N118">
        <v>352</v>
      </c>
      <c r="O118">
        <v>2038</v>
      </c>
      <c r="P118">
        <v>428</v>
      </c>
      <c r="Q118">
        <v>2003</v>
      </c>
      <c r="R118">
        <v>509</v>
      </c>
      <c r="S118">
        <v>1907</v>
      </c>
      <c r="T118">
        <v>547</v>
      </c>
      <c r="U118">
        <v>1809</v>
      </c>
      <c r="V118">
        <v>627</v>
      </c>
      <c r="W118">
        <v>1721</v>
      </c>
      <c r="X118">
        <v>703</v>
      </c>
      <c r="Y118">
        <v>1701</v>
      </c>
    </row>
    <row r="119" spans="1:25" ht="13">
      <c r="A119">
        <v>8</v>
      </c>
      <c r="B119">
        <v>716</v>
      </c>
      <c r="C119">
        <v>1719</v>
      </c>
      <c r="D119">
        <v>651</v>
      </c>
      <c r="E119">
        <v>1759</v>
      </c>
      <c r="F119">
        <v>606</v>
      </c>
      <c r="G119">
        <v>1837</v>
      </c>
      <c r="H119">
        <v>507</v>
      </c>
      <c r="I119">
        <v>1919</v>
      </c>
      <c r="J119">
        <v>415</v>
      </c>
      <c r="K119">
        <v>2000</v>
      </c>
      <c r="L119">
        <v>345</v>
      </c>
      <c r="M119">
        <v>2035</v>
      </c>
      <c r="N119">
        <v>353</v>
      </c>
      <c r="O119">
        <v>2038</v>
      </c>
      <c r="P119">
        <v>430</v>
      </c>
      <c r="Q119">
        <v>2002</v>
      </c>
      <c r="R119">
        <v>510</v>
      </c>
      <c r="S119">
        <v>1905</v>
      </c>
      <c r="T119">
        <v>548</v>
      </c>
      <c r="U119">
        <v>1807</v>
      </c>
      <c r="V119">
        <v>629</v>
      </c>
      <c r="W119">
        <v>1720</v>
      </c>
      <c r="X119">
        <v>704</v>
      </c>
      <c r="Y119">
        <v>1701</v>
      </c>
    </row>
    <row r="120" spans="1:25" ht="13">
      <c r="A120">
        <v>9</v>
      </c>
      <c r="B120">
        <v>716</v>
      </c>
      <c r="C120">
        <v>1720</v>
      </c>
      <c r="D120">
        <v>650</v>
      </c>
      <c r="E120">
        <v>1800</v>
      </c>
      <c r="F120">
        <v>605</v>
      </c>
      <c r="G120">
        <v>1838</v>
      </c>
      <c r="H120">
        <v>505</v>
      </c>
      <c r="I120">
        <v>1920</v>
      </c>
      <c r="J120">
        <v>413</v>
      </c>
      <c r="K120">
        <v>2002</v>
      </c>
      <c r="L120">
        <v>344</v>
      </c>
      <c r="M120">
        <v>2036</v>
      </c>
      <c r="N120">
        <v>354</v>
      </c>
      <c r="O120">
        <v>2037</v>
      </c>
      <c r="P120">
        <v>431</v>
      </c>
      <c r="Q120">
        <v>2000</v>
      </c>
      <c r="R120">
        <v>512</v>
      </c>
      <c r="S120">
        <v>1903</v>
      </c>
      <c r="T120">
        <v>550</v>
      </c>
      <c r="U120">
        <v>1805</v>
      </c>
      <c r="V120">
        <v>630</v>
      </c>
      <c r="W120">
        <v>1718</v>
      </c>
      <c r="X120">
        <v>705</v>
      </c>
      <c r="Y120">
        <v>1701</v>
      </c>
    </row>
    <row r="121" spans="1:25" ht="13">
      <c r="A121">
        <v>10</v>
      </c>
      <c r="B121">
        <v>716</v>
      </c>
      <c r="C121">
        <v>1721</v>
      </c>
      <c r="D121">
        <v>649</v>
      </c>
      <c r="E121">
        <v>1801</v>
      </c>
      <c r="F121">
        <v>603</v>
      </c>
      <c r="G121">
        <v>1840</v>
      </c>
      <c r="H121">
        <v>503</v>
      </c>
      <c r="I121">
        <v>1921</v>
      </c>
      <c r="J121">
        <v>412</v>
      </c>
      <c r="K121">
        <v>2003</v>
      </c>
      <c r="L121">
        <v>344</v>
      </c>
      <c r="M121">
        <v>2037</v>
      </c>
      <c r="N121">
        <v>355</v>
      </c>
      <c r="O121">
        <v>2036</v>
      </c>
      <c r="P121">
        <v>432</v>
      </c>
      <c r="Q121">
        <v>1959</v>
      </c>
      <c r="R121">
        <v>513</v>
      </c>
      <c r="S121">
        <v>1901</v>
      </c>
      <c r="T121">
        <v>551</v>
      </c>
      <c r="U121">
        <v>1803</v>
      </c>
      <c r="V121">
        <v>631</v>
      </c>
      <c r="W121">
        <v>1717</v>
      </c>
      <c r="X121">
        <v>706</v>
      </c>
      <c r="Y121">
        <v>1701</v>
      </c>
    </row>
    <row r="122" spans="1:25" ht="13">
      <c r="A122">
        <v>11</v>
      </c>
      <c r="B122">
        <v>715</v>
      </c>
      <c r="C122">
        <v>1722</v>
      </c>
      <c r="D122">
        <v>647</v>
      </c>
      <c r="E122">
        <v>1803</v>
      </c>
      <c r="F122">
        <v>601</v>
      </c>
      <c r="G122">
        <v>1841</v>
      </c>
      <c r="H122">
        <v>501</v>
      </c>
      <c r="I122">
        <v>1923</v>
      </c>
      <c r="J122">
        <v>411</v>
      </c>
      <c r="K122">
        <v>2004</v>
      </c>
      <c r="L122">
        <v>344</v>
      </c>
      <c r="M122">
        <v>2037</v>
      </c>
      <c r="N122">
        <v>356</v>
      </c>
      <c r="O122">
        <v>2036</v>
      </c>
      <c r="P122">
        <v>434</v>
      </c>
      <c r="Q122">
        <v>1957</v>
      </c>
      <c r="R122">
        <v>514</v>
      </c>
      <c r="S122">
        <v>1859</v>
      </c>
      <c r="T122">
        <v>552</v>
      </c>
      <c r="U122">
        <v>1802</v>
      </c>
      <c r="V122">
        <v>633</v>
      </c>
      <c r="W122">
        <v>1716</v>
      </c>
      <c r="X122">
        <v>707</v>
      </c>
      <c r="Y122">
        <v>1701</v>
      </c>
    </row>
    <row r="123" spans="1:25" ht="13">
      <c r="A123">
        <v>12</v>
      </c>
      <c r="B123">
        <v>715</v>
      </c>
      <c r="C123">
        <v>1723</v>
      </c>
      <c r="D123">
        <v>646</v>
      </c>
      <c r="E123">
        <v>1804</v>
      </c>
      <c r="F123">
        <v>559</v>
      </c>
      <c r="G123">
        <v>1842</v>
      </c>
      <c r="H123">
        <v>500</v>
      </c>
      <c r="I123">
        <v>1924</v>
      </c>
      <c r="J123">
        <v>409</v>
      </c>
      <c r="K123">
        <v>2006</v>
      </c>
      <c r="L123">
        <v>344</v>
      </c>
      <c r="M123">
        <v>2038</v>
      </c>
      <c r="N123">
        <v>357</v>
      </c>
      <c r="O123">
        <v>2035</v>
      </c>
      <c r="P123">
        <v>435</v>
      </c>
      <c r="Q123">
        <v>1955</v>
      </c>
      <c r="R123">
        <v>516</v>
      </c>
      <c r="S123">
        <v>1857</v>
      </c>
      <c r="T123">
        <v>553</v>
      </c>
      <c r="U123">
        <v>1800</v>
      </c>
      <c r="V123">
        <v>634</v>
      </c>
      <c r="W123">
        <v>1715</v>
      </c>
      <c r="X123">
        <v>708</v>
      </c>
      <c r="Y123">
        <v>1701</v>
      </c>
    </row>
    <row r="124" spans="1:25" ht="13">
      <c r="A124">
        <v>13</v>
      </c>
      <c r="B124">
        <v>715</v>
      </c>
      <c r="C124">
        <v>1725</v>
      </c>
      <c r="D124">
        <v>645</v>
      </c>
      <c r="E124">
        <v>1806</v>
      </c>
      <c r="F124">
        <v>557</v>
      </c>
      <c r="G124">
        <v>1844</v>
      </c>
      <c r="H124">
        <v>458</v>
      </c>
      <c r="I124">
        <v>1925</v>
      </c>
      <c r="J124">
        <v>408</v>
      </c>
      <c r="K124">
        <v>2007</v>
      </c>
      <c r="L124">
        <v>343</v>
      </c>
      <c r="M124">
        <v>2038</v>
      </c>
      <c r="N124">
        <v>358</v>
      </c>
      <c r="O124">
        <v>2034</v>
      </c>
      <c r="P124">
        <v>436</v>
      </c>
      <c r="Q124">
        <v>1954</v>
      </c>
      <c r="R124">
        <v>517</v>
      </c>
      <c r="S124">
        <v>1855</v>
      </c>
      <c r="T124">
        <v>555</v>
      </c>
      <c r="U124">
        <v>1758</v>
      </c>
      <c r="V124">
        <v>635</v>
      </c>
      <c r="W124">
        <v>1714</v>
      </c>
      <c r="X124">
        <v>708</v>
      </c>
      <c r="Y124">
        <v>1701</v>
      </c>
    </row>
    <row r="125" spans="1:25" ht="13">
      <c r="A125">
        <v>14</v>
      </c>
      <c r="B125">
        <v>714</v>
      </c>
      <c r="C125">
        <v>1726</v>
      </c>
      <c r="D125">
        <v>643</v>
      </c>
      <c r="E125">
        <v>1807</v>
      </c>
      <c r="F125">
        <v>555</v>
      </c>
      <c r="G125">
        <v>1845</v>
      </c>
      <c r="H125">
        <v>456</v>
      </c>
      <c r="I125">
        <v>1927</v>
      </c>
      <c r="J125">
        <v>406</v>
      </c>
      <c r="K125">
        <v>2008</v>
      </c>
      <c r="L125">
        <v>343</v>
      </c>
      <c r="M125">
        <v>2039</v>
      </c>
      <c r="N125">
        <v>359</v>
      </c>
      <c r="O125">
        <v>2033</v>
      </c>
      <c r="P125">
        <v>438</v>
      </c>
      <c r="Q125">
        <v>1952</v>
      </c>
      <c r="R125">
        <v>518</v>
      </c>
      <c r="S125">
        <v>1853</v>
      </c>
      <c r="T125">
        <v>556</v>
      </c>
      <c r="U125">
        <v>1756</v>
      </c>
      <c r="V125">
        <v>636</v>
      </c>
      <c r="W125">
        <v>1713</v>
      </c>
      <c r="X125">
        <v>709</v>
      </c>
      <c r="Y125">
        <v>1702</v>
      </c>
    </row>
    <row r="126" spans="1:25" ht="13">
      <c r="A126">
        <v>15</v>
      </c>
      <c r="B126">
        <v>714</v>
      </c>
      <c r="C126">
        <v>1727</v>
      </c>
      <c r="D126">
        <v>642</v>
      </c>
      <c r="E126">
        <v>1808</v>
      </c>
      <c r="F126">
        <v>553</v>
      </c>
      <c r="G126">
        <v>1846</v>
      </c>
      <c r="H126">
        <v>454</v>
      </c>
      <c r="I126">
        <v>1928</v>
      </c>
      <c r="J126">
        <v>405</v>
      </c>
      <c r="K126">
        <v>2010</v>
      </c>
      <c r="L126">
        <v>343</v>
      </c>
      <c r="M126">
        <v>2039</v>
      </c>
      <c r="N126">
        <v>400</v>
      </c>
      <c r="O126">
        <v>2033</v>
      </c>
      <c r="P126">
        <v>439</v>
      </c>
      <c r="Q126">
        <v>1950</v>
      </c>
      <c r="R126">
        <v>519</v>
      </c>
      <c r="S126">
        <v>1851</v>
      </c>
      <c r="T126">
        <v>557</v>
      </c>
      <c r="U126">
        <v>1755</v>
      </c>
      <c r="V126">
        <v>638</v>
      </c>
      <c r="W126">
        <v>1712</v>
      </c>
      <c r="X126">
        <v>710</v>
      </c>
      <c r="Y126">
        <v>1702</v>
      </c>
    </row>
    <row r="127" spans="1:25" ht="13">
      <c r="A127">
        <v>16</v>
      </c>
      <c r="B127">
        <v>713</v>
      </c>
      <c r="C127">
        <v>1728</v>
      </c>
      <c r="D127">
        <v>640</v>
      </c>
      <c r="E127">
        <v>1810</v>
      </c>
      <c r="F127">
        <v>552</v>
      </c>
      <c r="G127">
        <v>1848</v>
      </c>
      <c r="H127">
        <v>452</v>
      </c>
      <c r="I127">
        <v>1930</v>
      </c>
      <c r="J127">
        <v>404</v>
      </c>
      <c r="K127">
        <v>2011</v>
      </c>
      <c r="L127">
        <v>343</v>
      </c>
      <c r="M127">
        <v>2040</v>
      </c>
      <c r="N127">
        <v>401</v>
      </c>
      <c r="O127">
        <v>2032</v>
      </c>
      <c r="P127">
        <v>440</v>
      </c>
      <c r="Q127">
        <v>1948</v>
      </c>
      <c r="R127">
        <v>521</v>
      </c>
      <c r="S127">
        <v>1849</v>
      </c>
      <c r="T127">
        <v>558</v>
      </c>
      <c r="U127">
        <v>1753</v>
      </c>
      <c r="V127">
        <v>639</v>
      </c>
      <c r="W127">
        <v>1711</v>
      </c>
      <c r="X127">
        <v>710</v>
      </c>
      <c r="Y127">
        <v>1702</v>
      </c>
    </row>
    <row r="128" spans="1:25" ht="13">
      <c r="A128">
        <v>17</v>
      </c>
      <c r="B128">
        <v>713</v>
      </c>
      <c r="C128">
        <v>1729</v>
      </c>
      <c r="D128">
        <v>639</v>
      </c>
      <c r="E128">
        <v>1811</v>
      </c>
      <c r="F128">
        <v>550</v>
      </c>
      <c r="G128">
        <v>1849</v>
      </c>
      <c r="H128">
        <v>450</v>
      </c>
      <c r="I128">
        <v>1931</v>
      </c>
      <c r="J128">
        <v>403</v>
      </c>
      <c r="K128">
        <v>2012</v>
      </c>
      <c r="L128">
        <v>343</v>
      </c>
      <c r="M128">
        <v>2040</v>
      </c>
      <c r="N128">
        <v>402</v>
      </c>
      <c r="O128">
        <v>2031</v>
      </c>
      <c r="P128">
        <v>442</v>
      </c>
      <c r="Q128">
        <v>1947</v>
      </c>
      <c r="R128">
        <v>522</v>
      </c>
      <c r="S128">
        <v>1847</v>
      </c>
      <c r="T128">
        <v>600</v>
      </c>
      <c r="U128">
        <v>1751</v>
      </c>
      <c r="V128">
        <v>640</v>
      </c>
      <c r="W128">
        <v>1710</v>
      </c>
      <c r="X128">
        <v>711</v>
      </c>
      <c r="Y128">
        <v>1702</v>
      </c>
    </row>
    <row r="129" spans="1:25" ht="13">
      <c r="A129">
        <v>18</v>
      </c>
      <c r="B129">
        <v>712</v>
      </c>
      <c r="C129">
        <v>1731</v>
      </c>
      <c r="D129">
        <v>637</v>
      </c>
      <c r="E129">
        <v>1813</v>
      </c>
      <c r="F129">
        <v>548</v>
      </c>
      <c r="G129">
        <v>1850</v>
      </c>
      <c r="H129">
        <v>448</v>
      </c>
      <c r="I129">
        <v>1932</v>
      </c>
      <c r="J129">
        <v>401</v>
      </c>
      <c r="K129">
        <v>2013</v>
      </c>
      <c r="L129">
        <v>343</v>
      </c>
      <c r="M129">
        <v>2040</v>
      </c>
      <c r="N129">
        <v>403</v>
      </c>
      <c r="O129">
        <v>2030</v>
      </c>
      <c r="P129">
        <v>443</v>
      </c>
      <c r="Q129">
        <v>1945</v>
      </c>
      <c r="R129">
        <v>523</v>
      </c>
      <c r="S129">
        <v>1845</v>
      </c>
      <c r="T129">
        <v>601</v>
      </c>
      <c r="U129">
        <v>1750</v>
      </c>
      <c r="V129">
        <v>642</v>
      </c>
      <c r="W129">
        <v>1710</v>
      </c>
      <c r="X129">
        <v>712</v>
      </c>
      <c r="Y129">
        <v>1703</v>
      </c>
    </row>
    <row r="130" spans="1:25" ht="13">
      <c r="A130">
        <v>19</v>
      </c>
      <c r="B130">
        <v>711</v>
      </c>
      <c r="C130">
        <v>1732</v>
      </c>
      <c r="D130">
        <v>636</v>
      </c>
      <c r="E130">
        <v>1814</v>
      </c>
      <c r="F130">
        <v>546</v>
      </c>
      <c r="G130">
        <v>1852</v>
      </c>
      <c r="H130">
        <v>447</v>
      </c>
      <c r="I130">
        <v>1934</v>
      </c>
      <c r="J130">
        <v>400</v>
      </c>
      <c r="K130">
        <v>2015</v>
      </c>
      <c r="L130">
        <v>343</v>
      </c>
      <c r="M130">
        <v>2041</v>
      </c>
      <c r="N130">
        <v>404</v>
      </c>
      <c r="O130">
        <v>2029</v>
      </c>
      <c r="P130">
        <v>444</v>
      </c>
      <c r="Q130">
        <v>1943</v>
      </c>
      <c r="R130">
        <v>524</v>
      </c>
      <c r="S130">
        <v>1843</v>
      </c>
      <c r="T130">
        <v>602</v>
      </c>
      <c r="U130">
        <v>1748</v>
      </c>
      <c r="V130">
        <v>643</v>
      </c>
      <c r="W130">
        <v>1709</v>
      </c>
      <c r="X130">
        <v>712</v>
      </c>
      <c r="Y130">
        <v>1703</v>
      </c>
    </row>
    <row r="131" spans="1:25" ht="13">
      <c r="A131">
        <v>20</v>
      </c>
      <c r="B131">
        <v>711</v>
      </c>
      <c r="C131">
        <v>1733</v>
      </c>
      <c r="D131">
        <v>634</v>
      </c>
      <c r="E131">
        <v>1815</v>
      </c>
      <c r="F131">
        <v>544</v>
      </c>
      <c r="G131">
        <v>1853</v>
      </c>
      <c r="H131">
        <v>445</v>
      </c>
      <c r="I131">
        <v>1935</v>
      </c>
      <c r="J131">
        <v>359</v>
      </c>
      <c r="K131">
        <v>2016</v>
      </c>
      <c r="L131">
        <v>344</v>
      </c>
      <c r="M131">
        <v>2041</v>
      </c>
      <c r="N131">
        <v>406</v>
      </c>
      <c r="O131">
        <v>2028</v>
      </c>
      <c r="P131">
        <v>446</v>
      </c>
      <c r="Q131">
        <v>1941</v>
      </c>
      <c r="R131">
        <v>526</v>
      </c>
      <c r="S131">
        <v>1841</v>
      </c>
      <c r="T131">
        <v>604</v>
      </c>
      <c r="U131">
        <v>1746</v>
      </c>
      <c r="V131">
        <v>644</v>
      </c>
      <c r="W131">
        <v>1708</v>
      </c>
      <c r="X131">
        <v>713</v>
      </c>
      <c r="Y131">
        <v>1704</v>
      </c>
    </row>
    <row r="132" spans="1:25" ht="13">
      <c r="A132">
        <v>21</v>
      </c>
      <c r="B132">
        <v>710</v>
      </c>
      <c r="C132">
        <v>1734</v>
      </c>
      <c r="D132">
        <v>632</v>
      </c>
      <c r="E132">
        <v>1817</v>
      </c>
      <c r="F132">
        <v>542</v>
      </c>
      <c r="G132">
        <v>1854</v>
      </c>
      <c r="H132">
        <v>443</v>
      </c>
      <c r="I132">
        <v>1937</v>
      </c>
      <c r="J132">
        <v>358</v>
      </c>
      <c r="K132">
        <v>2017</v>
      </c>
      <c r="L132">
        <v>344</v>
      </c>
      <c r="M132">
        <v>2041</v>
      </c>
      <c r="N132">
        <v>407</v>
      </c>
      <c r="O132">
        <v>2027</v>
      </c>
      <c r="P132">
        <v>447</v>
      </c>
      <c r="Q132">
        <v>1939</v>
      </c>
      <c r="R132">
        <v>527</v>
      </c>
      <c r="S132">
        <v>1839</v>
      </c>
      <c r="T132">
        <v>605</v>
      </c>
      <c r="U132">
        <v>1745</v>
      </c>
      <c r="V132">
        <v>645</v>
      </c>
      <c r="W132">
        <v>1707</v>
      </c>
      <c r="X132">
        <v>713</v>
      </c>
      <c r="Y132">
        <v>1704</v>
      </c>
    </row>
    <row r="133" spans="1:25" ht="13">
      <c r="A133">
        <v>22</v>
      </c>
      <c r="B133">
        <v>709</v>
      </c>
      <c r="C133">
        <v>1736</v>
      </c>
      <c r="D133">
        <v>631</v>
      </c>
      <c r="E133">
        <v>1818</v>
      </c>
      <c r="F133">
        <v>540</v>
      </c>
      <c r="G133">
        <v>1856</v>
      </c>
      <c r="H133">
        <v>441</v>
      </c>
      <c r="I133">
        <v>1938</v>
      </c>
      <c r="J133">
        <v>357</v>
      </c>
      <c r="K133">
        <v>2018</v>
      </c>
      <c r="L133">
        <v>344</v>
      </c>
      <c r="M133">
        <v>2041</v>
      </c>
      <c r="N133">
        <v>408</v>
      </c>
      <c r="O133">
        <v>2025</v>
      </c>
      <c r="P133">
        <v>448</v>
      </c>
      <c r="Q133">
        <v>1938</v>
      </c>
      <c r="R133">
        <v>528</v>
      </c>
      <c r="S133">
        <v>1837</v>
      </c>
      <c r="T133">
        <v>606</v>
      </c>
      <c r="U133">
        <v>1743</v>
      </c>
      <c r="V133">
        <v>647</v>
      </c>
      <c r="W133">
        <v>1707</v>
      </c>
      <c r="X133">
        <v>714</v>
      </c>
      <c r="Y133">
        <v>1705</v>
      </c>
    </row>
    <row r="134" spans="1:25" ht="13">
      <c r="A134">
        <v>23</v>
      </c>
      <c r="B134">
        <v>709</v>
      </c>
      <c r="C134">
        <v>1737</v>
      </c>
      <c r="D134">
        <v>629</v>
      </c>
      <c r="E134">
        <v>1819</v>
      </c>
      <c r="F134">
        <v>538</v>
      </c>
      <c r="G134">
        <v>1857</v>
      </c>
      <c r="H134">
        <v>439</v>
      </c>
      <c r="I134">
        <v>1939</v>
      </c>
      <c r="J134">
        <v>356</v>
      </c>
      <c r="K134">
        <v>2020</v>
      </c>
      <c r="L134">
        <v>344</v>
      </c>
      <c r="M134">
        <v>2041</v>
      </c>
      <c r="N134">
        <v>409</v>
      </c>
      <c r="O134">
        <v>2024</v>
      </c>
      <c r="P134">
        <v>450</v>
      </c>
      <c r="Q134">
        <v>1936</v>
      </c>
      <c r="R134">
        <v>529</v>
      </c>
      <c r="S134">
        <v>1835</v>
      </c>
      <c r="T134">
        <v>608</v>
      </c>
      <c r="U134">
        <v>1742</v>
      </c>
      <c r="V134">
        <v>648</v>
      </c>
      <c r="W134">
        <v>1706</v>
      </c>
      <c r="X134">
        <v>714</v>
      </c>
      <c r="Y134">
        <v>1705</v>
      </c>
    </row>
    <row r="135" spans="1:25" ht="13">
      <c r="A135">
        <v>24</v>
      </c>
      <c r="B135">
        <v>708</v>
      </c>
      <c r="C135">
        <v>1738</v>
      </c>
      <c r="D135">
        <v>628</v>
      </c>
      <c r="E135">
        <v>1821</v>
      </c>
      <c r="F135">
        <v>536</v>
      </c>
      <c r="G135">
        <v>1858</v>
      </c>
      <c r="H135">
        <v>438</v>
      </c>
      <c r="I135">
        <v>1941</v>
      </c>
      <c r="J135">
        <v>355</v>
      </c>
      <c r="K135">
        <v>2021</v>
      </c>
      <c r="L135">
        <v>345</v>
      </c>
      <c r="M135">
        <v>2042</v>
      </c>
      <c r="N135">
        <v>410</v>
      </c>
      <c r="O135">
        <v>2023</v>
      </c>
      <c r="P135">
        <v>451</v>
      </c>
      <c r="Q135">
        <v>1934</v>
      </c>
      <c r="R135">
        <v>531</v>
      </c>
      <c r="S135">
        <v>1833</v>
      </c>
      <c r="T135">
        <v>609</v>
      </c>
      <c r="U135">
        <v>1740</v>
      </c>
      <c r="V135">
        <v>649</v>
      </c>
      <c r="W135">
        <v>1705</v>
      </c>
      <c r="X135">
        <v>715</v>
      </c>
      <c r="Y135">
        <v>1706</v>
      </c>
    </row>
    <row r="136" spans="1:25" ht="13">
      <c r="A136">
        <v>25</v>
      </c>
      <c r="B136">
        <v>707</v>
      </c>
      <c r="C136">
        <v>1740</v>
      </c>
      <c r="D136">
        <v>626</v>
      </c>
      <c r="E136">
        <v>1822</v>
      </c>
      <c r="F136">
        <v>534</v>
      </c>
      <c r="G136">
        <v>1900</v>
      </c>
      <c r="H136">
        <v>436</v>
      </c>
      <c r="I136">
        <v>1942</v>
      </c>
      <c r="J136">
        <v>354</v>
      </c>
      <c r="K136">
        <v>2022</v>
      </c>
      <c r="L136">
        <v>345</v>
      </c>
      <c r="M136">
        <v>2042</v>
      </c>
      <c r="N136">
        <v>412</v>
      </c>
      <c r="O136">
        <v>2022</v>
      </c>
      <c r="P136">
        <v>452</v>
      </c>
      <c r="Q136">
        <v>1932</v>
      </c>
      <c r="R136">
        <v>532</v>
      </c>
      <c r="S136">
        <v>1832</v>
      </c>
      <c r="T136">
        <v>610</v>
      </c>
      <c r="U136">
        <v>1738</v>
      </c>
      <c r="V136">
        <v>650</v>
      </c>
      <c r="W136">
        <v>1705</v>
      </c>
      <c r="X136">
        <v>715</v>
      </c>
      <c r="Y136">
        <v>1706</v>
      </c>
    </row>
    <row r="137" spans="1:25" ht="13">
      <c r="A137">
        <v>26</v>
      </c>
      <c r="B137">
        <v>706</v>
      </c>
      <c r="C137">
        <v>1741</v>
      </c>
      <c r="D137">
        <v>624</v>
      </c>
      <c r="E137">
        <v>1823</v>
      </c>
      <c r="F137">
        <v>532</v>
      </c>
      <c r="G137">
        <v>1901</v>
      </c>
      <c r="H137">
        <v>434</v>
      </c>
      <c r="I137">
        <v>1944</v>
      </c>
      <c r="J137">
        <v>353</v>
      </c>
      <c r="K137">
        <v>2023</v>
      </c>
      <c r="L137">
        <v>345</v>
      </c>
      <c r="M137">
        <v>2042</v>
      </c>
      <c r="N137">
        <v>413</v>
      </c>
      <c r="O137">
        <v>2021</v>
      </c>
      <c r="P137">
        <v>454</v>
      </c>
      <c r="Q137">
        <v>1930</v>
      </c>
      <c r="R137">
        <v>533</v>
      </c>
      <c r="S137">
        <v>1830</v>
      </c>
      <c r="T137">
        <v>611</v>
      </c>
      <c r="U137">
        <v>1737</v>
      </c>
      <c r="V137">
        <v>651</v>
      </c>
      <c r="W137">
        <v>1704</v>
      </c>
      <c r="X137">
        <v>716</v>
      </c>
      <c r="Y137">
        <v>1707</v>
      </c>
    </row>
    <row r="138" spans="1:25" ht="13">
      <c r="A138">
        <v>27</v>
      </c>
      <c r="B138">
        <v>705</v>
      </c>
      <c r="C138">
        <v>1742</v>
      </c>
      <c r="D138">
        <v>622</v>
      </c>
      <c r="E138">
        <v>1825</v>
      </c>
      <c r="F138">
        <v>530</v>
      </c>
      <c r="G138">
        <v>1902</v>
      </c>
      <c r="H138">
        <v>432</v>
      </c>
      <c r="I138">
        <v>1945</v>
      </c>
      <c r="J138">
        <v>352</v>
      </c>
      <c r="K138">
        <v>2024</v>
      </c>
      <c r="L138">
        <v>346</v>
      </c>
      <c r="M138">
        <v>2041</v>
      </c>
      <c r="N138">
        <v>414</v>
      </c>
      <c r="O138">
        <v>2019</v>
      </c>
      <c r="P138">
        <v>455</v>
      </c>
      <c r="Q138">
        <v>1928</v>
      </c>
      <c r="R138">
        <v>534</v>
      </c>
      <c r="S138">
        <v>1828</v>
      </c>
      <c r="T138">
        <v>613</v>
      </c>
      <c r="U138">
        <v>1735</v>
      </c>
      <c r="V138">
        <v>653</v>
      </c>
      <c r="W138">
        <v>1704</v>
      </c>
      <c r="X138">
        <v>716</v>
      </c>
      <c r="Y138">
        <v>1708</v>
      </c>
    </row>
    <row r="139" spans="1:25" ht="13">
      <c r="A139">
        <v>28</v>
      </c>
      <c r="B139">
        <v>704</v>
      </c>
      <c r="C139">
        <v>1744</v>
      </c>
      <c r="D139">
        <v>621</v>
      </c>
      <c r="E139">
        <v>1826</v>
      </c>
      <c r="F139">
        <v>528</v>
      </c>
      <c r="G139">
        <v>1904</v>
      </c>
      <c r="H139">
        <v>431</v>
      </c>
      <c r="I139">
        <v>1946</v>
      </c>
      <c r="J139">
        <v>351</v>
      </c>
      <c r="K139">
        <v>2025</v>
      </c>
      <c r="L139">
        <v>346</v>
      </c>
      <c r="M139">
        <v>2041</v>
      </c>
      <c r="N139">
        <v>415</v>
      </c>
      <c r="O139">
        <v>2018</v>
      </c>
      <c r="P139">
        <v>456</v>
      </c>
      <c r="Q139">
        <v>1926</v>
      </c>
      <c r="R139">
        <v>536</v>
      </c>
      <c r="S139">
        <v>1826</v>
      </c>
      <c r="T139">
        <v>614</v>
      </c>
      <c r="U139">
        <v>1734</v>
      </c>
      <c r="V139">
        <v>654</v>
      </c>
      <c r="W139">
        <v>1703</v>
      </c>
      <c r="X139">
        <v>716</v>
      </c>
      <c r="Y139">
        <v>1709</v>
      </c>
    </row>
    <row r="140" spans="1:25" ht="13">
      <c r="A140">
        <v>29</v>
      </c>
      <c r="B140">
        <v>703</v>
      </c>
      <c r="C140">
        <v>1745</v>
      </c>
      <c r="F140">
        <v>526</v>
      </c>
      <c r="G140">
        <v>1905</v>
      </c>
      <c r="H140">
        <v>429</v>
      </c>
      <c r="I140">
        <v>1948</v>
      </c>
      <c r="J140">
        <v>351</v>
      </c>
      <c r="K140">
        <v>2026</v>
      </c>
      <c r="L140">
        <v>347</v>
      </c>
      <c r="M140">
        <v>2041</v>
      </c>
      <c r="N140">
        <v>417</v>
      </c>
      <c r="O140">
        <v>2017</v>
      </c>
      <c r="P140">
        <v>458</v>
      </c>
      <c r="Q140">
        <v>1924</v>
      </c>
      <c r="R140">
        <v>537</v>
      </c>
      <c r="S140">
        <v>1824</v>
      </c>
      <c r="T140">
        <v>615</v>
      </c>
      <c r="U140">
        <v>1733</v>
      </c>
      <c r="V140">
        <v>655</v>
      </c>
      <c r="W140">
        <v>1703</v>
      </c>
      <c r="X140">
        <v>716</v>
      </c>
      <c r="Y140">
        <v>1709</v>
      </c>
    </row>
    <row r="141" spans="1:25" ht="13">
      <c r="A141">
        <v>30</v>
      </c>
      <c r="B141">
        <v>702</v>
      </c>
      <c r="C141">
        <v>1746</v>
      </c>
      <c r="F141">
        <v>525</v>
      </c>
      <c r="G141">
        <v>1906</v>
      </c>
      <c r="H141">
        <v>427</v>
      </c>
      <c r="I141">
        <v>1949</v>
      </c>
      <c r="J141">
        <v>350</v>
      </c>
      <c r="K141">
        <v>2027</v>
      </c>
      <c r="L141">
        <v>347</v>
      </c>
      <c r="M141">
        <v>2041</v>
      </c>
      <c r="N141">
        <v>418</v>
      </c>
      <c r="O141">
        <v>2015</v>
      </c>
      <c r="P141">
        <v>459</v>
      </c>
      <c r="Q141">
        <v>1922</v>
      </c>
      <c r="R141">
        <v>538</v>
      </c>
      <c r="S141">
        <v>1822</v>
      </c>
      <c r="T141">
        <v>617</v>
      </c>
      <c r="U141">
        <v>1731</v>
      </c>
      <c r="V141">
        <v>656</v>
      </c>
      <c r="W141">
        <v>1703</v>
      </c>
      <c r="X141">
        <v>716</v>
      </c>
      <c r="Y141">
        <v>1710</v>
      </c>
    </row>
    <row r="142" spans="1:25" ht="13">
      <c r="A142">
        <v>31</v>
      </c>
      <c r="B142">
        <v>701</v>
      </c>
      <c r="C142">
        <v>1748</v>
      </c>
      <c r="F142">
        <v>523</v>
      </c>
      <c r="G142">
        <v>1908</v>
      </c>
      <c r="J142">
        <v>349</v>
      </c>
      <c r="K142">
        <v>2028</v>
      </c>
      <c r="N142">
        <v>419</v>
      </c>
      <c r="O142">
        <v>2014</v>
      </c>
      <c r="P142">
        <v>500</v>
      </c>
      <c r="Q142">
        <v>1920</v>
      </c>
      <c r="T142">
        <v>618</v>
      </c>
      <c r="U142">
        <v>1730</v>
      </c>
      <c r="X142">
        <v>717</v>
      </c>
      <c r="Y142">
        <v>1711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N1000"/>
  <sheetViews>
    <sheetView topLeftCell="B1" workbookViewId="0"/>
  </sheetViews>
  <sheetFormatPr baseColWidth="10" defaultColWidth="12.6640625" defaultRowHeight="15.75" customHeight="1"/>
  <cols>
    <col min="1" max="1" width="75.83203125" hidden="1" customWidth="1"/>
    <col min="2" max="2" width="7.5" customWidth="1"/>
    <col min="3" max="14" width="6.1640625" customWidth="1"/>
  </cols>
  <sheetData>
    <row r="1" spans="1:14" ht="15.75" customHeight="1">
      <c r="A1" s="8" t="s">
        <v>263</v>
      </c>
      <c r="B1" s="14" t="str">
        <f ca="1">IFERROR(__xludf.DUMMYFUNCTION("SPLIT(A1,"" "")"),"Day")</f>
        <v>Day</v>
      </c>
      <c r="C1" s="14" t="str">
        <f ca="1">IFERROR(__xludf.DUMMYFUNCTION("""COMPUTED_VALUE"""),"Jan.")</f>
        <v>Jan.</v>
      </c>
      <c r="D1" s="14" t="str">
        <f ca="1">IFERROR(__xludf.DUMMYFUNCTION("""COMPUTED_VALUE"""),"Feb.")</f>
        <v>Feb.</v>
      </c>
      <c r="E1" s="14" t="str">
        <f ca="1">IFERROR(__xludf.DUMMYFUNCTION("""COMPUTED_VALUE"""),"Mar.")</f>
        <v>Mar.</v>
      </c>
      <c r="F1" s="14" t="str">
        <f ca="1">IFERROR(__xludf.DUMMYFUNCTION("""COMPUTED_VALUE"""),"Apr.")</f>
        <v>Apr.</v>
      </c>
      <c r="G1" s="14" t="str">
        <f ca="1">IFERROR(__xludf.DUMMYFUNCTION("""COMPUTED_VALUE"""),"May")</f>
        <v>May</v>
      </c>
      <c r="H1" s="14" t="str">
        <f ca="1">IFERROR(__xludf.DUMMYFUNCTION("""COMPUTED_VALUE"""),"June")</f>
        <v>June</v>
      </c>
      <c r="I1" s="14" t="str">
        <f ca="1">IFERROR(__xludf.DUMMYFUNCTION("""COMPUTED_VALUE"""),"July")</f>
        <v>July</v>
      </c>
      <c r="J1" s="14" t="str">
        <f ca="1">IFERROR(__xludf.DUMMYFUNCTION("""COMPUTED_VALUE"""),"Aug.")</f>
        <v>Aug.</v>
      </c>
      <c r="K1" s="14" t="str">
        <f ca="1">IFERROR(__xludf.DUMMYFUNCTION("""COMPUTED_VALUE"""),"Sep.")</f>
        <v>Sep.</v>
      </c>
      <c r="L1" s="14" t="str">
        <f ca="1">IFERROR(__xludf.DUMMYFUNCTION("""COMPUTED_VALUE"""),"Oct.")</f>
        <v>Oct.</v>
      </c>
      <c r="M1" s="14" t="str">
        <f ca="1">IFERROR(__xludf.DUMMYFUNCTION("""COMPUTED_VALUE"""),"Nov.")</f>
        <v>Nov.</v>
      </c>
      <c r="N1" s="14" t="str">
        <f ca="1">IFERROR(__xludf.DUMMYFUNCTION("""COMPUTED_VALUE"""),"Dec.")</f>
        <v>Dec.</v>
      </c>
    </row>
    <row r="2" spans="1:14" ht="15.75" customHeight="1">
      <c r="A2" s="8" t="s">
        <v>264</v>
      </c>
      <c r="B2" s="14">
        <f ca="1">IFERROR(__xludf.DUMMYFUNCTION("SPLIT(A2,"" "")"),1)</f>
        <v>1</v>
      </c>
      <c r="C2" s="14">
        <f ca="1">IFERROR(__xludf.DUMMYFUNCTION("""COMPUTED_VALUE"""),0.99)</f>
        <v>0.99</v>
      </c>
      <c r="D2" s="14">
        <f ca="1">IFERROR(__xludf.DUMMYFUNCTION("""COMPUTED_VALUE"""),0.99)</f>
        <v>0.99</v>
      </c>
      <c r="E2" s="14">
        <f ca="1">IFERROR(__xludf.DUMMYFUNCTION("""COMPUTED_VALUE"""),0.99)</f>
        <v>0.99</v>
      </c>
      <c r="F2" s="14">
        <f ca="1">IFERROR(__xludf.DUMMYFUNCTION("""COMPUTED_VALUE"""),0.99)</f>
        <v>0.99</v>
      </c>
      <c r="G2" s="14">
        <f ca="1">IFERROR(__xludf.DUMMYFUNCTION("""COMPUTED_VALUE"""),0.98)</f>
        <v>0.98</v>
      </c>
      <c r="H2" s="14">
        <f ca="1">IFERROR(__xludf.DUMMYFUNCTION("""COMPUTED_VALUE"""),0.93)</f>
        <v>0.93</v>
      </c>
      <c r="I2" s="14">
        <f ca="1">IFERROR(__xludf.DUMMYFUNCTION("""COMPUTED_VALUE"""),0.91)</f>
        <v>0.91</v>
      </c>
      <c r="J2" s="14">
        <f ca="1">IFERROR(__xludf.DUMMYFUNCTION("""COMPUTED_VALUE"""),0.82)</f>
        <v>0.82</v>
      </c>
      <c r="K2" s="14">
        <f ca="1">IFERROR(__xludf.DUMMYFUNCTION("""COMPUTED_VALUE"""),0.69)</f>
        <v>0.69</v>
      </c>
      <c r="L2" s="14">
        <f ca="1">IFERROR(__xludf.DUMMYFUNCTION("""COMPUTED_VALUE"""),0.62)</f>
        <v>0.62</v>
      </c>
      <c r="M2" s="14">
        <f ca="1">IFERROR(__xludf.DUMMYFUNCTION("""COMPUTED_VALUE"""),0.43)</f>
        <v>0.43</v>
      </c>
      <c r="N2" s="14">
        <f ca="1">IFERROR(__xludf.DUMMYFUNCTION("""COMPUTED_VALUE"""),0.36)</f>
        <v>0.36</v>
      </c>
    </row>
    <row r="3" spans="1:14" ht="15.75" customHeight="1">
      <c r="A3" s="8" t="s">
        <v>265</v>
      </c>
      <c r="B3" s="14">
        <f ca="1">IFERROR(__xludf.DUMMYFUNCTION("SPLIT(A3,"" "")"),2)</f>
        <v>2</v>
      </c>
      <c r="C3" s="14">
        <f ca="1">IFERROR(__xludf.DUMMYFUNCTION("""COMPUTED_VALUE"""),1)</f>
        <v>1</v>
      </c>
      <c r="D3" s="14">
        <f ca="1">IFERROR(__xludf.DUMMYFUNCTION("""COMPUTED_VALUE"""),0.96)</f>
        <v>0.96</v>
      </c>
      <c r="E3" s="14">
        <f ca="1">IFERROR(__xludf.DUMMYFUNCTION("""COMPUTED_VALUE"""),1)</f>
        <v>1</v>
      </c>
      <c r="F3" s="14">
        <f ca="1">IFERROR(__xludf.DUMMYFUNCTION("""COMPUTED_VALUE"""),0.96)</f>
        <v>0.96</v>
      </c>
      <c r="G3" s="14">
        <f ca="1">IFERROR(__xludf.DUMMYFUNCTION("""COMPUTED_VALUE"""),0.95)</f>
        <v>0.95</v>
      </c>
      <c r="H3" s="14">
        <f ca="1">IFERROR(__xludf.DUMMYFUNCTION("""COMPUTED_VALUE"""),0.88)</f>
        <v>0.88</v>
      </c>
      <c r="I3" s="14">
        <f ca="1">IFERROR(__xludf.DUMMYFUNCTION("""COMPUTED_VALUE"""),0.85)</f>
        <v>0.85</v>
      </c>
      <c r="J3" s="14">
        <f ca="1">IFERROR(__xludf.DUMMYFUNCTION("""COMPUTED_VALUE"""),0.74)</f>
        <v>0.74</v>
      </c>
      <c r="K3" s="14">
        <f ca="1">IFERROR(__xludf.DUMMYFUNCTION("""COMPUTED_VALUE"""),0.59)</f>
        <v>0.59</v>
      </c>
      <c r="L3" s="14">
        <f ca="1">IFERROR(__xludf.DUMMYFUNCTION("""COMPUTED_VALUE"""),0.51)</f>
        <v>0.51</v>
      </c>
      <c r="M3" s="14">
        <f ca="1">IFERROR(__xludf.DUMMYFUNCTION("""COMPUTED_VALUE"""),0.32)</f>
        <v>0.32</v>
      </c>
      <c r="N3" s="14">
        <f ca="1">IFERROR(__xludf.DUMMYFUNCTION("""COMPUTED_VALUE"""),0.25)</f>
        <v>0.25</v>
      </c>
    </row>
    <row r="4" spans="1:14" ht="15.75" customHeight="1">
      <c r="A4" s="8" t="s">
        <v>266</v>
      </c>
      <c r="B4" s="14">
        <f ca="1">IFERROR(__xludf.DUMMYFUNCTION("SPLIT(A4,"" "")"),3)</f>
        <v>3</v>
      </c>
      <c r="C4" s="14">
        <f ca="1">IFERROR(__xludf.DUMMYFUNCTION("""COMPUTED_VALUE"""),0.98)</f>
        <v>0.98</v>
      </c>
      <c r="D4" s="14">
        <f ca="1">IFERROR(__xludf.DUMMYFUNCTION("""COMPUTED_VALUE"""),0.9)</f>
        <v>0.9</v>
      </c>
      <c r="E4" s="14">
        <f ca="1">IFERROR(__xludf.DUMMYFUNCTION("""COMPUTED_VALUE"""),0.98)</f>
        <v>0.98</v>
      </c>
      <c r="F4" s="14">
        <f ca="1">IFERROR(__xludf.DUMMYFUNCTION("""COMPUTED_VALUE"""),0.91)</f>
        <v>0.91</v>
      </c>
      <c r="G4" s="14">
        <f ca="1">IFERROR(__xludf.DUMMYFUNCTION("""COMPUTED_VALUE"""),0.89)</f>
        <v>0.89</v>
      </c>
      <c r="H4" s="14">
        <f ca="1">IFERROR(__xludf.DUMMYFUNCTION("""COMPUTED_VALUE"""),0.81)</f>
        <v>0.81</v>
      </c>
      <c r="I4" s="14">
        <f ca="1">IFERROR(__xludf.DUMMYFUNCTION("""COMPUTED_VALUE"""),0.78)</f>
        <v>0.78</v>
      </c>
      <c r="J4" s="14">
        <f ca="1">IFERROR(__xludf.DUMMYFUNCTION("""COMPUTED_VALUE"""),0.65)</f>
        <v>0.65</v>
      </c>
      <c r="K4" s="14">
        <f ca="1">IFERROR(__xludf.DUMMYFUNCTION("""COMPUTED_VALUE"""),0.48)</f>
        <v>0.48</v>
      </c>
      <c r="L4" s="14">
        <f ca="1">IFERROR(__xludf.DUMMYFUNCTION("""COMPUTED_VALUE"""),0.4)</f>
        <v>0.4</v>
      </c>
      <c r="M4" s="14">
        <f ca="1">IFERROR(__xludf.DUMMYFUNCTION("""COMPUTED_VALUE"""),0.22)</f>
        <v>0.22</v>
      </c>
      <c r="N4" s="14">
        <f ca="1">IFERROR(__xludf.DUMMYFUNCTION("""COMPUTED_VALUE"""),0.17)</f>
        <v>0.17</v>
      </c>
    </row>
    <row r="5" spans="1:14" ht="15.75" customHeight="1">
      <c r="A5" s="8" t="s">
        <v>267</v>
      </c>
      <c r="B5" s="14">
        <f ca="1">IFERROR(__xludf.DUMMYFUNCTION("SPLIT(A5,"" "")"),4)</f>
        <v>4</v>
      </c>
      <c r="C5" s="14">
        <f ca="1">IFERROR(__xludf.DUMMYFUNCTION("""COMPUTED_VALUE"""),0.93)</f>
        <v>0.93</v>
      </c>
      <c r="D5" s="14">
        <f ca="1">IFERROR(__xludf.DUMMYFUNCTION("""COMPUTED_VALUE"""),0.82)</f>
        <v>0.82</v>
      </c>
      <c r="E5" s="14">
        <f ca="1">IFERROR(__xludf.DUMMYFUNCTION("""COMPUTED_VALUE"""),0.93)</f>
        <v>0.93</v>
      </c>
      <c r="F5" s="14">
        <f ca="1">IFERROR(__xludf.DUMMYFUNCTION("""COMPUTED_VALUE"""),0.85)</f>
        <v>0.85</v>
      </c>
      <c r="G5" s="14">
        <f ca="1">IFERROR(__xludf.DUMMYFUNCTION("""COMPUTED_VALUE"""),0.83)</f>
        <v>0.83</v>
      </c>
      <c r="H5" s="14">
        <f ca="1">IFERROR(__xludf.DUMMYFUNCTION("""COMPUTED_VALUE"""),0.73)</f>
        <v>0.73</v>
      </c>
      <c r="I5" s="14">
        <f ca="1">IFERROR(__xludf.DUMMYFUNCTION("""COMPUTED_VALUE"""),0.7)</f>
        <v>0.7</v>
      </c>
      <c r="J5" s="14">
        <f ca="1">IFERROR(__xludf.DUMMYFUNCTION("""COMPUTED_VALUE"""),0.55)</f>
        <v>0.55000000000000004</v>
      </c>
      <c r="K5" s="14">
        <f ca="1">IFERROR(__xludf.DUMMYFUNCTION("""COMPUTED_VALUE"""),0.36)</f>
        <v>0.36</v>
      </c>
      <c r="L5" s="14">
        <f ca="1">IFERROR(__xludf.DUMMYFUNCTION("""COMPUTED_VALUE"""),0.29)</f>
        <v>0.28999999999999998</v>
      </c>
      <c r="M5" s="14">
        <f ca="1">IFERROR(__xludf.DUMMYFUNCTION("""COMPUTED_VALUE"""),0.13)</f>
        <v>0.13</v>
      </c>
      <c r="N5" s="14">
        <f ca="1">IFERROR(__xludf.DUMMYFUNCTION("""COMPUTED_VALUE"""),0.09)</f>
        <v>0.09</v>
      </c>
    </row>
    <row r="6" spans="1:14" ht="15.75" customHeight="1">
      <c r="A6" s="8" t="s">
        <v>268</v>
      </c>
      <c r="B6" s="14">
        <f ca="1">IFERROR(__xludf.DUMMYFUNCTION("SPLIT(A6,"" "")"),5)</f>
        <v>5</v>
      </c>
      <c r="C6" s="14">
        <f ca="1">IFERROR(__xludf.DUMMYFUNCTION("""COMPUTED_VALUE"""),0.85)</f>
        <v>0.85</v>
      </c>
      <c r="D6" s="14">
        <f ca="1">IFERROR(__xludf.DUMMYFUNCTION("""COMPUTED_VALUE"""),0.73)</f>
        <v>0.73</v>
      </c>
      <c r="E6" s="14">
        <f ca="1">IFERROR(__xludf.DUMMYFUNCTION("""COMPUTED_VALUE"""),0.87)</f>
        <v>0.87</v>
      </c>
      <c r="F6" s="14">
        <f ca="1">IFERROR(__xludf.DUMMYFUNCTION("""COMPUTED_VALUE"""),0.77)</f>
        <v>0.77</v>
      </c>
      <c r="G6" s="14">
        <f ca="1">IFERROR(__xludf.DUMMYFUNCTION("""COMPUTED_VALUE"""),0.75)</f>
        <v>0.75</v>
      </c>
      <c r="H6" s="14">
        <f ca="1">IFERROR(__xludf.DUMMYFUNCTION("""COMPUTED_VALUE"""),0.64)</f>
        <v>0.64</v>
      </c>
      <c r="I6" s="14">
        <f ca="1">IFERROR(__xludf.DUMMYFUNCTION("""COMPUTED_VALUE"""),0.6)</f>
        <v>0.6</v>
      </c>
      <c r="J6" s="14">
        <f ca="1">IFERROR(__xludf.DUMMYFUNCTION("""COMPUTED_VALUE"""),0.44)</f>
        <v>0.44</v>
      </c>
      <c r="K6" s="14">
        <f ca="1">IFERROR(__xludf.DUMMYFUNCTION("""COMPUTED_VALUE"""),0.26)</f>
        <v>0.26</v>
      </c>
      <c r="L6" s="14">
        <f ca="1">IFERROR(__xludf.DUMMYFUNCTION("""COMPUTED_VALUE"""),0.19)</f>
        <v>0.19</v>
      </c>
      <c r="M6" s="14">
        <f ca="1">IFERROR(__xludf.DUMMYFUNCTION("""COMPUTED_VALUE"""),0.07)</f>
        <v>7.0000000000000007E-2</v>
      </c>
      <c r="N6" s="14">
        <f ca="1">IFERROR(__xludf.DUMMYFUNCTION("""COMPUTED_VALUE"""),0.04)</f>
        <v>0.04</v>
      </c>
    </row>
    <row r="7" spans="1:14" ht="15.75" customHeight="1">
      <c r="A7" s="8" t="s">
        <v>269</v>
      </c>
      <c r="B7" s="14">
        <f ca="1">IFERROR(__xludf.DUMMYFUNCTION("SPLIT(A7,"" "")"),6)</f>
        <v>6</v>
      </c>
      <c r="C7" s="14">
        <f ca="1">IFERROR(__xludf.DUMMYFUNCTION("""COMPUTED_VALUE"""),0.77)</f>
        <v>0.77</v>
      </c>
      <c r="D7" s="14">
        <f ca="1">IFERROR(__xludf.DUMMYFUNCTION("""COMPUTED_VALUE"""),0.63)</f>
        <v>0.63</v>
      </c>
      <c r="E7" s="14">
        <f ca="1">IFERROR(__xludf.DUMMYFUNCTION("""COMPUTED_VALUE"""),0.79)</f>
        <v>0.79</v>
      </c>
      <c r="F7" s="14">
        <f ca="1">IFERROR(__xludf.DUMMYFUNCTION("""COMPUTED_VALUE"""),0.68)</f>
        <v>0.68</v>
      </c>
      <c r="G7" s="14">
        <f ca="1">IFERROR(__xludf.DUMMYFUNCTION("""COMPUTED_VALUE"""),0.66)</f>
        <v>0.66</v>
      </c>
      <c r="H7" s="14">
        <f ca="1">IFERROR(__xludf.DUMMYFUNCTION("""COMPUTED_VALUE"""),0.54)</f>
        <v>0.54</v>
      </c>
      <c r="I7" s="14">
        <f ca="1">IFERROR(__xludf.DUMMYFUNCTION("""COMPUTED_VALUE"""),0.5)</f>
        <v>0.5</v>
      </c>
      <c r="J7" s="14">
        <f ca="1">IFERROR(__xludf.DUMMYFUNCTION("""COMPUTED_VALUE"""),0.33)</f>
        <v>0.33</v>
      </c>
      <c r="K7" s="14">
        <f ca="1">IFERROR(__xludf.DUMMYFUNCTION("""COMPUTED_VALUE"""),0.16)</f>
        <v>0.16</v>
      </c>
      <c r="L7" s="14">
        <f ca="1">IFERROR(__xludf.DUMMYFUNCTION("""COMPUTED_VALUE"""),0.11)</f>
        <v>0.11</v>
      </c>
      <c r="M7" s="14">
        <f ca="1">IFERROR(__xludf.DUMMYFUNCTION("""COMPUTED_VALUE"""),0.02)</f>
        <v>0.02</v>
      </c>
      <c r="N7" s="14">
        <f ca="1">IFERROR(__xludf.DUMMYFUNCTION("""COMPUTED_VALUE"""),0.01)</f>
        <v>0.01</v>
      </c>
    </row>
    <row r="8" spans="1:14" ht="15.75" customHeight="1">
      <c r="A8" s="8" t="s">
        <v>270</v>
      </c>
      <c r="B8" s="14">
        <f ca="1">IFERROR(__xludf.DUMMYFUNCTION("SPLIT(A8,"" "")"),7)</f>
        <v>7</v>
      </c>
      <c r="C8" s="14">
        <f ca="1">IFERROR(__xludf.DUMMYFUNCTION("""COMPUTED_VALUE"""),0.67)</f>
        <v>0.67</v>
      </c>
      <c r="D8" s="14">
        <f ca="1">IFERROR(__xludf.DUMMYFUNCTION("""COMPUTED_VALUE"""),0.53)</f>
        <v>0.53</v>
      </c>
      <c r="E8" s="14">
        <f ca="1">IFERROR(__xludf.DUMMYFUNCTION("""COMPUTED_VALUE"""),0.7)</f>
        <v>0.7</v>
      </c>
      <c r="F8" s="14">
        <f ca="1">IFERROR(__xludf.DUMMYFUNCTION("""COMPUTED_VALUE"""),0.59)</f>
        <v>0.59</v>
      </c>
      <c r="G8" s="14">
        <f ca="1">IFERROR(__xludf.DUMMYFUNCTION("""COMPUTED_VALUE"""),0.57)</f>
        <v>0.56999999999999995</v>
      </c>
      <c r="H8" s="14">
        <f ca="1">IFERROR(__xludf.DUMMYFUNCTION("""COMPUTED_VALUE"""),0.45)</f>
        <v>0.45</v>
      </c>
      <c r="I8" s="14">
        <f ca="1">IFERROR(__xludf.DUMMYFUNCTION("""COMPUTED_VALUE"""),0.4)</f>
        <v>0.4</v>
      </c>
      <c r="J8" s="14">
        <f ca="1">IFERROR(__xludf.DUMMYFUNCTION("""COMPUTED_VALUE"""),0.23)</f>
        <v>0.23</v>
      </c>
      <c r="K8" s="14">
        <f ca="1">IFERROR(__xludf.DUMMYFUNCTION("""COMPUTED_VALUE"""),0.08)</f>
        <v>0.08</v>
      </c>
      <c r="L8" s="14">
        <f ca="1">IFERROR(__xludf.DUMMYFUNCTION("""COMPUTED_VALUE"""),0.05)</f>
        <v>0.05</v>
      </c>
      <c r="M8" s="14">
        <f ca="1">IFERROR(__xludf.DUMMYFUNCTION("""COMPUTED_VALUE"""),0)</f>
        <v>0</v>
      </c>
      <c r="N8" s="14">
        <f ca="1">IFERROR(__xludf.DUMMYFUNCTION("""COMPUTED_VALUE"""),0)</f>
        <v>0</v>
      </c>
    </row>
    <row r="9" spans="1:14" ht="15.75" customHeight="1">
      <c r="A9" s="8" t="s">
        <v>271</v>
      </c>
      <c r="B9" s="14">
        <f ca="1">IFERROR(__xludf.DUMMYFUNCTION("SPLIT(A9,"" "")"),8)</f>
        <v>8</v>
      </c>
      <c r="C9" s="14">
        <f ca="1">IFERROR(__xludf.DUMMYFUNCTION("""COMPUTED_VALUE"""),0.56)</f>
        <v>0.56000000000000005</v>
      </c>
      <c r="D9" s="14">
        <f ca="1">IFERROR(__xludf.DUMMYFUNCTION("""COMPUTED_VALUE"""),0.44)</f>
        <v>0.44</v>
      </c>
      <c r="E9" s="14">
        <f ca="1">IFERROR(__xludf.DUMMYFUNCTION("""COMPUTED_VALUE"""),0.61)</f>
        <v>0.61</v>
      </c>
      <c r="F9" s="14">
        <f ca="1">IFERROR(__xludf.DUMMYFUNCTION("""COMPUTED_VALUE"""),0.5)</f>
        <v>0.5</v>
      </c>
      <c r="G9" s="14">
        <f ca="1">IFERROR(__xludf.DUMMYFUNCTION("""COMPUTED_VALUE"""),0.48)</f>
        <v>0.48</v>
      </c>
      <c r="H9" s="14">
        <f ca="1">IFERROR(__xludf.DUMMYFUNCTION("""COMPUTED_VALUE"""),0.35)</f>
        <v>0.35</v>
      </c>
      <c r="I9" s="14">
        <f ca="1">IFERROR(__xludf.DUMMYFUNCTION("""COMPUTED_VALUE"""),0.29)</f>
        <v>0.28999999999999998</v>
      </c>
      <c r="J9" s="14">
        <f ca="1">IFERROR(__xludf.DUMMYFUNCTION("""COMPUTED_VALUE"""),0.14)</f>
        <v>0.14000000000000001</v>
      </c>
      <c r="K9" s="14">
        <f ca="1">IFERROR(__xludf.DUMMYFUNCTION("""COMPUTED_VALUE"""),0.03)</f>
        <v>0.03</v>
      </c>
      <c r="L9" s="14">
        <f ca="1">IFERROR(__xludf.DUMMYFUNCTION("""COMPUTED_VALUE"""),0.01)</f>
        <v>0.01</v>
      </c>
      <c r="M9" s="14">
        <f ca="1">IFERROR(__xludf.DUMMYFUNCTION("""COMPUTED_VALUE"""),0.01)</f>
        <v>0.01</v>
      </c>
      <c r="N9" s="14">
        <f ca="1">IFERROR(__xludf.DUMMYFUNCTION("""COMPUTED_VALUE"""),0.01)</f>
        <v>0.01</v>
      </c>
    </row>
    <row r="10" spans="1:14" ht="15.75" customHeight="1">
      <c r="A10" s="8" t="s">
        <v>272</v>
      </c>
      <c r="B10" s="14">
        <f ca="1">IFERROR(__xludf.DUMMYFUNCTION("SPLIT(A10,"" "")"),9)</f>
        <v>9</v>
      </c>
      <c r="C10" s="14">
        <f ca="1">IFERROR(__xludf.DUMMYFUNCTION("""COMPUTED_VALUE"""),0.46)</f>
        <v>0.46</v>
      </c>
      <c r="D10" s="14">
        <f ca="1">IFERROR(__xludf.DUMMYFUNCTION("""COMPUTED_VALUE"""),0.34)</f>
        <v>0.34</v>
      </c>
      <c r="E10" s="14">
        <f ca="1">IFERROR(__xludf.DUMMYFUNCTION("""COMPUTED_VALUE"""),0.51)</f>
        <v>0.51</v>
      </c>
      <c r="F10" s="14">
        <f ca="1">IFERROR(__xludf.DUMMYFUNCTION("""COMPUTED_VALUE"""),0.4)</f>
        <v>0.4</v>
      </c>
      <c r="G10" s="14">
        <f ca="1">IFERROR(__xludf.DUMMYFUNCTION("""COMPUTED_VALUE"""),0.38)</f>
        <v>0.38</v>
      </c>
      <c r="H10" s="14">
        <f ca="1">IFERROR(__xludf.DUMMYFUNCTION("""COMPUTED_VALUE"""),0.25)</f>
        <v>0.25</v>
      </c>
      <c r="I10" s="14">
        <f ca="1">IFERROR(__xludf.DUMMYFUNCTION("""COMPUTED_VALUE"""),0.2)</f>
        <v>0.2</v>
      </c>
      <c r="J10" s="14">
        <f ca="1">IFERROR(__xludf.DUMMYFUNCTION("""COMPUTED_VALUE"""),0.06)</f>
        <v>0.06</v>
      </c>
      <c r="K10" s="14">
        <f ca="1">IFERROR(__xludf.DUMMYFUNCTION("""COMPUTED_VALUE"""),0)</f>
        <v>0</v>
      </c>
      <c r="L10" s="14">
        <f ca="1">IFERROR(__xludf.DUMMYFUNCTION("""COMPUTED_VALUE"""),0)</f>
        <v>0</v>
      </c>
      <c r="M10" s="14">
        <f ca="1">IFERROR(__xludf.DUMMYFUNCTION("""COMPUTED_VALUE"""),0.03)</f>
        <v>0.03</v>
      </c>
      <c r="N10" s="14">
        <f ca="1">IFERROR(__xludf.DUMMYFUNCTION("""COMPUTED_VALUE"""),0.04)</f>
        <v>0.04</v>
      </c>
    </row>
    <row r="11" spans="1:14" ht="15.75" customHeight="1">
      <c r="A11" s="8" t="s">
        <v>273</v>
      </c>
      <c r="B11" s="14">
        <f ca="1">IFERROR(__xludf.DUMMYFUNCTION("SPLIT(A11,"" "")"),10)</f>
        <v>10</v>
      </c>
      <c r="C11" s="14">
        <f ca="1">IFERROR(__xludf.DUMMYFUNCTION("""COMPUTED_VALUE"""),0.36)</f>
        <v>0.36</v>
      </c>
      <c r="D11" s="14">
        <f ca="1">IFERROR(__xludf.DUMMYFUNCTION("""COMPUTED_VALUE"""),0.26)</f>
        <v>0.26</v>
      </c>
      <c r="E11" s="14">
        <f ca="1">IFERROR(__xludf.DUMMYFUNCTION("""COMPUTED_VALUE"""),0.42)</f>
        <v>0.42</v>
      </c>
      <c r="F11" s="14">
        <f ca="1">IFERROR(__xludf.DUMMYFUNCTION("""COMPUTED_VALUE"""),0.31)</f>
        <v>0.31</v>
      </c>
      <c r="G11" s="14">
        <f ca="1">IFERROR(__xludf.DUMMYFUNCTION("""COMPUTED_VALUE"""),0.29)</f>
        <v>0.28999999999999998</v>
      </c>
      <c r="H11" s="14">
        <f ca="1">IFERROR(__xludf.DUMMYFUNCTION("""COMPUTED_VALUE"""),0.16)</f>
        <v>0.16</v>
      </c>
      <c r="I11" s="14">
        <f ca="1">IFERROR(__xludf.DUMMYFUNCTION("""COMPUTED_VALUE"""),0.11)</f>
        <v>0.11</v>
      </c>
      <c r="J11" s="14">
        <f ca="1">IFERROR(__xludf.DUMMYFUNCTION("""COMPUTED_VALUE"""),0.02)</f>
        <v>0.02</v>
      </c>
      <c r="K11" s="14">
        <f ca="1">IFERROR(__xludf.DUMMYFUNCTION("""COMPUTED_VALUE"""),0.01)</f>
        <v>0.01</v>
      </c>
      <c r="L11" s="14">
        <f ca="1">IFERROR(__xludf.DUMMYFUNCTION("""COMPUTED_VALUE"""),0.02)</f>
        <v>0.02</v>
      </c>
      <c r="M11" s="14">
        <f ca="1">IFERROR(__xludf.DUMMYFUNCTION("""COMPUTED_VALUE"""),0.08)</f>
        <v>0.08</v>
      </c>
      <c r="N11" s="14">
        <f ca="1">IFERROR(__xludf.DUMMYFUNCTION("""COMPUTED_VALUE"""),0.09)</f>
        <v>0.09</v>
      </c>
    </row>
    <row r="12" spans="1:14" ht="15.75" customHeight="1">
      <c r="A12" s="8" t="s">
        <v>274</v>
      </c>
      <c r="B12" s="14">
        <f ca="1">IFERROR(__xludf.DUMMYFUNCTION("SPLIT(A12,"" "")"),11)</f>
        <v>11</v>
      </c>
      <c r="C12" s="14">
        <f ca="1">IFERROR(__xludf.DUMMYFUNCTION("""COMPUTED_VALUE"""),0.27)</f>
        <v>0.27</v>
      </c>
      <c r="D12" s="14">
        <f ca="1">IFERROR(__xludf.DUMMYFUNCTION("""COMPUTED_VALUE"""),0.18)</f>
        <v>0.18</v>
      </c>
      <c r="E12" s="14">
        <f ca="1">IFERROR(__xludf.DUMMYFUNCTION("""COMPUTED_VALUE"""),0.33)</f>
        <v>0.33</v>
      </c>
      <c r="F12" s="14">
        <f ca="1">IFERROR(__xludf.DUMMYFUNCTION("""COMPUTED_VALUE"""),0.23)</f>
        <v>0.23</v>
      </c>
      <c r="G12" s="14">
        <f ca="1">IFERROR(__xludf.DUMMYFUNCTION("""COMPUTED_VALUE"""),0.2)</f>
        <v>0.2</v>
      </c>
      <c r="H12" s="14">
        <f ca="1">IFERROR(__xludf.DUMMYFUNCTION("""COMPUTED_VALUE"""),0.09)</f>
        <v>0.09</v>
      </c>
      <c r="I12" s="14">
        <f ca="1">IFERROR(__xludf.DUMMYFUNCTION("""COMPUTED_VALUE"""),0.05)</f>
        <v>0.05</v>
      </c>
      <c r="J12" s="14">
        <f ca="1">IFERROR(__xludf.DUMMYFUNCTION("""COMPUTED_VALUE"""),0)</f>
        <v>0</v>
      </c>
      <c r="K12" s="14">
        <f ca="1">IFERROR(__xludf.DUMMYFUNCTION("""COMPUTED_VALUE"""),0.04)</f>
        <v>0.04</v>
      </c>
      <c r="L12" s="14">
        <f ca="1">IFERROR(__xludf.DUMMYFUNCTION("""COMPUTED_VALUE"""),0.06)</f>
        <v>0.06</v>
      </c>
      <c r="M12" s="14">
        <f ca="1">IFERROR(__xludf.DUMMYFUNCTION("""COMPUTED_VALUE"""),0.14)</f>
        <v>0.14000000000000001</v>
      </c>
      <c r="N12" s="14">
        <f ca="1">IFERROR(__xludf.DUMMYFUNCTION("""COMPUTED_VALUE"""),0.15)</f>
        <v>0.15</v>
      </c>
    </row>
    <row r="13" spans="1:14" ht="15.75" customHeight="1">
      <c r="A13" s="8" t="s">
        <v>275</v>
      </c>
      <c r="B13" s="14">
        <f ca="1">IFERROR(__xludf.DUMMYFUNCTION("SPLIT(A13,"" "")"),12)</f>
        <v>12</v>
      </c>
      <c r="C13" s="14">
        <f ca="1">IFERROR(__xludf.DUMMYFUNCTION("""COMPUTED_VALUE"""),0.19)</f>
        <v>0.19</v>
      </c>
      <c r="D13" s="14">
        <f ca="1">IFERROR(__xludf.DUMMYFUNCTION("""COMPUTED_VALUE"""),0.11)</f>
        <v>0.11</v>
      </c>
      <c r="E13" s="14">
        <f ca="1">IFERROR(__xludf.DUMMYFUNCTION("""COMPUTED_VALUE"""),0.24)</f>
        <v>0.24</v>
      </c>
      <c r="F13" s="14">
        <f ca="1">IFERROR(__xludf.DUMMYFUNCTION("""COMPUTED_VALUE"""),0.15)</f>
        <v>0.15</v>
      </c>
      <c r="G13" s="14">
        <f ca="1">IFERROR(__xludf.DUMMYFUNCTION("""COMPUTED_VALUE"""),0.12)</f>
        <v>0.12</v>
      </c>
      <c r="H13" s="14">
        <f ca="1">IFERROR(__xludf.DUMMYFUNCTION("""COMPUTED_VALUE"""),0.03)</f>
        <v>0.03</v>
      </c>
      <c r="I13" s="14">
        <f ca="1">IFERROR(__xludf.DUMMYFUNCTION("""COMPUTED_VALUE"""),0.01)</f>
        <v>0.01</v>
      </c>
      <c r="J13" s="14">
        <f ca="1">IFERROR(__xludf.DUMMYFUNCTION("""COMPUTED_VALUE"""),0.01)</f>
        <v>0.01</v>
      </c>
      <c r="K13" s="14">
        <f ca="1">IFERROR(__xludf.DUMMYFUNCTION("""COMPUTED_VALUE"""),0.09)</f>
        <v>0.09</v>
      </c>
      <c r="L13" s="14">
        <f ca="1">IFERROR(__xludf.DUMMYFUNCTION("""COMPUTED_VALUE"""),0.12)</f>
        <v>0.12</v>
      </c>
      <c r="M13" s="14">
        <f ca="1">IFERROR(__xludf.DUMMYFUNCTION("""COMPUTED_VALUE"""),0.21)</f>
        <v>0.21</v>
      </c>
      <c r="N13" s="14">
        <f ca="1">IFERROR(__xludf.DUMMYFUNCTION("""COMPUTED_VALUE"""),0.22)</f>
        <v>0.22</v>
      </c>
    </row>
    <row r="14" spans="1:14" ht="15.75" customHeight="1">
      <c r="A14" s="8" t="s">
        <v>276</v>
      </c>
      <c r="B14" s="14">
        <f ca="1">IFERROR(__xludf.DUMMYFUNCTION("SPLIT(A14,"" "")"),13)</f>
        <v>13</v>
      </c>
      <c r="C14" s="14">
        <f ca="1">IFERROR(__xludf.DUMMYFUNCTION("""COMPUTED_VALUE"""),0.12)</f>
        <v>0.12</v>
      </c>
      <c r="D14" s="14">
        <f ca="1">IFERROR(__xludf.DUMMYFUNCTION("""COMPUTED_VALUE"""),0.06)</f>
        <v>0.06</v>
      </c>
      <c r="E14" s="14">
        <f ca="1">IFERROR(__xludf.DUMMYFUNCTION("""COMPUTED_VALUE"""),0.17)</f>
        <v>0.17</v>
      </c>
      <c r="F14" s="14">
        <f ca="1">IFERROR(__xludf.DUMMYFUNCTION("""COMPUTED_VALUE"""),0.09)</f>
        <v>0.09</v>
      </c>
      <c r="G14" s="14">
        <f ca="1">IFERROR(__xludf.DUMMYFUNCTION("""COMPUTED_VALUE"""),0.06)</f>
        <v>0.06</v>
      </c>
      <c r="H14" s="14">
        <f ca="1">IFERROR(__xludf.DUMMYFUNCTION("""COMPUTED_VALUE"""),0)</f>
        <v>0</v>
      </c>
      <c r="I14" s="14">
        <f ca="1">IFERROR(__xludf.DUMMYFUNCTION("""COMPUTED_VALUE"""),0)</f>
        <v>0</v>
      </c>
      <c r="J14" s="14">
        <f ca="1">IFERROR(__xludf.DUMMYFUNCTION("""COMPUTED_VALUE"""),0.05)</f>
        <v>0.05</v>
      </c>
      <c r="K14" s="14">
        <f ca="1">IFERROR(__xludf.DUMMYFUNCTION("""COMPUTED_VALUE"""),0.16)</f>
        <v>0.16</v>
      </c>
      <c r="L14" s="14">
        <f ca="1">IFERROR(__xludf.DUMMYFUNCTION("""COMPUTED_VALUE"""),0.19)</f>
        <v>0.19</v>
      </c>
      <c r="M14" s="14">
        <f ca="1">IFERROR(__xludf.DUMMYFUNCTION("""COMPUTED_VALUE"""),0.29)</f>
        <v>0.28999999999999998</v>
      </c>
      <c r="N14" s="14">
        <f ca="1">IFERROR(__xludf.DUMMYFUNCTION("""COMPUTED_VALUE"""),0.3)</f>
        <v>0.3</v>
      </c>
    </row>
    <row r="15" spans="1:14" ht="15.75" customHeight="1">
      <c r="A15" s="8" t="s">
        <v>277</v>
      </c>
      <c r="B15" s="14">
        <f ca="1">IFERROR(__xludf.DUMMYFUNCTION("SPLIT(A15,"" "")"),14)</f>
        <v>14</v>
      </c>
      <c r="C15" s="14">
        <f ca="1">IFERROR(__xludf.DUMMYFUNCTION("""COMPUTED_VALUE"""),0.07)</f>
        <v>7.0000000000000007E-2</v>
      </c>
      <c r="D15" s="14">
        <f ca="1">IFERROR(__xludf.DUMMYFUNCTION("""COMPUTED_VALUE"""),0.02)</f>
        <v>0.02</v>
      </c>
      <c r="E15" s="14">
        <f ca="1">IFERROR(__xludf.DUMMYFUNCTION("""COMPUTED_VALUE"""),0.1)</f>
        <v>0.1</v>
      </c>
      <c r="F15" s="14">
        <f ca="1">IFERROR(__xludf.DUMMYFUNCTION("""COMPUTED_VALUE"""),0.04)</f>
        <v>0.04</v>
      </c>
      <c r="G15" s="14">
        <f ca="1">IFERROR(__xludf.DUMMYFUNCTION("""COMPUTED_VALUE"""),0.02)</f>
        <v>0.02</v>
      </c>
      <c r="H15" s="14">
        <f ca="1">IFERROR(__xludf.DUMMYFUNCTION("""COMPUTED_VALUE"""),0)</f>
        <v>0</v>
      </c>
      <c r="I15" s="14">
        <f ca="1">IFERROR(__xludf.DUMMYFUNCTION("""COMPUTED_VALUE"""),0.02)</f>
        <v>0.02</v>
      </c>
      <c r="J15" s="14">
        <f ca="1">IFERROR(__xludf.DUMMYFUNCTION("""COMPUTED_VALUE"""),0.12)</f>
        <v>0.12</v>
      </c>
      <c r="K15" s="14">
        <f ca="1">IFERROR(__xludf.DUMMYFUNCTION("""COMPUTED_VALUE"""),0.25)</f>
        <v>0.25</v>
      </c>
      <c r="L15" s="14">
        <f ca="1">IFERROR(__xludf.DUMMYFUNCTION("""COMPUTED_VALUE"""),0.28)</f>
        <v>0.28000000000000003</v>
      </c>
      <c r="M15" s="14">
        <f ca="1">IFERROR(__xludf.DUMMYFUNCTION("""COMPUTED_VALUE"""),0.38)</f>
        <v>0.38</v>
      </c>
      <c r="N15" s="14">
        <f ca="1">IFERROR(__xludf.DUMMYFUNCTION("""COMPUTED_VALUE"""),0.39)</f>
        <v>0.39</v>
      </c>
    </row>
    <row r="16" spans="1:14" ht="15.75" customHeight="1">
      <c r="A16" s="8" t="s">
        <v>278</v>
      </c>
      <c r="B16" s="14">
        <f ca="1">IFERROR(__xludf.DUMMYFUNCTION("SPLIT(A16,"" "")"),15)</f>
        <v>15</v>
      </c>
      <c r="C16" s="14">
        <f ca="1">IFERROR(__xludf.DUMMYFUNCTION("""COMPUTED_VALUE"""),0.03)</f>
        <v>0.03</v>
      </c>
      <c r="D16" s="14">
        <f ca="1">IFERROR(__xludf.DUMMYFUNCTION("""COMPUTED_VALUE"""),0)</f>
        <v>0</v>
      </c>
      <c r="E16" s="14">
        <f ca="1">IFERROR(__xludf.DUMMYFUNCTION("""COMPUTED_VALUE"""),0.05)</f>
        <v>0.05</v>
      </c>
      <c r="F16" s="14">
        <f ca="1">IFERROR(__xludf.DUMMYFUNCTION("""COMPUTED_VALUE"""),0.01)</f>
        <v>0.01</v>
      </c>
      <c r="G16" s="14">
        <f ca="1">IFERROR(__xludf.DUMMYFUNCTION("""COMPUTED_VALUE"""),0)</f>
        <v>0</v>
      </c>
      <c r="H16" s="14">
        <f ca="1">IFERROR(__xludf.DUMMYFUNCTION("""COMPUTED_VALUE"""),0.03)</f>
        <v>0.03</v>
      </c>
      <c r="I16" s="14">
        <f ca="1">IFERROR(__xludf.DUMMYFUNCTION("""COMPUTED_VALUE"""),0.07)</f>
        <v>7.0000000000000007E-2</v>
      </c>
      <c r="J16" s="14">
        <f ca="1">IFERROR(__xludf.DUMMYFUNCTION("""COMPUTED_VALUE"""),0.2)</f>
        <v>0.2</v>
      </c>
      <c r="K16" s="14">
        <f ca="1">IFERROR(__xludf.DUMMYFUNCTION("""COMPUTED_VALUE"""),0.34)</f>
        <v>0.34</v>
      </c>
      <c r="L16" s="14">
        <f ca="1">IFERROR(__xludf.DUMMYFUNCTION("""COMPUTED_VALUE"""),0.37)</f>
        <v>0.37</v>
      </c>
      <c r="M16" s="14">
        <f ca="1">IFERROR(__xludf.DUMMYFUNCTION("""COMPUTED_VALUE"""),0.47)</f>
        <v>0.47</v>
      </c>
      <c r="N16" s="14">
        <f ca="1">IFERROR(__xludf.DUMMYFUNCTION("""COMPUTED_VALUE"""),0.49)</f>
        <v>0.49</v>
      </c>
    </row>
    <row r="17" spans="1:14" ht="15.75" customHeight="1">
      <c r="A17" s="8" t="s">
        <v>279</v>
      </c>
      <c r="B17" s="14">
        <f ca="1">IFERROR(__xludf.DUMMYFUNCTION("SPLIT(A17,"" "")"),16)</f>
        <v>16</v>
      </c>
      <c r="C17" s="14">
        <f ca="1">IFERROR(__xludf.DUMMYFUNCTION("""COMPUTED_VALUE"""),0.01)</f>
        <v>0.01</v>
      </c>
      <c r="D17" s="14">
        <f ca="1">IFERROR(__xludf.DUMMYFUNCTION("""COMPUTED_VALUE"""),0)</f>
        <v>0</v>
      </c>
      <c r="E17" s="14">
        <f ca="1">IFERROR(__xludf.DUMMYFUNCTION("""COMPUTED_VALUE"""),0.02)</f>
        <v>0.02</v>
      </c>
      <c r="F17" s="14">
        <f ca="1">IFERROR(__xludf.DUMMYFUNCTION("""COMPUTED_VALUE"""),0)</f>
        <v>0</v>
      </c>
      <c r="G17" s="14">
        <f ca="1">IFERROR(__xludf.DUMMYFUNCTION("""COMPUTED_VALUE"""),0.01)</f>
        <v>0.01</v>
      </c>
      <c r="H17" s="14">
        <f ca="1">IFERROR(__xludf.DUMMYFUNCTION("""COMPUTED_VALUE"""),0.09)</f>
        <v>0.09</v>
      </c>
      <c r="I17" s="14">
        <f ca="1">IFERROR(__xludf.DUMMYFUNCTION("""COMPUTED_VALUE"""),0.15)</f>
        <v>0.15</v>
      </c>
      <c r="J17" s="14">
        <f ca="1">IFERROR(__xludf.DUMMYFUNCTION("""COMPUTED_VALUE"""),0.3)</f>
        <v>0.3</v>
      </c>
      <c r="K17" s="14">
        <f ca="1">IFERROR(__xludf.DUMMYFUNCTION("""COMPUTED_VALUE"""),0.44)</f>
        <v>0.44</v>
      </c>
      <c r="L17" s="14">
        <f ca="1">IFERROR(__xludf.DUMMYFUNCTION("""COMPUTED_VALUE"""),0.46)</f>
        <v>0.46</v>
      </c>
      <c r="M17" s="14">
        <f ca="1">IFERROR(__xludf.DUMMYFUNCTION("""COMPUTED_VALUE"""),0.57)</f>
        <v>0.56999999999999995</v>
      </c>
      <c r="N17" s="14">
        <f ca="1">IFERROR(__xludf.DUMMYFUNCTION("""COMPUTED_VALUE"""),0.58)</f>
        <v>0.57999999999999996</v>
      </c>
    </row>
    <row r="18" spans="1:14" ht="15.75" customHeight="1">
      <c r="A18" s="8" t="s">
        <v>280</v>
      </c>
      <c r="B18" s="14">
        <f ca="1">IFERROR(__xludf.DUMMYFUNCTION("SPLIT(A18,"" "")"),17)</f>
        <v>17</v>
      </c>
      <c r="C18" s="14">
        <f ca="1">IFERROR(__xludf.DUMMYFUNCTION("""COMPUTED_VALUE"""),0)</f>
        <v>0</v>
      </c>
      <c r="D18" s="14">
        <f ca="1">IFERROR(__xludf.DUMMYFUNCTION("""COMPUTED_VALUE"""),0.02)</f>
        <v>0.02</v>
      </c>
      <c r="E18" s="14">
        <f ca="1">IFERROR(__xludf.DUMMYFUNCTION("""COMPUTED_VALUE"""),0)</f>
        <v>0</v>
      </c>
      <c r="F18" s="14">
        <f ca="1">IFERROR(__xludf.DUMMYFUNCTION("""COMPUTED_VALUE"""),0.02)</f>
        <v>0.02</v>
      </c>
      <c r="G18" s="14">
        <f ca="1">IFERROR(__xludf.DUMMYFUNCTION("""COMPUTED_VALUE"""),0.05)</f>
        <v>0.05</v>
      </c>
      <c r="H18" s="14">
        <f ca="1">IFERROR(__xludf.DUMMYFUNCTION("""COMPUTED_VALUE"""),0.17)</f>
        <v>0.17</v>
      </c>
      <c r="I18" s="14">
        <f ca="1">IFERROR(__xludf.DUMMYFUNCTION("""COMPUTED_VALUE"""),0.24)</f>
        <v>0.24</v>
      </c>
      <c r="J18" s="14">
        <f ca="1">IFERROR(__xludf.DUMMYFUNCTION("""COMPUTED_VALUE"""),0.4)</f>
        <v>0.4</v>
      </c>
      <c r="K18" s="14">
        <f ca="1">IFERROR(__xludf.DUMMYFUNCTION("""COMPUTED_VALUE"""),0.54)</f>
        <v>0.54</v>
      </c>
      <c r="L18" s="14">
        <f ca="1">IFERROR(__xludf.DUMMYFUNCTION("""COMPUTED_VALUE"""),0.56)</f>
        <v>0.56000000000000005</v>
      </c>
      <c r="M18" s="14">
        <f ca="1">IFERROR(__xludf.DUMMYFUNCTION("""COMPUTED_VALUE"""),0.66)</f>
        <v>0.66</v>
      </c>
      <c r="N18" s="14">
        <f ca="1">IFERROR(__xludf.DUMMYFUNCTION("""COMPUTED_VALUE"""),0.68)</f>
        <v>0.68</v>
      </c>
    </row>
    <row r="19" spans="1:14" ht="15.75" customHeight="1">
      <c r="A19" s="8" t="s">
        <v>281</v>
      </c>
      <c r="B19" s="14">
        <f ca="1">IFERROR(__xludf.DUMMYFUNCTION("SPLIT(A19,"" "")"),18)</f>
        <v>18</v>
      </c>
      <c r="C19" s="14">
        <f ca="1">IFERROR(__xludf.DUMMYFUNCTION("""COMPUTED_VALUE"""),0.01)</f>
        <v>0.01</v>
      </c>
      <c r="D19" s="14">
        <f ca="1">IFERROR(__xludf.DUMMYFUNCTION("""COMPUTED_VALUE"""),0.06)</f>
        <v>0.06</v>
      </c>
      <c r="E19" s="14">
        <f ca="1">IFERROR(__xludf.DUMMYFUNCTION("""COMPUTED_VALUE"""),0.01)</f>
        <v>0.01</v>
      </c>
      <c r="F19" s="14">
        <f ca="1">IFERROR(__xludf.DUMMYFUNCTION("""COMPUTED_VALUE"""),0.07)</f>
        <v>7.0000000000000007E-2</v>
      </c>
      <c r="G19" s="14">
        <f ca="1">IFERROR(__xludf.DUMMYFUNCTION("""COMPUTED_VALUE"""),0.11)</f>
        <v>0.11</v>
      </c>
      <c r="H19" s="14">
        <f ca="1">IFERROR(__xludf.DUMMYFUNCTION("""COMPUTED_VALUE"""),0.27)</f>
        <v>0.27</v>
      </c>
      <c r="I19" s="14">
        <f ca="1">IFERROR(__xludf.DUMMYFUNCTION("""COMPUTED_VALUE"""),0.34)</f>
        <v>0.34</v>
      </c>
      <c r="J19" s="14">
        <f ca="1">IFERROR(__xludf.DUMMYFUNCTION("""COMPUTED_VALUE"""),0.5)</f>
        <v>0.5</v>
      </c>
      <c r="K19" s="14">
        <f ca="1">IFERROR(__xludf.DUMMYFUNCTION("""COMPUTED_VALUE"""),0.63)</f>
        <v>0.63</v>
      </c>
      <c r="L19" s="14">
        <f ca="1">IFERROR(__xludf.DUMMYFUNCTION("""COMPUTED_VALUE"""),0.65)</f>
        <v>0.65</v>
      </c>
      <c r="M19" s="14">
        <f ca="1">IFERROR(__xludf.DUMMYFUNCTION("""COMPUTED_VALUE"""),0.75)</f>
        <v>0.75</v>
      </c>
      <c r="N19" s="14">
        <f ca="1">IFERROR(__xludf.DUMMYFUNCTION("""COMPUTED_VALUE"""),0.77)</f>
        <v>0.77</v>
      </c>
    </row>
    <row r="20" spans="1:14" ht="15.75" customHeight="1">
      <c r="A20" s="8" t="s">
        <v>282</v>
      </c>
      <c r="B20" s="14">
        <f ca="1">IFERROR(__xludf.DUMMYFUNCTION("SPLIT(A20,"" "")"),19)</f>
        <v>19</v>
      </c>
      <c r="C20" s="14">
        <f ca="1">IFERROR(__xludf.DUMMYFUNCTION("""COMPUTED_VALUE"""),0.05)</f>
        <v>0.05</v>
      </c>
      <c r="D20" s="14">
        <f ca="1">IFERROR(__xludf.DUMMYFUNCTION("""COMPUTED_VALUE"""),0.12)</f>
        <v>0.12</v>
      </c>
      <c r="E20" s="14">
        <f ca="1">IFERROR(__xludf.DUMMYFUNCTION("""COMPUTED_VALUE"""),0.04)</f>
        <v>0.04</v>
      </c>
      <c r="F20" s="14">
        <f ca="1">IFERROR(__xludf.DUMMYFUNCTION("""COMPUTED_VALUE"""),0.13)</f>
        <v>0.13</v>
      </c>
      <c r="G20" s="14">
        <f ca="1">IFERROR(__xludf.DUMMYFUNCTION("""COMPUTED_VALUE"""),0.2)</f>
        <v>0.2</v>
      </c>
      <c r="H20" s="14">
        <f ca="1">IFERROR(__xludf.DUMMYFUNCTION("""COMPUTED_VALUE"""),0.38)</f>
        <v>0.38</v>
      </c>
      <c r="I20" s="14">
        <f ca="1">IFERROR(__xludf.DUMMYFUNCTION("""COMPUTED_VALUE"""),0.45)</f>
        <v>0.45</v>
      </c>
      <c r="J20" s="14">
        <f ca="1">IFERROR(__xludf.DUMMYFUNCTION("""COMPUTED_VALUE"""),0.6)</f>
        <v>0.6</v>
      </c>
      <c r="K20" s="14">
        <f ca="1">IFERROR(__xludf.DUMMYFUNCTION("""COMPUTED_VALUE"""),0.72)</f>
        <v>0.72</v>
      </c>
      <c r="L20" s="14">
        <f ca="1">IFERROR(__xludf.DUMMYFUNCTION("""COMPUTED_VALUE"""),0.74)</f>
        <v>0.74</v>
      </c>
      <c r="M20" s="14">
        <f ca="1">IFERROR(__xludf.DUMMYFUNCTION("""COMPUTED_VALUE"""),0.83)</f>
        <v>0.83</v>
      </c>
      <c r="N20" s="14">
        <f ca="1">IFERROR(__xludf.DUMMYFUNCTION("""COMPUTED_VALUE"""),0.85)</f>
        <v>0.85</v>
      </c>
    </row>
    <row r="21" spans="1:14" ht="15.75" customHeight="1">
      <c r="A21" s="8" t="s">
        <v>283</v>
      </c>
      <c r="B21" s="14">
        <f ca="1">IFERROR(__xludf.DUMMYFUNCTION("SPLIT(A21,"" "")"),20)</f>
        <v>20</v>
      </c>
      <c r="C21" s="14">
        <f ca="1">IFERROR(__xludf.DUMMYFUNCTION("""COMPUTED_VALUE"""),0.09)</f>
        <v>0.09</v>
      </c>
      <c r="D21" s="14">
        <f ca="1">IFERROR(__xludf.DUMMYFUNCTION("""COMPUTED_VALUE"""),0.2)</f>
        <v>0.2</v>
      </c>
      <c r="E21" s="14">
        <f ca="1">IFERROR(__xludf.DUMMYFUNCTION("""COMPUTED_VALUE"""),0.09)</f>
        <v>0.09</v>
      </c>
      <c r="F21" s="14">
        <f ca="1">IFERROR(__xludf.DUMMYFUNCTION("""COMPUTED_VALUE"""),0.22)</f>
        <v>0.22</v>
      </c>
      <c r="G21" s="14">
        <f ca="1">IFERROR(__xludf.DUMMYFUNCTION("""COMPUTED_VALUE"""),0.3)</f>
        <v>0.3</v>
      </c>
      <c r="H21" s="14">
        <f ca="1">IFERROR(__xludf.DUMMYFUNCTION("""COMPUTED_VALUE"""),0.49)</f>
        <v>0.49</v>
      </c>
      <c r="I21" s="14">
        <f ca="1">IFERROR(__xludf.DUMMYFUNCTION("""COMPUTED_VALUE"""),0.55)</f>
        <v>0.55000000000000004</v>
      </c>
      <c r="J21" s="14">
        <f ca="1">IFERROR(__xludf.DUMMYFUNCTION("""COMPUTED_VALUE"""),0.69)</f>
        <v>0.69</v>
      </c>
      <c r="K21" s="14">
        <f ca="1">IFERROR(__xludf.DUMMYFUNCTION("""COMPUTED_VALUE"""),0.8)</f>
        <v>0.8</v>
      </c>
      <c r="L21" s="14">
        <f ca="1">IFERROR(__xludf.DUMMYFUNCTION("""COMPUTED_VALUE"""),0.81)</f>
        <v>0.81</v>
      </c>
      <c r="M21" s="14">
        <f ca="1">IFERROR(__xludf.DUMMYFUNCTION("""COMPUTED_VALUE"""),0.9)</f>
        <v>0.9</v>
      </c>
      <c r="N21" s="14">
        <f ca="1">IFERROR(__xludf.DUMMYFUNCTION("""COMPUTED_VALUE"""),0.92)</f>
        <v>0.92</v>
      </c>
    </row>
    <row r="22" spans="1:14" ht="15.75" customHeight="1">
      <c r="A22" s="8" t="s">
        <v>284</v>
      </c>
      <c r="B22" s="14">
        <f ca="1">IFERROR(__xludf.DUMMYFUNCTION("SPLIT(A22,"" "")"),21)</f>
        <v>21</v>
      </c>
      <c r="C22" s="14">
        <f ca="1">IFERROR(__xludf.DUMMYFUNCTION("""COMPUTED_VALUE"""),0.16)</f>
        <v>0.16</v>
      </c>
      <c r="D22" s="14">
        <f ca="1">IFERROR(__xludf.DUMMYFUNCTION("""COMPUTED_VALUE"""),0.29)</f>
        <v>0.28999999999999998</v>
      </c>
      <c r="E22" s="14">
        <f ca="1">IFERROR(__xludf.DUMMYFUNCTION("""COMPUTED_VALUE"""),0.16)</f>
        <v>0.16</v>
      </c>
      <c r="F22" s="14">
        <f ca="1">IFERROR(__xludf.DUMMYFUNCTION("""COMPUTED_VALUE"""),0.32)</f>
        <v>0.32</v>
      </c>
      <c r="G22" s="14">
        <f ca="1">IFERROR(__xludf.DUMMYFUNCTION("""COMPUTED_VALUE"""),0.41)</f>
        <v>0.41</v>
      </c>
      <c r="H22" s="14">
        <f ca="1">IFERROR(__xludf.DUMMYFUNCTION("""COMPUTED_VALUE"""),0.6)</f>
        <v>0.6</v>
      </c>
      <c r="I22" s="14">
        <f ca="1">IFERROR(__xludf.DUMMYFUNCTION("""COMPUTED_VALUE"""),0.65)</f>
        <v>0.65</v>
      </c>
      <c r="J22" s="14">
        <f ca="1">IFERROR(__xludf.DUMMYFUNCTION("""COMPUTED_VALUE"""),0.78)</f>
        <v>0.78</v>
      </c>
      <c r="K22" s="14">
        <f ca="1">IFERROR(__xludf.DUMMYFUNCTION("""COMPUTED_VALUE"""),0.87)</f>
        <v>0.87</v>
      </c>
      <c r="L22" s="14">
        <f ca="1">IFERROR(__xludf.DUMMYFUNCTION("""COMPUTED_VALUE"""),0.88)</f>
        <v>0.88</v>
      </c>
      <c r="M22" s="14">
        <f ca="1">IFERROR(__xludf.DUMMYFUNCTION("""COMPUTED_VALUE"""),0.95)</f>
        <v>0.95</v>
      </c>
      <c r="N22" s="14">
        <f ca="1">IFERROR(__xludf.DUMMYFUNCTION("""COMPUTED_VALUE"""),0.97)</f>
        <v>0.97</v>
      </c>
    </row>
    <row r="23" spans="1:14" ht="15.75" customHeight="1">
      <c r="A23" s="8" t="s">
        <v>285</v>
      </c>
      <c r="B23" s="14">
        <f ca="1">IFERROR(__xludf.DUMMYFUNCTION("SPLIT(A23,"" "")"),22)</f>
        <v>22</v>
      </c>
      <c r="C23" s="14">
        <f ca="1">IFERROR(__xludf.DUMMYFUNCTION("""COMPUTED_VALUE"""),0.24)</f>
        <v>0.24</v>
      </c>
      <c r="D23" s="14">
        <f ca="1">IFERROR(__xludf.DUMMYFUNCTION("""COMPUTED_VALUE"""),0.39)</f>
        <v>0.39</v>
      </c>
      <c r="E23" s="14">
        <f ca="1">IFERROR(__xludf.DUMMYFUNCTION("""COMPUTED_VALUE"""),0.25)</f>
        <v>0.25</v>
      </c>
      <c r="F23" s="14">
        <f ca="1">IFERROR(__xludf.DUMMYFUNCTION("""COMPUTED_VALUE"""),0.44)</f>
        <v>0.44</v>
      </c>
      <c r="G23" s="14">
        <f ca="1">IFERROR(__xludf.DUMMYFUNCTION("""COMPUTED_VALUE"""),0.52)</f>
        <v>0.52</v>
      </c>
      <c r="H23" s="14">
        <f ca="1">IFERROR(__xludf.DUMMYFUNCTION("""COMPUTED_VALUE"""),0.7)</f>
        <v>0.7</v>
      </c>
      <c r="I23" s="14">
        <f ca="1">IFERROR(__xludf.DUMMYFUNCTION("""COMPUTED_VALUE"""),0.75)</f>
        <v>0.75</v>
      </c>
      <c r="J23" s="14">
        <f ca="1">IFERROR(__xludf.DUMMYFUNCTION("""COMPUTED_VALUE"""),0.85)</f>
        <v>0.85</v>
      </c>
      <c r="K23" s="14">
        <f ca="1">IFERROR(__xludf.DUMMYFUNCTION("""COMPUTED_VALUE"""),0.93)</f>
        <v>0.93</v>
      </c>
      <c r="L23" s="14">
        <f ca="1">IFERROR(__xludf.DUMMYFUNCTION("""COMPUTED_VALUE"""),0.94)</f>
        <v>0.94</v>
      </c>
      <c r="M23" s="14">
        <f ca="1">IFERROR(__xludf.DUMMYFUNCTION("""COMPUTED_VALUE"""),0.99)</f>
        <v>0.99</v>
      </c>
      <c r="N23" s="14">
        <f ca="1">IFERROR(__xludf.DUMMYFUNCTION("""COMPUTED_VALUE"""),1)</f>
        <v>1</v>
      </c>
    </row>
    <row r="24" spans="1:14" ht="15.75" customHeight="1">
      <c r="A24" s="8" t="s">
        <v>286</v>
      </c>
      <c r="B24" s="14">
        <f ca="1">IFERROR(__xludf.DUMMYFUNCTION("SPLIT(A24,"" "")"),23)</f>
        <v>23</v>
      </c>
      <c r="C24" s="14">
        <f ca="1">IFERROR(__xludf.DUMMYFUNCTION("""COMPUTED_VALUE"""),0.33)</f>
        <v>0.33</v>
      </c>
      <c r="D24" s="14">
        <f ca="1">IFERROR(__xludf.DUMMYFUNCTION("""COMPUTED_VALUE"""),0.5)</f>
        <v>0.5</v>
      </c>
      <c r="E24" s="14">
        <f ca="1">IFERROR(__xludf.DUMMYFUNCTION("""COMPUTED_VALUE"""),0.35)</f>
        <v>0.35</v>
      </c>
      <c r="F24" s="14">
        <f ca="1">IFERROR(__xludf.DUMMYFUNCTION("""COMPUTED_VALUE"""),0.55)</f>
        <v>0.55000000000000004</v>
      </c>
      <c r="G24" s="14">
        <f ca="1">IFERROR(__xludf.DUMMYFUNCTION("""COMPUTED_VALUE"""),0.63)</f>
        <v>0.63</v>
      </c>
      <c r="H24" s="14">
        <f ca="1">IFERROR(__xludf.DUMMYFUNCTION("""COMPUTED_VALUE"""),0.79)</f>
        <v>0.79</v>
      </c>
      <c r="I24" s="14">
        <f ca="1">IFERROR(__xludf.DUMMYFUNCTION("""COMPUTED_VALUE"""),0.83)</f>
        <v>0.83</v>
      </c>
      <c r="J24" s="14">
        <f ca="1">IFERROR(__xludf.DUMMYFUNCTION("""COMPUTED_VALUE"""),0.91)</f>
        <v>0.91</v>
      </c>
      <c r="K24" s="14">
        <f ca="1">IFERROR(__xludf.DUMMYFUNCTION("""COMPUTED_VALUE"""),0.97)</f>
        <v>0.97</v>
      </c>
      <c r="L24" s="14">
        <f ca="1">IFERROR(__xludf.DUMMYFUNCTION("""COMPUTED_VALUE"""),0.98)</f>
        <v>0.98</v>
      </c>
      <c r="M24" s="14">
        <f ca="1">IFERROR(__xludf.DUMMYFUNCTION("""COMPUTED_VALUE"""),1)</f>
        <v>1</v>
      </c>
      <c r="N24" s="14">
        <f ca="1">IFERROR(__xludf.DUMMYFUNCTION("""COMPUTED_VALUE"""),0.99)</f>
        <v>0.99</v>
      </c>
    </row>
    <row r="25" spans="1:14" ht="15.75" customHeight="1">
      <c r="A25" s="8" t="s">
        <v>287</v>
      </c>
      <c r="B25" s="14">
        <f ca="1">IFERROR(__xludf.DUMMYFUNCTION("SPLIT(A25,"" "")"),24)</f>
        <v>24</v>
      </c>
      <c r="C25" s="14">
        <f ca="1">IFERROR(__xludf.DUMMYFUNCTION("""COMPUTED_VALUE"""),0.44)</f>
        <v>0.44</v>
      </c>
      <c r="D25" s="14">
        <f ca="1">IFERROR(__xludf.DUMMYFUNCTION("""COMPUTED_VALUE"""),0.61)</f>
        <v>0.61</v>
      </c>
      <c r="E25" s="14">
        <f ca="1">IFERROR(__xludf.DUMMYFUNCTION("""COMPUTED_VALUE"""),0.47)</f>
        <v>0.47</v>
      </c>
      <c r="F25" s="14">
        <f ca="1">IFERROR(__xludf.DUMMYFUNCTION("""COMPUTED_VALUE"""),0.66)</f>
        <v>0.66</v>
      </c>
      <c r="G25" s="14">
        <f ca="1">IFERROR(__xludf.DUMMYFUNCTION("""COMPUTED_VALUE"""),0.73)</f>
        <v>0.73</v>
      </c>
      <c r="H25" s="14">
        <f ca="1">IFERROR(__xludf.DUMMYFUNCTION("""COMPUTED_VALUE"""),0.86)</f>
        <v>0.86</v>
      </c>
      <c r="I25" s="14">
        <f ca="1">IFERROR(__xludf.DUMMYFUNCTION("""COMPUTED_VALUE"""),0.89)</f>
        <v>0.89</v>
      </c>
      <c r="J25" s="14">
        <f ca="1">IFERROR(__xludf.DUMMYFUNCTION("""COMPUTED_VALUE"""),0.96)</f>
        <v>0.96</v>
      </c>
      <c r="K25" s="14">
        <f ca="1">IFERROR(__xludf.DUMMYFUNCTION("""COMPUTED_VALUE"""),0.99)</f>
        <v>0.99</v>
      </c>
      <c r="L25" s="14">
        <f ca="1">IFERROR(__xludf.DUMMYFUNCTION("""COMPUTED_VALUE"""),1)</f>
        <v>1</v>
      </c>
      <c r="M25" s="14">
        <f ca="1">IFERROR(__xludf.DUMMYFUNCTION("""COMPUTED_VALUE"""),0.98)</f>
        <v>0.98</v>
      </c>
      <c r="N25" s="14">
        <f ca="1">IFERROR(__xludf.DUMMYFUNCTION("""COMPUTED_VALUE"""),0.96)</f>
        <v>0.96</v>
      </c>
    </row>
    <row r="26" spans="1:14" ht="15.75" customHeight="1">
      <c r="A26" s="8" t="s">
        <v>288</v>
      </c>
      <c r="B26" s="14">
        <f ca="1">IFERROR(__xludf.DUMMYFUNCTION("SPLIT(A26,"" "")"),25)</f>
        <v>25</v>
      </c>
      <c r="C26" s="14">
        <f ca="1">IFERROR(__xludf.DUMMYFUNCTION("""COMPUTED_VALUE"""),0.55)</f>
        <v>0.55000000000000004</v>
      </c>
      <c r="D26" s="14">
        <f ca="1">IFERROR(__xludf.DUMMYFUNCTION("""COMPUTED_VALUE"""),0.72)</f>
        <v>0.72</v>
      </c>
      <c r="E26" s="14">
        <f ca="1">IFERROR(__xludf.DUMMYFUNCTION("""COMPUTED_VALUE"""),0.58)</f>
        <v>0.57999999999999996</v>
      </c>
      <c r="F26" s="14">
        <f ca="1">IFERROR(__xludf.DUMMYFUNCTION("""COMPUTED_VALUE"""),0.76)</f>
        <v>0.76</v>
      </c>
      <c r="G26" s="14">
        <f ca="1">IFERROR(__xludf.DUMMYFUNCTION("""COMPUTED_VALUE"""),0.82)</f>
        <v>0.82</v>
      </c>
      <c r="H26" s="14">
        <f ca="1">IFERROR(__xludf.DUMMYFUNCTION("""COMPUTED_VALUE"""),0.92)</f>
        <v>0.92</v>
      </c>
      <c r="I26" s="14">
        <f ca="1">IFERROR(__xludf.DUMMYFUNCTION("""COMPUTED_VALUE"""),0.94)</f>
        <v>0.94</v>
      </c>
      <c r="J26" s="14">
        <f ca="1">IFERROR(__xludf.DUMMYFUNCTION("""COMPUTED_VALUE"""),0.99)</f>
        <v>0.99</v>
      </c>
      <c r="K26" s="14">
        <f ca="1">IFERROR(__xludf.DUMMYFUNCTION("""COMPUTED_VALUE"""),1)</f>
        <v>1</v>
      </c>
      <c r="L26" s="14">
        <f ca="1">IFERROR(__xludf.DUMMYFUNCTION("""COMPUTED_VALUE"""),0.99)</f>
        <v>0.99</v>
      </c>
      <c r="M26" s="14">
        <f ca="1">IFERROR(__xludf.DUMMYFUNCTION("""COMPUTED_VALUE"""),0.94)</f>
        <v>0.94</v>
      </c>
      <c r="N26" s="14">
        <f ca="1">IFERROR(__xludf.DUMMYFUNCTION("""COMPUTED_VALUE"""),0.91)</f>
        <v>0.91</v>
      </c>
    </row>
    <row r="27" spans="1:14" ht="15.75" customHeight="1">
      <c r="A27" s="8" t="s">
        <v>289</v>
      </c>
      <c r="B27" s="14">
        <f ca="1">IFERROR(__xludf.DUMMYFUNCTION("SPLIT(A27,"" "")"),26)</f>
        <v>26</v>
      </c>
      <c r="C27" s="14">
        <f ca="1">IFERROR(__xludf.DUMMYFUNCTION("""COMPUTED_VALUE"""),0.65)</f>
        <v>0.65</v>
      </c>
      <c r="D27" s="14">
        <f ca="1">IFERROR(__xludf.DUMMYFUNCTION("""COMPUTED_VALUE"""),0.82)</f>
        <v>0.82</v>
      </c>
      <c r="E27" s="14">
        <f ca="1">IFERROR(__xludf.DUMMYFUNCTION("""COMPUTED_VALUE"""),0.69)</f>
        <v>0.69</v>
      </c>
      <c r="F27" s="14">
        <f ca="1">IFERROR(__xludf.DUMMYFUNCTION("""COMPUTED_VALUE"""),0.85)</f>
        <v>0.85</v>
      </c>
      <c r="G27" s="14">
        <f ca="1">IFERROR(__xludf.DUMMYFUNCTION("""COMPUTED_VALUE"""),0.89)</f>
        <v>0.89</v>
      </c>
      <c r="H27" s="14">
        <f ca="1">IFERROR(__xludf.DUMMYFUNCTION("""COMPUTED_VALUE"""),0.97)</f>
        <v>0.97</v>
      </c>
      <c r="I27" s="14">
        <f ca="1">IFERROR(__xludf.DUMMYFUNCTION("""COMPUTED_VALUE"""),0.98)</f>
        <v>0.98</v>
      </c>
      <c r="J27" s="14">
        <f ca="1">IFERROR(__xludf.DUMMYFUNCTION("""COMPUTED_VALUE"""),1)</f>
        <v>1</v>
      </c>
      <c r="K27" s="14">
        <f ca="1">IFERROR(__xludf.DUMMYFUNCTION("""COMPUTED_VALUE"""),0.98)</f>
        <v>0.98</v>
      </c>
      <c r="L27" s="14">
        <f ca="1">IFERROR(__xludf.DUMMYFUNCTION("""COMPUTED_VALUE"""),0.97)</f>
        <v>0.97</v>
      </c>
      <c r="M27" s="14">
        <f ca="1">IFERROR(__xludf.DUMMYFUNCTION("""COMPUTED_VALUE"""),0.88)</f>
        <v>0.88</v>
      </c>
      <c r="N27" s="14">
        <f ca="1">IFERROR(__xludf.DUMMYFUNCTION("""COMPUTED_VALUE"""),0.82)</f>
        <v>0.82</v>
      </c>
    </row>
    <row r="28" spans="1:14" ht="15.75" customHeight="1">
      <c r="A28" s="8" t="s">
        <v>290</v>
      </c>
      <c r="B28" s="14">
        <f ca="1">IFERROR(__xludf.DUMMYFUNCTION("SPLIT(A28,"" "")"),27)</f>
        <v>27</v>
      </c>
      <c r="C28" s="14">
        <f ca="1">IFERROR(__xludf.DUMMYFUNCTION("""COMPUTED_VALUE"""),0.76)</f>
        <v>0.76</v>
      </c>
      <c r="D28" s="14">
        <f ca="1">IFERROR(__xludf.DUMMYFUNCTION("""COMPUTED_VALUE"""),0.9)</f>
        <v>0.9</v>
      </c>
      <c r="E28" s="14">
        <f ca="1">IFERROR(__xludf.DUMMYFUNCTION("""COMPUTED_VALUE"""),0.79)</f>
        <v>0.79</v>
      </c>
      <c r="F28" s="14">
        <f ca="1">IFERROR(__xludf.DUMMYFUNCTION("""COMPUTED_VALUE"""),0.92)</f>
        <v>0.92</v>
      </c>
      <c r="G28" s="14">
        <f ca="1">IFERROR(__xludf.DUMMYFUNCTION("""COMPUTED_VALUE"""),0.95)</f>
        <v>0.95</v>
      </c>
      <c r="H28" s="14">
        <f ca="1">IFERROR(__xludf.DUMMYFUNCTION("""COMPUTED_VALUE"""),0.99)</f>
        <v>0.99</v>
      </c>
      <c r="I28" s="14">
        <f ca="1">IFERROR(__xludf.DUMMYFUNCTION("""COMPUTED_VALUE"""),1)</f>
        <v>1</v>
      </c>
      <c r="J28" s="14">
        <f ca="1">IFERROR(__xludf.DUMMYFUNCTION("""COMPUTED_VALUE"""),0.99)</f>
        <v>0.99</v>
      </c>
      <c r="K28" s="14">
        <f ca="1">IFERROR(__xludf.DUMMYFUNCTION("""COMPUTED_VALUE"""),0.95)</f>
        <v>0.95</v>
      </c>
      <c r="L28" s="14">
        <f ca="1">IFERROR(__xludf.DUMMYFUNCTION("""COMPUTED_VALUE"""),0.92)</f>
        <v>0.92</v>
      </c>
      <c r="M28" s="14">
        <f ca="1">IFERROR(__xludf.DUMMYFUNCTION("""COMPUTED_VALUE"""),0.79)</f>
        <v>0.79</v>
      </c>
      <c r="N28" s="14">
        <f ca="1">IFERROR(__xludf.DUMMYFUNCTION("""COMPUTED_VALUE"""),0.73)</f>
        <v>0.73</v>
      </c>
    </row>
    <row r="29" spans="1:14" ht="15.75" customHeight="1">
      <c r="A29" s="8" t="s">
        <v>291</v>
      </c>
      <c r="B29" s="14">
        <f ca="1">IFERROR(__xludf.DUMMYFUNCTION("SPLIT(A29,"" "")"),28)</f>
        <v>28</v>
      </c>
      <c r="C29" s="14">
        <f ca="1">IFERROR(__xludf.DUMMYFUNCTION("""COMPUTED_VALUE"""),0.85)</f>
        <v>0.85</v>
      </c>
      <c r="D29" s="14">
        <f ca="1">IFERROR(__xludf.DUMMYFUNCTION("""COMPUTED_VALUE"""),0.96)</f>
        <v>0.96</v>
      </c>
      <c r="E29" s="14">
        <f ca="1">IFERROR(__xludf.DUMMYFUNCTION("""COMPUTED_VALUE"""),0.88)</f>
        <v>0.88</v>
      </c>
      <c r="F29" s="14">
        <f ca="1">IFERROR(__xludf.DUMMYFUNCTION("""COMPUTED_VALUE"""),0.97)</f>
        <v>0.97</v>
      </c>
      <c r="G29" s="14">
        <f ca="1">IFERROR(__xludf.DUMMYFUNCTION("""COMPUTED_VALUE"""),0.98)</f>
        <v>0.98</v>
      </c>
      <c r="H29" s="14">
        <f ca="1">IFERROR(__xludf.DUMMYFUNCTION("""COMPUTED_VALUE"""),1)</f>
        <v>1</v>
      </c>
      <c r="I29" s="14">
        <f ca="1">IFERROR(__xludf.DUMMYFUNCTION("""COMPUTED_VALUE"""),1)</f>
        <v>1</v>
      </c>
      <c r="J29" s="14">
        <f ca="1">IFERROR(__xludf.DUMMYFUNCTION("""COMPUTED_VALUE"""),0.97)</f>
        <v>0.97</v>
      </c>
      <c r="K29" s="14">
        <f ca="1">IFERROR(__xludf.DUMMYFUNCTION("""COMPUTED_VALUE"""),0.89)</f>
        <v>0.89</v>
      </c>
      <c r="L29" s="14">
        <f ca="1">IFERROR(__xludf.DUMMYFUNCTION("""COMPUTED_VALUE"""),0.85)</f>
        <v>0.85</v>
      </c>
      <c r="M29" s="14">
        <f ca="1">IFERROR(__xludf.DUMMYFUNCTION("""COMPUTED_VALUE"""),0.69)</f>
        <v>0.69</v>
      </c>
      <c r="N29" s="14">
        <f ca="1">IFERROR(__xludf.DUMMYFUNCTION("""COMPUTED_VALUE"""),0.62)</f>
        <v>0.62</v>
      </c>
    </row>
    <row r="30" spans="1:14" ht="15.75" customHeight="1">
      <c r="A30" s="8" t="s">
        <v>292</v>
      </c>
      <c r="B30" s="14">
        <f ca="1">IFERROR(__xludf.DUMMYFUNCTION("SPLIT(A30,"" "")"),29)</f>
        <v>29</v>
      </c>
      <c r="C30" s="14">
        <f ca="1">IFERROR(__xludf.DUMMYFUNCTION("""COMPUTED_VALUE"""),0.93)</f>
        <v>0.93</v>
      </c>
      <c r="D30" s="14" t="str">
        <f ca="1">IFERROR(__xludf.DUMMYFUNCTION("""COMPUTED_VALUE"""),"x")</f>
        <v>x</v>
      </c>
      <c r="E30" s="14">
        <f ca="1">IFERROR(__xludf.DUMMYFUNCTION("""COMPUTED_VALUE"""),0.94)</f>
        <v>0.94</v>
      </c>
      <c r="F30" s="14">
        <f ca="1">IFERROR(__xludf.DUMMYFUNCTION("""COMPUTED_VALUE"""),0.99)</f>
        <v>0.99</v>
      </c>
      <c r="G30" s="14">
        <f ca="1">IFERROR(__xludf.DUMMYFUNCTION("""COMPUTED_VALUE"""),1)</f>
        <v>1</v>
      </c>
      <c r="H30" s="14">
        <f ca="1">IFERROR(__xludf.DUMMYFUNCTION("""COMPUTED_VALUE"""),0.99)</f>
        <v>0.99</v>
      </c>
      <c r="I30" s="14">
        <f ca="1">IFERROR(__xludf.DUMMYFUNCTION("""COMPUTED_VALUE"""),0.98)</f>
        <v>0.98</v>
      </c>
      <c r="J30" s="14">
        <f ca="1">IFERROR(__xludf.DUMMYFUNCTION("""COMPUTED_VALUE"""),0.92)</f>
        <v>0.92</v>
      </c>
      <c r="K30" s="14">
        <f ca="1">IFERROR(__xludf.DUMMYFUNCTION("""COMPUTED_VALUE"""),0.82)</f>
        <v>0.82</v>
      </c>
      <c r="L30" s="14">
        <f ca="1">IFERROR(__xludf.DUMMYFUNCTION("""COMPUTED_VALUE"""),0.76)</f>
        <v>0.76</v>
      </c>
      <c r="M30" s="14">
        <f ca="1">IFERROR(__xludf.DUMMYFUNCTION("""COMPUTED_VALUE"""),0.58)</f>
        <v>0.57999999999999996</v>
      </c>
      <c r="N30" s="14">
        <f ca="1">IFERROR(__xludf.DUMMYFUNCTION("""COMPUTED_VALUE"""),0.51)</f>
        <v>0.51</v>
      </c>
    </row>
    <row r="31" spans="1:14" ht="15.75" customHeight="1">
      <c r="A31" s="8" t="s">
        <v>293</v>
      </c>
      <c r="B31" s="14">
        <f ca="1">IFERROR(__xludf.DUMMYFUNCTION("SPLIT(A31,"" "")"),30)</f>
        <v>30</v>
      </c>
      <c r="C31" s="14">
        <f ca="1">IFERROR(__xludf.DUMMYFUNCTION("""COMPUTED_VALUE"""),0.98)</f>
        <v>0.98</v>
      </c>
      <c r="D31" s="14" t="str">
        <f ca="1">IFERROR(__xludf.DUMMYFUNCTION("""COMPUTED_VALUE"""),"x")</f>
        <v>x</v>
      </c>
      <c r="E31" s="14">
        <f ca="1">IFERROR(__xludf.DUMMYFUNCTION("""COMPUTED_VALUE"""),0.98)</f>
        <v>0.98</v>
      </c>
      <c r="F31" s="14">
        <f ca="1">IFERROR(__xludf.DUMMYFUNCTION("""COMPUTED_VALUE"""),1)</f>
        <v>1</v>
      </c>
      <c r="G31" s="14">
        <f ca="1">IFERROR(__xludf.DUMMYFUNCTION("""COMPUTED_VALUE"""),0.99)</f>
        <v>0.99</v>
      </c>
      <c r="H31" s="14">
        <f ca="1">IFERROR(__xludf.DUMMYFUNCTION("""COMPUTED_VALUE"""),0.96)</f>
        <v>0.96</v>
      </c>
      <c r="I31" s="14">
        <f ca="1">IFERROR(__xludf.DUMMYFUNCTION("""COMPUTED_VALUE"""),0.94)</f>
        <v>0.94</v>
      </c>
      <c r="J31" s="14">
        <f ca="1">IFERROR(__xludf.DUMMYFUNCTION("""COMPUTED_VALUE"""),0.86)</f>
        <v>0.86</v>
      </c>
      <c r="K31" s="14">
        <f ca="1">IFERROR(__xludf.DUMMYFUNCTION("""COMPUTED_VALUE"""),0.72)</f>
        <v>0.72</v>
      </c>
      <c r="L31" s="14">
        <f ca="1">IFERROR(__xludf.DUMMYFUNCTION("""COMPUTED_VALUE"""),0.65)</f>
        <v>0.65</v>
      </c>
      <c r="M31" s="14">
        <f ca="1">IFERROR(__xludf.DUMMYFUNCTION("""COMPUTED_VALUE"""),0.47)</f>
        <v>0.47</v>
      </c>
      <c r="N31" s="14">
        <f ca="1">IFERROR(__xludf.DUMMYFUNCTION("""COMPUTED_VALUE"""),0.4)</f>
        <v>0.4</v>
      </c>
    </row>
    <row r="32" spans="1:14" ht="15.75" customHeight="1">
      <c r="A32" s="8" t="s">
        <v>294</v>
      </c>
      <c r="B32" s="14">
        <f ca="1">IFERROR(__xludf.DUMMYFUNCTION("SPLIT(A32,"" "")"),31)</f>
        <v>31</v>
      </c>
      <c r="C32" s="14">
        <f ca="1">IFERROR(__xludf.DUMMYFUNCTION("""COMPUTED_VALUE"""),1)</f>
        <v>1</v>
      </c>
      <c r="D32" s="14" t="str">
        <f ca="1">IFERROR(__xludf.DUMMYFUNCTION("""COMPUTED_VALUE"""),"x")</f>
        <v>x</v>
      </c>
      <c r="E32" s="14">
        <f ca="1">IFERROR(__xludf.DUMMYFUNCTION("""COMPUTED_VALUE"""),1)</f>
        <v>1</v>
      </c>
      <c r="F32" s="14" t="str">
        <f ca="1">IFERROR(__xludf.DUMMYFUNCTION("""COMPUTED_VALUE"""),"x")</f>
        <v>x</v>
      </c>
      <c r="G32" s="14">
        <f ca="1">IFERROR(__xludf.DUMMYFUNCTION("""COMPUTED_VALUE"""),0.97)</f>
        <v>0.97</v>
      </c>
      <c r="H32" s="14" t="str">
        <f ca="1">IFERROR(__xludf.DUMMYFUNCTION("""COMPUTED_VALUE"""),"x")</f>
        <v>x</v>
      </c>
      <c r="I32" s="14">
        <f ca="1">IFERROR(__xludf.DUMMYFUNCTION("""COMPUTED_VALUE"""),0.89)</f>
        <v>0.89</v>
      </c>
      <c r="J32" s="14">
        <f ca="1">IFERROR(__xludf.DUMMYFUNCTION("""COMPUTED_VALUE"""),0.78)</f>
        <v>0.78</v>
      </c>
      <c r="K32" s="14" t="str">
        <f ca="1">IFERROR(__xludf.DUMMYFUNCTION("""COMPUTED_VALUE"""),"x")</f>
        <v>x</v>
      </c>
      <c r="L32" s="14">
        <f ca="1">IFERROR(__xludf.DUMMYFUNCTION("""COMPUTED_VALUE"""),0.54)</f>
        <v>0.54</v>
      </c>
      <c r="M32" s="14" t="str">
        <f ca="1">IFERROR(__xludf.DUMMYFUNCTION("""COMPUTED_VALUE"""),"x")</f>
        <v>x</v>
      </c>
      <c r="N32" s="14">
        <f ca="1">IFERROR(__xludf.DUMMYFUNCTION("""COMPUTED_VALUE"""),0.3)</f>
        <v>0.3</v>
      </c>
    </row>
    <row r="33" spans="2:14" ht="15.75" customHeight="1"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2:14" ht="15.75" customHeight="1"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2:14" ht="15.75" customHeight="1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2:14" ht="15.75" customHeight="1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2:14" ht="15.75" customHeight="1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2:14" ht="15.75" customHeight="1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2:14" ht="15.75" customHeight="1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2:14" ht="15.75" customHeight="1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2:14" ht="15.75" customHeight="1"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2:14" ht="15.75" customHeight="1"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2:14" ht="15.75" customHeight="1"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2:14" ht="15.75" customHeight="1"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2:14" ht="15.75" customHeight="1"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2:14" ht="15.75" customHeight="1"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2:14" ht="15.75" customHeight="1"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2:14" ht="15.75" customHeight="1"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2:14" ht="15.75" customHeight="1"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2:14" ht="15.75" customHeight="1"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2:14" ht="13"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2:14" ht="13"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2:14" ht="13"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2:14" ht="13"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2:14" ht="13"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2:14" ht="13"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2:14" ht="13"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2:14" ht="13"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2:14" ht="13"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2:14" ht="13"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2:14" ht="13"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2:14" ht="13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2:14" ht="13"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2:14" ht="13"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2:14" ht="13"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2:14" ht="13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2:14" ht="13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2:14" ht="13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2:14" ht="13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2:14" ht="13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2:14" ht="13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2:14" ht="13"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2:14" ht="13"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2:14" ht="13"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2:14" ht="13"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2:14" ht="13"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2:14" ht="13"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2:14" ht="13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2:14" ht="13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2:14" ht="13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2:14" ht="13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2:14" ht="13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2:14" ht="13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2:14" ht="13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2:14" ht="13"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2:14" ht="13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2:14" ht="13"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2:14" ht="13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2:14" ht="13"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2:14" ht="13"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2:14" ht="13"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2:14" ht="13"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2:14" ht="13"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2:14" ht="13"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2:14" ht="13"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2:14" ht="13"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2:14" ht="13"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2:14" ht="13"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2:14" ht="13"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2:14" ht="13"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  <row r="101" spans="2:14" ht="13"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</row>
    <row r="102" spans="2:14" ht="13"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</row>
    <row r="103" spans="2:14" ht="13"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</row>
    <row r="104" spans="2:14" ht="13"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 spans="2:14" ht="13"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2:14" ht="13"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2:14" ht="13"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2:14" ht="13"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2:14" ht="13"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2:14" ht="13"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2:14" ht="13"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2:14" ht="13"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2:14" ht="13"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2:14" ht="13"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2:14" ht="13"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2:14" ht="13"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2:14" ht="13"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2:14" ht="13"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2:14" ht="13"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2:14" ht="13"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2:14" ht="13"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2:14" ht="13"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2:14" ht="13"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2:14" ht="13"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2:14" ht="13"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2:14" ht="13"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2:14" ht="13"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2:14" ht="13"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2:14" ht="13"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2:14" ht="13"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2:14" ht="13"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2:14" ht="13"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2:14" ht="13"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2:14" ht="13"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2:14" ht="13"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2:14" ht="13"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</row>
    <row r="137" spans="2:14" ht="13"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</row>
    <row r="138" spans="2:14" ht="13"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 spans="2:14" ht="13"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 spans="2:14" ht="13"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</row>
    <row r="141" spans="2:14" ht="13"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2:14" ht="13"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 spans="2:14" ht="13"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</row>
    <row r="144" spans="2:14" ht="13"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</row>
    <row r="145" spans="2:14" ht="13"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</row>
    <row r="146" spans="2:14" ht="13"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 spans="2:14" ht="13"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 spans="2:14" ht="13"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 spans="2:14" ht="13"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</row>
    <row r="150" spans="2:14" ht="13"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</row>
    <row r="151" spans="2:14" ht="13"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</row>
    <row r="152" spans="2:14" ht="13"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</row>
    <row r="153" spans="2:14" ht="13"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</row>
    <row r="154" spans="2:14" ht="13"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</row>
    <row r="155" spans="2:14" ht="13"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</row>
    <row r="156" spans="2:14" ht="13"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</row>
    <row r="157" spans="2:14" ht="13"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</row>
    <row r="158" spans="2:14" ht="13"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</row>
    <row r="159" spans="2:14" ht="13"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</row>
    <row r="160" spans="2:14" ht="13"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</row>
    <row r="161" spans="2:14" ht="13"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 spans="2:14" ht="13"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2:14" ht="13"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</row>
    <row r="164" spans="2:14" ht="13"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</row>
    <row r="165" spans="2:14" ht="13"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2:14" ht="13"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 spans="2:14" ht="13"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2:14" ht="13"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2:14" ht="13"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 spans="2:14" ht="13"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</row>
    <row r="171" spans="2:14" ht="13"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</row>
    <row r="172" spans="2:14" ht="13"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</row>
    <row r="173" spans="2:14" ht="13"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</row>
    <row r="174" spans="2:14" ht="13"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 spans="2:14" ht="13"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2:14" ht="13"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 spans="2:14" ht="13"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</row>
    <row r="178" spans="2:14" ht="13"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2:14" ht="13"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2:14" ht="13"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2:14" ht="13"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2:14" ht="13"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</row>
    <row r="183" spans="2:14" ht="13"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</row>
    <row r="184" spans="2:14" ht="13"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</row>
    <row r="185" spans="2:14" ht="13"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</row>
    <row r="186" spans="2:14" ht="13"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</row>
    <row r="187" spans="2:14" ht="13"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</row>
    <row r="188" spans="2:14" ht="13"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</row>
    <row r="189" spans="2:14" ht="13"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</row>
    <row r="190" spans="2:14" ht="13"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</row>
    <row r="191" spans="2:14" ht="13"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</row>
    <row r="192" spans="2:14" ht="13"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</row>
    <row r="193" spans="2:14" ht="13"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</row>
    <row r="194" spans="2:14" ht="13"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</row>
    <row r="195" spans="2:14" ht="13"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</row>
    <row r="196" spans="2:14" ht="13"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</row>
    <row r="197" spans="2:14" ht="13"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</row>
    <row r="198" spans="2:14" ht="13"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</row>
    <row r="199" spans="2:14" ht="13"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</row>
    <row r="200" spans="2:14" ht="13"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</row>
    <row r="201" spans="2:14" ht="13"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</row>
    <row r="202" spans="2:14" ht="13"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</row>
    <row r="203" spans="2:14" ht="13"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</row>
    <row r="204" spans="2:14" ht="13"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</row>
    <row r="205" spans="2:14" ht="13"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</row>
    <row r="206" spans="2:14" ht="13"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</row>
    <row r="207" spans="2:14" ht="13"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</row>
    <row r="208" spans="2:14" ht="13"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 spans="2:14" ht="13"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</row>
    <row r="210" spans="2:14" ht="13"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</row>
    <row r="211" spans="2:14" ht="13"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</row>
    <row r="212" spans="2:14" ht="13"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</row>
    <row r="213" spans="2:14" ht="13"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</row>
    <row r="214" spans="2:14" ht="13"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</row>
    <row r="215" spans="2:14" ht="13"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</row>
    <row r="216" spans="2:14" ht="13"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</row>
    <row r="217" spans="2:14" ht="13"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</row>
    <row r="218" spans="2:14" ht="13"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</row>
    <row r="219" spans="2:14" ht="13"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 spans="2:14" ht="13"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 spans="2:14" ht="13"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</row>
    <row r="222" spans="2:14" ht="13"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</row>
    <row r="223" spans="2:14" ht="13"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</row>
    <row r="224" spans="2:14" ht="13"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</row>
    <row r="225" spans="2:14" ht="13"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</row>
    <row r="226" spans="2:14" ht="13"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</row>
    <row r="227" spans="2:14" ht="13"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</row>
    <row r="228" spans="2:14" ht="13"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</row>
    <row r="229" spans="2:14" ht="13"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</row>
    <row r="230" spans="2:14" ht="13"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</row>
    <row r="231" spans="2:14" ht="13"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</row>
    <row r="232" spans="2:14" ht="13"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</row>
    <row r="233" spans="2:14" ht="13"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</row>
    <row r="234" spans="2:14" ht="13"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</row>
    <row r="235" spans="2:14" ht="13"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</row>
    <row r="236" spans="2:14" ht="13"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</row>
    <row r="237" spans="2:14" ht="13"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</row>
    <row r="238" spans="2:14" ht="13"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</row>
    <row r="239" spans="2:14" ht="13"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</row>
    <row r="240" spans="2:14" ht="13"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</row>
    <row r="241" spans="2:14" ht="13"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</row>
    <row r="242" spans="2:14" ht="13"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</row>
    <row r="243" spans="2:14" ht="13"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</row>
    <row r="244" spans="2:14" ht="13"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</row>
    <row r="245" spans="2:14" ht="13"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</row>
    <row r="246" spans="2:14" ht="13"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</row>
    <row r="247" spans="2:14" ht="13"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</row>
    <row r="248" spans="2:14" ht="13"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</row>
    <row r="249" spans="2:14" ht="13"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</row>
    <row r="250" spans="2:14" ht="13"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</row>
    <row r="251" spans="2:14" ht="13"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</row>
    <row r="252" spans="2:14" ht="13"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</row>
    <row r="253" spans="2:14" ht="13"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</row>
    <row r="254" spans="2:14" ht="13"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</row>
    <row r="255" spans="2:14" ht="13"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</row>
    <row r="256" spans="2:14" ht="13"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</row>
    <row r="257" spans="2:14" ht="13"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</row>
    <row r="258" spans="2:14" ht="13"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</row>
    <row r="259" spans="2:14" ht="13"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</row>
    <row r="260" spans="2:14" ht="13"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</row>
    <row r="261" spans="2:14" ht="13"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</row>
    <row r="262" spans="2:14" ht="13"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</row>
    <row r="263" spans="2:14" ht="13"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</row>
    <row r="264" spans="2:14" ht="13"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</row>
    <row r="265" spans="2:14" ht="13"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</row>
    <row r="266" spans="2:14" ht="13"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</row>
    <row r="267" spans="2:14" ht="13"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</row>
    <row r="268" spans="2:14" ht="13"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</row>
    <row r="269" spans="2:14" ht="13"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</row>
    <row r="270" spans="2:14" ht="13"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</row>
    <row r="271" spans="2:14" ht="13"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</row>
    <row r="272" spans="2:14" ht="13"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</row>
    <row r="273" spans="2:14" ht="13"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</row>
    <row r="274" spans="2:14" ht="13"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</row>
    <row r="275" spans="2:14" ht="13"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</row>
    <row r="276" spans="2:14" ht="13"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</row>
    <row r="277" spans="2:14" ht="13"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</row>
    <row r="278" spans="2:14" ht="13"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</row>
    <row r="279" spans="2:14" ht="13"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</row>
    <row r="280" spans="2:14" ht="13"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</row>
    <row r="281" spans="2:14" ht="13"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</row>
    <row r="282" spans="2:14" ht="13"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</row>
    <row r="283" spans="2:14" ht="13"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</row>
    <row r="284" spans="2:14" ht="13"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</row>
    <row r="285" spans="2:14" ht="13"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</row>
    <row r="286" spans="2:14" ht="13"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</row>
    <row r="287" spans="2:14" ht="13"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</row>
    <row r="288" spans="2:14" ht="13"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</row>
    <row r="289" spans="2:14" ht="13"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</row>
    <row r="290" spans="2:14" ht="13"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</row>
    <row r="291" spans="2:14" ht="13"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</row>
    <row r="292" spans="2:14" ht="13"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</row>
    <row r="293" spans="2:14" ht="13"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</row>
    <row r="294" spans="2:14" ht="13"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</row>
    <row r="295" spans="2:14" ht="13"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</row>
    <row r="296" spans="2:14" ht="13"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</row>
    <row r="297" spans="2:14" ht="13"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</row>
    <row r="298" spans="2:14" ht="13"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</row>
    <row r="299" spans="2:14" ht="13"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</row>
    <row r="300" spans="2:14" ht="13"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</row>
    <row r="301" spans="2:14" ht="13"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</row>
    <row r="302" spans="2:14" ht="13"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</row>
    <row r="303" spans="2:14" ht="13"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</row>
    <row r="304" spans="2:14" ht="13"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</row>
    <row r="305" spans="2:14" ht="13"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</row>
    <row r="306" spans="2:14" ht="13"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</row>
    <row r="307" spans="2:14" ht="13"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</row>
    <row r="308" spans="2:14" ht="13"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</row>
    <row r="309" spans="2:14" ht="13"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</row>
    <row r="310" spans="2:14" ht="13"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</row>
    <row r="311" spans="2:14" ht="13"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</row>
    <row r="312" spans="2:14" ht="13"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</row>
    <row r="313" spans="2:14" ht="13"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</row>
    <row r="314" spans="2:14" ht="13"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</row>
    <row r="315" spans="2:14" ht="13"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</row>
    <row r="316" spans="2:14" ht="13"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</row>
    <row r="317" spans="2:14" ht="13"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</row>
    <row r="318" spans="2:14" ht="13"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</row>
    <row r="319" spans="2:14" ht="13"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</row>
    <row r="320" spans="2:14" ht="13"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</row>
    <row r="321" spans="2:14" ht="13"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</row>
    <row r="322" spans="2:14" ht="13"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</row>
    <row r="323" spans="2:14" ht="13"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</row>
    <row r="324" spans="2:14" ht="13"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</row>
    <row r="325" spans="2:14" ht="13"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</row>
    <row r="326" spans="2:14" ht="13"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</row>
    <row r="327" spans="2:14" ht="13"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</row>
    <row r="328" spans="2:14" ht="13"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</row>
    <row r="329" spans="2:14" ht="13"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</row>
    <row r="330" spans="2:14" ht="13"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</row>
    <row r="331" spans="2:14" ht="13"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</row>
    <row r="332" spans="2:14" ht="13"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</row>
    <row r="333" spans="2:14" ht="13"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</row>
    <row r="334" spans="2:14" ht="13"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</row>
    <row r="335" spans="2:14" ht="13"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</row>
    <row r="336" spans="2:14" ht="13"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</row>
    <row r="337" spans="2:14" ht="13"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</row>
    <row r="338" spans="2:14" ht="13"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</row>
    <row r="339" spans="2:14" ht="13"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</row>
    <row r="340" spans="2:14" ht="13"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</row>
    <row r="341" spans="2:14" ht="13"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</row>
    <row r="342" spans="2:14" ht="13"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</row>
    <row r="343" spans="2:14" ht="13"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</row>
    <row r="344" spans="2:14" ht="13"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</row>
    <row r="345" spans="2:14" ht="13"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</row>
    <row r="346" spans="2:14" ht="13"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</row>
    <row r="347" spans="2:14" ht="13"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</row>
    <row r="348" spans="2:14" ht="13"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</row>
    <row r="349" spans="2:14" ht="13"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</row>
    <row r="350" spans="2:14" ht="13"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</row>
    <row r="351" spans="2:14" ht="13"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</row>
    <row r="352" spans="2:14" ht="13"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</row>
    <row r="353" spans="2:14" ht="13"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</row>
    <row r="354" spans="2:14" ht="13"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</row>
    <row r="355" spans="2:14" ht="13"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</row>
    <row r="356" spans="2:14" ht="13"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</row>
    <row r="357" spans="2:14" ht="13"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</row>
    <row r="358" spans="2:14" ht="13"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</row>
    <row r="359" spans="2:14" ht="13"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</row>
    <row r="360" spans="2:14" ht="13"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</row>
    <row r="361" spans="2:14" ht="13"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</row>
    <row r="362" spans="2:14" ht="13"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</row>
    <row r="363" spans="2:14" ht="13"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</row>
    <row r="364" spans="2:14" ht="13"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</row>
    <row r="365" spans="2:14" ht="13"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</row>
    <row r="366" spans="2:14" ht="13"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</row>
    <row r="367" spans="2:14" ht="13"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</row>
    <row r="368" spans="2:14" ht="13"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</row>
    <row r="369" spans="2:14" ht="13"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</row>
    <row r="370" spans="2:14" ht="13"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</row>
    <row r="371" spans="2:14" ht="13"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</row>
    <row r="372" spans="2:14" ht="13"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</row>
    <row r="373" spans="2:14" ht="13"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</row>
    <row r="374" spans="2:14" ht="13"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</row>
    <row r="375" spans="2:14" ht="13"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</row>
    <row r="376" spans="2:14" ht="13"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</row>
    <row r="377" spans="2:14" ht="13"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</row>
    <row r="378" spans="2:14" ht="13"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</row>
    <row r="379" spans="2:14" ht="13"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</row>
    <row r="380" spans="2:14" ht="13"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</row>
    <row r="381" spans="2:14" ht="13"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</row>
    <row r="382" spans="2:14" ht="13"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</row>
    <row r="383" spans="2:14" ht="13"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</row>
    <row r="384" spans="2:14" ht="13"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</row>
    <row r="385" spans="2:14" ht="13"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</row>
    <row r="386" spans="2:14" ht="13"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</row>
    <row r="387" spans="2:14" ht="13"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</row>
    <row r="388" spans="2:14" ht="13"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</row>
    <row r="389" spans="2:14" ht="13"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</row>
    <row r="390" spans="2:14" ht="13"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</row>
    <row r="391" spans="2:14" ht="13"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</row>
    <row r="392" spans="2:14" ht="13"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</row>
    <row r="393" spans="2:14" ht="13"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</row>
    <row r="394" spans="2:14" ht="13"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</row>
    <row r="395" spans="2:14" ht="13"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</row>
    <row r="396" spans="2:14" ht="13"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</row>
    <row r="397" spans="2:14" ht="13"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</row>
    <row r="398" spans="2:14" ht="13"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</row>
    <row r="399" spans="2:14" ht="13"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</row>
    <row r="400" spans="2:14" ht="13"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</row>
    <row r="401" spans="2:14" ht="13"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</row>
    <row r="402" spans="2:14" ht="13"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</row>
    <row r="403" spans="2:14" ht="13"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</row>
    <row r="404" spans="2:14" ht="13"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</row>
    <row r="405" spans="2:14" ht="13"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</row>
    <row r="406" spans="2:14" ht="13"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</row>
    <row r="407" spans="2:14" ht="13"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</row>
    <row r="408" spans="2:14" ht="13"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</row>
    <row r="409" spans="2:14" ht="13"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</row>
    <row r="410" spans="2:14" ht="13"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</row>
    <row r="411" spans="2:14" ht="13"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</row>
    <row r="412" spans="2:14" ht="13"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</row>
    <row r="413" spans="2:14" ht="13"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</row>
    <row r="414" spans="2:14" ht="13"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</row>
    <row r="415" spans="2:14" ht="13"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</row>
    <row r="416" spans="2:14" ht="13"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</row>
    <row r="417" spans="2:14" ht="13"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</row>
    <row r="418" spans="2:14" ht="13"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</row>
    <row r="419" spans="2:14" ht="13"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</row>
    <row r="420" spans="2:14" ht="13"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</row>
    <row r="421" spans="2:14" ht="13"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</row>
    <row r="422" spans="2:14" ht="13"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</row>
    <row r="423" spans="2:14" ht="13"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</row>
    <row r="424" spans="2:14" ht="13"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</row>
    <row r="425" spans="2:14" ht="13"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</row>
    <row r="426" spans="2:14" ht="13"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</row>
    <row r="427" spans="2:14" ht="13"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</row>
    <row r="428" spans="2:14" ht="13"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</row>
    <row r="429" spans="2:14" ht="13"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</row>
    <row r="430" spans="2:14" ht="13"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</row>
    <row r="431" spans="2:14" ht="13"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</row>
    <row r="432" spans="2:14" ht="13"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</row>
    <row r="433" spans="2:14" ht="13"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</row>
    <row r="434" spans="2:14" ht="13"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</row>
    <row r="435" spans="2:14" ht="13"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</row>
    <row r="436" spans="2:14" ht="13"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</row>
    <row r="437" spans="2:14" ht="13"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</row>
    <row r="438" spans="2:14" ht="13"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</row>
    <row r="439" spans="2:14" ht="13"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</row>
    <row r="440" spans="2:14" ht="13"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</row>
    <row r="441" spans="2:14" ht="13"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</row>
    <row r="442" spans="2:14" ht="13"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</row>
    <row r="443" spans="2:14" ht="13"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</row>
    <row r="444" spans="2:14" ht="13"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</row>
    <row r="445" spans="2:14" ht="13"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</row>
    <row r="446" spans="2:14" ht="13"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</row>
    <row r="447" spans="2:14" ht="13"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</row>
    <row r="448" spans="2:14" ht="13"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</row>
    <row r="449" spans="2:14" ht="13"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</row>
    <row r="450" spans="2:14" ht="13"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</row>
    <row r="451" spans="2:14" ht="13"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</row>
    <row r="452" spans="2:14" ht="13"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</row>
    <row r="453" spans="2:14" ht="13"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</row>
    <row r="454" spans="2:14" ht="13"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</row>
    <row r="455" spans="2:14" ht="13"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</row>
    <row r="456" spans="2:14" ht="13"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</row>
    <row r="457" spans="2:14" ht="13"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</row>
    <row r="458" spans="2:14" ht="13"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</row>
    <row r="459" spans="2:14" ht="13"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</row>
    <row r="460" spans="2:14" ht="13"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</row>
    <row r="461" spans="2:14" ht="13"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</row>
    <row r="462" spans="2:14" ht="13"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</row>
    <row r="463" spans="2:14" ht="13"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</row>
    <row r="464" spans="2:14" ht="13"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</row>
    <row r="465" spans="2:14" ht="13"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</row>
    <row r="466" spans="2:14" ht="13"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</row>
    <row r="467" spans="2:14" ht="13"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</row>
    <row r="468" spans="2:14" ht="13"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</row>
    <row r="469" spans="2:14" ht="13"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</row>
    <row r="470" spans="2:14" ht="13"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</row>
    <row r="471" spans="2:14" ht="13"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</row>
    <row r="472" spans="2:14" ht="13"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</row>
    <row r="473" spans="2:14" ht="13"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</row>
    <row r="474" spans="2:14" ht="13"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</row>
    <row r="475" spans="2:14" ht="13"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</row>
    <row r="476" spans="2:14" ht="13"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</row>
    <row r="477" spans="2:14" ht="13"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</row>
    <row r="478" spans="2:14" ht="13"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</row>
    <row r="479" spans="2:14" ht="13"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</row>
    <row r="480" spans="2:14" ht="13"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</row>
    <row r="481" spans="2:14" ht="13"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</row>
    <row r="482" spans="2:14" ht="13"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</row>
    <row r="483" spans="2:14" ht="13"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</row>
    <row r="484" spans="2:14" ht="13"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</row>
    <row r="485" spans="2:14" ht="13"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</row>
    <row r="486" spans="2:14" ht="13"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</row>
    <row r="487" spans="2:14" ht="13"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</row>
    <row r="488" spans="2:14" ht="13"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</row>
    <row r="489" spans="2:14" ht="13"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</row>
    <row r="490" spans="2:14" ht="13"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</row>
    <row r="491" spans="2:14" ht="13"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</row>
    <row r="492" spans="2:14" ht="13"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</row>
    <row r="493" spans="2:14" ht="13"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</row>
    <row r="494" spans="2:14" ht="13"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</row>
    <row r="495" spans="2:14" ht="13"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</row>
    <row r="496" spans="2:14" ht="13"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</row>
    <row r="497" spans="2:14" ht="13"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</row>
    <row r="498" spans="2:14" ht="13"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</row>
    <row r="499" spans="2:14" ht="13"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</row>
    <row r="500" spans="2:14" ht="13"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</row>
    <row r="501" spans="2:14" ht="13"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</row>
    <row r="502" spans="2:14" ht="13"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</row>
    <row r="503" spans="2:14" ht="13"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</row>
    <row r="504" spans="2:14" ht="13"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</row>
    <row r="505" spans="2:14" ht="13"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</row>
    <row r="506" spans="2:14" ht="13"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</row>
    <row r="507" spans="2:14" ht="13"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</row>
    <row r="508" spans="2:14" ht="13"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</row>
    <row r="509" spans="2:14" ht="13"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</row>
    <row r="510" spans="2:14" ht="13"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</row>
    <row r="511" spans="2:14" ht="13"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</row>
    <row r="512" spans="2:14" ht="13"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</row>
    <row r="513" spans="2:14" ht="13"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</row>
    <row r="514" spans="2:14" ht="13"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</row>
    <row r="515" spans="2:14" ht="13"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</row>
    <row r="516" spans="2:14" ht="13"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</row>
    <row r="517" spans="2:14" ht="13"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</row>
    <row r="518" spans="2:14" ht="13"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</row>
    <row r="519" spans="2:14" ht="13"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</row>
    <row r="520" spans="2:14" ht="13"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</row>
    <row r="521" spans="2:14" ht="13"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</row>
    <row r="522" spans="2:14" ht="13"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</row>
    <row r="523" spans="2:14" ht="13"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</row>
    <row r="524" spans="2:14" ht="13"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</row>
    <row r="525" spans="2:14" ht="13"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</row>
    <row r="526" spans="2:14" ht="13"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</row>
    <row r="527" spans="2:14" ht="13"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</row>
    <row r="528" spans="2:14" ht="13"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</row>
    <row r="529" spans="2:14" ht="13"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</row>
    <row r="530" spans="2:14" ht="13"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</row>
    <row r="531" spans="2:14" ht="13"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</row>
    <row r="532" spans="2:14" ht="13"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</row>
    <row r="533" spans="2:14" ht="13"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</row>
    <row r="534" spans="2:14" ht="13"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</row>
    <row r="535" spans="2:14" ht="13"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</row>
    <row r="536" spans="2:14" ht="13"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</row>
    <row r="537" spans="2:14" ht="13"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</row>
    <row r="538" spans="2:14" ht="13"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</row>
    <row r="539" spans="2:14" ht="13"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</row>
    <row r="540" spans="2:14" ht="13"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</row>
    <row r="541" spans="2:14" ht="13"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</row>
    <row r="542" spans="2:14" ht="13"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</row>
    <row r="543" spans="2:14" ht="13"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</row>
    <row r="544" spans="2:14" ht="13"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</row>
    <row r="545" spans="2:14" ht="13"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</row>
    <row r="546" spans="2:14" ht="13"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</row>
    <row r="547" spans="2:14" ht="13"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</row>
    <row r="548" spans="2:14" ht="13"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</row>
    <row r="549" spans="2:14" ht="13"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</row>
    <row r="550" spans="2:14" ht="13"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</row>
    <row r="551" spans="2:14" ht="13"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</row>
    <row r="552" spans="2:14" ht="13"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</row>
    <row r="553" spans="2:14" ht="13"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</row>
    <row r="554" spans="2:14" ht="13"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</row>
    <row r="555" spans="2:14" ht="13"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</row>
    <row r="556" spans="2:14" ht="13"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</row>
    <row r="557" spans="2:14" ht="13"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</row>
    <row r="558" spans="2:14" ht="13"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</row>
    <row r="559" spans="2:14" ht="13"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</row>
    <row r="560" spans="2:14" ht="13"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</row>
    <row r="561" spans="2:14" ht="13"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</row>
    <row r="562" spans="2:14" ht="13"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</row>
    <row r="563" spans="2:14" ht="13"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</row>
    <row r="564" spans="2:14" ht="13"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</row>
    <row r="565" spans="2:14" ht="13"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</row>
    <row r="566" spans="2:14" ht="13"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</row>
    <row r="567" spans="2:14" ht="13"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</row>
    <row r="568" spans="2:14" ht="13"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</row>
    <row r="569" spans="2:14" ht="13"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</row>
    <row r="570" spans="2:14" ht="13"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</row>
    <row r="571" spans="2:14" ht="13"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</row>
    <row r="572" spans="2:14" ht="13"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</row>
    <row r="573" spans="2:14" ht="13"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</row>
    <row r="574" spans="2:14" ht="13"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</row>
    <row r="575" spans="2:14" ht="13"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</row>
    <row r="576" spans="2:14" ht="13"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</row>
    <row r="577" spans="2:14" ht="13"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</row>
    <row r="578" spans="2:14" ht="13"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</row>
    <row r="579" spans="2:14" ht="13"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</row>
    <row r="580" spans="2:14" ht="13"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</row>
    <row r="581" spans="2:14" ht="13"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</row>
    <row r="582" spans="2:14" ht="13"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</row>
    <row r="583" spans="2:14" ht="13"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</row>
    <row r="584" spans="2:14" ht="13"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</row>
    <row r="585" spans="2:14" ht="13"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</row>
    <row r="586" spans="2:14" ht="13"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</row>
    <row r="587" spans="2:14" ht="13"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</row>
    <row r="588" spans="2:14" ht="13"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</row>
    <row r="589" spans="2:14" ht="13"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</row>
    <row r="590" spans="2:14" ht="13"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</row>
    <row r="591" spans="2:14" ht="13"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</row>
    <row r="592" spans="2:14" ht="13"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</row>
    <row r="593" spans="2:14" ht="13"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</row>
    <row r="594" spans="2:14" ht="13"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</row>
    <row r="595" spans="2:14" ht="13"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</row>
    <row r="596" spans="2:14" ht="13"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</row>
    <row r="597" spans="2:14" ht="13"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</row>
    <row r="598" spans="2:14" ht="13"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</row>
    <row r="599" spans="2:14" ht="13"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</row>
    <row r="600" spans="2:14" ht="13"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</row>
    <row r="601" spans="2:14" ht="13"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</row>
    <row r="602" spans="2:14" ht="13"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</row>
    <row r="603" spans="2:14" ht="13"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</row>
    <row r="604" spans="2:14" ht="13"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</row>
    <row r="605" spans="2:14" ht="13"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</row>
    <row r="606" spans="2:14" ht="13"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</row>
    <row r="607" spans="2:14" ht="13"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</row>
    <row r="608" spans="2:14" ht="13"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</row>
    <row r="609" spans="2:14" ht="13"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</row>
    <row r="610" spans="2:14" ht="13"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</row>
    <row r="611" spans="2:14" ht="13"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</row>
    <row r="612" spans="2:14" ht="13"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</row>
    <row r="613" spans="2:14" ht="13"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</row>
    <row r="614" spans="2:14" ht="13"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</row>
    <row r="615" spans="2:14" ht="13"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</row>
    <row r="616" spans="2:14" ht="13"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</row>
    <row r="617" spans="2:14" ht="13"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</row>
    <row r="618" spans="2:14" ht="13"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</row>
    <row r="619" spans="2:14" ht="13"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</row>
    <row r="620" spans="2:14" ht="13"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</row>
    <row r="621" spans="2:14" ht="13"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</row>
    <row r="622" spans="2:14" ht="13"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</row>
    <row r="623" spans="2:14" ht="13"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</row>
    <row r="624" spans="2:14" ht="13"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</row>
    <row r="625" spans="2:14" ht="13"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</row>
    <row r="626" spans="2:14" ht="13"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</row>
    <row r="627" spans="2:14" ht="13"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</row>
    <row r="628" spans="2:14" ht="13"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</row>
    <row r="629" spans="2:14" ht="13"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</row>
    <row r="630" spans="2:14" ht="13"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</row>
    <row r="631" spans="2:14" ht="13"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</row>
    <row r="632" spans="2:14" ht="13"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</row>
    <row r="633" spans="2:14" ht="13"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</row>
    <row r="634" spans="2:14" ht="13"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</row>
    <row r="635" spans="2:14" ht="13"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</row>
    <row r="636" spans="2:14" ht="13"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</row>
    <row r="637" spans="2:14" ht="13"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</row>
    <row r="638" spans="2:14" ht="13"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</row>
    <row r="639" spans="2:14" ht="13"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</row>
    <row r="640" spans="2:14" ht="13"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</row>
    <row r="641" spans="2:14" ht="13"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</row>
    <row r="642" spans="2:14" ht="13"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</row>
    <row r="643" spans="2:14" ht="13"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</row>
    <row r="644" spans="2:14" ht="13"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</row>
    <row r="645" spans="2:14" ht="13"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</row>
    <row r="646" spans="2:14" ht="13"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</row>
    <row r="647" spans="2:14" ht="13"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</row>
    <row r="648" spans="2:14" ht="13"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</row>
    <row r="649" spans="2:14" ht="13"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</row>
    <row r="650" spans="2:14" ht="13"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</row>
    <row r="651" spans="2:14" ht="13"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</row>
    <row r="652" spans="2:14" ht="13"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</row>
    <row r="653" spans="2:14" ht="13"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</row>
    <row r="654" spans="2:14" ht="13"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</row>
    <row r="655" spans="2:14" ht="13"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</row>
    <row r="656" spans="2:14" ht="13"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</row>
    <row r="657" spans="2:14" ht="13"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</row>
    <row r="658" spans="2:14" ht="13"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</row>
    <row r="659" spans="2:14" ht="13"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</row>
    <row r="660" spans="2:14" ht="13"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</row>
    <row r="661" spans="2:14" ht="13"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</row>
    <row r="662" spans="2:14" ht="13"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</row>
    <row r="663" spans="2:14" ht="13"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</row>
    <row r="664" spans="2:14" ht="13"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</row>
    <row r="665" spans="2:14" ht="13"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</row>
    <row r="666" spans="2:14" ht="13"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</row>
    <row r="667" spans="2:14" ht="13"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</row>
    <row r="668" spans="2:14" ht="13"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</row>
    <row r="669" spans="2:14" ht="13"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</row>
    <row r="670" spans="2:14" ht="13"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</row>
    <row r="671" spans="2:14" ht="13"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</row>
    <row r="672" spans="2:14" ht="13"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</row>
    <row r="673" spans="2:14" ht="13"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</row>
    <row r="674" spans="2:14" ht="13"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</row>
    <row r="675" spans="2:14" ht="13"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</row>
    <row r="676" spans="2:14" ht="13"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</row>
    <row r="677" spans="2:14" ht="13"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</row>
    <row r="678" spans="2:14" ht="13"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</row>
    <row r="679" spans="2:14" ht="13"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</row>
    <row r="680" spans="2:14" ht="13"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</row>
    <row r="681" spans="2:14" ht="13"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</row>
    <row r="682" spans="2:14" ht="13"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</row>
    <row r="683" spans="2:14" ht="13"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</row>
    <row r="684" spans="2:14" ht="13"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</row>
    <row r="685" spans="2:14" ht="13"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</row>
    <row r="686" spans="2:14" ht="13"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</row>
    <row r="687" spans="2:14" ht="13"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</row>
    <row r="688" spans="2:14" ht="13"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</row>
    <row r="689" spans="2:14" ht="13"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</row>
    <row r="690" spans="2:14" ht="13"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</row>
    <row r="691" spans="2:14" ht="13"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</row>
    <row r="692" spans="2:14" ht="13"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</row>
    <row r="693" spans="2:14" ht="13"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</row>
    <row r="694" spans="2:14" ht="13"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</row>
    <row r="695" spans="2:14" ht="13"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</row>
    <row r="696" spans="2:14" ht="13"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</row>
    <row r="697" spans="2:14" ht="13"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</row>
    <row r="698" spans="2:14" ht="13"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</row>
    <row r="699" spans="2:14" ht="13"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</row>
    <row r="700" spans="2:14" ht="13"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</row>
    <row r="701" spans="2:14" ht="13"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</row>
    <row r="702" spans="2:14" ht="13"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</row>
    <row r="703" spans="2:14" ht="13"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</row>
    <row r="704" spans="2:14" ht="13"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</row>
    <row r="705" spans="2:14" ht="13"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</row>
    <row r="706" spans="2:14" ht="13"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</row>
    <row r="707" spans="2:14" ht="13"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</row>
    <row r="708" spans="2:14" ht="13"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</row>
    <row r="709" spans="2:14" ht="13"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</row>
    <row r="710" spans="2:14" ht="13"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</row>
    <row r="711" spans="2:14" ht="13"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</row>
    <row r="712" spans="2:14" ht="13"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</row>
    <row r="713" spans="2:14" ht="13"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</row>
    <row r="714" spans="2:14" ht="13"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</row>
    <row r="715" spans="2:14" ht="13"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</row>
    <row r="716" spans="2:14" ht="13"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</row>
    <row r="717" spans="2:14" ht="13"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</row>
    <row r="718" spans="2:14" ht="13"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</row>
    <row r="719" spans="2:14" ht="13"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</row>
    <row r="720" spans="2:14" ht="13"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</row>
    <row r="721" spans="2:14" ht="13"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</row>
    <row r="722" spans="2:14" ht="13"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</row>
    <row r="723" spans="2:14" ht="13"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</row>
    <row r="724" spans="2:14" ht="13"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</row>
    <row r="725" spans="2:14" ht="13"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</row>
    <row r="726" spans="2:14" ht="13"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</row>
    <row r="727" spans="2:14" ht="13"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</row>
    <row r="728" spans="2:14" ht="13"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</row>
    <row r="729" spans="2:14" ht="13"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</row>
    <row r="730" spans="2:14" ht="13"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</row>
    <row r="731" spans="2:14" ht="13"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</row>
    <row r="732" spans="2:14" ht="13"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</row>
    <row r="733" spans="2:14" ht="13"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</row>
    <row r="734" spans="2:14" ht="13"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</row>
    <row r="735" spans="2:14" ht="13"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</row>
    <row r="736" spans="2:14" ht="13"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</row>
    <row r="737" spans="2:14" ht="13"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</row>
    <row r="738" spans="2:14" ht="13"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</row>
    <row r="739" spans="2:14" ht="13"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</row>
    <row r="740" spans="2:14" ht="13"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</row>
    <row r="741" spans="2:14" ht="13"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</row>
    <row r="742" spans="2:14" ht="13"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</row>
    <row r="743" spans="2:14" ht="13"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</row>
    <row r="744" spans="2:14" ht="13"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</row>
    <row r="745" spans="2:14" ht="13"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</row>
    <row r="746" spans="2:14" ht="13"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</row>
    <row r="747" spans="2:14" ht="13"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</row>
    <row r="748" spans="2:14" ht="13"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</row>
    <row r="749" spans="2:14" ht="13"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</row>
    <row r="750" spans="2:14" ht="13"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</row>
    <row r="751" spans="2:14" ht="13"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</row>
    <row r="752" spans="2:14" ht="13"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</row>
    <row r="753" spans="2:14" ht="13"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</row>
    <row r="754" spans="2:14" ht="13"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</row>
    <row r="755" spans="2:14" ht="13"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</row>
    <row r="756" spans="2:14" ht="13"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</row>
    <row r="757" spans="2:14" ht="13"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</row>
    <row r="758" spans="2:14" ht="13"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</row>
    <row r="759" spans="2:14" ht="13"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</row>
    <row r="760" spans="2:14" ht="13"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</row>
    <row r="761" spans="2:14" ht="13"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</row>
    <row r="762" spans="2:14" ht="13"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</row>
    <row r="763" spans="2:14" ht="13"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</row>
    <row r="764" spans="2:14" ht="13"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</row>
    <row r="765" spans="2:14" ht="13"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</row>
    <row r="766" spans="2:14" ht="13"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</row>
    <row r="767" spans="2:14" ht="13"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</row>
    <row r="768" spans="2:14" ht="13"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</row>
    <row r="769" spans="2:14" ht="13"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</row>
    <row r="770" spans="2:14" ht="13"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</row>
    <row r="771" spans="2:14" ht="13"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</row>
    <row r="772" spans="2:14" ht="13"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</row>
    <row r="773" spans="2:14" ht="13"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</row>
    <row r="774" spans="2:14" ht="13"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</row>
    <row r="775" spans="2:14" ht="13"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</row>
    <row r="776" spans="2:14" ht="13"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</row>
    <row r="777" spans="2:14" ht="13"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</row>
    <row r="778" spans="2:14" ht="13"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</row>
    <row r="779" spans="2:14" ht="13"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</row>
    <row r="780" spans="2:14" ht="13"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</row>
    <row r="781" spans="2:14" ht="13"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</row>
    <row r="782" spans="2:14" ht="13"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</row>
    <row r="783" spans="2:14" ht="13"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</row>
    <row r="784" spans="2:14" ht="13"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</row>
    <row r="785" spans="2:14" ht="13"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</row>
    <row r="786" spans="2:14" ht="13"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</row>
    <row r="787" spans="2:14" ht="13"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</row>
    <row r="788" spans="2:14" ht="13"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</row>
    <row r="789" spans="2:14" ht="13"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</row>
    <row r="790" spans="2:14" ht="13"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</row>
    <row r="791" spans="2:14" ht="13"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</row>
    <row r="792" spans="2:14" ht="13"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</row>
    <row r="793" spans="2:14" ht="13"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</row>
    <row r="794" spans="2:14" ht="13"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</row>
    <row r="795" spans="2:14" ht="13"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</row>
    <row r="796" spans="2:14" ht="13"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</row>
    <row r="797" spans="2:14" ht="13"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</row>
    <row r="798" spans="2:14" ht="13"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</row>
    <row r="799" spans="2:14" ht="13"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</row>
    <row r="800" spans="2:14" ht="13"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</row>
    <row r="801" spans="2:14" ht="13"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</row>
    <row r="802" spans="2:14" ht="13"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</row>
    <row r="803" spans="2:14" ht="13"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</row>
    <row r="804" spans="2:14" ht="13"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</row>
    <row r="805" spans="2:14" ht="13"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</row>
    <row r="806" spans="2:14" ht="13"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</row>
    <row r="807" spans="2:14" ht="13"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</row>
    <row r="808" spans="2:14" ht="13"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</row>
    <row r="809" spans="2:14" ht="13"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</row>
    <row r="810" spans="2:14" ht="13"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</row>
    <row r="811" spans="2:14" ht="13"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</row>
    <row r="812" spans="2:14" ht="13"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</row>
    <row r="813" spans="2:14" ht="13"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</row>
    <row r="814" spans="2:14" ht="13"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</row>
    <row r="815" spans="2:14" ht="13"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</row>
    <row r="816" spans="2:14" ht="13"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</row>
    <row r="817" spans="2:14" ht="13"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</row>
    <row r="818" spans="2:14" ht="13"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</row>
    <row r="819" spans="2:14" ht="13"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</row>
    <row r="820" spans="2:14" ht="13"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</row>
    <row r="821" spans="2:14" ht="13"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</row>
    <row r="822" spans="2:14" ht="13"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</row>
    <row r="823" spans="2:14" ht="13"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</row>
    <row r="824" spans="2:14" ht="13"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</row>
    <row r="825" spans="2:14" ht="13"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</row>
    <row r="826" spans="2:14" ht="13"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</row>
    <row r="827" spans="2:14" ht="13"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</row>
    <row r="828" spans="2:14" ht="13"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</row>
    <row r="829" spans="2:14" ht="13"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</row>
    <row r="830" spans="2:14" ht="13"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</row>
    <row r="831" spans="2:14" ht="13"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</row>
    <row r="832" spans="2:14" ht="13"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</row>
    <row r="833" spans="2:14" ht="13"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</row>
    <row r="834" spans="2:14" ht="13"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</row>
    <row r="835" spans="2:14" ht="13"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</row>
    <row r="836" spans="2:14" ht="13"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</row>
    <row r="837" spans="2:14" ht="13"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</row>
    <row r="838" spans="2:14" ht="13"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</row>
    <row r="839" spans="2:14" ht="13"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</row>
    <row r="840" spans="2:14" ht="13"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</row>
    <row r="841" spans="2:14" ht="13"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</row>
    <row r="842" spans="2:14" ht="13"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</row>
    <row r="843" spans="2:14" ht="13"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</row>
    <row r="844" spans="2:14" ht="13"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</row>
    <row r="845" spans="2:14" ht="13"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</row>
    <row r="846" spans="2:14" ht="13"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</row>
    <row r="847" spans="2:14" ht="13"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</row>
    <row r="848" spans="2:14" ht="13"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</row>
    <row r="849" spans="2:14" ht="13"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</row>
    <row r="850" spans="2:14" ht="13"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</row>
    <row r="851" spans="2:14" ht="13"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</row>
    <row r="852" spans="2:14" ht="13"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</row>
    <row r="853" spans="2:14" ht="13"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</row>
    <row r="854" spans="2:14" ht="13"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</row>
    <row r="855" spans="2:14" ht="13"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</row>
    <row r="856" spans="2:14" ht="13"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</row>
    <row r="857" spans="2:14" ht="13"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</row>
    <row r="858" spans="2:14" ht="13"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</row>
    <row r="859" spans="2:14" ht="13"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</row>
    <row r="860" spans="2:14" ht="13"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</row>
    <row r="861" spans="2:14" ht="13"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</row>
    <row r="862" spans="2:14" ht="13"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</row>
    <row r="863" spans="2:14" ht="13"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</row>
    <row r="864" spans="2:14" ht="13"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</row>
    <row r="865" spans="2:14" ht="13"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</row>
    <row r="866" spans="2:14" ht="13"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</row>
    <row r="867" spans="2:14" ht="13"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</row>
    <row r="868" spans="2:14" ht="13"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</row>
    <row r="869" spans="2:14" ht="13"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</row>
    <row r="870" spans="2:14" ht="13"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</row>
    <row r="871" spans="2:14" ht="13"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</row>
    <row r="872" spans="2:14" ht="13"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</row>
    <row r="873" spans="2:14" ht="13"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</row>
    <row r="874" spans="2:14" ht="13"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</row>
    <row r="875" spans="2:14" ht="13"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</row>
    <row r="876" spans="2:14" ht="13"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</row>
    <row r="877" spans="2:14" ht="13"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</row>
    <row r="878" spans="2:14" ht="13"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</row>
    <row r="879" spans="2:14" ht="13"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</row>
    <row r="880" spans="2:14" ht="13"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</row>
    <row r="881" spans="2:14" ht="13"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</row>
    <row r="882" spans="2:14" ht="13"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</row>
    <row r="883" spans="2:14" ht="13"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</row>
    <row r="884" spans="2:14" ht="13"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</row>
    <row r="885" spans="2:14" ht="13"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</row>
    <row r="886" spans="2:14" ht="13"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</row>
    <row r="887" spans="2:14" ht="13"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</row>
    <row r="888" spans="2:14" ht="13"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</row>
    <row r="889" spans="2:14" ht="13"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</row>
    <row r="890" spans="2:14" ht="13"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</row>
    <row r="891" spans="2:14" ht="13"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</row>
    <row r="892" spans="2:14" ht="13"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</row>
    <row r="893" spans="2:14" ht="13"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</row>
    <row r="894" spans="2:14" ht="13"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</row>
    <row r="895" spans="2:14" ht="13"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</row>
    <row r="896" spans="2:14" ht="13"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</row>
    <row r="897" spans="2:14" ht="13"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</row>
    <row r="898" spans="2:14" ht="13"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</row>
    <row r="899" spans="2:14" ht="13"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</row>
    <row r="900" spans="2:14" ht="13"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</row>
    <row r="901" spans="2:14" ht="13"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</row>
    <row r="902" spans="2:14" ht="13"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</row>
    <row r="903" spans="2:14" ht="13"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</row>
    <row r="904" spans="2:14" ht="13"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</row>
    <row r="905" spans="2:14" ht="13"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</row>
    <row r="906" spans="2:14" ht="13"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</row>
    <row r="907" spans="2:14" ht="13"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</row>
    <row r="908" spans="2:14" ht="13"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</row>
    <row r="909" spans="2:14" ht="13"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</row>
    <row r="910" spans="2:14" ht="13"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</row>
    <row r="911" spans="2:14" ht="13"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</row>
    <row r="912" spans="2:14" ht="13"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</row>
    <row r="913" spans="2:14" ht="13"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</row>
    <row r="914" spans="2:14" ht="13"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</row>
    <row r="915" spans="2:14" ht="13"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</row>
    <row r="916" spans="2:14" ht="13"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</row>
    <row r="917" spans="2:14" ht="13"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</row>
    <row r="918" spans="2:14" ht="13"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</row>
    <row r="919" spans="2:14" ht="13"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</row>
    <row r="920" spans="2:14" ht="13"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</row>
    <row r="921" spans="2:14" ht="13"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</row>
    <row r="922" spans="2:14" ht="13"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</row>
    <row r="923" spans="2:14" ht="13"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</row>
    <row r="924" spans="2:14" ht="13"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</row>
    <row r="925" spans="2:14" ht="13"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</row>
    <row r="926" spans="2:14" ht="13"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</row>
    <row r="927" spans="2:14" ht="13"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</row>
    <row r="928" spans="2:14" ht="13"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</row>
    <row r="929" spans="2:14" ht="13"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</row>
    <row r="930" spans="2:14" ht="13"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</row>
    <row r="931" spans="2:14" ht="13"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</row>
    <row r="932" spans="2:14" ht="13"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</row>
    <row r="933" spans="2:14" ht="13"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</row>
    <row r="934" spans="2:14" ht="13"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</row>
    <row r="935" spans="2:14" ht="13"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</row>
    <row r="936" spans="2:14" ht="13"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</row>
    <row r="937" spans="2:14" ht="13"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</row>
    <row r="938" spans="2:14" ht="13"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</row>
    <row r="939" spans="2:14" ht="13"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</row>
    <row r="940" spans="2:14" ht="13"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</row>
    <row r="941" spans="2:14" ht="13"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</row>
    <row r="942" spans="2:14" ht="13"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</row>
    <row r="943" spans="2:14" ht="13"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</row>
    <row r="944" spans="2:14" ht="13"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</row>
    <row r="945" spans="2:14" ht="13"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</row>
    <row r="946" spans="2:14" ht="13"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</row>
    <row r="947" spans="2:14" ht="13"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</row>
    <row r="948" spans="2:14" ht="13"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</row>
    <row r="949" spans="2:14" ht="13"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</row>
    <row r="950" spans="2:14" ht="13"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</row>
    <row r="951" spans="2:14" ht="13"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</row>
    <row r="952" spans="2:14" ht="13"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</row>
    <row r="953" spans="2:14" ht="13"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</row>
    <row r="954" spans="2:14" ht="13"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</row>
    <row r="955" spans="2:14" ht="13"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</row>
    <row r="956" spans="2:14" ht="13"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</row>
    <row r="957" spans="2:14" ht="13"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</row>
    <row r="958" spans="2:14" ht="13"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</row>
    <row r="959" spans="2:14" ht="13"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</row>
    <row r="960" spans="2:14" ht="13"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</row>
    <row r="961" spans="2:14" ht="13"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</row>
    <row r="962" spans="2:14" ht="13"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</row>
    <row r="963" spans="2:14" ht="13"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</row>
    <row r="964" spans="2:14" ht="13"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</row>
    <row r="965" spans="2:14" ht="13"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</row>
    <row r="966" spans="2:14" ht="13"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</row>
    <row r="967" spans="2:14" ht="13"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</row>
    <row r="968" spans="2:14" ht="13"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</row>
    <row r="969" spans="2:14" ht="13"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</row>
    <row r="970" spans="2:14" ht="13"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</row>
    <row r="971" spans="2:14" ht="13"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</row>
    <row r="972" spans="2:14" ht="13"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</row>
    <row r="973" spans="2:14" ht="13"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</row>
    <row r="974" spans="2:14" ht="13"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</row>
    <row r="975" spans="2:14" ht="13"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</row>
    <row r="976" spans="2:14" ht="13"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</row>
    <row r="977" spans="2:14" ht="13"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</row>
    <row r="978" spans="2:14" ht="13"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</row>
    <row r="979" spans="2:14" ht="13"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</row>
    <row r="980" spans="2:14" ht="13"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</row>
    <row r="981" spans="2:14" ht="13"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</row>
    <row r="982" spans="2:14" ht="13"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</row>
    <row r="983" spans="2:14" ht="13"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</row>
    <row r="984" spans="2:14" ht="13"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</row>
    <row r="985" spans="2:14" ht="13"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</row>
    <row r="986" spans="2:14" ht="13"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</row>
    <row r="987" spans="2:14" ht="13"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</row>
    <row r="988" spans="2:14" ht="13"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</row>
    <row r="989" spans="2:14" ht="13"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</row>
    <row r="990" spans="2:14" ht="13"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</row>
    <row r="991" spans="2:14" ht="13"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</row>
    <row r="992" spans="2:14" ht="13"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</row>
    <row r="993" spans="2:14" ht="13"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</row>
    <row r="994" spans="2:14" ht="13"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</row>
    <row r="995" spans="2:14" ht="13"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</row>
    <row r="996" spans="2:14" ht="13"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</row>
    <row r="997" spans="2:14" ht="13"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</row>
    <row r="998" spans="2:14" ht="13"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</row>
    <row r="999" spans="2:14" ht="13"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</row>
    <row r="1000" spans="2:14" ht="13"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</row>
  </sheetData>
  <conditionalFormatting sqref="A2:A32">
    <cfRule type="colorScale" priority="1">
      <colorScale>
        <cfvo type="min"/>
        <cfvo type="max"/>
        <color rgb="FF999999"/>
        <color rgb="FFFFFFFF"/>
      </colorScale>
    </cfRule>
  </conditionalFormatting>
  <conditionalFormatting sqref="C2:N32">
    <cfRule type="colorScale" priority="2">
      <colorScale>
        <cfvo type="min"/>
        <cfvo type="max"/>
        <color rgb="FF999999"/>
        <color rgb="FFFFFFFF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N32"/>
  <sheetViews>
    <sheetView topLeftCell="B1" workbookViewId="0"/>
  </sheetViews>
  <sheetFormatPr baseColWidth="10" defaultColWidth="12.6640625" defaultRowHeight="15.75" customHeight="1"/>
  <cols>
    <col min="1" max="1" width="76.1640625" hidden="1" customWidth="1"/>
    <col min="2" max="2" width="7.33203125" customWidth="1"/>
    <col min="3" max="14" width="5.6640625" customWidth="1"/>
  </cols>
  <sheetData>
    <row r="1" spans="1:14" ht="15.75" customHeight="1">
      <c r="A1" s="8" t="s">
        <v>263</v>
      </c>
      <c r="B1" t="str">
        <f ca="1">IFERROR(__xludf.DUMMYFUNCTION("split(A1,"" "")"),"Day")</f>
        <v>Day</v>
      </c>
      <c r="C1" s="14" t="str">
        <f ca="1">IFERROR(__xludf.DUMMYFUNCTION("""COMPUTED_VALUE"""),"Jan.")</f>
        <v>Jan.</v>
      </c>
      <c r="D1" s="14" t="str">
        <f ca="1">IFERROR(__xludf.DUMMYFUNCTION("""COMPUTED_VALUE"""),"Feb.")</f>
        <v>Feb.</v>
      </c>
      <c r="E1" s="14" t="str">
        <f ca="1">IFERROR(__xludf.DUMMYFUNCTION("""COMPUTED_VALUE"""),"Mar.")</f>
        <v>Mar.</v>
      </c>
      <c r="F1" s="14" t="str">
        <f ca="1">IFERROR(__xludf.DUMMYFUNCTION("""COMPUTED_VALUE"""),"Apr.")</f>
        <v>Apr.</v>
      </c>
      <c r="G1" s="14" t="str">
        <f ca="1">IFERROR(__xludf.DUMMYFUNCTION("""COMPUTED_VALUE"""),"May")</f>
        <v>May</v>
      </c>
      <c r="H1" s="14" t="str">
        <f ca="1">IFERROR(__xludf.DUMMYFUNCTION("""COMPUTED_VALUE"""),"June")</f>
        <v>June</v>
      </c>
      <c r="I1" s="14" t="str">
        <f ca="1">IFERROR(__xludf.DUMMYFUNCTION("""COMPUTED_VALUE"""),"July")</f>
        <v>July</v>
      </c>
      <c r="J1" s="14" t="str">
        <f ca="1">IFERROR(__xludf.DUMMYFUNCTION("""COMPUTED_VALUE"""),"Aug.")</f>
        <v>Aug.</v>
      </c>
      <c r="K1" s="14" t="str">
        <f ca="1">IFERROR(__xludf.DUMMYFUNCTION("""COMPUTED_VALUE"""),"Sep.")</f>
        <v>Sep.</v>
      </c>
      <c r="L1" s="14" t="str">
        <f ca="1">IFERROR(__xludf.DUMMYFUNCTION("""COMPUTED_VALUE"""),"Oct.")</f>
        <v>Oct.</v>
      </c>
      <c r="M1" s="14" t="str">
        <f ca="1">IFERROR(__xludf.DUMMYFUNCTION("""COMPUTED_VALUE"""),"Nov.")</f>
        <v>Nov.</v>
      </c>
      <c r="N1" s="14" t="str">
        <f ca="1">IFERROR(__xludf.DUMMYFUNCTION("""COMPUTED_VALUE"""),"Dec.")</f>
        <v>Dec.</v>
      </c>
    </row>
    <row r="2" spans="1:14" ht="15.75" customHeight="1">
      <c r="A2" s="8" t="s">
        <v>295</v>
      </c>
      <c r="B2">
        <f ca="1">IFERROR(__xludf.DUMMYFUNCTION("split(A2,"" "")"),1)</f>
        <v>1</v>
      </c>
      <c r="C2" s="14">
        <f ca="1">IFERROR(__xludf.DUMMYFUNCTION("""COMPUTED_VALUE"""),0.09)</f>
        <v>0.09</v>
      </c>
      <c r="D2" s="14">
        <f ca="1">IFERROR(__xludf.DUMMYFUNCTION("""COMPUTED_VALUE"""),0.2)</f>
        <v>0.2</v>
      </c>
      <c r="E2" s="14">
        <f ca="1">IFERROR(__xludf.DUMMYFUNCTION("""COMPUTED_VALUE"""),0.09)</f>
        <v>0.09</v>
      </c>
      <c r="F2" s="14">
        <f ca="1">IFERROR(__xludf.DUMMYFUNCTION("""COMPUTED_VALUE"""),0.23)</f>
        <v>0.23</v>
      </c>
      <c r="G2" s="14">
        <f ca="1">IFERROR(__xludf.DUMMYFUNCTION("""COMPUTED_VALUE"""),0.31)</f>
        <v>0.31</v>
      </c>
      <c r="H2" s="14">
        <f ca="1">IFERROR(__xludf.DUMMYFUNCTION("""COMPUTED_VALUE"""),0.48)</f>
        <v>0.48</v>
      </c>
      <c r="I2" s="14">
        <f ca="1">IFERROR(__xludf.DUMMYFUNCTION("""COMPUTED_VALUE"""),0.53)</f>
        <v>0.53</v>
      </c>
      <c r="J2" s="14">
        <f ca="1">IFERROR(__xludf.DUMMYFUNCTION("""COMPUTED_VALUE"""),0.66)</f>
        <v>0.66</v>
      </c>
      <c r="K2" s="14">
        <f ca="1">IFERROR(__xludf.DUMMYFUNCTION("""COMPUTED_VALUE"""),0.77)</f>
        <v>0.77</v>
      </c>
      <c r="L2" s="14">
        <f ca="1">IFERROR(__xludf.DUMMYFUNCTION("""COMPUTED_VALUE"""),0.79)</f>
        <v>0.79</v>
      </c>
      <c r="M2" s="14">
        <f ca="1">IFERROR(__xludf.DUMMYFUNCTION("""COMPUTED_VALUE"""),0.89)</f>
        <v>0.89</v>
      </c>
      <c r="N2" s="14">
        <f ca="1">IFERROR(__xludf.DUMMYFUNCTION("""COMPUTED_VALUE"""),0.92)</f>
        <v>0.92</v>
      </c>
    </row>
    <row r="3" spans="1:14" ht="15.75" customHeight="1">
      <c r="A3" s="8" t="s">
        <v>296</v>
      </c>
      <c r="B3">
        <f ca="1">IFERROR(__xludf.DUMMYFUNCTION("split(A3,"" "")"),2)</f>
        <v>2</v>
      </c>
      <c r="C3" s="14">
        <f ca="1">IFERROR(__xludf.DUMMYFUNCTION("""COMPUTED_VALUE"""),0.16)</f>
        <v>0.16</v>
      </c>
      <c r="D3" s="14">
        <f ca="1">IFERROR(__xludf.DUMMYFUNCTION("""COMPUTED_VALUE"""),0.3)</f>
        <v>0.3</v>
      </c>
      <c r="E3" s="14">
        <f ca="1">IFERROR(__xludf.DUMMYFUNCTION("""COMPUTED_VALUE"""),0.17)</f>
        <v>0.17</v>
      </c>
      <c r="F3" s="14">
        <f ca="1">IFERROR(__xludf.DUMMYFUNCTION("""COMPUTED_VALUE"""),0.34)</f>
        <v>0.34</v>
      </c>
      <c r="G3" s="14">
        <f ca="1">IFERROR(__xludf.DUMMYFUNCTION("""COMPUTED_VALUE"""),0.42)</f>
        <v>0.42</v>
      </c>
      <c r="H3" s="14">
        <f ca="1">IFERROR(__xludf.DUMMYFUNCTION("""COMPUTED_VALUE"""),0.58)</f>
        <v>0.57999999999999996</v>
      </c>
      <c r="I3" s="14">
        <f ca="1">IFERROR(__xludf.DUMMYFUNCTION("""COMPUTED_VALUE"""),0.63)</f>
        <v>0.63</v>
      </c>
      <c r="J3" s="14">
        <f ca="1">IFERROR(__xludf.DUMMYFUNCTION("""COMPUTED_VALUE"""),0.75)</f>
        <v>0.75</v>
      </c>
      <c r="K3" s="14">
        <f ca="1">IFERROR(__xludf.DUMMYFUNCTION("""COMPUTED_VALUE"""),0.85)</f>
        <v>0.85</v>
      </c>
      <c r="L3" s="14">
        <f ca="1">IFERROR(__xludf.DUMMYFUNCTION("""COMPUTED_VALUE"""),0.87)</f>
        <v>0.87</v>
      </c>
      <c r="M3" s="14">
        <f ca="1">IFERROR(__xludf.DUMMYFUNCTION("""COMPUTED_VALUE"""),0.95)</f>
        <v>0.95</v>
      </c>
      <c r="N3" s="14">
        <f ca="1">IFERROR(__xludf.DUMMYFUNCTION("""COMPUTED_VALUE"""),0.97)</f>
        <v>0.97</v>
      </c>
    </row>
    <row r="4" spans="1:14" ht="15.75" customHeight="1">
      <c r="A4" s="8" t="s">
        <v>297</v>
      </c>
      <c r="B4">
        <f ca="1">IFERROR(__xludf.DUMMYFUNCTION("split(A4,"" "")"),3)</f>
        <v>3</v>
      </c>
      <c r="C4" s="14">
        <f ca="1">IFERROR(__xludf.DUMMYFUNCTION("""COMPUTED_VALUE"""),0.24)</f>
        <v>0.24</v>
      </c>
      <c r="D4" s="14">
        <f ca="1">IFERROR(__xludf.DUMMYFUNCTION("""COMPUTED_VALUE"""),0.41)</f>
        <v>0.41</v>
      </c>
      <c r="E4" s="14">
        <f ca="1">IFERROR(__xludf.DUMMYFUNCTION("""COMPUTED_VALUE"""),0.26)</f>
        <v>0.26</v>
      </c>
      <c r="F4" s="14">
        <f ca="1">IFERROR(__xludf.DUMMYFUNCTION("""COMPUTED_VALUE"""),0.45)</f>
        <v>0.45</v>
      </c>
      <c r="G4" s="14">
        <f ca="1">IFERROR(__xludf.DUMMYFUNCTION("""COMPUTED_VALUE"""),0.52)</f>
        <v>0.52</v>
      </c>
      <c r="H4" s="14">
        <f ca="1">IFERROR(__xludf.DUMMYFUNCTION("""COMPUTED_VALUE"""),0.68)</f>
        <v>0.68</v>
      </c>
      <c r="I4" s="14">
        <f ca="1">IFERROR(__xludf.DUMMYFUNCTION("""COMPUTED_VALUE"""),0.72)</f>
        <v>0.72</v>
      </c>
      <c r="J4" s="14">
        <f ca="1">IFERROR(__xludf.DUMMYFUNCTION("""COMPUTED_VALUE"""),0.82)</f>
        <v>0.82</v>
      </c>
      <c r="K4" s="14">
        <f ca="1">IFERROR(__xludf.DUMMYFUNCTION("""COMPUTED_VALUE"""),0.91)</f>
        <v>0.91</v>
      </c>
      <c r="L4" s="14">
        <f ca="1">IFERROR(__xludf.DUMMYFUNCTION("""COMPUTED_VALUE"""),0.93)</f>
        <v>0.93</v>
      </c>
      <c r="M4" s="14">
        <f ca="1">IFERROR(__xludf.DUMMYFUNCTION("""COMPUTED_VALUE"""),0.99)</f>
        <v>0.99</v>
      </c>
      <c r="N4" s="14">
        <f ca="1">IFERROR(__xludf.DUMMYFUNCTION("""COMPUTED_VALUE"""),1)</f>
        <v>1</v>
      </c>
    </row>
    <row r="5" spans="1:14" ht="15.75" customHeight="1">
      <c r="A5" s="8" t="s">
        <v>298</v>
      </c>
      <c r="B5">
        <f ca="1">IFERROR(__xludf.DUMMYFUNCTION("split(A5,"" "")"),4)</f>
        <v>4</v>
      </c>
      <c r="C5" s="14">
        <f ca="1">IFERROR(__xludf.DUMMYFUNCTION("""COMPUTED_VALUE"""),0.34)</f>
        <v>0.34</v>
      </c>
      <c r="D5" s="14">
        <f ca="1">IFERROR(__xludf.DUMMYFUNCTION("""COMPUTED_VALUE"""),0.52)</f>
        <v>0.52</v>
      </c>
      <c r="E5" s="14">
        <f ca="1">IFERROR(__xludf.DUMMYFUNCTION("""COMPUTED_VALUE"""),0.37)</f>
        <v>0.37</v>
      </c>
      <c r="F5" s="14">
        <f ca="1">IFERROR(__xludf.DUMMYFUNCTION("""COMPUTED_VALUE"""),0.56)</f>
        <v>0.56000000000000005</v>
      </c>
      <c r="G5" s="14">
        <f ca="1">IFERROR(__xludf.DUMMYFUNCTION("""COMPUTED_VALUE"""),0.63)</f>
        <v>0.63</v>
      </c>
      <c r="H5" s="14">
        <f ca="1">IFERROR(__xludf.DUMMYFUNCTION("""COMPUTED_VALUE"""),0.77)</f>
        <v>0.77</v>
      </c>
      <c r="I5" s="14">
        <f ca="1">IFERROR(__xludf.DUMMYFUNCTION("""COMPUTED_VALUE"""),0.8)</f>
        <v>0.8</v>
      </c>
      <c r="J5" s="14">
        <f ca="1">IFERROR(__xludf.DUMMYFUNCTION("""COMPUTED_VALUE"""),0.89)</f>
        <v>0.89</v>
      </c>
      <c r="K5" s="14">
        <f ca="1">IFERROR(__xludf.DUMMYFUNCTION("""COMPUTED_VALUE"""),0.96)</f>
        <v>0.96</v>
      </c>
      <c r="L5" s="14">
        <f ca="1">IFERROR(__xludf.DUMMYFUNCTION("""COMPUTED_VALUE"""),0.97)</f>
        <v>0.97</v>
      </c>
      <c r="M5" s="14">
        <f ca="1">IFERROR(__xludf.DUMMYFUNCTION("""COMPUTED_VALUE"""),1)</f>
        <v>1</v>
      </c>
      <c r="N5" s="14">
        <f ca="1">IFERROR(__xludf.DUMMYFUNCTION("""COMPUTED_VALUE"""),0.99)</f>
        <v>0.99</v>
      </c>
    </row>
    <row r="6" spans="1:14" ht="15.75" customHeight="1">
      <c r="A6" s="8" t="s">
        <v>299</v>
      </c>
      <c r="B6">
        <f ca="1">IFERROR(__xludf.DUMMYFUNCTION("split(A6,"" "")"),5)</f>
        <v>5</v>
      </c>
      <c r="C6" s="14">
        <f ca="1">IFERROR(__xludf.DUMMYFUNCTION("""COMPUTED_VALUE"""),0.45)</f>
        <v>0.45</v>
      </c>
      <c r="D6" s="14">
        <f ca="1">IFERROR(__xludf.DUMMYFUNCTION("""COMPUTED_VALUE"""),0.63)</f>
        <v>0.63</v>
      </c>
      <c r="E6" s="14">
        <f ca="1">IFERROR(__xludf.DUMMYFUNCTION("""COMPUTED_VALUE"""),0.48)</f>
        <v>0.48</v>
      </c>
      <c r="F6" s="14">
        <f ca="1">IFERROR(__xludf.DUMMYFUNCTION("""COMPUTED_VALUE"""),0.67)</f>
        <v>0.67</v>
      </c>
      <c r="G6" s="14">
        <f ca="1">IFERROR(__xludf.DUMMYFUNCTION("""COMPUTED_VALUE"""),0.73)</f>
        <v>0.73</v>
      </c>
      <c r="H6" s="14">
        <f ca="1">IFERROR(__xludf.DUMMYFUNCTION("""COMPUTED_VALUE"""),0.85)</f>
        <v>0.85</v>
      </c>
      <c r="I6" s="14">
        <f ca="1">IFERROR(__xludf.DUMMYFUNCTION("""COMPUTED_VALUE"""),0.87)</f>
        <v>0.87</v>
      </c>
      <c r="J6" s="14">
        <f ca="1">IFERROR(__xludf.DUMMYFUNCTION("""COMPUTED_VALUE"""),0.94)</f>
        <v>0.94</v>
      </c>
      <c r="K6" s="14">
        <f ca="1">IFERROR(__xludf.DUMMYFUNCTION("""COMPUTED_VALUE"""),0.99)</f>
        <v>0.99</v>
      </c>
      <c r="L6" s="14">
        <f ca="1">IFERROR(__xludf.DUMMYFUNCTION("""COMPUTED_VALUE"""),1)</f>
        <v>1</v>
      </c>
      <c r="M6" s="14">
        <f ca="1">IFERROR(__xludf.DUMMYFUNCTION("""COMPUTED_VALUE"""),0.98)</f>
        <v>0.98</v>
      </c>
      <c r="N6" s="14">
        <f ca="1">IFERROR(__xludf.DUMMYFUNCTION("""COMPUTED_VALUE"""),0.96)</f>
        <v>0.96</v>
      </c>
    </row>
    <row r="7" spans="1:14" ht="15.75" customHeight="1">
      <c r="A7" s="8" t="s">
        <v>300</v>
      </c>
      <c r="B7">
        <f ca="1">IFERROR(__xludf.DUMMYFUNCTION("split(A7,"" "")"),6)</f>
        <v>6</v>
      </c>
      <c r="C7" s="14">
        <f ca="1">IFERROR(__xludf.DUMMYFUNCTION("""COMPUTED_VALUE"""),0.56)</f>
        <v>0.56000000000000005</v>
      </c>
      <c r="D7" s="14">
        <f ca="1">IFERROR(__xludf.DUMMYFUNCTION("""COMPUTED_VALUE"""),0.74)</f>
        <v>0.74</v>
      </c>
      <c r="E7" s="14">
        <f ca="1">IFERROR(__xludf.DUMMYFUNCTION("""COMPUTED_VALUE"""),0.6)</f>
        <v>0.6</v>
      </c>
      <c r="F7" s="14">
        <f ca="1">IFERROR(__xludf.DUMMYFUNCTION("""COMPUTED_VALUE"""),0.77)</f>
        <v>0.77</v>
      </c>
      <c r="G7" s="14">
        <f ca="1">IFERROR(__xludf.DUMMYFUNCTION("""COMPUTED_VALUE"""),0.81)</f>
        <v>0.81</v>
      </c>
      <c r="H7" s="14">
        <f ca="1">IFERROR(__xludf.DUMMYFUNCTION("""COMPUTED_VALUE"""),0.91)</f>
        <v>0.91</v>
      </c>
      <c r="I7" s="14">
        <f ca="1">IFERROR(__xludf.DUMMYFUNCTION("""COMPUTED_VALUE"""),0.93)</f>
        <v>0.93</v>
      </c>
      <c r="J7" s="14">
        <f ca="1">IFERROR(__xludf.DUMMYFUNCTION("""COMPUTED_VALUE"""),0.98)</f>
        <v>0.98</v>
      </c>
      <c r="K7" s="14">
        <f ca="1">IFERROR(__xludf.DUMMYFUNCTION("""COMPUTED_VALUE"""),1)</f>
        <v>1</v>
      </c>
      <c r="L7" s="14">
        <f ca="1">IFERROR(__xludf.DUMMYFUNCTION("""COMPUTED_VALUE"""),0.99)</f>
        <v>0.99</v>
      </c>
      <c r="M7" s="14">
        <f ca="1">IFERROR(__xludf.DUMMYFUNCTION("""COMPUTED_VALUE"""),0.93)</f>
        <v>0.93</v>
      </c>
      <c r="N7" s="14">
        <f ca="1">IFERROR(__xludf.DUMMYFUNCTION("""COMPUTED_VALUE"""),0.9)</f>
        <v>0.9</v>
      </c>
    </row>
    <row r="8" spans="1:14" ht="15.75" customHeight="1">
      <c r="A8" s="8" t="s">
        <v>301</v>
      </c>
      <c r="B8">
        <f ca="1">IFERROR(__xludf.DUMMYFUNCTION("split(A8,"" "")"),7)</f>
        <v>7</v>
      </c>
      <c r="C8" s="14">
        <f ca="1">IFERROR(__xludf.DUMMYFUNCTION("""COMPUTED_VALUE"""),0.67)</f>
        <v>0.67</v>
      </c>
      <c r="D8" s="14">
        <f ca="1">IFERROR(__xludf.DUMMYFUNCTION("""COMPUTED_VALUE"""),0.83)</f>
        <v>0.83</v>
      </c>
      <c r="E8" s="14">
        <f ca="1">IFERROR(__xludf.DUMMYFUNCTION("""COMPUTED_VALUE"""),0.71)</f>
        <v>0.71</v>
      </c>
      <c r="F8" s="14">
        <f ca="1">IFERROR(__xludf.DUMMYFUNCTION("""COMPUTED_VALUE"""),0.85)</f>
        <v>0.85</v>
      </c>
      <c r="G8" s="14">
        <f ca="1">IFERROR(__xludf.DUMMYFUNCTION("""COMPUTED_VALUE"""),0.88)</f>
        <v>0.88</v>
      </c>
      <c r="H8" s="14">
        <f ca="1">IFERROR(__xludf.DUMMYFUNCTION("""COMPUTED_VALUE"""),0.95)</f>
        <v>0.95</v>
      </c>
      <c r="I8" s="14">
        <f ca="1">IFERROR(__xludf.DUMMYFUNCTION("""COMPUTED_VALUE"""),0.97)</f>
        <v>0.97</v>
      </c>
      <c r="J8" s="14">
        <f ca="1">IFERROR(__xludf.DUMMYFUNCTION("""COMPUTED_VALUE"""),1)</f>
        <v>1</v>
      </c>
      <c r="K8" s="14">
        <f ca="1">IFERROR(__xludf.DUMMYFUNCTION("""COMPUTED_VALUE"""),0.99)</f>
        <v>0.99</v>
      </c>
      <c r="L8" s="14">
        <f ca="1">IFERROR(__xludf.DUMMYFUNCTION("""COMPUTED_VALUE"""),0.97)</f>
        <v>0.97</v>
      </c>
      <c r="M8" s="14">
        <f ca="1">IFERROR(__xludf.DUMMYFUNCTION("""COMPUTED_VALUE"""),0.86)</f>
        <v>0.86</v>
      </c>
      <c r="N8" s="14">
        <f ca="1">IFERROR(__xludf.DUMMYFUNCTION("""COMPUTED_VALUE"""),0.81)</f>
        <v>0.81</v>
      </c>
    </row>
    <row r="9" spans="1:14" ht="15.75" customHeight="1">
      <c r="A9" s="8" t="s">
        <v>302</v>
      </c>
      <c r="B9">
        <f ca="1">IFERROR(__xludf.DUMMYFUNCTION("split(A9,"" "")"),8)</f>
        <v>8</v>
      </c>
      <c r="C9" s="14">
        <f ca="1">IFERROR(__xludf.DUMMYFUNCTION("""COMPUTED_VALUE"""),0.77)</f>
        <v>0.77</v>
      </c>
      <c r="D9" s="14">
        <f ca="1">IFERROR(__xludf.DUMMYFUNCTION("""COMPUTED_VALUE"""),0.91)</f>
        <v>0.91</v>
      </c>
      <c r="E9" s="14">
        <f ca="1">IFERROR(__xludf.DUMMYFUNCTION("""COMPUTED_VALUE"""),0.8)</f>
        <v>0.8</v>
      </c>
      <c r="F9" s="14">
        <f ca="1">IFERROR(__xludf.DUMMYFUNCTION("""COMPUTED_VALUE"""),0.92)</f>
        <v>0.92</v>
      </c>
      <c r="G9" s="14">
        <f ca="1">IFERROR(__xludf.DUMMYFUNCTION("""COMPUTED_VALUE"""),0.94)</f>
        <v>0.94</v>
      </c>
      <c r="H9" s="14">
        <f ca="1">IFERROR(__xludf.DUMMYFUNCTION("""COMPUTED_VALUE"""),0.98)</f>
        <v>0.98</v>
      </c>
      <c r="I9" s="14">
        <f ca="1">IFERROR(__xludf.DUMMYFUNCTION("""COMPUTED_VALUE"""),0.99)</f>
        <v>0.99</v>
      </c>
      <c r="J9" s="14">
        <f ca="1">IFERROR(__xludf.DUMMYFUNCTION("""COMPUTED_VALUE"""),1)</f>
        <v>1</v>
      </c>
      <c r="K9" s="14">
        <f ca="1">IFERROR(__xludf.DUMMYFUNCTION("""COMPUTED_VALUE"""),0.95)</f>
        <v>0.95</v>
      </c>
      <c r="L9" s="14">
        <f ca="1">IFERROR(__xludf.DUMMYFUNCTION("""COMPUTED_VALUE"""),0.91)</f>
        <v>0.91</v>
      </c>
      <c r="M9" s="14">
        <f ca="1">IFERROR(__xludf.DUMMYFUNCTION("""COMPUTED_VALUE"""),0.77)</f>
        <v>0.77</v>
      </c>
      <c r="N9" s="14">
        <f ca="1">IFERROR(__xludf.DUMMYFUNCTION("""COMPUTED_VALUE"""),0.71)</f>
        <v>0.71</v>
      </c>
    </row>
    <row r="10" spans="1:14" ht="15.75" customHeight="1">
      <c r="A10" s="8" t="s">
        <v>303</v>
      </c>
      <c r="B10">
        <f ca="1">IFERROR(__xludf.DUMMYFUNCTION("split(A10,"" "")"),9)</f>
        <v>9</v>
      </c>
      <c r="C10" s="14">
        <f ca="1">IFERROR(__xludf.DUMMYFUNCTION("""COMPUTED_VALUE"""),0.86)</f>
        <v>0.86</v>
      </c>
      <c r="D10" s="14">
        <f ca="1">IFERROR(__xludf.DUMMYFUNCTION("""COMPUTED_VALUE"""),0.96)</f>
        <v>0.96</v>
      </c>
      <c r="E10" s="14">
        <f ca="1">IFERROR(__xludf.DUMMYFUNCTION("""COMPUTED_VALUE"""),0.88)</f>
        <v>0.88</v>
      </c>
      <c r="F10" s="14">
        <f ca="1">IFERROR(__xludf.DUMMYFUNCTION("""COMPUTED_VALUE"""),0.96)</f>
        <v>0.96</v>
      </c>
      <c r="G10" s="14">
        <f ca="1">IFERROR(__xludf.DUMMYFUNCTION("""COMPUTED_VALUE"""),0.98)</f>
        <v>0.98</v>
      </c>
      <c r="H10" s="14">
        <f ca="1">IFERROR(__xludf.DUMMYFUNCTION("""COMPUTED_VALUE"""),1)</f>
        <v>1</v>
      </c>
      <c r="I10" s="14">
        <f ca="1">IFERROR(__xludf.DUMMYFUNCTION("""COMPUTED_VALUE"""),1)</f>
        <v>1</v>
      </c>
      <c r="J10" s="14">
        <f ca="1">IFERROR(__xludf.DUMMYFUNCTION("""COMPUTED_VALUE"""),0.97)</f>
        <v>0.97</v>
      </c>
      <c r="K10" s="14">
        <f ca="1">IFERROR(__xludf.DUMMYFUNCTION("""COMPUTED_VALUE"""),0.89)</f>
        <v>0.89</v>
      </c>
      <c r="L10" s="14">
        <f ca="1">IFERROR(__xludf.DUMMYFUNCTION("""COMPUTED_VALUE"""),0.84)</f>
        <v>0.84</v>
      </c>
      <c r="M10" s="14">
        <f ca="1">IFERROR(__xludf.DUMMYFUNCTION("""COMPUTED_VALUE"""),0.67)</f>
        <v>0.67</v>
      </c>
      <c r="N10" s="14">
        <f ca="1">IFERROR(__xludf.DUMMYFUNCTION("""COMPUTED_VALUE"""),0.61)</f>
        <v>0.61</v>
      </c>
    </row>
    <row r="11" spans="1:14" ht="15.75" customHeight="1">
      <c r="A11" s="8" t="s">
        <v>304</v>
      </c>
      <c r="B11">
        <f ca="1">IFERROR(__xludf.DUMMYFUNCTION("split(A11,"" "")"),10)</f>
        <v>10</v>
      </c>
      <c r="C11" s="14">
        <f ca="1">IFERROR(__xludf.DUMMYFUNCTION("""COMPUTED_VALUE"""),0.93)</f>
        <v>0.93</v>
      </c>
      <c r="D11" s="14">
        <f ca="1">IFERROR(__xludf.DUMMYFUNCTION("""COMPUTED_VALUE"""),0.99)</f>
        <v>0.99</v>
      </c>
      <c r="E11" s="14">
        <f ca="1">IFERROR(__xludf.DUMMYFUNCTION("""COMPUTED_VALUE"""),0.94)</f>
        <v>0.94</v>
      </c>
      <c r="F11" s="14">
        <f ca="1">IFERROR(__xludf.DUMMYFUNCTION("""COMPUTED_VALUE"""),0.99)</f>
        <v>0.99</v>
      </c>
      <c r="G11" s="14">
        <f ca="1">IFERROR(__xludf.DUMMYFUNCTION("""COMPUTED_VALUE"""),1)</f>
        <v>1</v>
      </c>
      <c r="H11" s="14">
        <f ca="1">IFERROR(__xludf.DUMMYFUNCTION("""COMPUTED_VALUE"""),0.99)</f>
        <v>0.99</v>
      </c>
      <c r="I11" s="14">
        <f ca="1">IFERROR(__xludf.DUMMYFUNCTION("""COMPUTED_VALUE"""),0.99)</f>
        <v>0.99</v>
      </c>
      <c r="J11" s="14">
        <f ca="1">IFERROR(__xludf.DUMMYFUNCTION("""COMPUTED_VALUE"""),0.93)</f>
        <v>0.93</v>
      </c>
      <c r="K11" s="14">
        <f ca="1">IFERROR(__xludf.DUMMYFUNCTION("""COMPUTED_VALUE"""),0.81)</f>
        <v>0.81</v>
      </c>
      <c r="L11" s="14">
        <f ca="1">IFERROR(__xludf.DUMMYFUNCTION("""COMPUTED_VALUE"""),0.74)</f>
        <v>0.74</v>
      </c>
      <c r="M11" s="14">
        <f ca="1">IFERROR(__xludf.DUMMYFUNCTION("""COMPUTED_VALUE"""),0.56)</f>
        <v>0.56000000000000005</v>
      </c>
      <c r="N11" s="14">
        <f ca="1">IFERROR(__xludf.DUMMYFUNCTION("""COMPUTED_VALUE"""),0.5)</f>
        <v>0.5</v>
      </c>
    </row>
    <row r="12" spans="1:14" ht="15.75" customHeight="1">
      <c r="A12" s="8" t="s">
        <v>305</v>
      </c>
      <c r="B12">
        <f ca="1">IFERROR(__xludf.DUMMYFUNCTION("split(A12,"" "")"),11)</f>
        <v>11</v>
      </c>
      <c r="C12" s="14">
        <f ca="1">IFERROR(__xludf.DUMMYFUNCTION("""COMPUTED_VALUE"""),0.98)</f>
        <v>0.98</v>
      </c>
      <c r="D12" s="14">
        <f ca="1">IFERROR(__xludf.DUMMYFUNCTION("""COMPUTED_VALUE"""),1)</f>
        <v>1</v>
      </c>
      <c r="E12" s="14">
        <f ca="1">IFERROR(__xludf.DUMMYFUNCTION("""COMPUTED_VALUE"""),0.98)</f>
        <v>0.98</v>
      </c>
      <c r="F12" s="14">
        <f ca="1">IFERROR(__xludf.DUMMYFUNCTION("""COMPUTED_VALUE"""),1)</f>
        <v>1</v>
      </c>
      <c r="G12" s="14">
        <f ca="1">IFERROR(__xludf.DUMMYFUNCTION("""COMPUTED_VALUE"""),1)</f>
        <v>1</v>
      </c>
      <c r="H12" s="14">
        <f ca="1">IFERROR(__xludf.DUMMYFUNCTION("""COMPUTED_VALUE"""),0.97)</f>
        <v>0.97</v>
      </c>
      <c r="I12" s="14">
        <f ca="1">IFERROR(__xludf.DUMMYFUNCTION("""COMPUTED_VALUE"""),0.96)</f>
        <v>0.96</v>
      </c>
      <c r="J12" s="14">
        <f ca="1">IFERROR(__xludf.DUMMYFUNCTION("""COMPUTED_VALUE"""),0.87)</f>
        <v>0.87</v>
      </c>
      <c r="K12" s="14">
        <f ca="1">IFERROR(__xludf.DUMMYFUNCTION("""COMPUTED_VALUE"""),0.72)</f>
        <v>0.72</v>
      </c>
      <c r="L12" s="14">
        <f ca="1">IFERROR(__xludf.DUMMYFUNCTION("""COMPUTED_VALUE"""),0.64)</f>
        <v>0.64</v>
      </c>
      <c r="M12" s="14">
        <f ca="1">IFERROR(__xludf.DUMMYFUNCTION("""COMPUTED_VALUE"""),0.45)</f>
        <v>0.45</v>
      </c>
      <c r="N12" s="14">
        <f ca="1">IFERROR(__xludf.DUMMYFUNCTION("""COMPUTED_VALUE"""),0.4)</f>
        <v>0.4</v>
      </c>
    </row>
    <row r="13" spans="1:14" ht="15.75" customHeight="1">
      <c r="A13" s="8" t="s">
        <v>306</v>
      </c>
      <c r="B13">
        <f ca="1">IFERROR(__xludf.DUMMYFUNCTION("split(A13,"" "")"),12)</f>
        <v>12</v>
      </c>
      <c r="C13" s="14">
        <f ca="1">IFERROR(__xludf.DUMMYFUNCTION("""COMPUTED_VALUE"""),1)</f>
        <v>1</v>
      </c>
      <c r="D13" s="14">
        <f ca="1">IFERROR(__xludf.DUMMYFUNCTION("""COMPUTED_VALUE"""),0.98)</f>
        <v>0.98</v>
      </c>
      <c r="E13" s="14">
        <f ca="1">IFERROR(__xludf.DUMMYFUNCTION("""COMPUTED_VALUE"""),1)</f>
        <v>1</v>
      </c>
      <c r="F13" s="14">
        <f ca="1">IFERROR(__xludf.DUMMYFUNCTION("""COMPUTED_VALUE"""),0.99)</f>
        <v>0.99</v>
      </c>
      <c r="G13" s="14">
        <f ca="1">IFERROR(__xludf.DUMMYFUNCTION("""COMPUTED_VALUE"""),0.98)</f>
        <v>0.98</v>
      </c>
      <c r="H13" s="14">
        <f ca="1">IFERROR(__xludf.DUMMYFUNCTION("""COMPUTED_VALUE"""),0.93)</f>
        <v>0.93</v>
      </c>
      <c r="I13" s="14">
        <f ca="1">IFERROR(__xludf.DUMMYFUNCTION("""COMPUTED_VALUE"""),0.91)</f>
        <v>0.91</v>
      </c>
      <c r="J13" s="14">
        <f ca="1">IFERROR(__xludf.DUMMYFUNCTION("""COMPUTED_VALUE"""),0.79)</f>
        <v>0.79</v>
      </c>
      <c r="K13" s="14">
        <f ca="1">IFERROR(__xludf.DUMMYFUNCTION("""COMPUTED_VALUE"""),0.61)</f>
        <v>0.61</v>
      </c>
      <c r="L13" s="14">
        <f ca="1">IFERROR(__xludf.DUMMYFUNCTION("""COMPUTED_VALUE"""),0.52)</f>
        <v>0.52</v>
      </c>
      <c r="M13" s="14">
        <f ca="1">IFERROR(__xludf.DUMMYFUNCTION("""COMPUTED_VALUE"""),0.34)</f>
        <v>0.34</v>
      </c>
      <c r="N13" s="14">
        <f ca="1">IFERROR(__xludf.DUMMYFUNCTION("""COMPUTED_VALUE"""),0.3)</f>
        <v>0.3</v>
      </c>
    </row>
    <row r="14" spans="1:14" ht="15.75" customHeight="1">
      <c r="A14" s="8" t="s">
        <v>307</v>
      </c>
      <c r="B14">
        <f ca="1">IFERROR(__xludf.DUMMYFUNCTION("split(A14,"" "")"),13)</f>
        <v>13</v>
      </c>
      <c r="C14" s="14">
        <f ca="1">IFERROR(__xludf.DUMMYFUNCTION("""COMPUTED_VALUE"""),0.99)</f>
        <v>0.99</v>
      </c>
      <c r="D14" s="14">
        <f ca="1">IFERROR(__xludf.DUMMYFUNCTION("""COMPUTED_VALUE"""),0.94)</f>
        <v>0.94</v>
      </c>
      <c r="E14" s="14">
        <f ca="1">IFERROR(__xludf.DUMMYFUNCTION("""COMPUTED_VALUE"""),0.99)</f>
        <v>0.99</v>
      </c>
      <c r="F14" s="14">
        <f ca="1">IFERROR(__xludf.DUMMYFUNCTION("""COMPUTED_VALUE"""),0.96)</f>
        <v>0.96</v>
      </c>
      <c r="G14" s="14">
        <f ca="1">IFERROR(__xludf.DUMMYFUNCTION("""COMPUTED_VALUE"""),0.95)</f>
        <v>0.95</v>
      </c>
      <c r="H14" s="14">
        <f ca="1">IFERROR(__xludf.DUMMYFUNCTION("""COMPUTED_VALUE"""),0.87)</f>
        <v>0.87</v>
      </c>
      <c r="I14" s="14">
        <f ca="1">IFERROR(__xludf.DUMMYFUNCTION("""COMPUTED_VALUE"""),0.84)</f>
        <v>0.84</v>
      </c>
      <c r="J14" s="14">
        <f ca="1">IFERROR(__xludf.DUMMYFUNCTION("""COMPUTED_VALUE"""),0.69)</f>
        <v>0.69</v>
      </c>
      <c r="K14" s="14">
        <f ca="1">IFERROR(__xludf.DUMMYFUNCTION("""COMPUTED_VALUE"""),0.49)</f>
        <v>0.49</v>
      </c>
      <c r="L14" s="14">
        <f ca="1">IFERROR(__xludf.DUMMYFUNCTION("""COMPUTED_VALUE"""),0.41)</f>
        <v>0.41</v>
      </c>
      <c r="M14" s="14">
        <f ca="1">IFERROR(__xludf.DUMMYFUNCTION("""COMPUTED_VALUE"""),0.25)</f>
        <v>0.25</v>
      </c>
      <c r="N14" s="14">
        <f ca="1">IFERROR(__xludf.DUMMYFUNCTION("""COMPUTED_VALUE"""),0.21)</f>
        <v>0.21</v>
      </c>
    </row>
    <row r="15" spans="1:14" ht="15.75" customHeight="1">
      <c r="A15" s="8" t="s">
        <v>308</v>
      </c>
      <c r="B15">
        <f ca="1">IFERROR(__xludf.DUMMYFUNCTION("split(A15,"" "")"),14)</f>
        <v>14</v>
      </c>
      <c r="C15" s="14">
        <f ca="1">IFERROR(__xludf.DUMMYFUNCTION("""COMPUTED_VALUE"""),0.96)</f>
        <v>0.96</v>
      </c>
      <c r="D15" s="14">
        <f ca="1">IFERROR(__xludf.DUMMYFUNCTION("""COMPUTED_VALUE"""),0.88)</f>
        <v>0.88</v>
      </c>
      <c r="E15" s="14">
        <f ca="1">IFERROR(__xludf.DUMMYFUNCTION("""COMPUTED_VALUE"""),0.97)</f>
        <v>0.97</v>
      </c>
      <c r="F15" s="14">
        <f ca="1">IFERROR(__xludf.DUMMYFUNCTION("""COMPUTED_VALUE"""),0.91)</f>
        <v>0.91</v>
      </c>
      <c r="G15" s="14">
        <f ca="1">IFERROR(__xludf.DUMMYFUNCTION("""COMPUTED_VALUE"""),0.9)</f>
        <v>0.9</v>
      </c>
      <c r="H15" s="14">
        <f ca="1">IFERROR(__xludf.DUMMYFUNCTION("""COMPUTED_VALUE"""),0.8)</f>
        <v>0.8</v>
      </c>
      <c r="I15" s="14">
        <f ca="1">IFERROR(__xludf.DUMMYFUNCTION("""COMPUTED_VALUE"""),0.76)</f>
        <v>0.76</v>
      </c>
      <c r="J15" s="14">
        <f ca="1">IFERROR(__xludf.DUMMYFUNCTION("""COMPUTED_VALUE"""),0.58)</f>
        <v>0.57999999999999996</v>
      </c>
      <c r="K15" s="14">
        <f ca="1">IFERROR(__xludf.DUMMYFUNCTION("""COMPUTED_VALUE"""),0.38)</f>
        <v>0.38</v>
      </c>
      <c r="L15" s="14">
        <f ca="1">IFERROR(__xludf.DUMMYFUNCTION("""COMPUTED_VALUE"""),0.3)</f>
        <v>0.3</v>
      </c>
      <c r="M15" s="14">
        <f ca="1">IFERROR(__xludf.DUMMYFUNCTION("""COMPUTED_VALUE"""),0.16)</f>
        <v>0.16</v>
      </c>
      <c r="N15" s="14">
        <f ca="1">IFERROR(__xludf.DUMMYFUNCTION("""COMPUTED_VALUE"""),0.14)</f>
        <v>0.14000000000000001</v>
      </c>
    </row>
    <row r="16" spans="1:14" ht="15.75" customHeight="1">
      <c r="A16" s="8" t="s">
        <v>309</v>
      </c>
      <c r="B16">
        <f ca="1">IFERROR(__xludf.DUMMYFUNCTION("split(A16,"" "")"),15)</f>
        <v>15</v>
      </c>
      <c r="C16" s="14">
        <f ca="1">IFERROR(__xludf.DUMMYFUNCTION("""COMPUTED_VALUE"""),0.9)</f>
        <v>0.9</v>
      </c>
      <c r="D16" s="14">
        <f ca="1">IFERROR(__xludf.DUMMYFUNCTION("""COMPUTED_VALUE"""),0.81)</f>
        <v>0.81</v>
      </c>
      <c r="E16" s="14">
        <f ca="1">IFERROR(__xludf.DUMMYFUNCTION("""COMPUTED_VALUE"""),0.93)</f>
        <v>0.93</v>
      </c>
      <c r="F16" s="14">
        <f ca="1">IFERROR(__xludf.DUMMYFUNCTION("""COMPUTED_VALUE"""),0.85)</f>
        <v>0.85</v>
      </c>
      <c r="G16" s="14">
        <f ca="1">IFERROR(__xludf.DUMMYFUNCTION("""COMPUTED_VALUE"""),0.83)</f>
        <v>0.83</v>
      </c>
      <c r="H16" s="14">
        <f ca="1">IFERROR(__xludf.DUMMYFUNCTION("""COMPUTED_VALUE"""),0.72)</f>
        <v>0.72</v>
      </c>
      <c r="I16" s="14">
        <f ca="1">IFERROR(__xludf.DUMMYFUNCTION("""COMPUTED_VALUE"""),0.66)</f>
        <v>0.66</v>
      </c>
      <c r="J16" s="14">
        <f ca="1">IFERROR(__xludf.DUMMYFUNCTION("""COMPUTED_VALUE"""),0.47)</f>
        <v>0.47</v>
      </c>
      <c r="K16" s="14">
        <f ca="1">IFERROR(__xludf.DUMMYFUNCTION("""COMPUTED_VALUE"""),0.27)</f>
        <v>0.27</v>
      </c>
      <c r="L16" s="14">
        <f ca="1">IFERROR(__xludf.DUMMYFUNCTION("""COMPUTED_VALUE"""),0.21)</f>
        <v>0.21</v>
      </c>
      <c r="M16" s="14">
        <f ca="1">IFERROR(__xludf.DUMMYFUNCTION("""COMPUTED_VALUE"""),0.1)</f>
        <v>0.1</v>
      </c>
      <c r="N16" s="14">
        <f ca="1">IFERROR(__xludf.DUMMYFUNCTION("""COMPUTED_VALUE"""),0.08)</f>
        <v>0.08</v>
      </c>
    </row>
    <row r="17" spans="1:14" ht="15.75" customHeight="1">
      <c r="A17" s="8" t="s">
        <v>310</v>
      </c>
      <c r="B17">
        <f ca="1">IFERROR(__xludf.DUMMYFUNCTION("split(A17,"" "")"),16)</f>
        <v>16</v>
      </c>
      <c r="C17" s="14">
        <f ca="1">IFERROR(__xludf.DUMMYFUNCTION("""COMPUTED_VALUE"""),0.83)</f>
        <v>0.83</v>
      </c>
      <c r="D17" s="14">
        <f ca="1">IFERROR(__xludf.DUMMYFUNCTION("""COMPUTED_VALUE"""),0.73)</f>
        <v>0.73</v>
      </c>
      <c r="E17" s="14">
        <f ca="1">IFERROR(__xludf.DUMMYFUNCTION("""COMPUTED_VALUE"""),0.87)</f>
        <v>0.87</v>
      </c>
      <c r="F17" s="14">
        <f ca="1">IFERROR(__xludf.DUMMYFUNCTION("""COMPUTED_VALUE"""),0.78)</f>
        <v>0.78</v>
      </c>
      <c r="G17" s="14">
        <f ca="1">IFERROR(__xludf.DUMMYFUNCTION("""COMPUTED_VALUE"""),0.76)</f>
        <v>0.76</v>
      </c>
      <c r="H17" s="14">
        <f ca="1">IFERROR(__xludf.DUMMYFUNCTION("""COMPUTED_VALUE"""),0.62)</f>
        <v>0.62</v>
      </c>
      <c r="I17" s="14">
        <f ca="1">IFERROR(__xludf.DUMMYFUNCTION("""COMPUTED_VALUE"""),0.55)</f>
        <v>0.55000000000000004</v>
      </c>
      <c r="J17" s="14">
        <f ca="1">IFERROR(__xludf.DUMMYFUNCTION("""COMPUTED_VALUE"""),0.36)</f>
        <v>0.36</v>
      </c>
      <c r="K17" s="14">
        <f ca="1">IFERROR(__xludf.DUMMYFUNCTION("""COMPUTED_VALUE"""),0.18)</f>
        <v>0.18</v>
      </c>
      <c r="L17" s="14">
        <f ca="1">IFERROR(__xludf.DUMMYFUNCTION("""COMPUTED_VALUE"""),0.13)</f>
        <v>0.13</v>
      </c>
      <c r="M17" s="14">
        <f ca="1">IFERROR(__xludf.DUMMYFUNCTION("""COMPUTED_VALUE"""),0.05)</f>
        <v>0.05</v>
      </c>
      <c r="N17" s="14">
        <f ca="1">IFERROR(__xludf.DUMMYFUNCTION("""COMPUTED_VALUE"""),0.04)</f>
        <v>0.04</v>
      </c>
    </row>
    <row r="18" spans="1:14" ht="15.75" customHeight="1">
      <c r="A18" s="8" t="s">
        <v>311</v>
      </c>
      <c r="B18">
        <f ca="1">IFERROR(__xludf.DUMMYFUNCTION("split(A18,"" "")"),17)</f>
        <v>17</v>
      </c>
      <c r="C18" s="14">
        <f ca="1">IFERROR(__xludf.DUMMYFUNCTION("""COMPUTED_VALUE"""),0.74)</f>
        <v>0.74</v>
      </c>
      <c r="D18" s="14">
        <f ca="1">IFERROR(__xludf.DUMMYFUNCTION("""COMPUTED_VALUE"""),0.64)</f>
        <v>0.64</v>
      </c>
      <c r="E18" s="14">
        <f ca="1">IFERROR(__xludf.DUMMYFUNCTION("""COMPUTED_VALUE"""),0.8)</f>
        <v>0.8</v>
      </c>
      <c r="F18" s="14">
        <f ca="1">IFERROR(__xludf.DUMMYFUNCTION("""COMPUTED_VALUE"""),0.7)</f>
        <v>0.7</v>
      </c>
      <c r="G18" s="14">
        <f ca="1">IFERROR(__xludf.DUMMYFUNCTION("""COMPUTED_VALUE"""),0.67)</f>
        <v>0.67</v>
      </c>
      <c r="H18" s="14">
        <f ca="1">IFERROR(__xludf.DUMMYFUNCTION("""COMPUTED_VALUE"""),0.52)</f>
        <v>0.52</v>
      </c>
      <c r="I18" s="14">
        <f ca="1">IFERROR(__xludf.DUMMYFUNCTION("""COMPUTED_VALUE"""),0.44)</f>
        <v>0.44</v>
      </c>
      <c r="J18" s="14">
        <f ca="1">IFERROR(__xludf.DUMMYFUNCTION("""COMPUTED_VALUE"""),0.25)</f>
        <v>0.25</v>
      </c>
      <c r="K18" s="14">
        <f ca="1">IFERROR(__xludf.DUMMYFUNCTION("""COMPUTED_VALUE"""),0.1)</f>
        <v>0.1</v>
      </c>
      <c r="L18" s="14">
        <f ca="1">IFERROR(__xludf.DUMMYFUNCTION("""COMPUTED_VALUE"""),0.07)</f>
        <v>7.0000000000000007E-2</v>
      </c>
      <c r="M18" s="14">
        <f ca="1">IFERROR(__xludf.DUMMYFUNCTION("""COMPUTED_VALUE"""),0.01)</f>
        <v>0.01</v>
      </c>
      <c r="N18" s="14">
        <f ca="1">IFERROR(__xludf.DUMMYFUNCTION("""COMPUTED_VALUE"""),0.01)</f>
        <v>0.01</v>
      </c>
    </row>
    <row r="19" spans="1:14" ht="15.75" customHeight="1">
      <c r="A19" s="8" t="s">
        <v>312</v>
      </c>
      <c r="B19">
        <f ca="1">IFERROR(__xludf.DUMMYFUNCTION("split(A19,"" "")"),18)</f>
        <v>18</v>
      </c>
      <c r="C19" s="14">
        <f ca="1">IFERROR(__xludf.DUMMYFUNCTION("""COMPUTED_VALUE"""),0.65)</f>
        <v>0.65</v>
      </c>
      <c r="D19" s="14">
        <f ca="1">IFERROR(__xludf.DUMMYFUNCTION("""COMPUTED_VALUE"""),0.55)</f>
        <v>0.55000000000000004</v>
      </c>
      <c r="E19" s="14">
        <f ca="1">IFERROR(__xludf.DUMMYFUNCTION("""COMPUTED_VALUE"""),0.71)</f>
        <v>0.71</v>
      </c>
      <c r="F19" s="14">
        <f ca="1">IFERROR(__xludf.DUMMYFUNCTION("""COMPUTED_VALUE"""),0.61)</f>
        <v>0.61</v>
      </c>
      <c r="G19" s="14">
        <f ca="1">IFERROR(__xludf.DUMMYFUNCTION("""COMPUTED_VALUE"""),0.57)</f>
        <v>0.56999999999999995</v>
      </c>
      <c r="H19" s="14">
        <f ca="1">IFERROR(__xludf.DUMMYFUNCTION("""COMPUTED_VALUE"""),0.41)</f>
        <v>0.41</v>
      </c>
      <c r="I19" s="14">
        <f ca="1">IFERROR(__xludf.DUMMYFUNCTION("""COMPUTED_VALUE"""),0.33)</f>
        <v>0.33</v>
      </c>
      <c r="J19" s="14">
        <f ca="1">IFERROR(__xludf.DUMMYFUNCTION("""COMPUTED_VALUE"""),0.15)</f>
        <v>0.15</v>
      </c>
      <c r="K19" s="14">
        <f ca="1">IFERROR(__xludf.DUMMYFUNCTION("""COMPUTED_VALUE"""),0.04)</f>
        <v>0.04</v>
      </c>
      <c r="L19" s="14">
        <f ca="1">IFERROR(__xludf.DUMMYFUNCTION("""COMPUTED_VALUE"""),0.02)</f>
        <v>0.02</v>
      </c>
      <c r="M19" s="14">
        <f ca="1">IFERROR(__xludf.DUMMYFUNCTION("""COMPUTED_VALUE"""),0)</f>
        <v>0</v>
      </c>
      <c r="N19" s="14">
        <f ca="1">IFERROR(__xludf.DUMMYFUNCTION("""COMPUTED_VALUE"""),0)</f>
        <v>0</v>
      </c>
    </row>
    <row r="20" spans="1:14" ht="15.75" customHeight="1">
      <c r="A20" s="8" t="s">
        <v>313</v>
      </c>
      <c r="B20">
        <f ca="1">IFERROR(__xludf.DUMMYFUNCTION("split(A20,"" "")"),19)</f>
        <v>19</v>
      </c>
      <c r="C20" s="14">
        <f ca="1">IFERROR(__xludf.DUMMYFUNCTION("""COMPUTED_VALUE"""),0.56)</f>
        <v>0.56000000000000005</v>
      </c>
      <c r="D20" s="14">
        <f ca="1">IFERROR(__xludf.DUMMYFUNCTION("""COMPUTED_VALUE"""),0.45)</f>
        <v>0.45</v>
      </c>
      <c r="E20" s="14">
        <f ca="1">IFERROR(__xludf.DUMMYFUNCTION("""COMPUTED_VALUE"""),0.63)</f>
        <v>0.63</v>
      </c>
      <c r="F20" s="14">
        <f ca="1">IFERROR(__xludf.DUMMYFUNCTION("""COMPUTED_VALUE"""),0.51)</f>
        <v>0.51</v>
      </c>
      <c r="G20" s="14">
        <f ca="1">IFERROR(__xludf.DUMMYFUNCTION("""COMPUTED_VALUE"""),0.47)</f>
        <v>0.47</v>
      </c>
      <c r="H20" s="14">
        <f ca="1">IFERROR(__xludf.DUMMYFUNCTION("""COMPUTED_VALUE"""),0.3)</f>
        <v>0.3</v>
      </c>
      <c r="I20" s="14">
        <f ca="1">IFERROR(__xludf.DUMMYFUNCTION("""COMPUTED_VALUE"""),0.23)</f>
        <v>0.23</v>
      </c>
      <c r="J20" s="14">
        <f ca="1">IFERROR(__xludf.DUMMYFUNCTION("""COMPUTED_VALUE"""),0.08)</f>
        <v>0.08</v>
      </c>
      <c r="K20" s="14">
        <f ca="1">IFERROR(__xludf.DUMMYFUNCTION("""COMPUTED_VALUE"""),0.01)</f>
        <v>0.01</v>
      </c>
      <c r="L20" s="14">
        <f ca="1">IFERROR(__xludf.DUMMYFUNCTION("""COMPUTED_VALUE"""),0)</f>
        <v>0</v>
      </c>
      <c r="M20" s="14">
        <f ca="1">IFERROR(__xludf.DUMMYFUNCTION("""COMPUTED_VALUE"""),0.01)</f>
        <v>0.01</v>
      </c>
      <c r="N20" s="14">
        <f ca="1">IFERROR(__xludf.DUMMYFUNCTION("""COMPUTED_VALUE"""),0.01)</f>
        <v>0.01</v>
      </c>
    </row>
    <row r="21" spans="1:14" ht="15.75" customHeight="1">
      <c r="A21" s="8" t="s">
        <v>314</v>
      </c>
      <c r="B21">
        <f ca="1">IFERROR(__xludf.DUMMYFUNCTION("split(A21,"" "")"),20)</f>
        <v>20</v>
      </c>
      <c r="C21" s="14">
        <f ca="1">IFERROR(__xludf.DUMMYFUNCTION("""COMPUTED_VALUE"""),0.46)</f>
        <v>0.46</v>
      </c>
      <c r="D21" s="14">
        <f ca="1">IFERROR(__xludf.DUMMYFUNCTION("""COMPUTED_VALUE"""),0.36)</f>
        <v>0.36</v>
      </c>
      <c r="E21" s="14">
        <f ca="1">IFERROR(__xludf.DUMMYFUNCTION("""COMPUTED_VALUE"""),0.53)</f>
        <v>0.53</v>
      </c>
      <c r="F21" s="14">
        <f ca="1">IFERROR(__xludf.DUMMYFUNCTION("""COMPUTED_VALUE"""),0.41)</f>
        <v>0.41</v>
      </c>
      <c r="G21" s="14">
        <f ca="1">IFERROR(__xludf.DUMMYFUNCTION("""COMPUTED_VALUE"""),0.37)</f>
        <v>0.37</v>
      </c>
      <c r="H21" s="14">
        <f ca="1">IFERROR(__xludf.DUMMYFUNCTION("""COMPUTED_VALUE"""),0.2)</f>
        <v>0.2</v>
      </c>
      <c r="I21" s="14">
        <f ca="1">IFERROR(__xludf.DUMMYFUNCTION("""COMPUTED_VALUE"""),0.13)</f>
        <v>0.13</v>
      </c>
      <c r="J21" s="14">
        <f ca="1">IFERROR(__xludf.DUMMYFUNCTION("""COMPUTED_VALUE"""),0.03)</f>
        <v>0.03</v>
      </c>
      <c r="K21" s="14">
        <f ca="1">IFERROR(__xludf.DUMMYFUNCTION("""COMPUTED_VALUE"""),0)</f>
        <v>0</v>
      </c>
      <c r="L21" s="14">
        <f ca="1">IFERROR(__xludf.DUMMYFUNCTION("""COMPUTED_VALUE"""),0)</f>
        <v>0</v>
      </c>
      <c r="M21" s="14">
        <f ca="1">IFERROR(__xludf.DUMMYFUNCTION("""COMPUTED_VALUE"""),0.03)</f>
        <v>0.03</v>
      </c>
      <c r="N21" s="14">
        <f ca="1">IFERROR(__xludf.DUMMYFUNCTION("""COMPUTED_VALUE"""),0.04)</f>
        <v>0.04</v>
      </c>
    </row>
    <row r="22" spans="1:14" ht="15.75" customHeight="1">
      <c r="A22" s="8" t="s">
        <v>315</v>
      </c>
      <c r="B22">
        <f ca="1">IFERROR(__xludf.DUMMYFUNCTION("split(A22,"" "")"),21)</f>
        <v>21</v>
      </c>
      <c r="C22" s="14">
        <f ca="1">IFERROR(__xludf.DUMMYFUNCTION("""COMPUTED_VALUE"""),0.37)</f>
        <v>0.37</v>
      </c>
      <c r="D22" s="14">
        <f ca="1">IFERROR(__xludf.DUMMYFUNCTION("""COMPUTED_VALUE"""),0.27)</f>
        <v>0.27</v>
      </c>
      <c r="E22" s="14">
        <f ca="1">IFERROR(__xludf.DUMMYFUNCTION("""COMPUTED_VALUE"""),0.44)</f>
        <v>0.44</v>
      </c>
      <c r="F22" s="14">
        <f ca="1">IFERROR(__xludf.DUMMYFUNCTION("""COMPUTED_VALUE"""),0.31)</f>
        <v>0.31</v>
      </c>
      <c r="G22" s="14">
        <f ca="1">IFERROR(__xludf.DUMMYFUNCTION("""COMPUTED_VALUE"""),0.26)</f>
        <v>0.26</v>
      </c>
      <c r="H22" s="14">
        <f ca="1">IFERROR(__xludf.DUMMYFUNCTION("""COMPUTED_VALUE"""),0.12)</f>
        <v>0.12</v>
      </c>
      <c r="I22" s="14">
        <f ca="1">IFERROR(__xludf.DUMMYFUNCTION("""COMPUTED_VALUE"""),0.06)</f>
        <v>0.06</v>
      </c>
      <c r="J22" s="14">
        <f ca="1">IFERROR(__xludf.DUMMYFUNCTION("""COMPUTED_VALUE"""),0)</f>
        <v>0</v>
      </c>
      <c r="K22" s="14">
        <f ca="1">IFERROR(__xludf.DUMMYFUNCTION("""COMPUTED_VALUE"""),0.01)</f>
        <v>0.01</v>
      </c>
      <c r="L22" s="14">
        <f ca="1">IFERROR(__xludf.DUMMYFUNCTION("""COMPUTED_VALUE"""),0.03)</f>
        <v>0.03</v>
      </c>
      <c r="M22" s="14">
        <f ca="1">IFERROR(__xludf.DUMMYFUNCTION("""COMPUTED_VALUE"""),0.07)</f>
        <v>7.0000000000000007E-2</v>
      </c>
      <c r="N22" s="14">
        <f ca="1">IFERROR(__xludf.DUMMYFUNCTION("""COMPUTED_VALUE"""),0.08)</f>
        <v>0.08</v>
      </c>
    </row>
    <row r="23" spans="1:14" ht="15.75" customHeight="1">
      <c r="A23" s="8" t="s">
        <v>316</v>
      </c>
      <c r="B23">
        <f ca="1">IFERROR(__xludf.DUMMYFUNCTION("split(A23,"" "")"),22)</f>
        <v>22</v>
      </c>
      <c r="C23" s="14">
        <f ca="1">IFERROR(__xludf.DUMMYFUNCTION("""COMPUTED_VALUE"""),0.28)</f>
        <v>0.28000000000000003</v>
      </c>
      <c r="D23" s="14">
        <f ca="1">IFERROR(__xludf.DUMMYFUNCTION("""COMPUTED_VALUE"""),0.19)</f>
        <v>0.19</v>
      </c>
      <c r="E23" s="14">
        <f ca="1">IFERROR(__xludf.DUMMYFUNCTION("""COMPUTED_VALUE"""),0.34)</f>
        <v>0.34</v>
      </c>
      <c r="F23" s="14">
        <f ca="1">IFERROR(__xludf.DUMMYFUNCTION("""COMPUTED_VALUE"""),0.22)</f>
        <v>0.22</v>
      </c>
      <c r="G23" s="14">
        <f ca="1">IFERROR(__xludf.DUMMYFUNCTION("""COMPUTED_VALUE"""),0.17)</f>
        <v>0.17</v>
      </c>
      <c r="H23" s="14">
        <f ca="1">IFERROR(__xludf.DUMMYFUNCTION("""COMPUTED_VALUE"""),0.05)</f>
        <v>0.05</v>
      </c>
      <c r="I23" s="14">
        <f ca="1">IFERROR(__xludf.DUMMYFUNCTION("""COMPUTED_VALUE"""),0.02)</f>
        <v>0.02</v>
      </c>
      <c r="J23" s="14">
        <f ca="1">IFERROR(__xludf.DUMMYFUNCTION("""COMPUTED_VALUE"""),0)</f>
        <v>0</v>
      </c>
      <c r="K23" s="14">
        <f ca="1">IFERROR(__xludf.DUMMYFUNCTION("""COMPUTED_VALUE"""),0.05)</f>
        <v>0.05</v>
      </c>
      <c r="L23" s="14">
        <f ca="1">IFERROR(__xludf.DUMMYFUNCTION("""COMPUTED_VALUE"""),0.06)</f>
        <v>0.06</v>
      </c>
      <c r="M23" s="14">
        <f ca="1">IFERROR(__xludf.DUMMYFUNCTION("""COMPUTED_VALUE"""),0.13)</f>
        <v>0.13</v>
      </c>
      <c r="N23" s="14">
        <f ca="1">IFERROR(__xludf.DUMMYFUNCTION("""COMPUTED_VALUE"""),0.14)</f>
        <v>0.14000000000000001</v>
      </c>
    </row>
    <row r="24" spans="1:14" ht="15.75" customHeight="1">
      <c r="A24" s="8" t="s">
        <v>317</v>
      </c>
      <c r="B24">
        <f ca="1">IFERROR(__xludf.DUMMYFUNCTION("split(A24,"" "")"),23)</f>
        <v>23</v>
      </c>
      <c r="C24" s="14">
        <f ca="1">IFERROR(__xludf.DUMMYFUNCTION("""COMPUTED_VALUE"""),0.2)</f>
        <v>0.2</v>
      </c>
      <c r="D24" s="14">
        <f ca="1">IFERROR(__xludf.DUMMYFUNCTION("""COMPUTED_VALUE"""),0.12)</f>
        <v>0.12</v>
      </c>
      <c r="E24" s="14">
        <f ca="1">IFERROR(__xludf.DUMMYFUNCTION("""COMPUTED_VALUE"""),0.25)</f>
        <v>0.25</v>
      </c>
      <c r="F24" s="14">
        <f ca="1">IFERROR(__xludf.DUMMYFUNCTION("""COMPUTED_VALUE"""),0.14)</f>
        <v>0.14000000000000001</v>
      </c>
      <c r="G24" s="14">
        <f ca="1">IFERROR(__xludf.DUMMYFUNCTION("""COMPUTED_VALUE"""),0.09)</f>
        <v>0.09</v>
      </c>
      <c r="H24" s="14">
        <f ca="1">IFERROR(__xludf.DUMMYFUNCTION("""COMPUTED_VALUE"""),0.01)</f>
        <v>0.01</v>
      </c>
      <c r="I24" s="14">
        <f ca="1">IFERROR(__xludf.DUMMYFUNCTION("""COMPUTED_VALUE"""),0)</f>
        <v>0</v>
      </c>
      <c r="J24" s="14">
        <f ca="1">IFERROR(__xludf.DUMMYFUNCTION("""COMPUTED_VALUE"""),0.03)</f>
        <v>0.03</v>
      </c>
      <c r="K24" s="14">
        <f ca="1">IFERROR(__xludf.DUMMYFUNCTION("""COMPUTED_VALUE"""),0.1)</f>
        <v>0.1</v>
      </c>
      <c r="L24" s="14">
        <f ca="1">IFERROR(__xludf.DUMMYFUNCTION("""COMPUTED_VALUE"""),0.12)</f>
        <v>0.12</v>
      </c>
      <c r="M24" s="14">
        <f ca="1">IFERROR(__xludf.DUMMYFUNCTION("""COMPUTED_VALUE"""),0.2)</f>
        <v>0.2</v>
      </c>
      <c r="N24" s="14">
        <f ca="1">IFERROR(__xludf.DUMMYFUNCTION("""COMPUTED_VALUE"""),0.21)</f>
        <v>0.21</v>
      </c>
    </row>
    <row r="25" spans="1:14" ht="15.75" customHeight="1">
      <c r="A25" s="8" t="s">
        <v>318</v>
      </c>
      <c r="B25">
        <f ca="1">IFERROR(__xludf.DUMMYFUNCTION("split(A25,"" "")"),24)</f>
        <v>24</v>
      </c>
      <c r="C25" s="14">
        <f ca="1">IFERROR(__xludf.DUMMYFUNCTION("""COMPUTED_VALUE"""),0.13)</f>
        <v>0.13</v>
      </c>
      <c r="D25" s="14">
        <f ca="1">IFERROR(__xludf.DUMMYFUNCTION("""COMPUTED_VALUE"""),0.06)</f>
        <v>0.06</v>
      </c>
      <c r="E25" s="14">
        <f ca="1">IFERROR(__xludf.DUMMYFUNCTION("""COMPUTED_VALUE"""),0.17)</f>
        <v>0.17</v>
      </c>
      <c r="F25" s="14">
        <f ca="1">IFERROR(__xludf.DUMMYFUNCTION("""COMPUTED_VALUE"""),0.07)</f>
        <v>7.0000000000000007E-2</v>
      </c>
      <c r="G25" s="14">
        <f ca="1">IFERROR(__xludf.DUMMYFUNCTION("""COMPUTED_VALUE"""),0.04)</f>
        <v>0.04</v>
      </c>
      <c r="H25" s="14">
        <f ca="1">IFERROR(__xludf.DUMMYFUNCTION("""COMPUTED_VALUE"""),0)</f>
        <v>0</v>
      </c>
      <c r="I25" s="14">
        <f ca="1">IFERROR(__xludf.DUMMYFUNCTION("""COMPUTED_VALUE"""),0.01)</f>
        <v>0.01</v>
      </c>
      <c r="J25" s="14">
        <f ca="1">IFERROR(__xludf.DUMMYFUNCTION("""COMPUTED_VALUE"""),0.08)</f>
        <v>0.08</v>
      </c>
      <c r="K25" s="14">
        <f ca="1">IFERROR(__xludf.DUMMYFUNCTION("""COMPUTED_VALUE"""),0.17)</f>
        <v>0.17</v>
      </c>
      <c r="L25" s="14">
        <f ca="1">IFERROR(__xludf.DUMMYFUNCTION("""COMPUTED_VALUE"""),0.19)</f>
        <v>0.19</v>
      </c>
      <c r="M25" s="14">
        <f ca="1">IFERROR(__xludf.DUMMYFUNCTION("""COMPUTED_VALUE"""),0.28)</f>
        <v>0.28000000000000003</v>
      </c>
      <c r="N25" s="14">
        <f ca="1">IFERROR(__xludf.DUMMYFUNCTION("""COMPUTED_VALUE"""),0.3)</f>
        <v>0.3</v>
      </c>
    </row>
    <row r="26" spans="1:14" ht="15.75" customHeight="1">
      <c r="A26" s="8" t="s">
        <v>319</v>
      </c>
      <c r="B26">
        <f ca="1">IFERROR(__xludf.DUMMYFUNCTION("split(A26,"" "")"),25)</f>
        <v>25</v>
      </c>
      <c r="C26" s="14">
        <f ca="1">IFERROR(__xludf.DUMMYFUNCTION("""COMPUTED_VALUE"""),0.07)</f>
        <v>7.0000000000000007E-2</v>
      </c>
      <c r="D26" s="14">
        <f ca="1">IFERROR(__xludf.DUMMYFUNCTION("""COMPUTED_VALUE"""),0.02)</f>
        <v>0.02</v>
      </c>
      <c r="E26" s="14">
        <f ca="1">IFERROR(__xludf.DUMMYFUNCTION("""COMPUTED_VALUE"""),0.1)</f>
        <v>0.1</v>
      </c>
      <c r="F26" s="14">
        <f ca="1">IFERROR(__xludf.DUMMYFUNCTION("""COMPUTED_VALUE"""),0.02)</f>
        <v>0.02</v>
      </c>
      <c r="G26" s="14">
        <f ca="1">IFERROR(__xludf.DUMMYFUNCTION("""COMPUTED_VALUE"""),0.01)</f>
        <v>0.01</v>
      </c>
      <c r="H26" s="14">
        <f ca="1">IFERROR(__xludf.DUMMYFUNCTION("""COMPUTED_VALUE"""),0.02)</f>
        <v>0.02</v>
      </c>
      <c r="I26" s="14">
        <f ca="1">IFERROR(__xludf.DUMMYFUNCTION("""COMPUTED_VALUE"""),0.05)</f>
        <v>0.05</v>
      </c>
      <c r="J26" s="14">
        <f ca="1">IFERROR(__xludf.DUMMYFUNCTION("""COMPUTED_VALUE"""),0.15)</f>
        <v>0.15</v>
      </c>
      <c r="K26" s="14">
        <f ca="1">IFERROR(__xludf.DUMMYFUNCTION("""COMPUTED_VALUE"""),0.25)</f>
        <v>0.25</v>
      </c>
      <c r="L26" s="14">
        <f ca="1">IFERROR(__xludf.DUMMYFUNCTION("""COMPUTED_VALUE"""),0.26)</f>
        <v>0.26</v>
      </c>
      <c r="M26" s="14">
        <f ca="1">IFERROR(__xludf.DUMMYFUNCTION("""COMPUTED_VALUE"""),0.37)</f>
        <v>0.37</v>
      </c>
      <c r="N26" s="14">
        <f ca="1">IFERROR(__xludf.DUMMYFUNCTION("""COMPUTED_VALUE"""),0.39)</f>
        <v>0.39</v>
      </c>
    </row>
    <row r="27" spans="1:14" ht="15.75" customHeight="1">
      <c r="A27" s="8" t="s">
        <v>320</v>
      </c>
      <c r="B27">
        <f ca="1">IFERROR(__xludf.DUMMYFUNCTION("split(A27,"" "")"),26)</f>
        <v>26</v>
      </c>
      <c r="C27" s="14">
        <f ca="1">IFERROR(__xludf.DUMMYFUNCTION("""COMPUTED_VALUE"""),0.03)</f>
        <v>0.03</v>
      </c>
      <c r="D27" s="14">
        <f ca="1">IFERROR(__xludf.DUMMYFUNCTION("""COMPUTED_VALUE"""),0)</f>
        <v>0</v>
      </c>
      <c r="E27" s="14">
        <f ca="1">IFERROR(__xludf.DUMMYFUNCTION("""COMPUTED_VALUE"""),0.04)</f>
        <v>0.04</v>
      </c>
      <c r="F27" s="14">
        <f ca="1">IFERROR(__xludf.DUMMYFUNCTION("""COMPUTED_VALUE"""),0)</f>
        <v>0</v>
      </c>
      <c r="G27" s="14">
        <f ca="1">IFERROR(__xludf.DUMMYFUNCTION("""COMPUTED_VALUE"""),0.01)</f>
        <v>0.01</v>
      </c>
      <c r="H27" s="14">
        <f ca="1">IFERROR(__xludf.DUMMYFUNCTION("""COMPUTED_VALUE"""),0.07)</f>
        <v>7.0000000000000007E-2</v>
      </c>
      <c r="I27" s="14">
        <f ca="1">IFERROR(__xludf.DUMMYFUNCTION("""COMPUTED_VALUE"""),0.11)</f>
        <v>0.11</v>
      </c>
      <c r="J27" s="14">
        <f ca="1">IFERROR(__xludf.DUMMYFUNCTION("""COMPUTED_VALUE"""),0.22)</f>
        <v>0.22</v>
      </c>
      <c r="K27" s="14">
        <f ca="1">IFERROR(__xludf.DUMMYFUNCTION("""COMPUTED_VALUE"""),0.34)</f>
        <v>0.34</v>
      </c>
      <c r="L27" s="14">
        <f ca="1">IFERROR(__xludf.DUMMYFUNCTION("""COMPUTED_VALUE"""),0.35)</f>
        <v>0.35</v>
      </c>
      <c r="M27" s="14">
        <f ca="1">IFERROR(__xludf.DUMMYFUNCTION("""COMPUTED_VALUE"""),0.46)</f>
        <v>0.46</v>
      </c>
      <c r="N27" s="14">
        <f ca="1">IFERROR(__xludf.DUMMYFUNCTION("""COMPUTED_VALUE"""),0.5)</f>
        <v>0.5</v>
      </c>
    </row>
    <row r="28" spans="1:14" ht="15.75" customHeight="1">
      <c r="A28" s="8" t="s">
        <v>321</v>
      </c>
      <c r="B28">
        <f ca="1">IFERROR(__xludf.DUMMYFUNCTION("split(A28,"" "")"),27)</f>
        <v>27</v>
      </c>
      <c r="C28" s="14">
        <f ca="1">IFERROR(__xludf.DUMMYFUNCTION("""COMPUTED_VALUE"""),0.01)</f>
        <v>0.01</v>
      </c>
      <c r="D28" s="14">
        <f ca="1">IFERROR(__xludf.DUMMYFUNCTION("""COMPUTED_VALUE"""),0.01)</f>
        <v>0.01</v>
      </c>
      <c r="E28" s="14">
        <f ca="1">IFERROR(__xludf.DUMMYFUNCTION("""COMPUTED_VALUE"""),0.01)</f>
        <v>0.01</v>
      </c>
      <c r="F28" s="14">
        <f ca="1">IFERROR(__xludf.DUMMYFUNCTION("""COMPUTED_VALUE"""),0.01)</f>
        <v>0.01</v>
      </c>
      <c r="G28" s="14">
        <f ca="1">IFERROR(__xludf.DUMMYFUNCTION("""COMPUTED_VALUE"""),0.04)</f>
        <v>0.04</v>
      </c>
      <c r="H28" s="14">
        <f ca="1">IFERROR(__xludf.DUMMYFUNCTION("""COMPUTED_VALUE"""),0.14)</f>
        <v>0.14000000000000001</v>
      </c>
      <c r="I28" s="14">
        <f ca="1">IFERROR(__xludf.DUMMYFUNCTION("""COMPUTED_VALUE"""),0.19)</f>
        <v>0.19</v>
      </c>
      <c r="J28" s="14">
        <f ca="1">IFERROR(__xludf.DUMMYFUNCTION("""COMPUTED_VALUE"""),0.31)</f>
        <v>0.31</v>
      </c>
      <c r="K28" s="14">
        <f ca="1">IFERROR(__xludf.DUMMYFUNCTION("""COMPUTED_VALUE"""),0.43)</f>
        <v>0.43</v>
      </c>
      <c r="L28" s="14">
        <f ca="1">IFERROR(__xludf.DUMMYFUNCTION("""COMPUTED_VALUE"""),0.44)</f>
        <v>0.44</v>
      </c>
      <c r="M28" s="14">
        <f ca="1">IFERROR(__xludf.DUMMYFUNCTION("""COMPUTED_VALUE"""),0.56)</f>
        <v>0.56000000000000005</v>
      </c>
      <c r="N28" s="14">
        <f ca="1">IFERROR(__xludf.DUMMYFUNCTION("""COMPUTED_VALUE"""),0.6)</f>
        <v>0.6</v>
      </c>
    </row>
    <row r="29" spans="1:14" ht="15.75" customHeight="1">
      <c r="A29" s="8" t="s">
        <v>322</v>
      </c>
      <c r="B29">
        <f ca="1">IFERROR(__xludf.DUMMYFUNCTION("split(A29,"" "")"),28)</f>
        <v>28</v>
      </c>
      <c r="C29" s="14">
        <f ca="1">IFERROR(__xludf.DUMMYFUNCTION("""COMPUTED_VALUE"""),0)</f>
        <v>0</v>
      </c>
      <c r="D29" s="14">
        <f ca="1">IFERROR(__xludf.DUMMYFUNCTION("""COMPUTED_VALUE"""),0.04)</f>
        <v>0.04</v>
      </c>
      <c r="E29" s="14">
        <f ca="1">IFERROR(__xludf.DUMMYFUNCTION("""COMPUTED_VALUE"""),0)</f>
        <v>0</v>
      </c>
      <c r="F29" s="14">
        <f ca="1">IFERROR(__xludf.DUMMYFUNCTION("""COMPUTED_VALUE"""),0.05)</f>
        <v>0.05</v>
      </c>
      <c r="G29" s="14">
        <f ca="1">IFERROR(__xludf.DUMMYFUNCTION("""COMPUTED_VALUE"""),0.09)</f>
        <v>0.09</v>
      </c>
      <c r="H29" s="14">
        <f ca="1">IFERROR(__xludf.DUMMYFUNCTION("""COMPUTED_VALUE"""),0.23)</f>
        <v>0.23</v>
      </c>
      <c r="I29" s="14">
        <f ca="1">IFERROR(__xludf.DUMMYFUNCTION("""COMPUTED_VALUE"""),0.28)</f>
        <v>0.28000000000000003</v>
      </c>
      <c r="J29" s="14">
        <f ca="1">IFERROR(__xludf.DUMMYFUNCTION("""COMPUTED_VALUE"""),0.41)</f>
        <v>0.41</v>
      </c>
      <c r="K29" s="14">
        <f ca="1">IFERROR(__xludf.DUMMYFUNCTION("""COMPUTED_VALUE"""),0.52)</f>
        <v>0.52</v>
      </c>
      <c r="L29" s="14">
        <f ca="1">IFERROR(__xludf.DUMMYFUNCTION("""COMPUTED_VALUE"""),0.54)</f>
        <v>0.54</v>
      </c>
      <c r="M29" s="14">
        <f ca="1">IFERROR(__xludf.DUMMYFUNCTION("""COMPUTED_VALUE"""),0.66)</f>
        <v>0.66</v>
      </c>
      <c r="N29" s="14">
        <f ca="1">IFERROR(__xludf.DUMMYFUNCTION("""COMPUTED_VALUE"""),0.7)</f>
        <v>0.7</v>
      </c>
    </row>
    <row r="30" spans="1:14" ht="15.75" customHeight="1">
      <c r="A30" s="8" t="s">
        <v>323</v>
      </c>
      <c r="B30">
        <f ca="1">IFERROR(__xludf.DUMMYFUNCTION("split(A30,"" "")"),29)</f>
        <v>29</v>
      </c>
      <c r="C30" s="14">
        <f ca="1">IFERROR(__xludf.DUMMYFUNCTION("""COMPUTED_VALUE"""),0.02)</f>
        <v>0.02</v>
      </c>
      <c r="D30" s="14" t="str">
        <f ca="1">IFERROR(__xludf.DUMMYFUNCTION("""COMPUTED_VALUE"""),"x")</f>
        <v>x</v>
      </c>
      <c r="E30" s="14">
        <f ca="1">IFERROR(__xludf.DUMMYFUNCTION("""COMPUTED_VALUE"""),0.02)</f>
        <v>0.02</v>
      </c>
      <c r="F30" s="14">
        <f ca="1">IFERROR(__xludf.DUMMYFUNCTION("""COMPUTED_VALUE"""),0.12)</f>
        <v>0.12</v>
      </c>
      <c r="G30" s="14">
        <f ca="1">IFERROR(__xludf.DUMMYFUNCTION("""COMPUTED_VALUE"""),0.18)</f>
        <v>0.18</v>
      </c>
      <c r="H30" s="14">
        <f ca="1">IFERROR(__xludf.DUMMYFUNCTION("""COMPUTED_VALUE"""),0.33)</f>
        <v>0.33</v>
      </c>
      <c r="I30" s="14">
        <f ca="1">IFERROR(__xludf.DUMMYFUNCTION("""COMPUTED_VALUE"""),0.37)</f>
        <v>0.37</v>
      </c>
      <c r="J30" s="14">
        <f ca="1">IFERROR(__xludf.DUMMYFUNCTION("""COMPUTED_VALUE"""),0.5)</f>
        <v>0.5</v>
      </c>
      <c r="K30" s="14">
        <f ca="1">IFERROR(__xludf.DUMMYFUNCTION("""COMPUTED_VALUE"""),0.62)</f>
        <v>0.62</v>
      </c>
      <c r="L30" s="14">
        <f ca="1">IFERROR(__xludf.DUMMYFUNCTION("""COMPUTED_VALUE"""),0.64)</f>
        <v>0.64</v>
      </c>
      <c r="M30" s="14">
        <f ca="1">IFERROR(__xludf.DUMMYFUNCTION("""COMPUTED_VALUE"""),0.76)</f>
        <v>0.76</v>
      </c>
      <c r="N30" s="14">
        <f ca="1">IFERROR(__xludf.DUMMYFUNCTION("""COMPUTED_VALUE"""),0.8)</f>
        <v>0.8</v>
      </c>
    </row>
    <row r="31" spans="1:14" ht="15.75" customHeight="1">
      <c r="A31" s="8" t="s">
        <v>324</v>
      </c>
      <c r="B31">
        <f ca="1">IFERROR(__xludf.DUMMYFUNCTION("split(A31,"" "")"),30)</f>
        <v>30</v>
      </c>
      <c r="C31" s="14">
        <f ca="1">IFERROR(__xludf.DUMMYFUNCTION("""COMPUTED_VALUE"""),0.06)</f>
        <v>0.06</v>
      </c>
      <c r="D31" s="14" t="str">
        <f ca="1">IFERROR(__xludf.DUMMYFUNCTION("""COMPUTED_VALUE"""),"x")</f>
        <v>x</v>
      </c>
      <c r="E31" s="14">
        <f ca="1">IFERROR(__xludf.DUMMYFUNCTION("""COMPUTED_VALUE"""),0.07)</f>
        <v>7.0000000000000007E-2</v>
      </c>
      <c r="F31" s="14">
        <f ca="1">IFERROR(__xludf.DUMMYFUNCTION("""COMPUTED_VALUE"""),0.2)</f>
        <v>0.2</v>
      </c>
      <c r="G31" s="14">
        <f ca="1">IFERROR(__xludf.DUMMYFUNCTION("""COMPUTED_VALUE"""),0.27)</f>
        <v>0.27</v>
      </c>
      <c r="H31" s="14">
        <f ca="1">IFERROR(__xludf.DUMMYFUNCTION("""COMPUTED_VALUE"""),0.43)</f>
        <v>0.43</v>
      </c>
      <c r="I31" s="14">
        <f ca="1">IFERROR(__xludf.DUMMYFUNCTION("""COMPUTED_VALUE"""),0.47)</f>
        <v>0.47</v>
      </c>
      <c r="J31" s="14">
        <f ca="1">IFERROR(__xludf.DUMMYFUNCTION("""COMPUTED_VALUE"""),0.59)</f>
        <v>0.59</v>
      </c>
      <c r="K31" s="14">
        <f ca="1">IFERROR(__xludf.DUMMYFUNCTION("""COMPUTED_VALUE"""),0.71)</f>
        <v>0.71</v>
      </c>
      <c r="L31" s="14">
        <f ca="1">IFERROR(__xludf.DUMMYFUNCTION("""COMPUTED_VALUE"""),0.73)</f>
        <v>0.73</v>
      </c>
      <c r="M31" s="14">
        <f ca="1">IFERROR(__xludf.DUMMYFUNCTION("""COMPUTED_VALUE"""),0.85)</f>
        <v>0.85</v>
      </c>
      <c r="N31" s="14">
        <f ca="1">IFERROR(__xludf.DUMMYFUNCTION("""COMPUTED_VALUE"""),0.89)</f>
        <v>0.89</v>
      </c>
    </row>
    <row r="32" spans="1:14" ht="15.75" customHeight="1">
      <c r="A32" s="187" t="s">
        <v>325</v>
      </c>
      <c r="B32">
        <f ca="1">IFERROR(__xludf.DUMMYFUNCTION("split(A32,"" "")"),31)</f>
        <v>31</v>
      </c>
      <c r="C32" s="14">
        <f ca="1">IFERROR(__xludf.DUMMYFUNCTION("""COMPUTED_VALUE"""),0.12)</f>
        <v>0.12</v>
      </c>
      <c r="D32" s="14" t="str">
        <f ca="1">IFERROR(__xludf.DUMMYFUNCTION("""COMPUTED_VALUE"""),"x")</f>
        <v>x</v>
      </c>
      <c r="E32" s="14">
        <f ca="1">IFERROR(__xludf.DUMMYFUNCTION("""COMPUTED_VALUE"""),0.14)</f>
        <v>0.14000000000000001</v>
      </c>
      <c r="F32" s="14" t="str">
        <f ca="1">IFERROR(__xludf.DUMMYFUNCTION("""COMPUTED_VALUE"""),"x")</f>
        <v>x</v>
      </c>
      <c r="G32" s="14">
        <f ca="1">IFERROR(__xludf.DUMMYFUNCTION("""COMPUTED_VALUE"""),0.37)</f>
        <v>0.37</v>
      </c>
      <c r="H32" s="14" t="str">
        <f ca="1">IFERROR(__xludf.DUMMYFUNCTION("""COMPUTED_VALUE"""),"x")</f>
        <v>x</v>
      </c>
      <c r="I32" s="14">
        <f ca="1">IFERROR(__xludf.DUMMYFUNCTION("""COMPUTED_VALUE"""),0.57)</f>
        <v>0.56999999999999995</v>
      </c>
      <c r="J32" s="14">
        <f ca="1">IFERROR(__xludf.DUMMYFUNCTION("""COMPUTED_VALUE"""),0.69)</f>
        <v>0.69</v>
      </c>
      <c r="K32" s="14" t="str">
        <f ca="1">IFERROR(__xludf.DUMMYFUNCTION("""COMPUTED_VALUE"""),"x")</f>
        <v>x</v>
      </c>
      <c r="L32" s="14">
        <f ca="1">IFERROR(__xludf.DUMMYFUNCTION("""COMPUTED_VALUE"""),0.82)</f>
        <v>0.82</v>
      </c>
      <c r="M32" s="14" t="str">
        <f ca="1">IFERROR(__xludf.DUMMYFUNCTION("""COMPUTED_VALUE"""),"x")</f>
        <v>x</v>
      </c>
      <c r="N32" s="14">
        <f ca="1">IFERROR(__xludf.DUMMYFUNCTION("""COMPUTED_VALUE"""),0.95)</f>
        <v>0.95</v>
      </c>
    </row>
  </sheetData>
  <conditionalFormatting sqref="C2:N32">
    <cfRule type="colorScale" priority="1">
      <colorScale>
        <cfvo type="min"/>
        <cfvo type="max"/>
        <color rgb="FF999999"/>
        <color rgb="FFFFFFFF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47"/>
  <sheetViews>
    <sheetView workbookViewId="0"/>
  </sheetViews>
  <sheetFormatPr baseColWidth="10" defaultColWidth="12.6640625" defaultRowHeight="15.75" customHeight="1"/>
  <cols>
    <col min="1" max="1" width="20.5" customWidth="1"/>
  </cols>
  <sheetData>
    <row r="1" spans="1:4" ht="15.75" customHeight="1">
      <c r="A1" s="75" t="s">
        <v>326</v>
      </c>
      <c r="B1" s="8" t="s">
        <v>327</v>
      </c>
      <c r="D1" s="8"/>
    </row>
    <row r="2" spans="1:4" ht="15.75" customHeight="1">
      <c r="A2" s="75" t="s">
        <v>0</v>
      </c>
      <c r="B2" s="8" t="s">
        <v>328</v>
      </c>
      <c r="D2" s="8"/>
    </row>
    <row r="3" spans="1:4" ht="15.75" customHeight="1">
      <c r="A3" s="75" t="s">
        <v>329</v>
      </c>
      <c r="B3" s="8" t="s">
        <v>330</v>
      </c>
      <c r="D3" s="8"/>
    </row>
    <row r="4" spans="1:4" ht="15.75" customHeight="1">
      <c r="A4" s="75" t="s">
        <v>331</v>
      </c>
      <c r="B4" s="8" t="s">
        <v>332</v>
      </c>
      <c r="D4" s="8"/>
    </row>
    <row r="5" spans="1:4" ht="15.75" customHeight="1">
      <c r="A5" s="75" t="s">
        <v>333</v>
      </c>
      <c r="B5" s="188" t="s">
        <v>334</v>
      </c>
      <c r="D5" s="8"/>
    </row>
    <row r="6" spans="1:4" ht="15.75" customHeight="1">
      <c r="A6" s="75" t="s">
        <v>3</v>
      </c>
      <c r="B6" s="8" t="s">
        <v>335</v>
      </c>
      <c r="D6" s="8"/>
    </row>
    <row r="7" spans="1:4" ht="15.75" customHeight="1">
      <c r="A7" s="189" t="s">
        <v>4</v>
      </c>
      <c r="B7" s="8" t="s">
        <v>336</v>
      </c>
      <c r="D7" s="8"/>
    </row>
    <row r="8" spans="1:4" ht="15.75" customHeight="1">
      <c r="A8" s="189" t="s">
        <v>337</v>
      </c>
      <c r="B8" s="8" t="s">
        <v>338</v>
      </c>
      <c r="D8" s="8"/>
    </row>
    <row r="9" spans="1:4" ht="15.75" customHeight="1">
      <c r="A9" s="189" t="s">
        <v>339</v>
      </c>
      <c r="B9" s="8" t="s">
        <v>340</v>
      </c>
      <c r="D9" s="8"/>
    </row>
    <row r="10" spans="1:4" ht="15.75" customHeight="1">
      <c r="A10" s="189" t="s">
        <v>9</v>
      </c>
      <c r="B10" s="8" t="s">
        <v>341</v>
      </c>
      <c r="D10" s="8"/>
    </row>
    <row r="11" spans="1:4" ht="15.75" customHeight="1">
      <c r="A11" s="189" t="s">
        <v>10</v>
      </c>
      <c r="B11" s="8" t="s">
        <v>342</v>
      </c>
      <c r="D11" s="8"/>
    </row>
    <row r="12" spans="1:4" ht="15.75" customHeight="1">
      <c r="A12" s="189" t="s">
        <v>11</v>
      </c>
      <c r="B12" s="8" t="s">
        <v>343</v>
      </c>
      <c r="D12" s="8"/>
    </row>
    <row r="13" spans="1:4" ht="15.75" customHeight="1">
      <c r="A13" s="189" t="s">
        <v>344</v>
      </c>
      <c r="B13" s="8" t="s">
        <v>345</v>
      </c>
      <c r="D13" s="8"/>
    </row>
    <row r="14" spans="1:4" ht="15.75" customHeight="1">
      <c r="A14" s="189" t="s">
        <v>8</v>
      </c>
      <c r="B14" s="8" t="s">
        <v>346</v>
      </c>
      <c r="D14" s="8"/>
    </row>
    <row r="15" spans="1:4" ht="15.75" customHeight="1">
      <c r="A15" s="189" t="s">
        <v>347</v>
      </c>
      <c r="B15" s="8" t="s">
        <v>348</v>
      </c>
      <c r="D15" s="8"/>
    </row>
    <row r="16" spans="1:4" ht="15.75" customHeight="1">
      <c r="A16" s="189" t="s">
        <v>349</v>
      </c>
      <c r="B16" s="8" t="s">
        <v>350</v>
      </c>
      <c r="D16" s="8"/>
    </row>
    <row r="17" spans="1:4" ht="15.75" customHeight="1">
      <c r="A17" s="189" t="s">
        <v>29</v>
      </c>
      <c r="B17" s="8" t="s">
        <v>351</v>
      </c>
      <c r="D17" s="8"/>
    </row>
    <row r="18" spans="1:4" ht="15.75" customHeight="1">
      <c r="A18" s="75" t="s">
        <v>352</v>
      </c>
      <c r="B18" s="8" t="s">
        <v>353</v>
      </c>
      <c r="D18" s="8"/>
    </row>
    <row r="19" spans="1:4" ht="15.75" customHeight="1">
      <c r="A19" s="8"/>
      <c r="D19" s="8"/>
    </row>
    <row r="20" spans="1:4" ht="15.75" customHeight="1">
      <c r="A20" s="8"/>
      <c r="D20" s="8"/>
    </row>
    <row r="21" spans="1:4" ht="15.75" customHeight="1">
      <c r="A21" s="8"/>
      <c r="D21" s="8"/>
    </row>
    <row r="22" spans="1:4" ht="15.75" customHeight="1">
      <c r="A22" s="8"/>
      <c r="D22" s="8"/>
    </row>
    <row r="23" spans="1:4" ht="15.75" customHeight="1">
      <c r="A23" s="8"/>
      <c r="D23" s="8"/>
    </row>
    <row r="24" spans="1:4" ht="15.75" customHeight="1">
      <c r="A24" s="8"/>
      <c r="D24" s="8"/>
    </row>
    <row r="25" spans="1:4" ht="15.75" customHeight="1">
      <c r="A25" s="8"/>
      <c r="D25" s="8"/>
    </row>
    <row r="26" spans="1:4" ht="15.75" customHeight="1">
      <c r="A26" s="8"/>
      <c r="D26" s="8"/>
    </row>
    <row r="27" spans="1:4" ht="15.75" customHeight="1">
      <c r="A27" s="8"/>
      <c r="D27" s="8"/>
    </row>
    <row r="28" spans="1:4" ht="15.75" customHeight="1">
      <c r="A28" s="8"/>
      <c r="D28" s="8"/>
    </row>
    <row r="29" spans="1:4" ht="15.75" customHeight="1">
      <c r="A29" s="8"/>
      <c r="D29" s="8"/>
    </row>
    <row r="30" spans="1:4" ht="15.75" customHeight="1">
      <c r="A30" s="8"/>
      <c r="D30" s="8"/>
    </row>
    <row r="31" spans="1:4" ht="15.75" customHeight="1">
      <c r="A31" s="8"/>
      <c r="D31" s="8"/>
    </row>
    <row r="32" spans="1:4" ht="15.75" customHeight="1">
      <c r="A32" s="8"/>
      <c r="D32" s="8"/>
    </row>
    <row r="33" spans="1:4" ht="15.75" customHeight="1">
      <c r="A33" s="8"/>
      <c r="D33" s="8"/>
    </row>
    <row r="34" spans="1:4" ht="15.75" customHeight="1">
      <c r="A34" s="8"/>
      <c r="D34" s="8"/>
    </row>
    <row r="35" spans="1:4" ht="15.75" customHeight="1">
      <c r="A35" s="8"/>
      <c r="D35" s="8"/>
    </row>
    <row r="36" spans="1:4" ht="15.75" customHeight="1">
      <c r="A36" s="8"/>
      <c r="D36" s="8"/>
    </row>
    <row r="37" spans="1:4" ht="15.75" customHeight="1">
      <c r="A37" s="8"/>
      <c r="D37" s="8"/>
    </row>
    <row r="38" spans="1:4" ht="15.75" customHeight="1">
      <c r="A38" s="8"/>
      <c r="D38" s="8"/>
    </row>
    <row r="39" spans="1:4" ht="15.75" customHeight="1">
      <c r="A39" s="8"/>
      <c r="D39" s="8"/>
    </row>
    <row r="40" spans="1:4" ht="15.75" customHeight="1">
      <c r="A40" s="8"/>
      <c r="D40" s="8"/>
    </row>
    <row r="41" spans="1:4" ht="15.75" customHeight="1">
      <c r="A41" s="8"/>
      <c r="D41" s="8"/>
    </row>
    <row r="42" spans="1:4" ht="15.75" customHeight="1">
      <c r="A42" s="8"/>
      <c r="D42" s="8"/>
    </row>
    <row r="43" spans="1:4" ht="15.75" customHeight="1">
      <c r="A43" s="8"/>
      <c r="D43" s="8"/>
    </row>
    <row r="44" spans="1:4" ht="15.75" customHeight="1">
      <c r="A44" s="8"/>
      <c r="D44" s="8"/>
    </row>
    <row r="45" spans="1:4" ht="15.75" customHeight="1">
      <c r="A45" s="8"/>
      <c r="D45" s="8"/>
    </row>
    <row r="47" spans="1:4" ht="15.75" customHeight="1">
      <c r="A47" s="8"/>
      <c r="D47" s="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M9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7" max="7" width="25.33203125" customWidth="1"/>
  </cols>
  <sheetData>
    <row r="1" spans="1:13" ht="14">
      <c r="A1" s="1" t="s">
        <v>354</v>
      </c>
      <c r="B1" s="1" t="s">
        <v>355</v>
      </c>
      <c r="C1" s="2" t="s">
        <v>356</v>
      </c>
      <c r="D1" s="190" t="s">
        <v>357</v>
      </c>
      <c r="E1" s="1" t="s">
        <v>358</v>
      </c>
      <c r="F1" s="1" t="s">
        <v>359</v>
      </c>
    </row>
    <row r="2" spans="1:13" ht="19.5" customHeight="1">
      <c r="A2" s="2" t="s">
        <v>0</v>
      </c>
      <c r="B2" s="2" t="s">
        <v>0</v>
      </c>
      <c r="C2" s="2" t="s">
        <v>0</v>
      </c>
      <c r="D2" s="3" t="s">
        <v>0</v>
      </c>
      <c r="E2" s="2" t="s">
        <v>0</v>
      </c>
      <c r="F2" s="2" t="s">
        <v>0</v>
      </c>
      <c r="G2" s="191" t="s">
        <v>0</v>
      </c>
      <c r="J2" s="1"/>
      <c r="K2" s="1"/>
      <c r="L2" s="1"/>
      <c r="M2" s="1"/>
    </row>
    <row r="3" spans="1:13" ht="19.5" customHeight="1">
      <c r="A3" s="2" t="s">
        <v>1</v>
      </c>
      <c r="B3" s="2" t="s">
        <v>1</v>
      </c>
      <c r="C3" s="2" t="s">
        <v>1</v>
      </c>
      <c r="D3" s="3" t="s">
        <v>1</v>
      </c>
      <c r="E3" s="2" t="s">
        <v>1</v>
      </c>
      <c r="F3" s="2" t="s">
        <v>1</v>
      </c>
      <c r="G3" s="191" t="s">
        <v>1</v>
      </c>
      <c r="I3" s="192"/>
      <c r="J3" s="89"/>
      <c r="K3" s="89"/>
      <c r="L3" s="89"/>
      <c r="M3" s="89"/>
    </row>
    <row r="4" spans="1:13" ht="18" customHeight="1">
      <c r="A4" s="2" t="s">
        <v>2</v>
      </c>
      <c r="B4" s="2" t="s">
        <v>2</v>
      </c>
      <c r="C4" s="41" t="s">
        <v>2</v>
      </c>
      <c r="D4" s="2" t="s">
        <v>2</v>
      </c>
      <c r="E4" s="2" t="s">
        <v>2</v>
      </c>
      <c r="F4" s="2" t="s">
        <v>2</v>
      </c>
      <c r="G4" s="191" t="s">
        <v>2</v>
      </c>
      <c r="I4" s="154"/>
    </row>
    <row r="5" spans="1:13" ht="19.5" customHeight="1">
      <c r="A5" s="2" t="s">
        <v>3</v>
      </c>
      <c r="B5" s="2" t="s">
        <v>3</v>
      </c>
      <c r="C5" s="2" t="s">
        <v>3</v>
      </c>
      <c r="D5" s="3" t="s">
        <v>3</v>
      </c>
      <c r="E5" s="2" t="s">
        <v>3</v>
      </c>
      <c r="F5" s="2" t="s">
        <v>3</v>
      </c>
      <c r="G5" s="191" t="s">
        <v>3</v>
      </c>
      <c r="I5" s="154"/>
      <c r="J5" s="89"/>
      <c r="K5" s="89"/>
      <c r="L5" s="89"/>
      <c r="M5" s="89"/>
    </row>
    <row r="6" spans="1:13" ht="19.5" customHeight="1">
      <c r="A6" s="2" t="s">
        <v>4</v>
      </c>
      <c r="B6" s="2" t="s">
        <v>4</v>
      </c>
      <c r="C6" s="2" t="s">
        <v>4</v>
      </c>
      <c r="D6" s="3" t="s">
        <v>4</v>
      </c>
      <c r="E6" s="2" t="s">
        <v>4</v>
      </c>
      <c r="F6" s="2" t="s">
        <v>4</v>
      </c>
      <c r="G6" s="193" t="s">
        <v>4</v>
      </c>
    </row>
    <row r="7" spans="1:13" ht="19.5" customHeight="1">
      <c r="A7" s="194" t="s">
        <v>337</v>
      </c>
      <c r="B7" s="194" t="s">
        <v>337</v>
      </c>
      <c r="C7" s="2" t="s">
        <v>337</v>
      </c>
      <c r="D7" s="3" t="s">
        <v>337</v>
      </c>
      <c r="E7" s="2" t="s">
        <v>337</v>
      </c>
      <c r="F7" s="2" t="s">
        <v>337</v>
      </c>
      <c r="G7" s="195" t="s">
        <v>337</v>
      </c>
    </row>
    <row r="8" spans="1:13" ht="19.5" customHeight="1">
      <c r="A8" s="194" t="s">
        <v>339</v>
      </c>
      <c r="B8" s="194" t="s">
        <v>339</v>
      </c>
      <c r="C8" s="2" t="s">
        <v>339</v>
      </c>
      <c r="D8" s="3" t="s">
        <v>339</v>
      </c>
      <c r="E8" s="2" t="s">
        <v>339</v>
      </c>
      <c r="F8" s="2" t="s">
        <v>339</v>
      </c>
      <c r="G8" s="195" t="s">
        <v>339</v>
      </c>
    </row>
    <row r="9" spans="1:13" ht="19.5" customHeight="1">
      <c r="A9" s="2" t="s">
        <v>344</v>
      </c>
      <c r="B9" s="2" t="s">
        <v>344</v>
      </c>
      <c r="C9" s="2" t="s">
        <v>344</v>
      </c>
      <c r="D9" s="3" t="s">
        <v>7</v>
      </c>
      <c r="E9" s="2" t="s">
        <v>7</v>
      </c>
      <c r="F9" s="2" t="s">
        <v>7</v>
      </c>
      <c r="G9" s="191" t="s">
        <v>344</v>
      </c>
    </row>
    <row r="10" spans="1:13" ht="19.5" customHeight="1">
      <c r="A10" s="2" t="s">
        <v>8</v>
      </c>
      <c r="B10" s="2" t="s">
        <v>8</v>
      </c>
      <c r="C10" s="2" t="s">
        <v>8</v>
      </c>
      <c r="D10" s="3" t="s">
        <v>8</v>
      </c>
      <c r="E10" s="2" t="s">
        <v>8</v>
      </c>
      <c r="F10" s="2" t="s">
        <v>8</v>
      </c>
      <c r="G10" s="193" t="s">
        <v>8</v>
      </c>
    </row>
    <row r="11" spans="1:13" ht="19.5" customHeight="1">
      <c r="A11" s="2" t="s">
        <v>60</v>
      </c>
      <c r="B11" s="2" t="s">
        <v>60</v>
      </c>
      <c r="C11" s="2" t="s">
        <v>149</v>
      </c>
      <c r="D11" s="3" t="s">
        <v>60</v>
      </c>
      <c r="E11" s="2" t="s">
        <v>9</v>
      </c>
      <c r="F11" s="2" t="s">
        <v>9</v>
      </c>
      <c r="G11" s="193" t="s">
        <v>60</v>
      </c>
    </row>
    <row r="12" spans="1:13" ht="19.5" customHeight="1">
      <c r="A12" s="2" t="s">
        <v>61</v>
      </c>
      <c r="B12" s="2" t="s">
        <v>61</v>
      </c>
      <c r="C12" s="2" t="s">
        <v>61</v>
      </c>
      <c r="D12" s="3" t="s">
        <v>61</v>
      </c>
      <c r="E12" s="2" t="s">
        <v>10</v>
      </c>
      <c r="F12" s="2" t="s">
        <v>10</v>
      </c>
      <c r="G12" s="193" t="s">
        <v>61</v>
      </c>
    </row>
    <row r="13" spans="1:13" ht="19.5" customHeight="1">
      <c r="A13" s="2" t="s">
        <v>11</v>
      </c>
      <c r="B13" s="2" t="s">
        <v>11</v>
      </c>
      <c r="C13" s="2" t="s">
        <v>11</v>
      </c>
      <c r="D13" s="3" t="s">
        <v>11</v>
      </c>
      <c r="E13" s="2" t="s">
        <v>11</v>
      </c>
      <c r="F13" s="2" t="s">
        <v>11</v>
      </c>
      <c r="G13" s="191" t="s">
        <v>11</v>
      </c>
    </row>
    <row r="14" spans="1:13" ht="19.5" customHeight="1">
      <c r="A14" s="2" t="s">
        <v>12</v>
      </c>
      <c r="B14" s="2" t="s">
        <v>12</v>
      </c>
      <c r="C14" s="3" t="s">
        <v>12</v>
      </c>
      <c r="D14" s="3" t="s">
        <v>12</v>
      </c>
      <c r="E14" s="3" t="s">
        <v>12</v>
      </c>
      <c r="F14" s="3" t="s">
        <v>12</v>
      </c>
      <c r="G14" s="193" t="s">
        <v>12</v>
      </c>
    </row>
    <row r="15" spans="1:13" ht="19.5" customHeight="1">
      <c r="A15" s="2" t="s">
        <v>13</v>
      </c>
      <c r="B15" s="2" t="s">
        <v>13</v>
      </c>
      <c r="C15" s="3" t="s">
        <v>13</v>
      </c>
      <c r="D15" s="3" t="s">
        <v>13</v>
      </c>
      <c r="E15" s="3" t="s">
        <v>13</v>
      </c>
      <c r="F15" s="3" t="s">
        <v>13</v>
      </c>
      <c r="G15" s="193" t="s">
        <v>13</v>
      </c>
      <c r="H15" s="8" t="s">
        <v>360</v>
      </c>
      <c r="I15" s="8" t="s">
        <v>361</v>
      </c>
      <c r="J15" s="8" t="s">
        <v>362</v>
      </c>
      <c r="K15" s="8" t="s">
        <v>363</v>
      </c>
      <c r="L15" s="8" t="s">
        <v>364</v>
      </c>
      <c r="M15" t="str">
        <f ca="1">IFERROR(__xludf.DUMMYFUNCTION("JOIN("" + "",H15:L15)"),"NOV_F_A_DN + DEC_F_A_DN + JAN_F_A_DN + FEB_F_A_DN + MAR_F_A_DN")</f>
        <v>NOV_F_A_DN + DEC_F_A_DN + JAN_F_A_DN + FEB_F_A_DN + MAR_F_A_DN</v>
      </c>
    </row>
    <row r="16" spans="1:13" ht="19.5" customHeight="1">
      <c r="A16" s="2" t="s">
        <v>62</v>
      </c>
      <c r="B16" s="2" t="s">
        <v>62</v>
      </c>
      <c r="C16" s="3" t="s">
        <v>14</v>
      </c>
      <c r="D16" s="3" t="s">
        <v>14</v>
      </c>
      <c r="E16" s="3" t="s">
        <v>14</v>
      </c>
      <c r="F16" s="3" t="s">
        <v>14</v>
      </c>
      <c r="G16" s="193" t="s">
        <v>62</v>
      </c>
      <c r="H16" s="8" t="s">
        <v>365</v>
      </c>
      <c r="I16" s="8" t="s">
        <v>366</v>
      </c>
      <c r="J16" s="8" t="s">
        <v>367</v>
      </c>
      <c r="K16" s="8" t="s">
        <v>368</v>
      </c>
      <c r="L16" s="8" t="s">
        <v>369</v>
      </c>
      <c r="M16" t="str">
        <f ca="1">IFERROR(__xludf.DUMMYFUNCTION("JOIN("" + "",H16:L16)"),"NOV_M_A_DN + DEC_M_A_DN + JAN_M_A_DN + FEB_M_A_DN + MAR_M_A_DN")</f>
        <v>NOV_M_A_DN + DEC_M_A_DN + JAN_M_A_DN + FEB_M_A_DN + MAR_M_A_DN</v>
      </c>
    </row>
    <row r="17" spans="1:13" ht="19.5" customHeight="1">
      <c r="A17" s="2" t="s">
        <v>63</v>
      </c>
      <c r="B17" s="2" t="s">
        <v>63</v>
      </c>
      <c r="C17" s="3" t="s">
        <v>15</v>
      </c>
      <c r="D17" s="3" t="s">
        <v>186</v>
      </c>
      <c r="E17" s="3" t="s">
        <v>15</v>
      </c>
      <c r="F17" s="3" t="s">
        <v>15</v>
      </c>
      <c r="G17" s="193" t="s">
        <v>63</v>
      </c>
      <c r="H17" s="8" t="s">
        <v>370</v>
      </c>
      <c r="I17" s="8" t="s">
        <v>371</v>
      </c>
      <c r="J17" s="8" t="s">
        <v>372</v>
      </c>
      <c r="K17" s="8" t="s">
        <v>373</v>
      </c>
      <c r="L17" s="8" t="s">
        <v>374</v>
      </c>
      <c r="M17" t="str">
        <f ca="1">IFERROR(__xludf.DUMMYFUNCTION("JOIN("" + "",H17:L17)"),"NOV_F_U_DN + DEC_F_U_DN + JAN_F_U_DN + FEB_F_U_DN + MAR_F_U_DN")</f>
        <v>NOV_F_U_DN + DEC_F_U_DN + JAN_F_U_DN + FEB_F_U_DN + MAR_F_U_DN</v>
      </c>
    </row>
    <row r="18" spans="1:13" ht="19.5" customHeight="1">
      <c r="A18" s="2" t="s">
        <v>117</v>
      </c>
      <c r="B18" s="2" t="s">
        <v>117</v>
      </c>
      <c r="C18" s="3" t="s">
        <v>150</v>
      </c>
      <c r="D18" s="3" t="s">
        <v>150</v>
      </c>
      <c r="E18" s="3" t="s">
        <v>16</v>
      </c>
      <c r="F18" s="3" t="s">
        <v>16</v>
      </c>
      <c r="G18" s="193" t="s">
        <v>64</v>
      </c>
      <c r="H18" s="8" t="s">
        <v>375</v>
      </c>
      <c r="I18" s="8" t="s">
        <v>376</v>
      </c>
      <c r="J18" s="8" t="s">
        <v>377</v>
      </c>
      <c r="K18" s="8" t="s">
        <v>378</v>
      </c>
      <c r="L18" s="8" t="s">
        <v>379</v>
      </c>
      <c r="M18" t="str">
        <f ca="1">IFERROR(__xludf.DUMMYFUNCTION("JOIN("" + "",H18:L18)"),"NOV_M_U_DN + DEC_M_U_DN + JAN_M_U_DN + FEB_M_U_DN + MAR_M_U_DN")</f>
        <v>NOV_M_U_DN + DEC_M_U_DN + JAN_M_U_DN + FEB_M_U_DN + MAR_M_U_DN</v>
      </c>
    </row>
    <row r="19" spans="1:13" ht="19.5" customHeight="1">
      <c r="A19" s="2" t="s">
        <v>118</v>
      </c>
      <c r="B19" s="2" t="s">
        <v>118</v>
      </c>
      <c r="C19" s="3" t="s">
        <v>17</v>
      </c>
      <c r="D19" s="3" t="s">
        <v>17</v>
      </c>
      <c r="E19" s="3" t="s">
        <v>17</v>
      </c>
      <c r="F19" s="3" t="s">
        <v>17</v>
      </c>
      <c r="G19" s="193" t="s">
        <v>65</v>
      </c>
      <c r="H19" s="8" t="s">
        <v>380</v>
      </c>
      <c r="I19" s="8" t="s">
        <v>381</v>
      </c>
      <c r="J19" s="8" t="s">
        <v>382</v>
      </c>
      <c r="K19" s="8" t="s">
        <v>383</v>
      </c>
      <c r="L19" s="8" t="s">
        <v>384</v>
      </c>
      <c r="M19" t="str">
        <f ca="1">IFERROR(__xludf.DUMMYFUNCTION("JOIN("" + "",H19:L19)"),"NOV_F_A_UP + DEC_F_A_UP + JAN_F_A_UP + FEB_F_A_UP + MAR_F_A_UP")</f>
        <v>NOV_F_A_UP + DEC_F_A_UP + JAN_F_A_UP + FEB_F_A_UP + MAR_F_A_UP</v>
      </c>
    </row>
    <row r="20" spans="1:13" ht="19.5" customHeight="1">
      <c r="A20" s="2" t="s">
        <v>66</v>
      </c>
      <c r="B20" s="2" t="s">
        <v>66</v>
      </c>
      <c r="C20" s="3" t="s">
        <v>18</v>
      </c>
      <c r="D20" s="3" t="s">
        <v>18</v>
      </c>
      <c r="E20" s="3" t="s">
        <v>18</v>
      </c>
      <c r="F20" s="3" t="s">
        <v>18</v>
      </c>
      <c r="G20" s="193" t="s">
        <v>66</v>
      </c>
      <c r="H20" s="8" t="s">
        <v>385</v>
      </c>
      <c r="I20" s="8" t="s">
        <v>386</v>
      </c>
      <c r="J20" s="8" t="s">
        <v>387</v>
      </c>
      <c r="K20" s="8" t="s">
        <v>388</v>
      </c>
      <c r="L20" s="8" t="s">
        <v>389</v>
      </c>
      <c r="M20" t="str">
        <f ca="1">IFERROR(__xludf.DUMMYFUNCTION("JOIN("" + "",H20:L20)"),"NOV_M_A_UP + DEC_M_A_UP + JAN_M_A_UP + FEB_M_A_UP + MAR_M_A_UP")</f>
        <v>NOV_M_A_UP + DEC_M_A_UP + JAN_M_A_UP + FEB_M_A_UP + MAR_M_A_UP</v>
      </c>
    </row>
    <row r="21" spans="1:13" ht="19.5" customHeight="1">
      <c r="A21" s="2" t="s">
        <v>67</v>
      </c>
      <c r="B21" s="2" t="s">
        <v>67</v>
      </c>
      <c r="C21" s="3" t="s">
        <v>19</v>
      </c>
      <c r="D21" s="3" t="s">
        <v>19</v>
      </c>
      <c r="E21" s="3" t="s">
        <v>19</v>
      </c>
      <c r="F21" s="3" t="s">
        <v>19</v>
      </c>
      <c r="G21" s="193" t="s">
        <v>67</v>
      </c>
      <c r="H21" s="8" t="s">
        <v>390</v>
      </c>
      <c r="I21" s="8" t="s">
        <v>391</v>
      </c>
      <c r="J21" s="8" t="s">
        <v>392</v>
      </c>
      <c r="K21" s="8" t="s">
        <v>393</v>
      </c>
      <c r="L21" s="8" t="s">
        <v>394</v>
      </c>
      <c r="M21" t="str">
        <f ca="1">IFERROR(__xludf.DUMMYFUNCTION("JOIN("" + "",H21:L21)"),"NOV_F_U_UP + DEC_F_U_UP + JAN_F_U_UP + FEB_F_U_UP + MAR_F_U_UP")</f>
        <v>NOV_F_U_UP + DEC_F_U_UP + JAN_F_U_UP + FEB_F_U_UP + MAR_F_U_UP</v>
      </c>
    </row>
    <row r="22" spans="1:13" ht="19.5" customHeight="1">
      <c r="A22" s="2" t="s">
        <v>68</v>
      </c>
      <c r="B22" s="2" t="s">
        <v>68</v>
      </c>
      <c r="C22" s="3" t="s">
        <v>151</v>
      </c>
      <c r="D22" s="3" t="s">
        <v>20</v>
      </c>
      <c r="E22" s="3" t="s">
        <v>20</v>
      </c>
      <c r="F22" s="3" t="s">
        <v>20</v>
      </c>
      <c r="G22" s="193" t="s">
        <v>68</v>
      </c>
      <c r="H22" s="8" t="s">
        <v>395</v>
      </c>
      <c r="I22" s="8" t="s">
        <v>396</v>
      </c>
      <c r="J22" s="8" t="s">
        <v>397</v>
      </c>
      <c r="K22" s="8" t="s">
        <v>398</v>
      </c>
      <c r="L22" s="8" t="s">
        <v>399</v>
      </c>
      <c r="M22" t="str">
        <f ca="1">IFERROR(__xludf.DUMMYFUNCTION("JOIN("" + "",H22:L22)"),"NOV_M_U_UP + DEC_M_U_UP + JAN_M_U_UP + FEB_M_U_UP + MAR_M_U_UP")</f>
        <v>NOV_M_U_UP + DEC_M_U_UP + JAN_M_U_UP + FEB_M_U_UP + MAR_M_U_UP</v>
      </c>
    </row>
    <row r="23" spans="1:13" ht="19.5" customHeight="1">
      <c r="A23" s="2" t="s">
        <v>119</v>
      </c>
      <c r="B23" s="2" t="s">
        <v>119</v>
      </c>
      <c r="C23" s="3" t="s">
        <v>21</v>
      </c>
      <c r="D23" s="3" t="s">
        <v>21</v>
      </c>
      <c r="E23" s="3" t="s">
        <v>21</v>
      </c>
      <c r="F23" s="3" t="s">
        <v>21</v>
      </c>
      <c r="G23" s="193" t="s">
        <v>69</v>
      </c>
      <c r="H23" s="8" t="s">
        <v>400</v>
      </c>
      <c r="I23" s="8" t="s">
        <v>401</v>
      </c>
      <c r="J23" s="8" t="s">
        <v>402</v>
      </c>
      <c r="K23" s="8" t="s">
        <v>403</v>
      </c>
      <c r="L23" s="8" t="s">
        <v>404</v>
      </c>
      <c r="M23" t="str">
        <f ca="1">IFERROR(__xludf.DUMMYFUNCTION("JOIN("" + "",H23:L23)"),"NOV_JUV + DEC_JUV + JAN_JUV + FEB_JUV + MAR_JUV")</f>
        <v>NOV_JUV + DEC_JUV + JAN_JUV + FEB_JUV + MAR_JUV</v>
      </c>
    </row>
    <row r="24" spans="1:13" ht="19.5" customHeight="1">
      <c r="A24" s="2" t="s">
        <v>120</v>
      </c>
      <c r="B24" s="2" t="s">
        <v>120</v>
      </c>
      <c r="C24" s="3" t="s">
        <v>152</v>
      </c>
      <c r="D24" s="3" t="s">
        <v>152</v>
      </c>
      <c r="E24" s="3" t="s">
        <v>22</v>
      </c>
      <c r="F24" s="3" t="s">
        <v>22</v>
      </c>
      <c r="G24" s="193" t="s">
        <v>70</v>
      </c>
      <c r="H24" s="8" t="s">
        <v>405</v>
      </c>
      <c r="I24" s="8" t="s">
        <v>406</v>
      </c>
      <c r="J24" s="8" t="s">
        <v>407</v>
      </c>
      <c r="K24" s="8" t="s">
        <v>408</v>
      </c>
      <c r="L24" s="8" t="s">
        <v>409</v>
      </c>
      <c r="M24" t="str">
        <f ca="1">IFERROR(__xludf.DUMMYFUNCTION("JOIN("" + "",H24:L24)"),"NOV_M_ROADKILL + DEC_M_ROADKILL + JAN_M_ROADKILL + FEB_M_ROADKILL + MAR_M_ROADKILL")</f>
        <v>NOV_M_ROADKILL + DEC_M_ROADKILL + JAN_M_ROADKILL + FEB_M_ROADKILL + MAR_M_ROADKILL</v>
      </c>
    </row>
    <row r="25" spans="1:13" ht="19.5" customHeight="1">
      <c r="A25" s="2" t="s">
        <v>121</v>
      </c>
      <c r="B25" s="2" t="s">
        <v>121</v>
      </c>
      <c r="C25" s="2" t="s">
        <v>23</v>
      </c>
      <c r="D25" s="3" t="s">
        <v>23</v>
      </c>
      <c r="E25" s="3" t="s">
        <v>23</v>
      </c>
      <c r="F25" s="3" t="s">
        <v>23</v>
      </c>
      <c r="G25" s="193" t="s">
        <v>71</v>
      </c>
      <c r="H25" s="8" t="s">
        <v>410</v>
      </c>
      <c r="I25" s="8" t="s">
        <v>411</v>
      </c>
      <c r="J25" s="8" t="s">
        <v>412</v>
      </c>
      <c r="K25" s="8" t="s">
        <v>413</v>
      </c>
      <c r="L25" s="8" t="s">
        <v>414</v>
      </c>
      <c r="M25" t="str">
        <f ca="1">IFERROR(__xludf.DUMMYFUNCTION("JOIN("" + "",H25:L25)"),"NOV_F_ROADKILL + DEC_F_ROADKILL + JAN_F_ROADKILL + FEB_F_ROADKILL + MAR_F_ROADKILL")</f>
        <v>NOV_F_ROADKILL + DEC_F_ROADKILL + JAN_F_ROADKILL + FEB_F_ROADKILL + MAR_F_ROADKILL</v>
      </c>
    </row>
    <row r="26" spans="1:13" ht="19.5" customHeight="1">
      <c r="A26" s="2" t="s">
        <v>72</v>
      </c>
      <c r="B26" s="2" t="s">
        <v>72</v>
      </c>
      <c r="C26" s="2" t="s">
        <v>153</v>
      </c>
      <c r="D26" s="3" t="s">
        <v>187</v>
      </c>
      <c r="E26" s="2" t="s">
        <v>24</v>
      </c>
      <c r="F26" s="2" t="s">
        <v>24</v>
      </c>
      <c r="G26" s="193" t="s">
        <v>72</v>
      </c>
      <c r="H26" s="8" t="s">
        <v>415</v>
      </c>
      <c r="I26" s="8" t="s">
        <v>416</v>
      </c>
      <c r="J26" s="8" t="s">
        <v>417</v>
      </c>
      <c r="K26" s="8" t="s">
        <v>418</v>
      </c>
      <c r="L26" s="8" t="s">
        <v>419</v>
      </c>
      <c r="M26" t="str">
        <f ca="1">IFERROR(__xludf.DUMMYFUNCTION("JOIN("" + "",H26:L26)"),"NOV_UNK_ROADKILL + DEC_UNK_ROADKILL + JAN_UNK_ROADKILL + FEB_UNK_ROADKILL + MAR_UNK_ROADKILL")</f>
        <v>NOV_UNK_ROADKILL + DEC_UNK_ROADKILL + JAN_UNK_ROADKILL + FEB_UNK_ROADKILL + MAR_UNK_ROADKILL</v>
      </c>
    </row>
    <row r="27" spans="1:13" ht="19.5" customHeight="1">
      <c r="A27" s="2" t="s">
        <v>73</v>
      </c>
      <c r="B27" s="2" t="s">
        <v>73</v>
      </c>
      <c r="C27" s="2" t="s">
        <v>25</v>
      </c>
      <c r="D27" s="3" t="s">
        <v>188</v>
      </c>
      <c r="E27" s="2" t="s">
        <v>25</v>
      </c>
      <c r="F27" s="2" t="s">
        <v>25</v>
      </c>
      <c r="G27" s="193" t="s">
        <v>73</v>
      </c>
    </row>
    <row r="28" spans="1:13" ht="19.5" customHeight="1">
      <c r="A28" s="2" t="s">
        <v>420</v>
      </c>
      <c r="B28" s="2" t="s">
        <v>420</v>
      </c>
      <c r="C28" s="2" t="s">
        <v>420</v>
      </c>
      <c r="D28" s="2" t="s">
        <v>420</v>
      </c>
      <c r="E28" s="2" t="s">
        <v>420</v>
      </c>
      <c r="F28" s="2" t="s">
        <v>420</v>
      </c>
      <c r="G28" s="193" t="s">
        <v>420</v>
      </c>
    </row>
    <row r="29" spans="1:13" ht="19.5" customHeight="1">
      <c r="A29" s="2" t="s">
        <v>29</v>
      </c>
      <c r="B29" s="2" t="s">
        <v>29</v>
      </c>
      <c r="C29" s="2" t="s">
        <v>29</v>
      </c>
      <c r="D29" s="3" t="s">
        <v>29</v>
      </c>
      <c r="E29" s="2" t="s">
        <v>29</v>
      </c>
      <c r="F29" s="2" t="s">
        <v>29</v>
      </c>
      <c r="G29" s="191" t="s">
        <v>29</v>
      </c>
    </row>
    <row r="30" spans="1:13" ht="52.5" customHeight="1">
      <c r="A30" s="2"/>
      <c r="B30" s="2"/>
      <c r="C30" s="135"/>
      <c r="D30" s="196"/>
      <c r="E30" s="4"/>
      <c r="F30" s="4"/>
      <c r="G30" s="6"/>
    </row>
    <row r="31" spans="1:13" ht="52.5" customHeight="1">
      <c r="A31" s="6"/>
      <c r="B31" s="123"/>
      <c r="C31" s="135"/>
      <c r="D31" s="160"/>
      <c r="E31" s="4"/>
      <c r="F31" s="4"/>
      <c r="G31" s="6"/>
    </row>
    <row r="32" spans="1:13" ht="52.5" customHeight="1">
      <c r="A32" s="6"/>
      <c r="B32" s="123"/>
      <c r="C32" s="135"/>
      <c r="D32" s="160"/>
      <c r="E32" s="4"/>
      <c r="F32" s="4"/>
      <c r="G32" s="6"/>
    </row>
    <row r="33" spans="1:7" ht="52.5" customHeight="1">
      <c r="A33" s="6"/>
      <c r="B33" s="123"/>
      <c r="C33" s="135"/>
      <c r="D33" s="160"/>
      <c r="E33" s="4"/>
      <c r="F33" s="4"/>
      <c r="G33" s="6"/>
    </row>
    <row r="34" spans="1:7" ht="52.5" customHeight="1">
      <c r="A34" s="6"/>
      <c r="B34" s="123"/>
      <c r="C34" s="135"/>
      <c r="D34" s="160"/>
      <c r="E34" s="4"/>
      <c r="F34" s="4"/>
      <c r="G34" s="6"/>
    </row>
    <row r="35" spans="1:7" ht="52.5" customHeight="1">
      <c r="A35" s="6"/>
      <c r="B35" s="123"/>
      <c r="C35" s="135"/>
      <c r="D35" s="160"/>
      <c r="E35" s="4"/>
      <c r="F35" s="4"/>
      <c r="G35" s="6"/>
    </row>
    <row r="36" spans="1:7" ht="52.5" customHeight="1">
      <c r="A36" s="6"/>
      <c r="B36" s="123"/>
      <c r="C36" s="135"/>
      <c r="D36" s="160"/>
      <c r="E36" s="5"/>
      <c r="F36" s="5"/>
      <c r="G36" s="6"/>
    </row>
    <row r="37" spans="1:7" ht="52.5" customHeight="1">
      <c r="A37" s="6"/>
      <c r="B37" s="123"/>
      <c r="C37" s="135"/>
      <c r="D37" s="160"/>
      <c r="E37" s="5"/>
      <c r="F37" s="5"/>
      <c r="G37" s="6"/>
    </row>
    <row r="38" spans="1:7" ht="52.5" customHeight="1">
      <c r="A38" s="6"/>
      <c r="B38" s="123"/>
      <c r="C38" s="135"/>
      <c r="D38" s="160"/>
      <c r="E38" s="5"/>
      <c r="F38" s="5"/>
      <c r="G38" s="6"/>
    </row>
    <row r="39" spans="1:7" ht="52.5" customHeight="1">
      <c r="A39" s="6"/>
      <c r="B39" s="123"/>
      <c r="C39" s="135"/>
      <c r="D39" s="160"/>
      <c r="E39" s="5"/>
      <c r="F39" s="5"/>
      <c r="G39" s="6"/>
    </row>
    <row r="40" spans="1:7" ht="52.5" customHeight="1">
      <c r="A40" s="6"/>
      <c r="B40" s="123"/>
      <c r="C40" s="135"/>
      <c r="D40" s="160"/>
      <c r="E40" s="5"/>
      <c r="F40" s="5"/>
      <c r="G40" s="6"/>
    </row>
    <row r="41" spans="1:7" ht="52.5" customHeight="1">
      <c r="A41" s="6"/>
      <c r="B41" s="123"/>
      <c r="C41" s="135"/>
      <c r="D41" s="160"/>
      <c r="E41" s="5"/>
      <c r="F41" s="5"/>
      <c r="G41" s="6"/>
    </row>
    <row r="42" spans="1:7" ht="52.5" customHeight="1">
      <c r="A42" s="6"/>
      <c r="B42" s="123"/>
      <c r="C42" s="135"/>
      <c r="D42" s="160"/>
      <c r="E42" s="6"/>
      <c r="F42" s="6"/>
      <c r="G42" s="6"/>
    </row>
    <row r="43" spans="1:7" ht="52.5" customHeight="1">
      <c r="A43" s="6"/>
      <c r="B43" s="123"/>
      <c r="C43" s="135"/>
      <c r="D43" s="160"/>
      <c r="E43" s="6"/>
      <c r="F43" s="6"/>
      <c r="G43" s="6"/>
    </row>
    <row r="44" spans="1:7" ht="52.5" customHeight="1">
      <c r="A44" s="6"/>
      <c r="B44" s="123"/>
      <c r="C44" s="135"/>
      <c r="D44" s="160"/>
      <c r="E44" s="6"/>
      <c r="F44" s="6"/>
      <c r="G44" s="6"/>
    </row>
    <row r="45" spans="1:7" ht="52.5" customHeight="1">
      <c r="A45" s="6"/>
      <c r="B45" s="123"/>
      <c r="C45" s="135"/>
      <c r="D45" s="160"/>
      <c r="E45" s="6"/>
      <c r="F45" s="6"/>
      <c r="G45" s="6"/>
    </row>
    <row r="46" spans="1:7" ht="52.5" customHeight="1">
      <c r="A46" s="6"/>
      <c r="B46" s="123"/>
      <c r="C46" s="135"/>
      <c r="D46" s="160"/>
      <c r="E46" s="6"/>
      <c r="F46" s="6"/>
      <c r="G46" s="6"/>
    </row>
    <row r="47" spans="1:7" ht="52.5" customHeight="1">
      <c r="A47" s="6"/>
      <c r="B47" s="123"/>
      <c r="C47" s="135"/>
      <c r="D47" s="160"/>
      <c r="E47" s="6"/>
      <c r="F47" s="6"/>
      <c r="G47" s="6"/>
    </row>
    <row r="48" spans="1:7" ht="52.5" customHeight="1">
      <c r="A48" s="6"/>
      <c r="B48" s="123"/>
      <c r="C48" s="135"/>
      <c r="D48" s="160"/>
      <c r="E48" s="6"/>
      <c r="F48" s="6"/>
      <c r="G48" s="6"/>
    </row>
    <row r="49" spans="1:7" ht="52.5" customHeight="1">
      <c r="A49" s="6"/>
      <c r="B49" s="123"/>
      <c r="C49" s="135"/>
      <c r="D49" s="160"/>
      <c r="E49" s="6"/>
      <c r="F49" s="6"/>
      <c r="G49" s="6"/>
    </row>
    <row r="50" spans="1:7" ht="52.5" customHeight="1">
      <c r="A50" s="6"/>
      <c r="B50" s="123"/>
      <c r="C50" s="135"/>
      <c r="D50" s="160"/>
      <c r="E50" s="6"/>
      <c r="F50" s="6"/>
      <c r="G50" s="6"/>
    </row>
    <row r="51" spans="1:7" ht="52.5" customHeight="1">
      <c r="A51" s="6"/>
      <c r="B51" s="123"/>
      <c r="C51" s="135"/>
      <c r="D51" s="160"/>
      <c r="E51" s="6"/>
      <c r="F51" s="6"/>
      <c r="G51" s="6"/>
    </row>
    <row r="52" spans="1:7" ht="52.5" customHeight="1">
      <c r="A52" s="6"/>
      <c r="B52" s="123"/>
      <c r="C52" s="2" t="s">
        <v>0</v>
      </c>
      <c r="D52" s="160"/>
      <c r="E52" s="6"/>
      <c r="F52" s="6"/>
      <c r="G52" s="6"/>
    </row>
    <row r="53" spans="1:7" ht="52.5" customHeight="1">
      <c r="A53" s="6"/>
      <c r="B53" s="123"/>
      <c r="C53" s="2" t="s">
        <v>1</v>
      </c>
      <c r="D53" s="160"/>
      <c r="E53" s="6"/>
      <c r="F53" s="6"/>
      <c r="G53" s="6"/>
    </row>
    <row r="54" spans="1:7" ht="52.5" customHeight="1">
      <c r="A54" s="6"/>
      <c r="B54" s="123"/>
      <c r="C54" s="100" t="s">
        <v>2</v>
      </c>
      <c r="D54" s="160"/>
      <c r="E54" s="6"/>
      <c r="F54" s="6"/>
      <c r="G54" s="6"/>
    </row>
    <row r="55" spans="1:7" ht="52.5" customHeight="1">
      <c r="A55" s="6"/>
      <c r="B55" s="123"/>
      <c r="C55" s="2" t="s">
        <v>3</v>
      </c>
      <c r="D55" s="160"/>
      <c r="E55" s="6"/>
      <c r="F55" s="6"/>
      <c r="G55" s="6"/>
    </row>
    <row r="56" spans="1:7" ht="52.5" customHeight="1">
      <c r="A56" s="6"/>
      <c r="B56" s="123"/>
      <c r="C56" s="2" t="s">
        <v>4</v>
      </c>
      <c r="D56" s="160"/>
      <c r="E56" s="6"/>
      <c r="F56" s="6"/>
      <c r="G56" s="6"/>
    </row>
    <row r="57" spans="1:7" ht="52.5" customHeight="1">
      <c r="A57" s="6"/>
      <c r="B57" s="123"/>
      <c r="C57" s="2" t="s">
        <v>337</v>
      </c>
      <c r="D57" s="160"/>
      <c r="E57" s="6"/>
      <c r="F57" s="6"/>
      <c r="G57" s="6"/>
    </row>
    <row r="58" spans="1:7" ht="52.5" customHeight="1">
      <c r="A58" s="6"/>
      <c r="B58" s="123"/>
      <c r="C58" s="2" t="s">
        <v>339</v>
      </c>
      <c r="D58" s="160"/>
      <c r="E58" s="6"/>
      <c r="F58" s="6"/>
      <c r="G58" s="6"/>
    </row>
    <row r="59" spans="1:7" ht="52.5" customHeight="1">
      <c r="A59" s="6"/>
      <c r="B59" s="123"/>
      <c r="C59" s="2" t="s">
        <v>344</v>
      </c>
      <c r="D59" s="160"/>
      <c r="E59" s="6"/>
      <c r="F59" s="6"/>
      <c r="G59" s="6"/>
    </row>
    <row r="60" spans="1:7" ht="52.5" customHeight="1">
      <c r="A60" s="6"/>
      <c r="B60" s="123"/>
      <c r="C60" s="2" t="s">
        <v>8</v>
      </c>
      <c r="D60" s="160"/>
      <c r="E60" s="6"/>
      <c r="F60" s="6"/>
      <c r="G60" s="6"/>
    </row>
    <row r="61" spans="1:7" ht="52.5" customHeight="1">
      <c r="A61" s="6"/>
      <c r="B61" s="123"/>
      <c r="C61" s="2" t="s">
        <v>149</v>
      </c>
      <c r="D61" s="160"/>
      <c r="E61" s="6"/>
      <c r="F61" s="6"/>
      <c r="G61" s="6"/>
    </row>
    <row r="62" spans="1:7" ht="14">
      <c r="A62" s="6"/>
      <c r="B62" s="123"/>
      <c r="C62" s="2" t="s">
        <v>61</v>
      </c>
      <c r="D62" s="160"/>
      <c r="E62" s="6"/>
      <c r="G62" s="6"/>
    </row>
    <row r="63" spans="1:7" ht="14">
      <c r="A63" s="6"/>
      <c r="B63" s="123"/>
      <c r="C63" s="2" t="s">
        <v>11</v>
      </c>
      <c r="D63" s="160"/>
      <c r="E63" s="6"/>
      <c r="G63" s="6"/>
    </row>
    <row r="64" spans="1:7" ht="26">
      <c r="A64" s="6"/>
      <c r="B64" s="123"/>
      <c r="C64" s="3" t="s">
        <v>12</v>
      </c>
      <c r="D64" s="190" t="s">
        <v>421</v>
      </c>
      <c r="E64" s="1" t="s">
        <v>0</v>
      </c>
      <c r="G64" s="6"/>
    </row>
    <row r="65" spans="1:5" ht="26">
      <c r="A65" s="6"/>
      <c r="B65" s="123"/>
      <c r="C65" s="3" t="s">
        <v>13</v>
      </c>
      <c r="D65" s="190" t="s">
        <v>1</v>
      </c>
      <c r="E65" s="1" t="s">
        <v>1</v>
      </c>
    </row>
    <row r="66" spans="1:5" ht="26">
      <c r="A66" s="6"/>
      <c r="B66" s="123"/>
      <c r="C66" s="3" t="s">
        <v>14</v>
      </c>
      <c r="D66" s="1" t="s">
        <v>2</v>
      </c>
      <c r="E66" s="1" t="s">
        <v>2</v>
      </c>
    </row>
    <row r="67" spans="1:5" ht="26">
      <c r="A67" s="1" t="s">
        <v>97</v>
      </c>
      <c r="B67" s="1" t="s">
        <v>0</v>
      </c>
      <c r="C67" s="3" t="s">
        <v>15</v>
      </c>
      <c r="D67" s="190" t="s">
        <v>3</v>
      </c>
      <c r="E67" s="1" t="s">
        <v>3</v>
      </c>
    </row>
    <row r="68" spans="1:5" ht="28">
      <c r="A68" s="1" t="s">
        <v>1</v>
      </c>
      <c r="B68" s="1" t="s">
        <v>1</v>
      </c>
      <c r="C68" s="3" t="s">
        <v>64</v>
      </c>
      <c r="D68" s="3" t="s">
        <v>4</v>
      </c>
      <c r="E68" s="2" t="s">
        <v>4</v>
      </c>
    </row>
    <row r="69" spans="1:5" ht="26">
      <c r="A69" s="1" t="s">
        <v>2</v>
      </c>
      <c r="B69" s="1" t="s">
        <v>2</v>
      </c>
      <c r="C69" s="3" t="s">
        <v>65</v>
      </c>
      <c r="D69" s="3" t="s">
        <v>337</v>
      </c>
      <c r="E69" s="2" t="s">
        <v>337</v>
      </c>
    </row>
    <row r="70" spans="1:5" ht="26">
      <c r="A70" s="1" t="s">
        <v>333</v>
      </c>
      <c r="B70" s="1" t="s">
        <v>3</v>
      </c>
      <c r="C70" s="3" t="s">
        <v>422</v>
      </c>
      <c r="D70" s="3" t="s">
        <v>339</v>
      </c>
      <c r="E70" s="2" t="s">
        <v>339</v>
      </c>
    </row>
    <row r="71" spans="1:5" ht="28">
      <c r="A71" s="1" t="s">
        <v>3</v>
      </c>
      <c r="B71" s="2" t="s">
        <v>4</v>
      </c>
      <c r="C71" s="3" t="s">
        <v>423</v>
      </c>
      <c r="D71" s="3" t="s">
        <v>7</v>
      </c>
      <c r="E71" s="2" t="s">
        <v>7</v>
      </c>
    </row>
    <row r="72" spans="1:5" ht="28">
      <c r="A72" s="2" t="s">
        <v>4</v>
      </c>
      <c r="B72" s="197" t="s">
        <v>337</v>
      </c>
      <c r="C72" s="3" t="s">
        <v>151</v>
      </c>
      <c r="D72" s="3" t="s">
        <v>8</v>
      </c>
      <c r="E72" s="2" t="s">
        <v>8</v>
      </c>
    </row>
    <row r="73" spans="1:5" ht="14">
      <c r="A73" s="197" t="s">
        <v>337</v>
      </c>
      <c r="B73" s="197" t="s">
        <v>339</v>
      </c>
      <c r="C73" s="3" t="s">
        <v>21</v>
      </c>
      <c r="D73" s="3" t="s">
        <v>60</v>
      </c>
      <c r="E73" s="2" t="s">
        <v>9</v>
      </c>
    </row>
    <row r="74" spans="1:5" ht="14">
      <c r="A74" s="197" t="s">
        <v>339</v>
      </c>
      <c r="B74" s="1" t="s">
        <v>344</v>
      </c>
      <c r="C74" s="3" t="s">
        <v>152</v>
      </c>
      <c r="D74" s="3" t="s">
        <v>61</v>
      </c>
      <c r="E74" s="2" t="s">
        <v>10</v>
      </c>
    </row>
    <row r="75" spans="1:5" ht="28">
      <c r="A75" s="1" t="s">
        <v>344</v>
      </c>
      <c r="B75" s="2" t="s">
        <v>8</v>
      </c>
      <c r="C75" s="2" t="s">
        <v>23</v>
      </c>
      <c r="D75" s="190" t="s">
        <v>11</v>
      </c>
      <c r="E75" s="1" t="s">
        <v>11</v>
      </c>
    </row>
    <row r="76" spans="1:5" ht="26">
      <c r="A76" s="2" t="s">
        <v>8</v>
      </c>
      <c r="B76" s="2" t="s">
        <v>60</v>
      </c>
      <c r="C76" s="2" t="s">
        <v>347</v>
      </c>
      <c r="D76" s="3" t="s">
        <v>12</v>
      </c>
      <c r="E76" s="3" t="s">
        <v>12</v>
      </c>
    </row>
    <row r="77" spans="1:5" ht="26">
      <c r="A77" s="2" t="s">
        <v>60</v>
      </c>
      <c r="B77" s="2" t="s">
        <v>61</v>
      </c>
      <c r="C77" s="2" t="s">
        <v>349</v>
      </c>
      <c r="D77" s="3" t="s">
        <v>13</v>
      </c>
      <c r="E77" s="3" t="s">
        <v>13</v>
      </c>
    </row>
    <row r="78" spans="1:5" ht="26">
      <c r="A78" s="2" t="s">
        <v>61</v>
      </c>
      <c r="B78" s="1" t="s">
        <v>11</v>
      </c>
      <c r="C78" s="2" t="s">
        <v>424</v>
      </c>
      <c r="D78" s="3" t="s">
        <v>14</v>
      </c>
      <c r="E78" s="3" t="s">
        <v>14</v>
      </c>
    </row>
    <row r="79" spans="1:5" ht="28">
      <c r="A79" s="1" t="s">
        <v>11</v>
      </c>
      <c r="B79" s="2" t="s">
        <v>12</v>
      </c>
      <c r="C79" s="2" t="s">
        <v>29</v>
      </c>
      <c r="D79" s="3" t="s">
        <v>15</v>
      </c>
      <c r="E79" s="3" t="s">
        <v>15</v>
      </c>
    </row>
    <row r="80" spans="1:5" ht="28">
      <c r="A80" s="2" t="s">
        <v>12</v>
      </c>
      <c r="B80" s="2" t="s">
        <v>13</v>
      </c>
      <c r="C80" s="135"/>
      <c r="D80" s="3" t="s">
        <v>64</v>
      </c>
      <c r="E80" s="3" t="s">
        <v>64</v>
      </c>
    </row>
    <row r="81" spans="1:5" ht="42">
      <c r="A81" s="2" t="s">
        <v>13</v>
      </c>
      <c r="B81" s="2" t="s">
        <v>62</v>
      </c>
      <c r="C81" s="135"/>
      <c r="D81" s="3" t="s">
        <v>65</v>
      </c>
      <c r="E81" s="3" t="s">
        <v>65</v>
      </c>
    </row>
    <row r="82" spans="1:5" ht="42">
      <c r="A82" s="2" t="s">
        <v>62</v>
      </c>
      <c r="B82" s="2" t="s">
        <v>63</v>
      </c>
      <c r="C82" s="135"/>
      <c r="D82" s="3" t="s">
        <v>422</v>
      </c>
      <c r="E82" s="3" t="s">
        <v>422</v>
      </c>
    </row>
    <row r="83" spans="1:5" ht="42">
      <c r="A83" s="2" t="s">
        <v>63</v>
      </c>
      <c r="B83" s="2" t="s">
        <v>117</v>
      </c>
      <c r="C83" s="135"/>
      <c r="D83" s="3" t="s">
        <v>423</v>
      </c>
      <c r="E83" s="3" t="s">
        <v>423</v>
      </c>
    </row>
    <row r="84" spans="1:5" ht="42">
      <c r="A84" s="2" t="s">
        <v>117</v>
      </c>
      <c r="B84" s="2" t="s">
        <v>118</v>
      </c>
      <c r="C84" s="135"/>
      <c r="D84" s="3" t="s">
        <v>151</v>
      </c>
      <c r="E84" s="3" t="s">
        <v>151</v>
      </c>
    </row>
    <row r="85" spans="1:5" ht="42">
      <c r="A85" s="2" t="s">
        <v>118</v>
      </c>
      <c r="B85" s="2" t="s">
        <v>66</v>
      </c>
      <c r="C85" s="135"/>
      <c r="D85" s="3" t="s">
        <v>21</v>
      </c>
      <c r="E85" s="3" t="s">
        <v>21</v>
      </c>
    </row>
    <row r="86" spans="1:5" ht="28">
      <c r="A86" s="2" t="s">
        <v>66</v>
      </c>
      <c r="B86" s="2" t="s">
        <v>67</v>
      </c>
      <c r="C86" s="135"/>
      <c r="D86" s="3" t="s">
        <v>152</v>
      </c>
      <c r="E86" s="3" t="s">
        <v>22</v>
      </c>
    </row>
    <row r="87" spans="1:5" ht="28">
      <c r="A87" s="2" t="s">
        <v>67</v>
      </c>
      <c r="B87" s="2" t="s">
        <v>68</v>
      </c>
      <c r="C87" s="135"/>
      <c r="D87" s="3" t="s">
        <v>23</v>
      </c>
      <c r="E87" s="3" t="s">
        <v>23</v>
      </c>
    </row>
    <row r="88" spans="1:5" ht="28">
      <c r="A88" s="2" t="s">
        <v>68</v>
      </c>
      <c r="B88" s="2" t="s">
        <v>119</v>
      </c>
      <c r="C88" s="135"/>
      <c r="D88" s="3" t="s">
        <v>72</v>
      </c>
      <c r="E88" s="2" t="s">
        <v>347</v>
      </c>
    </row>
    <row r="89" spans="1:5" ht="28">
      <c r="A89" s="2" t="s">
        <v>119</v>
      </c>
      <c r="B89" s="2" t="s">
        <v>120</v>
      </c>
      <c r="C89" s="135"/>
      <c r="D89" s="3" t="s">
        <v>73</v>
      </c>
      <c r="E89" s="2" t="s">
        <v>349</v>
      </c>
    </row>
    <row r="90" spans="1:5" ht="28">
      <c r="A90" s="2" t="s">
        <v>120</v>
      </c>
      <c r="B90" s="2" t="s">
        <v>72</v>
      </c>
      <c r="C90" s="135"/>
      <c r="D90" s="3" t="s">
        <v>420</v>
      </c>
      <c r="E90" s="3" t="s">
        <v>420</v>
      </c>
    </row>
    <row r="91" spans="1:5" ht="28">
      <c r="A91" s="2" t="s">
        <v>72</v>
      </c>
      <c r="B91" s="2" t="s">
        <v>73</v>
      </c>
      <c r="C91" s="135"/>
      <c r="D91" s="190" t="s">
        <v>29</v>
      </c>
      <c r="E91" s="2" t="s">
        <v>29</v>
      </c>
    </row>
    <row r="92" spans="1:5" ht="14">
      <c r="A92" s="2" t="s">
        <v>73</v>
      </c>
      <c r="B92" s="1" t="s">
        <v>29</v>
      </c>
      <c r="C92" s="135"/>
      <c r="D92" s="160"/>
      <c r="E92" s="6"/>
    </row>
    <row r="93" spans="1:5" ht="13">
      <c r="A93" s="1" t="s">
        <v>29</v>
      </c>
      <c r="B93" s="1"/>
      <c r="C93" s="135"/>
      <c r="D93" s="160"/>
      <c r="E93" s="6"/>
    </row>
    <row r="94" spans="1:5" ht="13">
      <c r="A94" s="1" t="s">
        <v>425</v>
      </c>
      <c r="B94" s="123"/>
      <c r="C94" s="135"/>
      <c r="D94" s="160"/>
      <c r="E94" s="6"/>
    </row>
    <row r="95" spans="1:5" ht="13">
      <c r="A95" s="6"/>
      <c r="B95" s="123"/>
      <c r="C95" s="135"/>
      <c r="D95" s="160"/>
      <c r="E95" s="6"/>
    </row>
    <row r="96" spans="1:5" ht="13">
      <c r="A96" s="6"/>
      <c r="B96" s="123"/>
      <c r="C96" s="135"/>
      <c r="D96" s="160"/>
      <c r="E96" s="6"/>
    </row>
    <row r="97" spans="1:5" ht="13">
      <c r="A97" s="6"/>
      <c r="B97" s="123"/>
      <c r="C97" s="135"/>
      <c r="D97" s="160"/>
      <c r="E97" s="6"/>
    </row>
    <row r="98" spans="1:5" ht="13">
      <c r="A98" s="6"/>
      <c r="B98" s="123"/>
      <c r="C98" s="135"/>
      <c r="D98" s="160"/>
      <c r="E98" s="6"/>
    </row>
    <row r="99" spans="1:5" ht="13">
      <c r="A99" s="6"/>
      <c r="B99" s="123"/>
      <c r="C99" s="135"/>
      <c r="D99" s="160"/>
      <c r="E99" s="6"/>
    </row>
    <row r="100" spans="1:5" ht="14">
      <c r="A100" s="6"/>
      <c r="B100" s="123"/>
      <c r="C100" s="2" t="s">
        <v>0</v>
      </c>
      <c r="D100" s="160"/>
      <c r="E100" s="6"/>
    </row>
    <row r="101" spans="1:5" ht="14">
      <c r="A101" s="6"/>
      <c r="B101" s="123"/>
      <c r="C101" s="2" t="s">
        <v>1</v>
      </c>
      <c r="D101" s="160"/>
      <c r="E101" s="6"/>
    </row>
    <row r="102" spans="1:5" ht="13">
      <c r="A102" s="6"/>
      <c r="B102" s="123"/>
      <c r="C102" s="100" t="s">
        <v>2</v>
      </c>
      <c r="D102" s="160"/>
      <c r="E102" s="6"/>
    </row>
    <row r="103" spans="1:5" ht="14">
      <c r="A103" s="6"/>
      <c r="B103" s="123"/>
      <c r="C103" s="2" t="s">
        <v>3</v>
      </c>
      <c r="D103" s="160"/>
      <c r="E103" s="6"/>
    </row>
    <row r="104" spans="1:5" ht="28">
      <c r="A104" s="6"/>
      <c r="B104" s="123"/>
      <c r="C104" s="2" t="s">
        <v>4</v>
      </c>
      <c r="D104" s="160"/>
      <c r="E104" s="6"/>
    </row>
    <row r="105" spans="1:5" ht="14">
      <c r="A105" s="6"/>
      <c r="B105" s="123"/>
      <c r="C105" s="2" t="s">
        <v>337</v>
      </c>
      <c r="D105" s="160"/>
      <c r="E105" s="6"/>
    </row>
    <row r="106" spans="1:5" ht="14">
      <c r="A106" s="6"/>
      <c r="B106" s="123"/>
      <c r="C106" s="2" t="s">
        <v>339</v>
      </c>
      <c r="D106" s="160"/>
      <c r="E106" s="6"/>
    </row>
    <row r="107" spans="1:5" ht="14">
      <c r="A107" s="6"/>
      <c r="B107" s="123"/>
      <c r="C107" s="2" t="s">
        <v>344</v>
      </c>
      <c r="D107" s="160"/>
      <c r="E107" s="6"/>
    </row>
    <row r="108" spans="1:5" ht="14">
      <c r="A108" s="6"/>
      <c r="B108" s="123"/>
      <c r="C108" s="2" t="s">
        <v>8</v>
      </c>
      <c r="D108" s="160"/>
      <c r="E108" s="6"/>
    </row>
    <row r="109" spans="1:5" ht="14">
      <c r="A109" s="6"/>
      <c r="B109" s="123"/>
      <c r="C109" s="2" t="s">
        <v>149</v>
      </c>
      <c r="D109" s="160"/>
      <c r="E109" s="6"/>
    </row>
    <row r="110" spans="1:5" ht="14">
      <c r="A110" s="6"/>
      <c r="B110" s="123"/>
      <c r="C110" s="2" t="s">
        <v>61</v>
      </c>
      <c r="D110" s="160"/>
      <c r="E110" s="6"/>
    </row>
    <row r="111" spans="1:5" ht="14">
      <c r="A111" s="6"/>
      <c r="B111" s="123"/>
      <c r="C111" s="2" t="s">
        <v>11</v>
      </c>
      <c r="D111" s="160"/>
      <c r="E111" s="6"/>
    </row>
    <row r="112" spans="1:5" ht="26">
      <c r="A112" s="6"/>
      <c r="B112" s="123"/>
      <c r="C112" s="3" t="s">
        <v>12</v>
      </c>
      <c r="D112" s="160"/>
      <c r="E112" s="6"/>
    </row>
    <row r="113" spans="1:5" ht="26">
      <c r="A113" s="6"/>
      <c r="B113" s="123"/>
      <c r="C113" s="3" t="s">
        <v>13</v>
      </c>
      <c r="D113" s="160"/>
      <c r="E113" s="6"/>
    </row>
    <row r="114" spans="1:5" ht="26">
      <c r="A114" s="6"/>
      <c r="B114" s="123"/>
      <c r="C114" s="3" t="s">
        <v>14</v>
      </c>
      <c r="D114" s="160"/>
      <c r="E114" s="6"/>
    </row>
    <row r="115" spans="1:5" ht="26">
      <c r="A115" s="6"/>
      <c r="B115" s="123"/>
      <c r="C115" s="3" t="s">
        <v>15</v>
      </c>
      <c r="D115" s="160"/>
      <c r="E115" s="6"/>
    </row>
    <row r="116" spans="1:5" ht="26">
      <c r="A116" s="6"/>
      <c r="B116" s="123"/>
      <c r="C116" s="3" t="s">
        <v>64</v>
      </c>
      <c r="D116" s="160"/>
      <c r="E116" s="6"/>
    </row>
    <row r="117" spans="1:5" ht="26">
      <c r="A117" s="6"/>
      <c r="B117" s="123"/>
      <c r="C117" s="3" t="s">
        <v>65</v>
      </c>
      <c r="D117" s="160"/>
      <c r="E117" s="6"/>
    </row>
    <row r="118" spans="1:5" ht="26">
      <c r="A118" s="6"/>
      <c r="B118" s="123"/>
      <c r="C118" s="3" t="s">
        <v>422</v>
      </c>
      <c r="D118" s="160"/>
      <c r="E118" s="6"/>
    </row>
    <row r="119" spans="1:5" ht="26">
      <c r="A119" s="6"/>
      <c r="B119" s="123"/>
      <c r="C119" s="3" t="s">
        <v>423</v>
      </c>
      <c r="D119" s="160"/>
      <c r="E119" s="6"/>
    </row>
    <row r="120" spans="1:5" ht="13">
      <c r="A120" s="6"/>
      <c r="B120" s="123"/>
      <c r="C120" s="3" t="s">
        <v>151</v>
      </c>
      <c r="D120" s="160"/>
      <c r="E120" s="6"/>
    </row>
    <row r="121" spans="1:5" ht="13">
      <c r="A121" s="6"/>
      <c r="B121" s="123"/>
      <c r="C121" s="3" t="s">
        <v>21</v>
      </c>
      <c r="D121" s="160"/>
      <c r="E121" s="6"/>
    </row>
    <row r="122" spans="1:5" ht="13">
      <c r="A122" s="6"/>
      <c r="B122" s="123"/>
      <c r="C122" s="3" t="s">
        <v>152</v>
      </c>
      <c r="D122" s="160"/>
      <c r="E122" s="6"/>
    </row>
    <row r="123" spans="1:5" ht="28">
      <c r="A123" s="6"/>
      <c r="B123" s="123"/>
      <c r="C123" s="2" t="s">
        <v>23</v>
      </c>
      <c r="D123" s="160"/>
      <c r="E123" s="6"/>
    </row>
    <row r="124" spans="1:5" ht="14">
      <c r="A124" s="6"/>
      <c r="B124" s="123"/>
      <c r="C124" s="2" t="s">
        <v>347</v>
      </c>
      <c r="D124" s="190" t="s">
        <v>421</v>
      </c>
      <c r="E124" s="1" t="s">
        <v>0</v>
      </c>
    </row>
    <row r="125" spans="1:5" ht="14">
      <c r="A125" s="6"/>
      <c r="B125" s="123"/>
      <c r="C125" s="2" t="s">
        <v>349</v>
      </c>
      <c r="D125" s="190" t="s">
        <v>1</v>
      </c>
      <c r="E125" s="1" t="s">
        <v>1</v>
      </c>
    </row>
    <row r="126" spans="1:5" ht="14">
      <c r="A126" s="6"/>
      <c r="B126" s="123"/>
      <c r="C126" s="2" t="s">
        <v>424</v>
      </c>
      <c r="D126" s="1" t="s">
        <v>2</v>
      </c>
      <c r="E126" s="1" t="s">
        <v>2</v>
      </c>
    </row>
    <row r="127" spans="1:5" ht="14">
      <c r="A127" s="6"/>
      <c r="B127" s="123"/>
      <c r="C127" s="2" t="s">
        <v>29</v>
      </c>
      <c r="D127" s="190" t="s">
        <v>3</v>
      </c>
      <c r="E127" s="1" t="s">
        <v>3</v>
      </c>
    </row>
    <row r="128" spans="1:5" ht="28">
      <c r="A128" s="6"/>
      <c r="B128" s="123"/>
      <c r="C128" s="135"/>
      <c r="D128" s="3" t="s">
        <v>4</v>
      </c>
      <c r="E128" s="2" t="s">
        <v>4</v>
      </c>
    </row>
    <row r="129" spans="1:5" ht="14">
      <c r="A129" s="6"/>
      <c r="B129" s="1" t="s">
        <v>0</v>
      </c>
      <c r="C129" s="135"/>
      <c r="D129" s="3" t="s">
        <v>337</v>
      </c>
      <c r="E129" s="2" t="s">
        <v>337</v>
      </c>
    </row>
    <row r="130" spans="1:5" ht="14">
      <c r="A130" s="1" t="s">
        <v>97</v>
      </c>
      <c r="B130" s="1" t="s">
        <v>1</v>
      </c>
      <c r="C130" s="135"/>
      <c r="D130" s="3" t="s">
        <v>339</v>
      </c>
      <c r="E130" s="2" t="s">
        <v>339</v>
      </c>
    </row>
    <row r="131" spans="1:5" ht="28">
      <c r="A131" s="1" t="s">
        <v>1</v>
      </c>
      <c r="B131" s="1" t="s">
        <v>2</v>
      </c>
      <c r="C131" s="135"/>
      <c r="D131" s="3" t="s">
        <v>7</v>
      </c>
      <c r="E131" s="2" t="s">
        <v>7</v>
      </c>
    </row>
    <row r="132" spans="1:5" ht="14">
      <c r="A132" s="1" t="s">
        <v>2</v>
      </c>
      <c r="B132" s="1" t="s">
        <v>3</v>
      </c>
      <c r="C132" s="135"/>
      <c r="D132" s="3" t="s">
        <v>8</v>
      </c>
      <c r="E132" s="2" t="s">
        <v>8</v>
      </c>
    </row>
    <row r="133" spans="1:5" ht="28">
      <c r="A133" s="1" t="s">
        <v>333</v>
      </c>
      <c r="B133" s="2" t="s">
        <v>4</v>
      </c>
      <c r="C133" s="135"/>
      <c r="D133" s="3" t="s">
        <v>60</v>
      </c>
      <c r="E133" s="2" t="s">
        <v>9</v>
      </c>
    </row>
    <row r="134" spans="1:5" ht="14">
      <c r="A134" s="1" t="s">
        <v>3</v>
      </c>
      <c r="B134" s="197" t="s">
        <v>337</v>
      </c>
      <c r="C134" s="135"/>
      <c r="D134" s="3" t="s">
        <v>61</v>
      </c>
      <c r="E134" s="2" t="s">
        <v>10</v>
      </c>
    </row>
    <row r="135" spans="1:5" ht="28">
      <c r="A135" s="2" t="s">
        <v>4</v>
      </c>
      <c r="B135" s="197" t="s">
        <v>339</v>
      </c>
      <c r="C135" s="135"/>
      <c r="D135" s="190" t="s">
        <v>11</v>
      </c>
      <c r="E135" s="1" t="s">
        <v>11</v>
      </c>
    </row>
    <row r="136" spans="1:5" ht="26">
      <c r="A136" s="197" t="s">
        <v>337</v>
      </c>
      <c r="B136" s="1" t="s">
        <v>344</v>
      </c>
      <c r="C136" s="135"/>
      <c r="D136" s="3" t="s">
        <v>12</v>
      </c>
      <c r="E136" s="3" t="s">
        <v>12</v>
      </c>
    </row>
    <row r="137" spans="1:5" ht="26">
      <c r="A137" s="197" t="s">
        <v>339</v>
      </c>
      <c r="B137" s="2" t="s">
        <v>8</v>
      </c>
      <c r="C137" s="135"/>
      <c r="D137" s="3" t="s">
        <v>13</v>
      </c>
      <c r="E137" s="3" t="s">
        <v>13</v>
      </c>
    </row>
    <row r="138" spans="1:5" ht="26">
      <c r="A138" s="1" t="s">
        <v>344</v>
      </c>
      <c r="B138" s="2" t="s">
        <v>60</v>
      </c>
      <c r="C138" s="135"/>
      <c r="D138" s="3" t="s">
        <v>14</v>
      </c>
      <c r="E138" s="3" t="s">
        <v>14</v>
      </c>
    </row>
    <row r="139" spans="1:5" ht="26">
      <c r="A139" s="2" t="s">
        <v>8</v>
      </c>
      <c r="B139" s="2" t="s">
        <v>61</v>
      </c>
      <c r="C139" s="135"/>
      <c r="D139" s="3" t="s">
        <v>15</v>
      </c>
      <c r="E139" s="3" t="s">
        <v>15</v>
      </c>
    </row>
    <row r="140" spans="1:5" ht="26">
      <c r="A140" s="2" t="s">
        <v>60</v>
      </c>
      <c r="B140" s="1" t="s">
        <v>11</v>
      </c>
      <c r="C140" s="135"/>
      <c r="D140" s="3" t="s">
        <v>64</v>
      </c>
      <c r="E140" s="3" t="s">
        <v>64</v>
      </c>
    </row>
    <row r="141" spans="1:5" ht="28">
      <c r="A141" s="2" t="s">
        <v>61</v>
      </c>
      <c r="B141" s="2" t="s">
        <v>12</v>
      </c>
      <c r="C141" s="135"/>
      <c r="D141" s="3" t="s">
        <v>65</v>
      </c>
      <c r="E141" s="3" t="s">
        <v>65</v>
      </c>
    </row>
    <row r="142" spans="1:5" ht="28">
      <c r="A142" s="1" t="s">
        <v>11</v>
      </c>
      <c r="B142" s="2" t="s">
        <v>13</v>
      </c>
      <c r="C142" s="135"/>
      <c r="D142" s="3" t="s">
        <v>422</v>
      </c>
      <c r="E142" s="3" t="s">
        <v>422</v>
      </c>
    </row>
    <row r="143" spans="1:5" ht="42">
      <c r="A143" s="2" t="s">
        <v>12</v>
      </c>
      <c r="B143" s="2" t="s">
        <v>62</v>
      </c>
      <c r="C143" s="135"/>
      <c r="D143" s="3" t="s">
        <v>423</v>
      </c>
      <c r="E143" s="3" t="s">
        <v>423</v>
      </c>
    </row>
    <row r="144" spans="1:5" ht="42">
      <c r="A144" s="2" t="s">
        <v>13</v>
      </c>
      <c r="B144" s="2" t="s">
        <v>63</v>
      </c>
      <c r="C144" s="135"/>
      <c r="D144" s="3" t="s">
        <v>151</v>
      </c>
      <c r="E144" s="3" t="s">
        <v>151</v>
      </c>
    </row>
    <row r="145" spans="1:5" ht="42">
      <c r="A145" s="2" t="s">
        <v>62</v>
      </c>
      <c r="B145" s="2" t="s">
        <v>117</v>
      </c>
      <c r="C145" s="135"/>
      <c r="D145" s="3" t="s">
        <v>21</v>
      </c>
      <c r="E145" s="3" t="s">
        <v>21</v>
      </c>
    </row>
    <row r="146" spans="1:5" ht="42">
      <c r="A146" s="2" t="s">
        <v>63</v>
      </c>
      <c r="B146" s="2" t="s">
        <v>118</v>
      </c>
      <c r="C146" s="135"/>
      <c r="D146" s="3" t="s">
        <v>152</v>
      </c>
      <c r="E146" s="3" t="s">
        <v>22</v>
      </c>
    </row>
    <row r="147" spans="1:5" ht="42">
      <c r="A147" s="2" t="s">
        <v>117</v>
      </c>
      <c r="B147" s="2" t="s">
        <v>66</v>
      </c>
      <c r="C147" s="135"/>
      <c r="D147" s="3" t="s">
        <v>23</v>
      </c>
      <c r="E147" s="3" t="s">
        <v>23</v>
      </c>
    </row>
    <row r="148" spans="1:5" ht="42">
      <c r="A148" s="2" t="s">
        <v>118</v>
      </c>
      <c r="B148" s="2" t="s">
        <v>67</v>
      </c>
      <c r="C148" s="2" t="s">
        <v>0</v>
      </c>
      <c r="D148" s="3" t="s">
        <v>72</v>
      </c>
      <c r="E148" s="2" t="s">
        <v>347</v>
      </c>
    </row>
    <row r="149" spans="1:5" ht="28">
      <c r="A149" s="2" t="s">
        <v>66</v>
      </c>
      <c r="B149" s="2" t="s">
        <v>68</v>
      </c>
      <c r="C149" s="2" t="s">
        <v>1</v>
      </c>
      <c r="D149" s="3" t="s">
        <v>73</v>
      </c>
      <c r="E149" s="2" t="s">
        <v>349</v>
      </c>
    </row>
    <row r="150" spans="1:5" ht="28">
      <c r="A150" s="2" t="s">
        <v>67</v>
      </c>
      <c r="B150" s="2" t="s">
        <v>119</v>
      </c>
      <c r="C150" s="100" t="s">
        <v>2</v>
      </c>
      <c r="D150" s="3" t="s">
        <v>420</v>
      </c>
      <c r="E150" s="3" t="s">
        <v>420</v>
      </c>
    </row>
    <row r="151" spans="1:5" ht="28">
      <c r="A151" s="2" t="s">
        <v>68</v>
      </c>
      <c r="B151" s="2" t="s">
        <v>120</v>
      </c>
      <c r="C151" s="2" t="s">
        <v>3</v>
      </c>
      <c r="D151" s="190" t="s">
        <v>29</v>
      </c>
      <c r="E151" s="2" t="s">
        <v>29</v>
      </c>
    </row>
    <row r="152" spans="1:5" ht="28">
      <c r="A152" s="2" t="s">
        <v>119</v>
      </c>
      <c r="B152" s="2" t="s">
        <v>72</v>
      </c>
      <c r="C152" s="2" t="s">
        <v>4</v>
      </c>
      <c r="D152" s="160"/>
      <c r="E152" s="6"/>
    </row>
    <row r="153" spans="1:5" ht="28">
      <c r="A153" s="2" t="s">
        <v>120</v>
      </c>
      <c r="B153" s="2" t="s">
        <v>73</v>
      </c>
      <c r="C153" s="2" t="s">
        <v>337</v>
      </c>
      <c r="D153" s="160"/>
      <c r="E153" s="6"/>
    </row>
    <row r="154" spans="1:5" ht="28">
      <c r="A154" s="2" t="s">
        <v>72</v>
      </c>
      <c r="B154" s="1" t="s">
        <v>29</v>
      </c>
      <c r="C154" s="2" t="s">
        <v>339</v>
      </c>
      <c r="D154" s="160"/>
      <c r="E154" s="6"/>
    </row>
    <row r="155" spans="1:5" ht="14">
      <c r="A155" s="2" t="s">
        <v>73</v>
      </c>
      <c r="B155" s="1"/>
      <c r="C155" s="2" t="s">
        <v>344</v>
      </c>
      <c r="D155" s="160"/>
      <c r="E155" s="6"/>
    </row>
    <row r="156" spans="1:5" ht="14">
      <c r="A156" s="1" t="s">
        <v>29</v>
      </c>
      <c r="B156" s="123"/>
      <c r="C156" s="2" t="s">
        <v>8</v>
      </c>
      <c r="D156" s="160"/>
      <c r="E156" s="6"/>
    </row>
    <row r="157" spans="1:5" ht="14">
      <c r="A157" s="1" t="s">
        <v>425</v>
      </c>
      <c r="B157" s="123"/>
      <c r="C157" s="2" t="s">
        <v>149</v>
      </c>
      <c r="D157" s="160"/>
      <c r="E157" s="6"/>
    </row>
    <row r="158" spans="1:5" ht="14">
      <c r="A158" s="6"/>
      <c r="B158" s="123"/>
      <c r="C158" s="2" t="s">
        <v>61</v>
      </c>
      <c r="D158" s="160"/>
      <c r="E158" s="6"/>
    </row>
    <row r="159" spans="1:5" ht="14">
      <c r="A159" s="6"/>
      <c r="B159" s="123"/>
      <c r="C159" s="2" t="s">
        <v>11</v>
      </c>
      <c r="D159" s="160"/>
      <c r="E159" s="6"/>
    </row>
    <row r="160" spans="1:5" ht="26">
      <c r="A160" s="6"/>
      <c r="B160" s="123"/>
      <c r="C160" s="3" t="s">
        <v>12</v>
      </c>
      <c r="D160" s="160"/>
      <c r="E160" s="6"/>
    </row>
    <row r="161" spans="1:5" ht="26">
      <c r="A161" s="6"/>
      <c r="B161" s="123"/>
      <c r="C161" s="3" t="s">
        <v>13</v>
      </c>
      <c r="D161" s="160"/>
      <c r="E161" s="6"/>
    </row>
    <row r="162" spans="1:5" ht="26">
      <c r="A162" s="6"/>
      <c r="B162" s="123"/>
      <c r="C162" s="3" t="s">
        <v>14</v>
      </c>
      <c r="D162" s="160"/>
      <c r="E162" s="6"/>
    </row>
    <row r="163" spans="1:5" ht="26">
      <c r="A163" s="6"/>
      <c r="B163" s="123"/>
      <c r="C163" s="3" t="s">
        <v>15</v>
      </c>
      <c r="D163" s="160"/>
      <c r="E163" s="6"/>
    </row>
    <row r="164" spans="1:5" ht="26">
      <c r="A164" s="6"/>
      <c r="B164" s="123"/>
      <c r="C164" s="3" t="s">
        <v>64</v>
      </c>
      <c r="D164" s="160"/>
      <c r="E164" s="6"/>
    </row>
    <row r="165" spans="1:5" ht="26">
      <c r="A165" s="6"/>
      <c r="B165" s="123"/>
      <c r="C165" s="3" t="s">
        <v>65</v>
      </c>
      <c r="D165" s="160"/>
      <c r="E165" s="6"/>
    </row>
    <row r="166" spans="1:5" ht="26">
      <c r="A166" s="6"/>
      <c r="B166" s="123"/>
      <c r="C166" s="3" t="s">
        <v>422</v>
      </c>
      <c r="D166" s="160"/>
      <c r="E166" s="6"/>
    </row>
    <row r="167" spans="1:5" ht="26">
      <c r="A167" s="6"/>
      <c r="B167" s="123"/>
      <c r="C167" s="3" t="s">
        <v>423</v>
      </c>
      <c r="D167" s="160"/>
      <c r="E167" s="6"/>
    </row>
    <row r="168" spans="1:5" ht="13">
      <c r="A168" s="6"/>
      <c r="B168" s="123"/>
      <c r="C168" s="3" t="s">
        <v>151</v>
      </c>
      <c r="D168" s="160"/>
      <c r="E168" s="6"/>
    </row>
    <row r="169" spans="1:5" ht="13">
      <c r="A169" s="6"/>
      <c r="B169" s="123"/>
      <c r="C169" s="3" t="s">
        <v>21</v>
      </c>
      <c r="D169" s="160"/>
      <c r="E169" s="6"/>
    </row>
    <row r="170" spans="1:5" ht="13">
      <c r="A170" s="6"/>
      <c r="B170" s="123"/>
      <c r="C170" s="3" t="s">
        <v>152</v>
      </c>
      <c r="D170" s="160"/>
      <c r="E170" s="6"/>
    </row>
    <row r="171" spans="1:5" ht="28">
      <c r="A171" s="6"/>
      <c r="B171" s="123"/>
      <c r="C171" s="2" t="s">
        <v>23</v>
      </c>
      <c r="D171" s="160"/>
      <c r="E171" s="6"/>
    </row>
    <row r="172" spans="1:5" ht="14">
      <c r="A172" s="6"/>
      <c r="B172" s="123"/>
      <c r="C172" s="2" t="s">
        <v>347</v>
      </c>
      <c r="D172" s="160"/>
      <c r="E172" s="6"/>
    </row>
    <row r="173" spans="1:5" ht="14">
      <c r="A173" s="6"/>
      <c r="B173" s="123"/>
      <c r="C173" s="2" t="s">
        <v>349</v>
      </c>
      <c r="D173" s="160"/>
      <c r="E173" s="6"/>
    </row>
    <row r="174" spans="1:5" ht="14">
      <c r="A174" s="6"/>
      <c r="B174" s="123"/>
      <c r="C174" s="2" t="s">
        <v>424</v>
      </c>
      <c r="D174" s="160"/>
      <c r="E174" s="6"/>
    </row>
    <row r="175" spans="1:5" ht="14">
      <c r="A175" s="6"/>
      <c r="B175" s="123"/>
      <c r="C175" s="2" t="s">
        <v>29</v>
      </c>
      <c r="D175" s="160"/>
      <c r="E175" s="6"/>
    </row>
    <row r="176" spans="1:5" ht="13">
      <c r="A176" s="6"/>
      <c r="B176" s="123"/>
      <c r="C176" s="135"/>
      <c r="D176" s="160"/>
      <c r="E176" s="6"/>
    </row>
    <row r="177" spans="1:5" ht="13">
      <c r="A177" s="6"/>
      <c r="B177" s="123"/>
      <c r="C177" s="135"/>
      <c r="D177" s="160"/>
      <c r="E177" s="6"/>
    </row>
    <row r="178" spans="1:5" ht="13">
      <c r="A178" s="6"/>
      <c r="B178" s="123"/>
      <c r="C178" s="135"/>
      <c r="D178" s="160"/>
      <c r="E178" s="6"/>
    </row>
    <row r="179" spans="1:5" ht="13">
      <c r="A179" s="6"/>
      <c r="B179" s="123"/>
      <c r="C179" s="135"/>
      <c r="D179" s="160"/>
      <c r="E179" s="6"/>
    </row>
    <row r="180" spans="1:5" ht="13">
      <c r="A180" s="6"/>
      <c r="B180" s="123"/>
      <c r="C180" s="135"/>
      <c r="D180" s="160"/>
      <c r="E180" s="6"/>
    </row>
    <row r="181" spans="1:5" ht="13">
      <c r="A181" s="6"/>
      <c r="B181" s="123"/>
      <c r="C181" s="135"/>
      <c r="D181" s="160"/>
      <c r="E181" s="6"/>
    </row>
    <row r="182" spans="1:5" ht="13">
      <c r="A182" s="6"/>
      <c r="B182" s="123"/>
      <c r="C182" s="135"/>
      <c r="D182" s="160"/>
      <c r="E182" s="6"/>
    </row>
    <row r="183" spans="1:5" ht="13">
      <c r="A183" s="6"/>
      <c r="B183" s="123"/>
      <c r="C183" s="135"/>
      <c r="D183" s="160"/>
      <c r="E183" s="6"/>
    </row>
    <row r="184" spans="1:5" ht="13">
      <c r="A184" s="6"/>
      <c r="B184" s="123"/>
      <c r="C184" s="135"/>
      <c r="D184" s="190" t="s">
        <v>421</v>
      </c>
      <c r="E184" s="1" t="s">
        <v>0</v>
      </c>
    </row>
    <row r="185" spans="1:5" ht="13">
      <c r="A185" s="6"/>
      <c r="B185" s="123"/>
      <c r="C185" s="135"/>
      <c r="D185" s="190" t="s">
        <v>1</v>
      </c>
      <c r="E185" s="1" t="s">
        <v>1</v>
      </c>
    </row>
    <row r="186" spans="1:5" ht="13">
      <c r="A186" s="6"/>
      <c r="B186" s="123"/>
      <c r="C186" s="135"/>
      <c r="D186" s="1" t="s">
        <v>2</v>
      </c>
      <c r="E186" s="1" t="s">
        <v>2</v>
      </c>
    </row>
    <row r="187" spans="1:5" ht="13">
      <c r="A187" s="6"/>
      <c r="B187" s="123"/>
      <c r="C187" s="135"/>
      <c r="D187" s="190" t="s">
        <v>3</v>
      </c>
      <c r="E187" s="1" t="s">
        <v>3</v>
      </c>
    </row>
    <row r="188" spans="1:5" ht="28">
      <c r="A188" s="6"/>
      <c r="B188" s="123"/>
      <c r="C188" s="135"/>
      <c r="D188" s="3" t="s">
        <v>4</v>
      </c>
      <c r="E188" s="2" t="s">
        <v>4</v>
      </c>
    </row>
    <row r="189" spans="1:5" ht="14">
      <c r="A189" s="6"/>
      <c r="B189" s="123"/>
      <c r="C189" s="135"/>
      <c r="D189" s="3" t="s">
        <v>337</v>
      </c>
      <c r="E189" s="2" t="s">
        <v>337</v>
      </c>
    </row>
    <row r="190" spans="1:5" ht="14">
      <c r="A190" s="6"/>
      <c r="B190" s="123"/>
      <c r="C190" s="135"/>
      <c r="D190" s="3" t="s">
        <v>339</v>
      </c>
      <c r="E190" s="2" t="s">
        <v>339</v>
      </c>
    </row>
    <row r="191" spans="1:5" ht="28">
      <c r="A191" s="6"/>
      <c r="B191" s="1" t="s">
        <v>0</v>
      </c>
      <c r="C191" s="135"/>
      <c r="D191" s="3" t="s">
        <v>7</v>
      </c>
      <c r="E191" s="2" t="s">
        <v>7</v>
      </c>
    </row>
    <row r="192" spans="1:5" ht="14">
      <c r="A192" s="6"/>
      <c r="B192" s="1" t="s">
        <v>1</v>
      </c>
      <c r="C192" s="135"/>
      <c r="D192" s="3" t="s">
        <v>8</v>
      </c>
      <c r="E192" s="2" t="s">
        <v>8</v>
      </c>
    </row>
    <row r="193" spans="1:5" ht="14">
      <c r="A193" s="1" t="s">
        <v>97</v>
      </c>
      <c r="B193" s="1" t="s">
        <v>2</v>
      </c>
      <c r="C193" s="135"/>
      <c r="D193" s="3" t="s">
        <v>60</v>
      </c>
      <c r="E193" s="2" t="s">
        <v>9</v>
      </c>
    </row>
    <row r="194" spans="1:5" ht="14">
      <c r="A194" s="1" t="s">
        <v>1</v>
      </c>
      <c r="B194" s="1" t="s">
        <v>3</v>
      </c>
      <c r="C194" s="135"/>
      <c r="D194" s="3" t="s">
        <v>61</v>
      </c>
      <c r="E194" s="2" t="s">
        <v>10</v>
      </c>
    </row>
    <row r="195" spans="1:5" ht="28">
      <c r="A195" s="1" t="s">
        <v>2</v>
      </c>
      <c r="B195" s="2" t="s">
        <v>4</v>
      </c>
      <c r="C195" s="135"/>
      <c r="D195" s="190" t="s">
        <v>11</v>
      </c>
      <c r="E195" s="1" t="s">
        <v>11</v>
      </c>
    </row>
    <row r="196" spans="1:5" ht="26">
      <c r="A196" s="1" t="s">
        <v>333</v>
      </c>
      <c r="B196" s="197" t="s">
        <v>337</v>
      </c>
      <c r="C196" s="2" t="s">
        <v>0</v>
      </c>
      <c r="D196" s="3" t="s">
        <v>12</v>
      </c>
      <c r="E196" s="3" t="s">
        <v>12</v>
      </c>
    </row>
    <row r="197" spans="1:5" ht="26">
      <c r="A197" s="1" t="s">
        <v>3</v>
      </c>
      <c r="B197" s="197" t="s">
        <v>339</v>
      </c>
      <c r="C197" s="2" t="s">
        <v>1</v>
      </c>
      <c r="D197" s="3" t="s">
        <v>13</v>
      </c>
      <c r="E197" s="3" t="s">
        <v>13</v>
      </c>
    </row>
    <row r="198" spans="1:5" ht="28">
      <c r="A198" s="2" t="s">
        <v>4</v>
      </c>
      <c r="B198" s="1" t="s">
        <v>344</v>
      </c>
      <c r="C198" s="100" t="s">
        <v>2</v>
      </c>
      <c r="D198" s="3" t="s">
        <v>14</v>
      </c>
      <c r="E198" s="3" t="s">
        <v>14</v>
      </c>
    </row>
    <row r="199" spans="1:5" ht="26">
      <c r="A199" s="197" t="s">
        <v>337</v>
      </c>
      <c r="B199" s="2" t="s">
        <v>8</v>
      </c>
      <c r="C199" s="2" t="s">
        <v>3</v>
      </c>
      <c r="D199" s="3" t="s">
        <v>15</v>
      </c>
      <c r="E199" s="3" t="s">
        <v>15</v>
      </c>
    </row>
    <row r="200" spans="1:5" ht="28">
      <c r="A200" s="197" t="s">
        <v>339</v>
      </c>
      <c r="B200" s="2" t="s">
        <v>60</v>
      </c>
      <c r="C200" s="2" t="s">
        <v>4</v>
      </c>
      <c r="D200" s="3" t="s">
        <v>64</v>
      </c>
      <c r="E200" s="3" t="s">
        <v>64</v>
      </c>
    </row>
    <row r="201" spans="1:5" ht="26">
      <c r="A201" s="1" t="s">
        <v>344</v>
      </c>
      <c r="B201" s="2" t="s">
        <v>61</v>
      </c>
      <c r="C201" s="2" t="s">
        <v>337</v>
      </c>
      <c r="D201" s="3" t="s">
        <v>65</v>
      </c>
      <c r="E201" s="3" t="s">
        <v>65</v>
      </c>
    </row>
    <row r="202" spans="1:5" ht="26">
      <c r="A202" s="2" t="s">
        <v>8</v>
      </c>
      <c r="B202" s="1" t="s">
        <v>11</v>
      </c>
      <c r="C202" s="2" t="s">
        <v>339</v>
      </c>
      <c r="D202" s="3" t="s">
        <v>422</v>
      </c>
      <c r="E202" s="3" t="s">
        <v>422</v>
      </c>
    </row>
    <row r="203" spans="1:5" ht="28">
      <c r="A203" s="2" t="s">
        <v>60</v>
      </c>
      <c r="B203" s="2" t="s">
        <v>12</v>
      </c>
      <c r="C203" s="2" t="s">
        <v>344</v>
      </c>
      <c r="D203" s="3" t="s">
        <v>423</v>
      </c>
      <c r="E203" s="3" t="s">
        <v>423</v>
      </c>
    </row>
    <row r="204" spans="1:5" ht="28">
      <c r="A204" s="2" t="s">
        <v>61</v>
      </c>
      <c r="B204" s="2" t="s">
        <v>13</v>
      </c>
      <c r="C204" s="2" t="s">
        <v>8</v>
      </c>
      <c r="D204" s="3" t="s">
        <v>151</v>
      </c>
      <c r="E204" s="3" t="s">
        <v>151</v>
      </c>
    </row>
    <row r="205" spans="1:5" ht="42">
      <c r="A205" s="1" t="s">
        <v>11</v>
      </c>
      <c r="B205" s="2" t="s">
        <v>62</v>
      </c>
      <c r="C205" s="2" t="s">
        <v>149</v>
      </c>
      <c r="D205" s="3" t="s">
        <v>21</v>
      </c>
      <c r="E205" s="3" t="s">
        <v>21</v>
      </c>
    </row>
    <row r="206" spans="1:5" ht="42">
      <c r="A206" s="2" t="s">
        <v>12</v>
      </c>
      <c r="B206" s="2" t="s">
        <v>63</v>
      </c>
      <c r="C206" s="2" t="s">
        <v>61</v>
      </c>
      <c r="D206" s="3" t="s">
        <v>152</v>
      </c>
      <c r="E206" s="3" t="s">
        <v>22</v>
      </c>
    </row>
    <row r="207" spans="1:5" ht="42">
      <c r="A207" s="2" t="s">
        <v>13</v>
      </c>
      <c r="B207" s="2" t="s">
        <v>117</v>
      </c>
      <c r="C207" s="2" t="s">
        <v>11</v>
      </c>
      <c r="D207" s="3" t="s">
        <v>23</v>
      </c>
      <c r="E207" s="3" t="s">
        <v>23</v>
      </c>
    </row>
    <row r="208" spans="1:5" ht="42">
      <c r="A208" s="2" t="s">
        <v>62</v>
      </c>
      <c r="B208" s="2" t="s">
        <v>118</v>
      </c>
      <c r="C208" s="3" t="s">
        <v>12</v>
      </c>
      <c r="D208" s="3" t="s">
        <v>72</v>
      </c>
      <c r="E208" s="2" t="s">
        <v>347</v>
      </c>
    </row>
    <row r="209" spans="1:5" ht="42">
      <c r="A209" s="2" t="s">
        <v>63</v>
      </c>
      <c r="B209" s="2" t="s">
        <v>66</v>
      </c>
      <c r="C209" s="3" t="s">
        <v>13</v>
      </c>
      <c r="D209" s="3" t="s">
        <v>73</v>
      </c>
      <c r="E209" s="2" t="s">
        <v>349</v>
      </c>
    </row>
    <row r="210" spans="1:5" ht="42">
      <c r="A210" s="2" t="s">
        <v>117</v>
      </c>
      <c r="B210" s="2" t="s">
        <v>67</v>
      </c>
      <c r="C210" s="3" t="s">
        <v>14</v>
      </c>
      <c r="D210" s="3" t="s">
        <v>420</v>
      </c>
      <c r="E210" s="3" t="s">
        <v>420</v>
      </c>
    </row>
    <row r="211" spans="1:5" ht="42">
      <c r="A211" s="2" t="s">
        <v>118</v>
      </c>
      <c r="B211" s="2" t="s">
        <v>68</v>
      </c>
      <c r="C211" s="3" t="s">
        <v>15</v>
      </c>
      <c r="D211" s="190" t="s">
        <v>29</v>
      </c>
      <c r="E211" s="2" t="s">
        <v>29</v>
      </c>
    </row>
    <row r="212" spans="1:5" ht="28">
      <c r="A212" s="2" t="s">
        <v>66</v>
      </c>
      <c r="B212" s="2" t="s">
        <v>119</v>
      </c>
      <c r="C212" s="3" t="s">
        <v>64</v>
      </c>
      <c r="D212" s="160"/>
      <c r="E212" s="6"/>
    </row>
    <row r="213" spans="1:5" ht="28">
      <c r="A213" s="2" t="s">
        <v>67</v>
      </c>
      <c r="B213" s="2" t="s">
        <v>120</v>
      </c>
      <c r="C213" s="3" t="s">
        <v>65</v>
      </c>
      <c r="D213" s="160"/>
      <c r="E213" s="6"/>
    </row>
    <row r="214" spans="1:5" ht="28">
      <c r="A214" s="2" t="s">
        <v>68</v>
      </c>
      <c r="B214" s="2" t="s">
        <v>72</v>
      </c>
      <c r="C214" s="3" t="s">
        <v>422</v>
      </c>
      <c r="D214" s="160"/>
      <c r="E214" s="6"/>
    </row>
    <row r="215" spans="1:5" ht="28">
      <c r="A215" s="2" t="s">
        <v>119</v>
      </c>
      <c r="B215" s="2" t="s">
        <v>73</v>
      </c>
      <c r="C215" s="3" t="s">
        <v>423</v>
      </c>
      <c r="D215" s="160"/>
      <c r="E215" s="6"/>
    </row>
    <row r="216" spans="1:5" ht="28">
      <c r="A216" s="2" t="s">
        <v>120</v>
      </c>
      <c r="B216" s="1" t="s">
        <v>29</v>
      </c>
      <c r="C216" s="3" t="s">
        <v>151</v>
      </c>
      <c r="D216" s="160"/>
      <c r="E216" s="6"/>
    </row>
    <row r="217" spans="1:5" ht="28">
      <c r="A217" s="2" t="s">
        <v>72</v>
      </c>
      <c r="B217" s="1"/>
      <c r="C217" s="3" t="s">
        <v>21</v>
      </c>
      <c r="D217" s="160"/>
      <c r="E217" s="6"/>
    </row>
    <row r="218" spans="1:5" ht="14">
      <c r="A218" s="2" t="s">
        <v>73</v>
      </c>
      <c r="B218" s="123"/>
      <c r="C218" s="3" t="s">
        <v>152</v>
      </c>
      <c r="D218" s="160"/>
      <c r="E218" s="6"/>
    </row>
    <row r="219" spans="1:5" ht="28">
      <c r="A219" s="1" t="s">
        <v>29</v>
      </c>
      <c r="B219" s="123"/>
      <c r="C219" s="2" t="s">
        <v>23</v>
      </c>
      <c r="D219" s="160"/>
      <c r="E219" s="6"/>
    </row>
    <row r="220" spans="1:5" ht="14">
      <c r="A220" s="1" t="s">
        <v>425</v>
      </c>
      <c r="B220" s="123"/>
      <c r="C220" s="2" t="s">
        <v>347</v>
      </c>
      <c r="D220" s="160"/>
      <c r="E220" s="6"/>
    </row>
    <row r="221" spans="1:5" ht="14">
      <c r="A221" s="6"/>
      <c r="B221" s="123"/>
      <c r="C221" s="2" t="s">
        <v>349</v>
      </c>
      <c r="D221" s="160"/>
      <c r="E221" s="6"/>
    </row>
    <row r="222" spans="1:5" ht="14">
      <c r="A222" s="6"/>
      <c r="B222" s="123"/>
      <c r="C222" s="2" t="s">
        <v>424</v>
      </c>
      <c r="D222" s="160"/>
      <c r="E222" s="6"/>
    </row>
    <row r="223" spans="1:5" ht="14">
      <c r="A223" s="6"/>
      <c r="B223" s="123"/>
      <c r="C223" s="2" t="s">
        <v>29</v>
      </c>
      <c r="D223" s="160"/>
      <c r="E223" s="6"/>
    </row>
    <row r="224" spans="1:5" ht="13">
      <c r="A224" s="6"/>
      <c r="B224" s="123"/>
      <c r="C224" s="135"/>
      <c r="D224" s="160"/>
      <c r="E224" s="6"/>
    </row>
    <row r="225" spans="1:5" ht="13">
      <c r="A225" s="6"/>
      <c r="B225" s="123"/>
      <c r="C225" s="135"/>
      <c r="D225" s="160"/>
      <c r="E225" s="6"/>
    </row>
    <row r="226" spans="1:5" ht="13">
      <c r="A226" s="6"/>
      <c r="B226" s="123"/>
      <c r="C226" s="135"/>
      <c r="D226" s="160"/>
      <c r="E226" s="6"/>
    </row>
    <row r="227" spans="1:5" ht="13">
      <c r="A227" s="6"/>
      <c r="B227" s="123"/>
      <c r="C227" s="135"/>
      <c r="D227" s="160"/>
      <c r="E227" s="6"/>
    </row>
    <row r="228" spans="1:5" ht="13">
      <c r="A228" s="6"/>
      <c r="B228" s="123"/>
      <c r="C228" s="135"/>
      <c r="D228" s="160"/>
      <c r="E228" s="6"/>
    </row>
    <row r="229" spans="1:5" ht="13">
      <c r="A229" s="6"/>
      <c r="B229" s="123"/>
      <c r="C229" s="135"/>
      <c r="D229" s="160"/>
      <c r="E229" s="6"/>
    </row>
    <row r="230" spans="1:5" ht="13">
      <c r="A230" s="6"/>
      <c r="B230" s="123"/>
      <c r="C230" s="135"/>
      <c r="D230" s="160"/>
      <c r="E230" s="6"/>
    </row>
    <row r="231" spans="1:5" ht="13">
      <c r="A231" s="6"/>
      <c r="B231" s="123"/>
      <c r="C231" s="135"/>
      <c r="D231" s="160"/>
      <c r="E231" s="6"/>
    </row>
    <row r="232" spans="1:5" ht="13">
      <c r="A232" s="6"/>
      <c r="B232" s="123"/>
      <c r="C232" s="135"/>
      <c r="D232" s="160"/>
      <c r="E232" s="6"/>
    </row>
    <row r="233" spans="1:5" ht="13">
      <c r="A233" s="6"/>
      <c r="B233" s="123"/>
      <c r="C233" s="135"/>
      <c r="D233" s="160"/>
      <c r="E233" s="6"/>
    </row>
    <row r="234" spans="1:5" ht="13">
      <c r="A234" s="6"/>
      <c r="B234" s="123"/>
      <c r="C234" s="135"/>
      <c r="D234" s="160"/>
      <c r="E234" s="6"/>
    </row>
    <row r="235" spans="1:5" ht="13">
      <c r="A235" s="6"/>
      <c r="B235" s="123"/>
      <c r="C235" s="135"/>
      <c r="D235" s="160"/>
      <c r="E235" s="6"/>
    </row>
    <row r="236" spans="1:5" ht="13">
      <c r="A236" s="6"/>
      <c r="B236" s="123"/>
      <c r="C236" s="135"/>
      <c r="D236" s="160"/>
      <c r="E236" s="6"/>
    </row>
    <row r="237" spans="1:5" ht="13">
      <c r="A237" s="6"/>
      <c r="B237" s="123"/>
      <c r="C237" s="135"/>
      <c r="D237" s="160"/>
      <c r="E237" s="6"/>
    </row>
    <row r="238" spans="1:5" ht="13">
      <c r="A238" s="6"/>
      <c r="B238" s="123"/>
      <c r="C238" s="135"/>
      <c r="D238" s="160"/>
      <c r="E238" s="6"/>
    </row>
    <row r="239" spans="1:5" ht="13">
      <c r="A239" s="6"/>
      <c r="B239" s="123"/>
      <c r="C239" s="135"/>
      <c r="D239" s="160"/>
      <c r="E239" s="6"/>
    </row>
    <row r="240" spans="1:5" ht="13">
      <c r="A240" s="6"/>
      <c r="B240" s="123"/>
      <c r="C240" s="135"/>
      <c r="D240" s="160"/>
      <c r="E240" s="6"/>
    </row>
    <row r="241" spans="1:5" ht="13">
      <c r="A241" s="6"/>
      <c r="B241" s="123"/>
      <c r="C241" s="135"/>
      <c r="D241" s="160"/>
      <c r="E241" s="6"/>
    </row>
    <row r="242" spans="1:5" ht="13">
      <c r="A242" s="6"/>
      <c r="B242" s="123"/>
      <c r="C242" s="135"/>
      <c r="D242" s="160"/>
      <c r="E242" s="6"/>
    </row>
    <row r="243" spans="1:5" ht="13">
      <c r="A243" s="6"/>
      <c r="B243" s="123"/>
      <c r="C243" s="135"/>
      <c r="D243" s="160"/>
      <c r="E243" s="6"/>
    </row>
    <row r="244" spans="1:5" ht="14">
      <c r="A244" s="6"/>
      <c r="B244" s="123"/>
      <c r="C244" s="2" t="s">
        <v>0</v>
      </c>
      <c r="D244" s="190" t="s">
        <v>421</v>
      </c>
      <c r="E244" s="1" t="s">
        <v>0</v>
      </c>
    </row>
    <row r="245" spans="1:5" ht="14">
      <c r="A245" s="6"/>
      <c r="B245" s="123"/>
      <c r="C245" s="2" t="s">
        <v>1</v>
      </c>
      <c r="D245" s="190" t="s">
        <v>1</v>
      </c>
      <c r="E245" s="1" t="s">
        <v>1</v>
      </c>
    </row>
    <row r="246" spans="1:5" ht="13">
      <c r="A246" s="6"/>
      <c r="B246" s="123"/>
      <c r="C246" s="100" t="s">
        <v>2</v>
      </c>
      <c r="D246" s="1" t="s">
        <v>2</v>
      </c>
      <c r="E246" s="1" t="s">
        <v>2</v>
      </c>
    </row>
    <row r="247" spans="1:5" ht="14">
      <c r="A247" s="6"/>
      <c r="B247" s="123"/>
      <c r="C247" s="2" t="s">
        <v>3</v>
      </c>
      <c r="D247" s="190" t="s">
        <v>3</v>
      </c>
      <c r="E247" s="1" t="s">
        <v>3</v>
      </c>
    </row>
    <row r="248" spans="1:5" ht="28">
      <c r="A248" s="6"/>
      <c r="B248" s="123"/>
      <c r="C248" s="2" t="s">
        <v>4</v>
      </c>
      <c r="D248" s="3" t="s">
        <v>4</v>
      </c>
      <c r="E248" s="2" t="s">
        <v>4</v>
      </c>
    </row>
    <row r="249" spans="1:5" ht="14">
      <c r="A249" s="6"/>
      <c r="B249" s="123"/>
      <c r="C249" s="2" t="s">
        <v>337</v>
      </c>
      <c r="D249" s="3" t="s">
        <v>337</v>
      </c>
      <c r="E249" s="2" t="s">
        <v>337</v>
      </c>
    </row>
    <row r="250" spans="1:5" ht="14">
      <c r="A250" s="6"/>
      <c r="B250" s="123"/>
      <c r="C250" s="2" t="s">
        <v>339</v>
      </c>
      <c r="D250" s="3" t="s">
        <v>339</v>
      </c>
      <c r="E250" s="2" t="s">
        <v>339</v>
      </c>
    </row>
    <row r="251" spans="1:5" ht="28">
      <c r="A251" s="6"/>
      <c r="B251" s="123"/>
      <c r="C251" s="2" t="s">
        <v>344</v>
      </c>
      <c r="D251" s="3" t="s">
        <v>7</v>
      </c>
      <c r="E251" s="2" t="s">
        <v>7</v>
      </c>
    </row>
    <row r="252" spans="1:5" ht="14">
      <c r="A252" s="6"/>
      <c r="B252" s="123"/>
      <c r="C252" s="2" t="s">
        <v>8</v>
      </c>
      <c r="D252" s="3" t="s">
        <v>8</v>
      </c>
      <c r="E252" s="2" t="s">
        <v>8</v>
      </c>
    </row>
    <row r="253" spans="1:5" ht="14">
      <c r="A253" s="6"/>
      <c r="B253" s="1" t="s">
        <v>0</v>
      </c>
      <c r="C253" s="2" t="s">
        <v>149</v>
      </c>
      <c r="D253" s="3" t="s">
        <v>60</v>
      </c>
      <c r="E253" s="2" t="s">
        <v>9</v>
      </c>
    </row>
    <row r="254" spans="1:5" ht="14">
      <c r="A254" s="6"/>
      <c r="B254" s="1" t="s">
        <v>1</v>
      </c>
      <c r="C254" s="2" t="s">
        <v>61</v>
      </c>
      <c r="D254" s="3" t="s">
        <v>61</v>
      </c>
      <c r="E254" s="2" t="s">
        <v>10</v>
      </c>
    </row>
    <row r="255" spans="1:5" ht="14">
      <c r="A255" s="6"/>
      <c r="B255" s="1" t="s">
        <v>2</v>
      </c>
      <c r="C255" s="2" t="s">
        <v>11</v>
      </c>
      <c r="D255" s="190" t="s">
        <v>11</v>
      </c>
      <c r="E255" s="1" t="s">
        <v>11</v>
      </c>
    </row>
    <row r="256" spans="1:5" ht="26">
      <c r="A256" s="1" t="s">
        <v>97</v>
      </c>
      <c r="B256" s="1" t="s">
        <v>3</v>
      </c>
      <c r="C256" s="3" t="s">
        <v>12</v>
      </c>
      <c r="D256" s="3" t="s">
        <v>12</v>
      </c>
      <c r="E256" s="3" t="s">
        <v>12</v>
      </c>
    </row>
    <row r="257" spans="1:5" ht="28">
      <c r="A257" s="1" t="s">
        <v>1</v>
      </c>
      <c r="B257" s="2" t="s">
        <v>4</v>
      </c>
      <c r="C257" s="3" t="s">
        <v>13</v>
      </c>
      <c r="D257" s="3" t="s">
        <v>13</v>
      </c>
      <c r="E257" s="3" t="s">
        <v>13</v>
      </c>
    </row>
    <row r="258" spans="1:5" ht="26">
      <c r="A258" s="1" t="s">
        <v>2</v>
      </c>
      <c r="B258" s="197" t="s">
        <v>337</v>
      </c>
      <c r="C258" s="3" t="s">
        <v>14</v>
      </c>
      <c r="D258" s="3" t="s">
        <v>14</v>
      </c>
      <c r="E258" s="3" t="s">
        <v>14</v>
      </c>
    </row>
    <row r="259" spans="1:5" ht="26">
      <c r="A259" s="1" t="s">
        <v>333</v>
      </c>
      <c r="B259" s="197" t="s">
        <v>339</v>
      </c>
      <c r="C259" s="3" t="s">
        <v>15</v>
      </c>
      <c r="D259" s="3" t="s">
        <v>15</v>
      </c>
      <c r="E259" s="3" t="s">
        <v>15</v>
      </c>
    </row>
    <row r="260" spans="1:5" ht="26">
      <c r="A260" s="1" t="s">
        <v>3</v>
      </c>
      <c r="B260" s="1" t="s">
        <v>344</v>
      </c>
      <c r="C260" s="3" t="s">
        <v>64</v>
      </c>
      <c r="D260" s="3" t="s">
        <v>64</v>
      </c>
      <c r="E260" s="3" t="s">
        <v>64</v>
      </c>
    </row>
    <row r="261" spans="1:5" ht="28">
      <c r="A261" s="2" t="s">
        <v>4</v>
      </c>
      <c r="B261" s="2" t="s">
        <v>8</v>
      </c>
      <c r="C261" s="3" t="s">
        <v>65</v>
      </c>
      <c r="D261" s="3" t="s">
        <v>65</v>
      </c>
      <c r="E261" s="3" t="s">
        <v>65</v>
      </c>
    </row>
    <row r="262" spans="1:5" ht="26">
      <c r="A262" s="197" t="s">
        <v>337</v>
      </c>
      <c r="B262" s="2" t="s">
        <v>60</v>
      </c>
      <c r="C262" s="3" t="s">
        <v>422</v>
      </c>
      <c r="D262" s="3" t="s">
        <v>422</v>
      </c>
      <c r="E262" s="3" t="s">
        <v>422</v>
      </c>
    </row>
    <row r="263" spans="1:5" ht="26">
      <c r="A263" s="197" t="s">
        <v>339</v>
      </c>
      <c r="B263" s="2" t="s">
        <v>61</v>
      </c>
      <c r="C263" s="3" t="s">
        <v>423</v>
      </c>
      <c r="D263" s="3" t="s">
        <v>423</v>
      </c>
      <c r="E263" s="3" t="s">
        <v>423</v>
      </c>
    </row>
    <row r="264" spans="1:5" ht="13">
      <c r="A264" s="1" t="s">
        <v>344</v>
      </c>
      <c r="B264" s="1" t="s">
        <v>11</v>
      </c>
      <c r="C264" s="3" t="s">
        <v>151</v>
      </c>
      <c r="D264" s="3" t="s">
        <v>151</v>
      </c>
      <c r="E264" s="3" t="s">
        <v>151</v>
      </c>
    </row>
    <row r="265" spans="1:5" ht="28">
      <c r="A265" s="2" t="s">
        <v>8</v>
      </c>
      <c r="B265" s="2" t="s">
        <v>12</v>
      </c>
      <c r="C265" s="3" t="s">
        <v>21</v>
      </c>
      <c r="D265" s="3" t="s">
        <v>21</v>
      </c>
      <c r="E265" s="3" t="s">
        <v>21</v>
      </c>
    </row>
    <row r="266" spans="1:5" ht="28">
      <c r="A266" s="2" t="s">
        <v>60</v>
      </c>
      <c r="B266" s="2" t="s">
        <v>13</v>
      </c>
      <c r="C266" s="3" t="s">
        <v>152</v>
      </c>
      <c r="D266" s="3" t="s">
        <v>152</v>
      </c>
      <c r="E266" s="3" t="s">
        <v>22</v>
      </c>
    </row>
    <row r="267" spans="1:5" ht="42">
      <c r="A267" s="2" t="s">
        <v>61</v>
      </c>
      <c r="B267" s="2" t="s">
        <v>62</v>
      </c>
      <c r="C267" s="2" t="s">
        <v>23</v>
      </c>
      <c r="D267" s="3" t="s">
        <v>23</v>
      </c>
      <c r="E267" s="3" t="s">
        <v>23</v>
      </c>
    </row>
    <row r="268" spans="1:5" ht="42">
      <c r="A268" s="1" t="s">
        <v>11</v>
      </c>
      <c r="B268" s="2" t="s">
        <v>63</v>
      </c>
      <c r="C268" s="2" t="s">
        <v>347</v>
      </c>
      <c r="D268" s="3" t="s">
        <v>72</v>
      </c>
      <c r="E268" s="2" t="s">
        <v>347</v>
      </c>
    </row>
    <row r="269" spans="1:5" ht="42">
      <c r="A269" s="2" t="s">
        <v>12</v>
      </c>
      <c r="B269" s="2" t="s">
        <v>117</v>
      </c>
      <c r="C269" s="2" t="s">
        <v>349</v>
      </c>
      <c r="D269" s="3" t="s">
        <v>73</v>
      </c>
      <c r="E269" s="2" t="s">
        <v>349</v>
      </c>
    </row>
    <row r="270" spans="1:5" ht="42">
      <c r="A270" s="2" t="s">
        <v>13</v>
      </c>
      <c r="B270" s="2" t="s">
        <v>118</v>
      </c>
      <c r="C270" s="2" t="s">
        <v>424</v>
      </c>
      <c r="D270" s="3" t="s">
        <v>420</v>
      </c>
      <c r="E270" s="3" t="s">
        <v>420</v>
      </c>
    </row>
    <row r="271" spans="1:5" ht="42">
      <c r="A271" s="2" t="s">
        <v>62</v>
      </c>
      <c r="B271" s="2" t="s">
        <v>66</v>
      </c>
      <c r="C271" s="2" t="s">
        <v>29</v>
      </c>
      <c r="D271" s="190" t="s">
        <v>29</v>
      </c>
      <c r="E271" s="2" t="s">
        <v>29</v>
      </c>
    </row>
    <row r="272" spans="1:5" ht="42">
      <c r="A272" s="2" t="s">
        <v>63</v>
      </c>
      <c r="B272" s="2" t="s">
        <v>67</v>
      </c>
      <c r="C272" s="135"/>
      <c r="D272" s="160"/>
      <c r="E272" s="6"/>
    </row>
    <row r="273" spans="1:5" ht="42">
      <c r="A273" s="2" t="s">
        <v>117</v>
      </c>
      <c r="B273" s="2" t="s">
        <v>68</v>
      </c>
      <c r="C273" s="135"/>
      <c r="D273" s="160"/>
      <c r="E273" s="6"/>
    </row>
    <row r="274" spans="1:5" ht="42">
      <c r="A274" s="2" t="s">
        <v>118</v>
      </c>
      <c r="B274" s="2" t="s">
        <v>119</v>
      </c>
      <c r="C274" s="135"/>
      <c r="D274" s="160"/>
      <c r="E274" s="6"/>
    </row>
    <row r="275" spans="1:5" ht="28">
      <c r="A275" s="2" t="s">
        <v>66</v>
      </c>
      <c r="B275" s="2" t="s">
        <v>120</v>
      </c>
      <c r="C275" s="135"/>
      <c r="D275" s="160"/>
      <c r="E275" s="6"/>
    </row>
    <row r="276" spans="1:5" ht="28">
      <c r="A276" s="2" t="s">
        <v>67</v>
      </c>
      <c r="B276" s="2" t="s">
        <v>72</v>
      </c>
      <c r="C276" s="135"/>
      <c r="D276" s="160"/>
      <c r="E276" s="6"/>
    </row>
    <row r="277" spans="1:5" ht="14">
      <c r="A277" s="2" t="s">
        <v>68</v>
      </c>
      <c r="B277" s="2" t="s">
        <v>73</v>
      </c>
      <c r="C277" s="135"/>
      <c r="D277" s="160"/>
      <c r="E277" s="6"/>
    </row>
    <row r="278" spans="1:5" ht="28">
      <c r="A278" s="2" t="s">
        <v>119</v>
      </c>
      <c r="B278" s="1" t="s">
        <v>29</v>
      </c>
      <c r="C278" s="135"/>
      <c r="D278" s="160"/>
      <c r="E278" s="6"/>
    </row>
    <row r="279" spans="1:5" ht="28">
      <c r="A279" s="2" t="s">
        <v>120</v>
      </c>
      <c r="B279" s="1"/>
      <c r="C279" s="135"/>
      <c r="D279" s="160"/>
      <c r="E279" s="6"/>
    </row>
    <row r="280" spans="1:5" ht="28">
      <c r="A280" s="2" t="s">
        <v>72</v>
      </c>
      <c r="B280" s="123"/>
      <c r="C280" s="135"/>
      <c r="D280" s="160"/>
      <c r="E280" s="6"/>
    </row>
    <row r="281" spans="1:5" ht="14">
      <c r="A281" s="2" t="s">
        <v>73</v>
      </c>
      <c r="B281" s="123"/>
      <c r="C281" s="135"/>
      <c r="D281" s="160"/>
      <c r="E281" s="6"/>
    </row>
    <row r="282" spans="1:5" ht="13">
      <c r="A282" s="1" t="s">
        <v>29</v>
      </c>
      <c r="B282" s="123"/>
      <c r="C282" s="135"/>
      <c r="D282" s="160"/>
      <c r="E282" s="6"/>
    </row>
    <row r="283" spans="1:5" ht="13">
      <c r="A283" s="1" t="s">
        <v>425</v>
      </c>
      <c r="B283" s="123"/>
      <c r="C283" s="135"/>
      <c r="D283" s="160"/>
      <c r="E283" s="6"/>
    </row>
    <row r="284" spans="1:5" ht="13">
      <c r="A284" s="6"/>
      <c r="B284" s="123"/>
      <c r="C284" s="135"/>
      <c r="D284" s="160"/>
      <c r="E284" s="6"/>
    </row>
    <row r="285" spans="1:5" ht="13">
      <c r="A285" s="6"/>
      <c r="B285" s="123"/>
      <c r="C285" s="135"/>
      <c r="D285" s="160"/>
      <c r="E285" s="6"/>
    </row>
    <row r="286" spans="1:5" ht="13">
      <c r="A286" s="6"/>
      <c r="B286" s="123"/>
      <c r="C286" s="135"/>
      <c r="D286" s="160"/>
      <c r="E286" s="6"/>
    </row>
    <row r="287" spans="1:5" ht="13">
      <c r="A287" s="6"/>
      <c r="B287" s="123"/>
      <c r="C287" s="135"/>
      <c r="D287" s="160"/>
      <c r="E287" s="6"/>
    </row>
    <row r="288" spans="1:5" ht="13">
      <c r="A288" s="6"/>
      <c r="B288" s="123"/>
      <c r="C288" s="135"/>
      <c r="D288" s="160"/>
      <c r="E288" s="6"/>
    </row>
    <row r="289" spans="1:5" ht="13">
      <c r="A289" s="6"/>
      <c r="B289" s="123"/>
      <c r="C289" s="135"/>
      <c r="D289" s="160"/>
      <c r="E289" s="6"/>
    </row>
    <row r="290" spans="1:5" ht="13">
      <c r="A290" s="6"/>
      <c r="B290" s="123"/>
      <c r="C290" s="135"/>
      <c r="D290" s="160"/>
      <c r="E290" s="6"/>
    </row>
    <row r="291" spans="1:5" ht="13">
      <c r="A291" s="6"/>
      <c r="B291" s="123"/>
      <c r="C291" s="135"/>
      <c r="D291" s="160"/>
      <c r="E291" s="6"/>
    </row>
    <row r="292" spans="1:5" ht="14">
      <c r="A292" s="6"/>
      <c r="B292" s="123"/>
      <c r="C292" s="2" t="s">
        <v>0</v>
      </c>
      <c r="D292" s="160"/>
      <c r="E292" s="6"/>
    </row>
    <row r="293" spans="1:5" ht="14">
      <c r="A293" s="6"/>
      <c r="B293" s="123"/>
      <c r="C293" s="2" t="s">
        <v>1</v>
      </c>
      <c r="D293" s="160"/>
      <c r="E293" s="6"/>
    </row>
    <row r="294" spans="1:5" ht="13">
      <c r="A294" s="6"/>
      <c r="B294" s="123"/>
      <c r="C294" s="100" t="s">
        <v>2</v>
      </c>
      <c r="D294" s="160"/>
      <c r="E294" s="6"/>
    </row>
    <row r="295" spans="1:5" ht="14">
      <c r="A295" s="6"/>
      <c r="B295" s="123"/>
      <c r="C295" s="2" t="s">
        <v>3</v>
      </c>
      <c r="D295" s="160"/>
      <c r="E295" s="6"/>
    </row>
    <row r="296" spans="1:5" ht="28">
      <c r="A296" s="6"/>
      <c r="B296" s="123"/>
      <c r="C296" s="2" t="s">
        <v>4</v>
      </c>
      <c r="D296" s="160"/>
      <c r="E296" s="6"/>
    </row>
    <row r="297" spans="1:5" ht="14">
      <c r="A297" s="6"/>
      <c r="B297" s="123"/>
      <c r="C297" s="2" t="s">
        <v>337</v>
      </c>
      <c r="D297" s="160"/>
      <c r="E297" s="6"/>
    </row>
    <row r="298" spans="1:5" ht="14">
      <c r="A298" s="6"/>
      <c r="B298" s="123"/>
      <c r="C298" s="2" t="s">
        <v>339</v>
      </c>
      <c r="D298" s="160"/>
      <c r="E298" s="6"/>
    </row>
    <row r="299" spans="1:5" ht="14">
      <c r="A299" s="6"/>
      <c r="B299" s="123"/>
      <c r="C299" s="2" t="s">
        <v>344</v>
      </c>
      <c r="D299" s="160"/>
      <c r="E299" s="6"/>
    </row>
    <row r="300" spans="1:5" ht="14">
      <c r="A300" s="6"/>
      <c r="B300" s="123"/>
      <c r="C300" s="2" t="s">
        <v>8</v>
      </c>
      <c r="D300" s="160"/>
      <c r="E300" s="6"/>
    </row>
    <row r="301" spans="1:5" ht="14">
      <c r="A301" s="6"/>
      <c r="B301" s="123"/>
      <c r="C301" s="2" t="s">
        <v>149</v>
      </c>
      <c r="D301" s="160"/>
      <c r="E301" s="6"/>
    </row>
    <row r="302" spans="1:5" ht="14">
      <c r="A302" s="6"/>
      <c r="B302" s="123"/>
      <c r="C302" s="2" t="s">
        <v>61</v>
      </c>
      <c r="D302" s="160"/>
      <c r="E302" s="6"/>
    </row>
    <row r="303" spans="1:5" ht="14">
      <c r="A303" s="6"/>
      <c r="B303" s="123"/>
      <c r="C303" s="2" t="s">
        <v>11</v>
      </c>
      <c r="D303" s="160"/>
      <c r="E303" s="6"/>
    </row>
    <row r="304" spans="1:5" ht="26">
      <c r="A304" s="6"/>
      <c r="B304" s="123"/>
      <c r="C304" s="3" t="s">
        <v>12</v>
      </c>
      <c r="D304" s="190" t="s">
        <v>421</v>
      </c>
      <c r="E304" s="1" t="s">
        <v>0</v>
      </c>
    </row>
    <row r="305" spans="1:5" ht="26">
      <c r="A305" s="6"/>
      <c r="B305" s="123"/>
      <c r="C305" s="3" t="s">
        <v>13</v>
      </c>
      <c r="D305" s="190" t="s">
        <v>1</v>
      </c>
      <c r="E305" s="1" t="s">
        <v>1</v>
      </c>
    </row>
    <row r="306" spans="1:5" ht="26">
      <c r="A306" s="6"/>
      <c r="B306" s="123"/>
      <c r="C306" s="3" t="s">
        <v>14</v>
      </c>
      <c r="D306" s="1" t="s">
        <v>2</v>
      </c>
      <c r="E306" s="1" t="s">
        <v>2</v>
      </c>
    </row>
    <row r="307" spans="1:5" ht="26">
      <c r="A307" s="6"/>
      <c r="B307" s="123"/>
      <c r="C307" s="3" t="s">
        <v>15</v>
      </c>
      <c r="D307" s="190" t="s">
        <v>3</v>
      </c>
      <c r="E307" s="1" t="s">
        <v>3</v>
      </c>
    </row>
    <row r="308" spans="1:5" ht="28">
      <c r="A308" s="6"/>
      <c r="B308" s="123"/>
      <c r="C308" s="3" t="s">
        <v>64</v>
      </c>
      <c r="D308" s="3" t="s">
        <v>4</v>
      </c>
      <c r="E308" s="2" t="s">
        <v>4</v>
      </c>
    </row>
    <row r="309" spans="1:5" ht="26">
      <c r="A309" s="6"/>
      <c r="B309" s="123"/>
      <c r="C309" s="3" t="s">
        <v>65</v>
      </c>
      <c r="D309" s="3" t="s">
        <v>337</v>
      </c>
      <c r="E309" s="2" t="s">
        <v>337</v>
      </c>
    </row>
    <row r="310" spans="1:5" ht="26">
      <c r="A310" s="6"/>
      <c r="B310" s="123"/>
      <c r="C310" s="3" t="s">
        <v>422</v>
      </c>
      <c r="D310" s="3" t="s">
        <v>339</v>
      </c>
      <c r="E310" s="2" t="s">
        <v>339</v>
      </c>
    </row>
    <row r="311" spans="1:5" ht="28">
      <c r="A311" s="6"/>
      <c r="B311" s="123"/>
      <c r="C311" s="3" t="s">
        <v>423</v>
      </c>
      <c r="D311" s="3" t="s">
        <v>7</v>
      </c>
      <c r="E311" s="2" t="s">
        <v>7</v>
      </c>
    </row>
    <row r="312" spans="1:5" ht="14">
      <c r="A312" s="6"/>
      <c r="B312" s="123"/>
      <c r="C312" s="3" t="s">
        <v>151</v>
      </c>
      <c r="D312" s="3" t="s">
        <v>8</v>
      </c>
      <c r="E312" s="2" t="s">
        <v>8</v>
      </c>
    </row>
    <row r="313" spans="1:5" ht="14">
      <c r="A313" s="6"/>
      <c r="B313" s="123"/>
      <c r="C313" s="3" t="s">
        <v>21</v>
      </c>
      <c r="D313" s="3" t="s">
        <v>60</v>
      </c>
      <c r="E313" s="2" t="s">
        <v>9</v>
      </c>
    </row>
    <row r="314" spans="1:5" ht="14">
      <c r="A314" s="6"/>
      <c r="B314" s="123"/>
      <c r="C314" s="3" t="s">
        <v>152</v>
      </c>
      <c r="D314" s="3" t="s">
        <v>61</v>
      </c>
      <c r="E314" s="2" t="s">
        <v>10</v>
      </c>
    </row>
    <row r="315" spans="1:5" ht="28">
      <c r="A315" s="6"/>
      <c r="B315" s="1" t="s">
        <v>0</v>
      </c>
      <c r="C315" s="2" t="s">
        <v>23</v>
      </c>
      <c r="D315" s="190" t="s">
        <v>11</v>
      </c>
      <c r="E315" s="1" t="s">
        <v>11</v>
      </c>
    </row>
    <row r="316" spans="1:5" ht="26">
      <c r="A316" s="6"/>
      <c r="B316" s="1" t="s">
        <v>1</v>
      </c>
      <c r="C316" s="2" t="s">
        <v>347</v>
      </c>
      <c r="D316" s="3" t="s">
        <v>12</v>
      </c>
      <c r="E316" s="3" t="s">
        <v>12</v>
      </c>
    </row>
    <row r="317" spans="1:5" ht="26">
      <c r="A317" s="6"/>
      <c r="B317" s="1" t="s">
        <v>2</v>
      </c>
      <c r="C317" s="2" t="s">
        <v>349</v>
      </c>
      <c r="D317" s="3" t="s">
        <v>13</v>
      </c>
      <c r="E317" s="3" t="s">
        <v>13</v>
      </c>
    </row>
    <row r="318" spans="1:5" ht="26">
      <c r="A318" s="6"/>
      <c r="B318" s="1" t="s">
        <v>3</v>
      </c>
      <c r="C318" s="2" t="s">
        <v>424</v>
      </c>
      <c r="D318" s="3" t="s">
        <v>14</v>
      </c>
      <c r="E318" s="3" t="s">
        <v>14</v>
      </c>
    </row>
    <row r="319" spans="1:5" ht="28">
      <c r="A319" s="1" t="s">
        <v>97</v>
      </c>
      <c r="B319" s="2" t="s">
        <v>4</v>
      </c>
      <c r="C319" s="2" t="s">
        <v>29</v>
      </c>
      <c r="D319" s="3" t="s">
        <v>15</v>
      </c>
      <c r="E319" s="3" t="s">
        <v>15</v>
      </c>
    </row>
    <row r="320" spans="1:5" ht="26">
      <c r="A320" s="1" t="s">
        <v>1</v>
      </c>
      <c r="B320" s="197" t="s">
        <v>337</v>
      </c>
      <c r="C320" s="135"/>
      <c r="D320" s="3" t="s">
        <v>64</v>
      </c>
      <c r="E320" s="3" t="s">
        <v>64</v>
      </c>
    </row>
    <row r="321" spans="1:5" ht="26">
      <c r="A321" s="1" t="s">
        <v>2</v>
      </c>
      <c r="B321" s="197" t="s">
        <v>339</v>
      </c>
      <c r="C321" s="135"/>
      <c r="D321" s="3" t="s">
        <v>65</v>
      </c>
      <c r="E321" s="3" t="s">
        <v>65</v>
      </c>
    </row>
    <row r="322" spans="1:5" ht="26">
      <c r="A322" s="1" t="s">
        <v>333</v>
      </c>
      <c r="B322" s="1" t="s">
        <v>344</v>
      </c>
      <c r="C322" s="135"/>
      <c r="D322" s="3" t="s">
        <v>422</v>
      </c>
      <c r="E322" s="3" t="s">
        <v>422</v>
      </c>
    </row>
    <row r="323" spans="1:5" ht="26">
      <c r="A323" s="1" t="s">
        <v>3</v>
      </c>
      <c r="B323" s="2" t="s">
        <v>8</v>
      </c>
      <c r="C323" s="135"/>
      <c r="D323" s="3" t="s">
        <v>423</v>
      </c>
      <c r="E323" s="3" t="s">
        <v>423</v>
      </c>
    </row>
    <row r="324" spans="1:5" ht="28">
      <c r="A324" s="2" t="s">
        <v>4</v>
      </c>
      <c r="B324" s="2" t="s">
        <v>60</v>
      </c>
      <c r="C324" s="135"/>
      <c r="D324" s="3" t="s">
        <v>151</v>
      </c>
      <c r="E324" s="3" t="s">
        <v>151</v>
      </c>
    </row>
    <row r="325" spans="1:5" ht="14">
      <c r="A325" s="197" t="s">
        <v>337</v>
      </c>
      <c r="B325" s="2" t="s">
        <v>61</v>
      </c>
      <c r="C325" s="135"/>
      <c r="D325" s="3" t="s">
        <v>21</v>
      </c>
      <c r="E325" s="3" t="s">
        <v>21</v>
      </c>
    </row>
    <row r="326" spans="1:5" ht="26">
      <c r="A326" s="197" t="s">
        <v>339</v>
      </c>
      <c r="B326" s="1" t="s">
        <v>11</v>
      </c>
      <c r="C326" s="135"/>
      <c r="D326" s="3" t="s">
        <v>152</v>
      </c>
      <c r="E326" s="3" t="s">
        <v>22</v>
      </c>
    </row>
    <row r="327" spans="1:5" ht="28">
      <c r="A327" s="1" t="s">
        <v>344</v>
      </c>
      <c r="B327" s="2" t="s">
        <v>12</v>
      </c>
      <c r="C327" s="135"/>
      <c r="D327" s="3" t="s">
        <v>23</v>
      </c>
      <c r="E327" s="3" t="s">
        <v>23</v>
      </c>
    </row>
    <row r="328" spans="1:5" ht="28">
      <c r="A328" s="2" t="s">
        <v>8</v>
      </c>
      <c r="B328" s="2" t="s">
        <v>13</v>
      </c>
      <c r="C328" s="135"/>
      <c r="D328" s="3" t="s">
        <v>72</v>
      </c>
      <c r="E328" s="2" t="s">
        <v>347</v>
      </c>
    </row>
    <row r="329" spans="1:5" ht="42">
      <c r="A329" s="2" t="s">
        <v>60</v>
      </c>
      <c r="B329" s="2" t="s">
        <v>62</v>
      </c>
      <c r="C329" s="135"/>
      <c r="D329" s="3" t="s">
        <v>73</v>
      </c>
      <c r="E329" s="2" t="s">
        <v>349</v>
      </c>
    </row>
    <row r="330" spans="1:5" ht="42">
      <c r="A330" s="2" t="s">
        <v>61</v>
      </c>
      <c r="B330" s="2" t="s">
        <v>63</v>
      </c>
      <c r="C330" s="135"/>
      <c r="D330" s="3" t="s">
        <v>420</v>
      </c>
      <c r="E330" s="3" t="s">
        <v>420</v>
      </c>
    </row>
    <row r="331" spans="1:5" ht="42">
      <c r="A331" s="1" t="s">
        <v>11</v>
      </c>
      <c r="B331" s="2" t="s">
        <v>117</v>
      </c>
      <c r="C331" s="135"/>
      <c r="D331" s="190" t="s">
        <v>29</v>
      </c>
      <c r="E331" s="2" t="s">
        <v>29</v>
      </c>
    </row>
    <row r="332" spans="1:5" ht="42">
      <c r="A332" s="2" t="s">
        <v>12</v>
      </c>
      <c r="B332" s="2" t="s">
        <v>118</v>
      </c>
      <c r="C332" s="135"/>
      <c r="D332" s="160"/>
      <c r="E332" s="6"/>
    </row>
    <row r="333" spans="1:5" ht="28">
      <c r="A333" s="2" t="s">
        <v>13</v>
      </c>
      <c r="B333" s="2" t="s">
        <v>66</v>
      </c>
      <c r="C333" s="135"/>
      <c r="D333" s="160"/>
      <c r="E333" s="6"/>
    </row>
    <row r="334" spans="1:5" ht="42">
      <c r="A334" s="2" t="s">
        <v>62</v>
      </c>
      <c r="B334" s="2" t="s">
        <v>67</v>
      </c>
      <c r="C334" s="135"/>
      <c r="D334" s="160"/>
      <c r="E334" s="6"/>
    </row>
    <row r="335" spans="1:5" ht="42">
      <c r="A335" s="2" t="s">
        <v>63</v>
      </c>
      <c r="B335" s="2" t="s">
        <v>68</v>
      </c>
      <c r="C335" s="135"/>
      <c r="D335" s="160"/>
      <c r="E335" s="6"/>
    </row>
    <row r="336" spans="1:5" ht="42">
      <c r="A336" s="2" t="s">
        <v>117</v>
      </c>
      <c r="B336" s="2" t="s">
        <v>119</v>
      </c>
      <c r="C336" s="135"/>
      <c r="D336" s="160"/>
      <c r="E336" s="6"/>
    </row>
    <row r="337" spans="1:5" ht="42">
      <c r="A337" s="2" t="s">
        <v>118</v>
      </c>
      <c r="B337" s="2" t="s">
        <v>120</v>
      </c>
      <c r="C337" s="135"/>
      <c r="D337" s="160"/>
      <c r="E337" s="6"/>
    </row>
    <row r="338" spans="1:5" ht="28">
      <c r="A338" s="2" t="s">
        <v>66</v>
      </c>
      <c r="B338" s="2" t="s">
        <v>72</v>
      </c>
      <c r="C338" s="135"/>
      <c r="D338" s="160"/>
      <c r="E338" s="6"/>
    </row>
    <row r="339" spans="1:5" ht="28">
      <c r="A339" s="2" t="s">
        <v>67</v>
      </c>
      <c r="B339" s="2" t="s">
        <v>73</v>
      </c>
      <c r="C339" s="135"/>
      <c r="D339" s="160"/>
      <c r="E339" s="6"/>
    </row>
    <row r="340" spans="1:5" ht="14">
      <c r="A340" s="2" t="s">
        <v>68</v>
      </c>
      <c r="B340" s="1" t="s">
        <v>29</v>
      </c>
      <c r="C340" s="2" t="s">
        <v>0</v>
      </c>
      <c r="D340" s="160"/>
      <c r="E340" s="6"/>
    </row>
    <row r="341" spans="1:5" ht="28">
      <c r="A341" s="2" t="s">
        <v>119</v>
      </c>
      <c r="B341" s="1"/>
      <c r="C341" s="2" t="s">
        <v>1</v>
      </c>
      <c r="D341" s="160"/>
      <c r="E341" s="6"/>
    </row>
    <row r="342" spans="1:5" ht="28">
      <c r="A342" s="2" t="s">
        <v>120</v>
      </c>
      <c r="B342" s="123"/>
      <c r="C342" s="100" t="s">
        <v>2</v>
      </c>
      <c r="D342" s="160"/>
      <c r="E342" s="6"/>
    </row>
    <row r="343" spans="1:5" ht="28">
      <c r="A343" s="2" t="s">
        <v>72</v>
      </c>
      <c r="B343" s="123"/>
      <c r="C343" s="2" t="s">
        <v>3</v>
      </c>
      <c r="D343" s="160"/>
      <c r="E343" s="6"/>
    </row>
    <row r="344" spans="1:5" ht="28">
      <c r="A344" s="2" t="s">
        <v>73</v>
      </c>
      <c r="B344" s="123"/>
      <c r="C344" s="2" t="s">
        <v>4</v>
      </c>
      <c r="D344" s="160"/>
      <c r="E344" s="6"/>
    </row>
    <row r="345" spans="1:5" ht="14">
      <c r="A345" s="1" t="s">
        <v>29</v>
      </c>
      <c r="B345" s="123"/>
      <c r="C345" s="2" t="s">
        <v>337</v>
      </c>
      <c r="D345" s="160"/>
      <c r="E345" s="6"/>
    </row>
    <row r="346" spans="1:5" ht="14">
      <c r="A346" s="1" t="s">
        <v>425</v>
      </c>
      <c r="B346" s="123"/>
      <c r="C346" s="2" t="s">
        <v>339</v>
      </c>
      <c r="D346" s="160"/>
      <c r="E346" s="6"/>
    </row>
    <row r="347" spans="1:5" ht="14">
      <c r="A347" s="6"/>
      <c r="B347" s="123"/>
      <c r="C347" s="2" t="s">
        <v>344</v>
      </c>
      <c r="D347" s="160"/>
      <c r="E347" s="6"/>
    </row>
    <row r="348" spans="1:5" ht="14">
      <c r="A348" s="6"/>
      <c r="B348" s="123"/>
      <c r="C348" s="2" t="s">
        <v>8</v>
      </c>
      <c r="D348" s="160"/>
      <c r="E348" s="6"/>
    </row>
    <row r="349" spans="1:5" ht="14">
      <c r="A349" s="6"/>
      <c r="B349" s="123"/>
      <c r="C349" s="2" t="s">
        <v>149</v>
      </c>
      <c r="D349" s="160"/>
      <c r="E349" s="6"/>
    </row>
    <row r="350" spans="1:5" ht="14">
      <c r="A350" s="6"/>
      <c r="B350" s="123"/>
      <c r="C350" s="2" t="s">
        <v>61</v>
      </c>
      <c r="D350" s="160"/>
      <c r="E350" s="6"/>
    </row>
    <row r="351" spans="1:5" ht="14">
      <c r="A351" s="6"/>
      <c r="B351" s="123"/>
      <c r="C351" s="2" t="s">
        <v>11</v>
      </c>
      <c r="D351" s="160"/>
      <c r="E351" s="6"/>
    </row>
    <row r="352" spans="1:5" ht="26">
      <c r="A352" s="6"/>
      <c r="B352" s="123"/>
      <c r="C352" s="3" t="s">
        <v>12</v>
      </c>
      <c r="D352" s="160"/>
      <c r="E352" s="6"/>
    </row>
    <row r="353" spans="1:5" ht="26">
      <c r="A353" s="6"/>
      <c r="B353" s="123"/>
      <c r="C353" s="3" t="s">
        <v>13</v>
      </c>
      <c r="D353" s="160"/>
      <c r="E353" s="6"/>
    </row>
    <row r="354" spans="1:5" ht="26">
      <c r="A354" s="6"/>
      <c r="B354" s="123"/>
      <c r="C354" s="3" t="s">
        <v>14</v>
      </c>
      <c r="D354" s="160"/>
      <c r="E354" s="6"/>
    </row>
    <row r="355" spans="1:5" ht="26">
      <c r="A355" s="6"/>
      <c r="B355" s="123"/>
      <c r="C355" s="3" t="s">
        <v>15</v>
      </c>
      <c r="D355" s="160"/>
      <c r="E355" s="6"/>
    </row>
    <row r="356" spans="1:5" ht="26">
      <c r="A356" s="6"/>
      <c r="B356" s="123"/>
      <c r="C356" s="3" t="s">
        <v>64</v>
      </c>
      <c r="D356" s="160"/>
      <c r="E356" s="6"/>
    </row>
    <row r="357" spans="1:5" ht="26">
      <c r="A357" s="6"/>
      <c r="B357" s="123"/>
      <c r="C357" s="3" t="s">
        <v>65</v>
      </c>
      <c r="D357" s="160"/>
      <c r="E357" s="6"/>
    </row>
    <row r="358" spans="1:5" ht="26">
      <c r="A358" s="6"/>
      <c r="B358" s="123"/>
      <c r="C358" s="3" t="s">
        <v>422</v>
      </c>
      <c r="D358" s="160"/>
      <c r="E358" s="6"/>
    </row>
    <row r="359" spans="1:5" ht="26">
      <c r="A359" s="6"/>
      <c r="B359" s="123"/>
      <c r="C359" s="3" t="s">
        <v>423</v>
      </c>
      <c r="D359" s="160"/>
      <c r="E359" s="6"/>
    </row>
    <row r="360" spans="1:5" ht="13">
      <c r="A360" s="6"/>
      <c r="B360" s="123"/>
      <c r="C360" s="3" t="s">
        <v>151</v>
      </c>
      <c r="D360" s="160"/>
      <c r="E360" s="6"/>
    </row>
    <row r="361" spans="1:5" ht="13">
      <c r="A361" s="6"/>
      <c r="B361" s="123"/>
      <c r="C361" s="3" t="s">
        <v>21</v>
      </c>
      <c r="D361" s="160"/>
      <c r="E361" s="6"/>
    </row>
    <row r="362" spans="1:5" ht="13">
      <c r="A362" s="6"/>
      <c r="B362" s="123"/>
      <c r="C362" s="3" t="s">
        <v>152</v>
      </c>
      <c r="D362" s="160"/>
      <c r="E362" s="6"/>
    </row>
    <row r="363" spans="1:5" ht="28">
      <c r="A363" s="6"/>
      <c r="B363" s="123"/>
      <c r="C363" s="2" t="s">
        <v>23</v>
      </c>
      <c r="D363" s="160"/>
      <c r="E363" s="6"/>
    </row>
    <row r="364" spans="1:5" ht="14">
      <c r="A364" s="6"/>
      <c r="B364" s="123"/>
      <c r="C364" s="2" t="s">
        <v>347</v>
      </c>
      <c r="D364" s="190" t="s">
        <v>421</v>
      </c>
      <c r="E364" s="1" t="s">
        <v>0</v>
      </c>
    </row>
    <row r="365" spans="1:5" ht="14">
      <c r="A365" s="6"/>
      <c r="B365" s="123"/>
      <c r="C365" s="2" t="s">
        <v>349</v>
      </c>
      <c r="D365" s="190" t="s">
        <v>1</v>
      </c>
      <c r="E365" s="1" t="s">
        <v>1</v>
      </c>
    </row>
    <row r="366" spans="1:5" ht="14">
      <c r="A366" s="6"/>
      <c r="B366" s="123"/>
      <c r="C366" s="2" t="s">
        <v>424</v>
      </c>
      <c r="D366" s="1" t="s">
        <v>2</v>
      </c>
      <c r="E366" s="1" t="s">
        <v>2</v>
      </c>
    </row>
    <row r="367" spans="1:5" ht="14">
      <c r="A367" s="6"/>
      <c r="B367" s="123"/>
      <c r="C367" s="2" t="s">
        <v>29</v>
      </c>
      <c r="D367" s="190" t="s">
        <v>3</v>
      </c>
      <c r="E367" s="1" t="s">
        <v>3</v>
      </c>
    </row>
    <row r="368" spans="1:5" ht="28">
      <c r="A368" s="6"/>
      <c r="B368" s="123"/>
      <c r="C368" s="135"/>
      <c r="D368" s="3" t="s">
        <v>4</v>
      </c>
      <c r="E368" s="2" t="s">
        <v>4</v>
      </c>
    </row>
    <row r="369" spans="1:5" ht="14">
      <c r="A369" s="6"/>
      <c r="B369" s="123"/>
      <c r="C369" s="135"/>
      <c r="D369" s="3" t="s">
        <v>337</v>
      </c>
      <c r="E369" s="2" t="s">
        <v>337</v>
      </c>
    </row>
    <row r="370" spans="1:5" ht="14">
      <c r="A370" s="6"/>
      <c r="B370" s="123"/>
      <c r="C370" s="135"/>
      <c r="D370" s="3" t="s">
        <v>339</v>
      </c>
      <c r="E370" s="2" t="s">
        <v>339</v>
      </c>
    </row>
    <row r="371" spans="1:5" ht="28">
      <c r="A371" s="6"/>
      <c r="B371" s="123"/>
      <c r="C371" s="135"/>
      <c r="D371" s="3" t="s">
        <v>7</v>
      </c>
      <c r="E371" s="2" t="s">
        <v>7</v>
      </c>
    </row>
    <row r="372" spans="1:5" ht="14">
      <c r="A372" s="6"/>
      <c r="B372" s="123"/>
      <c r="C372" s="135"/>
      <c r="D372" s="3" t="s">
        <v>8</v>
      </c>
      <c r="E372" s="2" t="s">
        <v>8</v>
      </c>
    </row>
    <row r="373" spans="1:5" ht="14">
      <c r="A373" s="6"/>
      <c r="B373" s="123"/>
      <c r="C373" s="135"/>
      <c r="D373" s="3" t="s">
        <v>60</v>
      </c>
      <c r="E373" s="2" t="s">
        <v>9</v>
      </c>
    </row>
    <row r="374" spans="1:5" ht="14">
      <c r="A374" s="6"/>
      <c r="B374" s="123"/>
      <c r="C374" s="135"/>
      <c r="D374" s="3" t="s">
        <v>61</v>
      </c>
      <c r="E374" s="2" t="s">
        <v>10</v>
      </c>
    </row>
    <row r="375" spans="1:5" ht="13">
      <c r="A375" s="6"/>
      <c r="B375" s="123"/>
      <c r="C375" s="135"/>
      <c r="D375" s="190" t="s">
        <v>11</v>
      </c>
      <c r="E375" s="1" t="s">
        <v>11</v>
      </c>
    </row>
    <row r="376" spans="1:5" ht="26">
      <c r="A376" s="6"/>
      <c r="B376" s="123"/>
      <c r="C376" s="135"/>
      <c r="D376" s="3" t="s">
        <v>12</v>
      </c>
      <c r="E376" s="3" t="s">
        <v>12</v>
      </c>
    </row>
    <row r="377" spans="1:5" ht="26">
      <c r="A377" s="6"/>
      <c r="B377" s="1" t="s">
        <v>0</v>
      </c>
      <c r="C377" s="135"/>
      <c r="D377" s="3" t="s">
        <v>13</v>
      </c>
      <c r="E377" s="3" t="s">
        <v>13</v>
      </c>
    </row>
    <row r="378" spans="1:5" ht="26">
      <c r="A378" s="6"/>
      <c r="B378" s="1" t="s">
        <v>1</v>
      </c>
      <c r="C378" s="135"/>
      <c r="D378" s="3" t="s">
        <v>14</v>
      </c>
      <c r="E378" s="3" t="s">
        <v>14</v>
      </c>
    </row>
    <row r="379" spans="1:5" ht="26">
      <c r="A379" s="6"/>
      <c r="B379" s="1" t="s">
        <v>2</v>
      </c>
      <c r="C379" s="135"/>
      <c r="D379" s="3" t="s">
        <v>15</v>
      </c>
      <c r="E379" s="3" t="s">
        <v>15</v>
      </c>
    </row>
    <row r="380" spans="1:5" ht="26">
      <c r="A380" s="6"/>
      <c r="B380" s="1" t="s">
        <v>3</v>
      </c>
      <c r="C380" s="135"/>
      <c r="D380" s="3" t="s">
        <v>64</v>
      </c>
      <c r="E380" s="3" t="s">
        <v>64</v>
      </c>
    </row>
    <row r="381" spans="1:5" ht="28">
      <c r="A381" s="6"/>
      <c r="B381" s="2" t="s">
        <v>4</v>
      </c>
      <c r="C381" s="135"/>
      <c r="D381" s="3" t="s">
        <v>65</v>
      </c>
      <c r="E381" s="3" t="s">
        <v>65</v>
      </c>
    </row>
    <row r="382" spans="1:5" ht="26">
      <c r="A382" s="1" t="s">
        <v>97</v>
      </c>
      <c r="B382" s="197" t="s">
        <v>337</v>
      </c>
      <c r="C382" s="135"/>
      <c r="D382" s="3" t="s">
        <v>422</v>
      </c>
      <c r="E382" s="3" t="s">
        <v>422</v>
      </c>
    </row>
    <row r="383" spans="1:5" ht="26">
      <c r="A383" s="1" t="s">
        <v>1</v>
      </c>
      <c r="B383" s="197" t="s">
        <v>339</v>
      </c>
      <c r="C383" s="135"/>
      <c r="D383" s="3" t="s">
        <v>423</v>
      </c>
      <c r="E383" s="3" t="s">
        <v>423</v>
      </c>
    </row>
    <row r="384" spans="1:5" ht="13">
      <c r="A384" s="1" t="s">
        <v>2</v>
      </c>
      <c r="B384" s="1" t="s">
        <v>344</v>
      </c>
      <c r="C384" s="135"/>
      <c r="D384" s="3" t="s">
        <v>151</v>
      </c>
      <c r="E384" s="3" t="s">
        <v>151</v>
      </c>
    </row>
    <row r="385" spans="1:5" ht="14">
      <c r="A385" s="1" t="s">
        <v>333</v>
      </c>
      <c r="B385" s="2" t="s">
        <v>8</v>
      </c>
      <c r="C385" s="135"/>
      <c r="D385" s="3" t="s">
        <v>21</v>
      </c>
      <c r="E385" s="3" t="s">
        <v>21</v>
      </c>
    </row>
    <row r="386" spans="1:5" ht="26">
      <c r="A386" s="1" t="s">
        <v>3</v>
      </c>
      <c r="B386" s="2" t="s">
        <v>60</v>
      </c>
      <c r="C386" s="135"/>
      <c r="D386" s="3" t="s">
        <v>152</v>
      </c>
      <c r="E386" s="3" t="s">
        <v>22</v>
      </c>
    </row>
    <row r="387" spans="1:5" ht="28">
      <c r="A387" s="2" t="s">
        <v>4</v>
      </c>
      <c r="B387" s="2" t="s">
        <v>61</v>
      </c>
      <c r="C387" s="135"/>
      <c r="D387" s="3" t="s">
        <v>23</v>
      </c>
      <c r="E387" s="3" t="s">
        <v>23</v>
      </c>
    </row>
    <row r="388" spans="1:5" ht="26">
      <c r="A388" s="197" t="s">
        <v>337</v>
      </c>
      <c r="B388" s="1" t="s">
        <v>11</v>
      </c>
      <c r="C388" s="2" t="s">
        <v>0</v>
      </c>
      <c r="D388" s="3" t="s">
        <v>72</v>
      </c>
      <c r="E388" s="2" t="s">
        <v>347</v>
      </c>
    </row>
    <row r="389" spans="1:5" ht="28">
      <c r="A389" s="197" t="s">
        <v>339</v>
      </c>
      <c r="B389" s="2" t="s">
        <v>12</v>
      </c>
      <c r="C389" s="2" t="s">
        <v>1</v>
      </c>
      <c r="D389" s="3" t="s">
        <v>73</v>
      </c>
      <c r="E389" s="2" t="s">
        <v>349</v>
      </c>
    </row>
    <row r="390" spans="1:5" ht="28">
      <c r="A390" s="1" t="s">
        <v>344</v>
      </c>
      <c r="B390" s="2" t="s">
        <v>13</v>
      </c>
      <c r="C390" s="100" t="s">
        <v>2</v>
      </c>
      <c r="D390" s="3" t="s">
        <v>420</v>
      </c>
      <c r="E390" s="3" t="s">
        <v>420</v>
      </c>
    </row>
    <row r="391" spans="1:5" ht="42">
      <c r="A391" s="2" t="s">
        <v>8</v>
      </c>
      <c r="B391" s="2" t="s">
        <v>62</v>
      </c>
      <c r="C391" s="2" t="s">
        <v>3</v>
      </c>
      <c r="D391" s="190" t="s">
        <v>29</v>
      </c>
      <c r="E391" s="2" t="s">
        <v>29</v>
      </c>
    </row>
    <row r="392" spans="1:5" ht="42">
      <c r="A392" s="2" t="s">
        <v>60</v>
      </c>
      <c r="B392" s="2" t="s">
        <v>63</v>
      </c>
      <c r="C392" s="2" t="s">
        <v>4</v>
      </c>
      <c r="D392" s="160"/>
      <c r="E392" s="6"/>
    </row>
    <row r="393" spans="1:5" ht="42">
      <c r="A393" s="2" t="s">
        <v>61</v>
      </c>
      <c r="B393" s="2" t="s">
        <v>117</v>
      </c>
      <c r="C393" s="2" t="s">
        <v>337</v>
      </c>
      <c r="D393" s="160"/>
      <c r="E393" s="6"/>
    </row>
    <row r="394" spans="1:5" ht="42">
      <c r="A394" s="1" t="s">
        <v>11</v>
      </c>
      <c r="B394" s="2" t="s">
        <v>118</v>
      </c>
      <c r="C394" s="2" t="s">
        <v>339</v>
      </c>
      <c r="D394" s="160"/>
      <c r="E394" s="6"/>
    </row>
    <row r="395" spans="1:5" ht="28">
      <c r="A395" s="2" t="s">
        <v>12</v>
      </c>
      <c r="B395" s="2" t="s">
        <v>66</v>
      </c>
      <c r="C395" s="2" t="s">
        <v>344</v>
      </c>
      <c r="D395" s="160"/>
      <c r="E395" s="6"/>
    </row>
    <row r="396" spans="1:5" ht="28">
      <c r="A396" s="2" t="s">
        <v>13</v>
      </c>
      <c r="B396" s="2" t="s">
        <v>67</v>
      </c>
      <c r="C396" s="2" t="s">
        <v>8</v>
      </c>
      <c r="D396" s="160"/>
      <c r="E396" s="6"/>
    </row>
    <row r="397" spans="1:5" ht="42">
      <c r="A397" s="2" t="s">
        <v>62</v>
      </c>
      <c r="B397" s="2" t="s">
        <v>68</v>
      </c>
      <c r="C397" s="2" t="s">
        <v>149</v>
      </c>
      <c r="D397" s="160"/>
      <c r="E397" s="6"/>
    </row>
    <row r="398" spans="1:5" ht="42">
      <c r="A398" s="2" t="s">
        <v>63</v>
      </c>
      <c r="B398" s="2" t="s">
        <v>119</v>
      </c>
      <c r="C398" s="2" t="s">
        <v>61</v>
      </c>
      <c r="D398" s="160"/>
      <c r="E398" s="6"/>
    </row>
    <row r="399" spans="1:5" ht="42">
      <c r="A399" s="2" t="s">
        <v>117</v>
      </c>
      <c r="B399" s="2" t="s">
        <v>120</v>
      </c>
      <c r="C399" s="2" t="s">
        <v>11</v>
      </c>
      <c r="D399" s="160"/>
      <c r="E399" s="6"/>
    </row>
    <row r="400" spans="1:5" ht="42">
      <c r="A400" s="2" t="s">
        <v>118</v>
      </c>
      <c r="B400" s="2" t="s">
        <v>72</v>
      </c>
      <c r="C400" s="3" t="s">
        <v>12</v>
      </c>
      <c r="D400" s="160"/>
      <c r="E400" s="6"/>
    </row>
    <row r="401" spans="1:5" ht="28">
      <c r="A401" s="2" t="s">
        <v>66</v>
      </c>
      <c r="B401" s="2" t="s">
        <v>73</v>
      </c>
      <c r="C401" s="3" t="s">
        <v>13</v>
      </c>
      <c r="D401" s="160"/>
      <c r="E401" s="6"/>
    </row>
    <row r="402" spans="1:5" ht="28">
      <c r="A402" s="2" t="s">
        <v>67</v>
      </c>
      <c r="B402" s="1" t="s">
        <v>29</v>
      </c>
      <c r="C402" s="3" t="s">
        <v>14</v>
      </c>
      <c r="D402" s="160"/>
      <c r="E402" s="6"/>
    </row>
    <row r="403" spans="1:5" ht="26">
      <c r="A403" s="2" t="s">
        <v>68</v>
      </c>
      <c r="B403" s="1"/>
      <c r="C403" s="3" t="s">
        <v>15</v>
      </c>
      <c r="D403" s="160"/>
      <c r="E403" s="6"/>
    </row>
    <row r="404" spans="1:5" ht="28">
      <c r="A404" s="2" t="s">
        <v>119</v>
      </c>
      <c r="B404" s="123"/>
      <c r="C404" s="3" t="s">
        <v>64</v>
      </c>
      <c r="D404" s="160"/>
      <c r="E404" s="6"/>
    </row>
    <row r="405" spans="1:5" ht="28">
      <c r="A405" s="2" t="s">
        <v>120</v>
      </c>
      <c r="B405" s="123"/>
      <c r="C405" s="3" t="s">
        <v>65</v>
      </c>
      <c r="D405" s="160"/>
      <c r="E405" s="6"/>
    </row>
    <row r="406" spans="1:5" ht="28">
      <c r="A406" s="2" t="s">
        <v>72</v>
      </c>
      <c r="B406" s="123"/>
      <c r="C406" s="3" t="s">
        <v>422</v>
      </c>
      <c r="D406" s="160"/>
      <c r="E406" s="6"/>
    </row>
    <row r="407" spans="1:5" ht="26">
      <c r="A407" s="2" t="s">
        <v>73</v>
      </c>
      <c r="B407" s="123"/>
      <c r="C407" s="3" t="s">
        <v>423</v>
      </c>
      <c r="D407" s="160"/>
      <c r="E407" s="6"/>
    </row>
    <row r="408" spans="1:5" ht="13">
      <c r="A408" s="1" t="s">
        <v>29</v>
      </c>
      <c r="B408" s="123"/>
      <c r="C408" s="3" t="s">
        <v>151</v>
      </c>
      <c r="D408" s="160"/>
      <c r="E408" s="6"/>
    </row>
    <row r="409" spans="1:5" ht="13">
      <c r="A409" s="1" t="s">
        <v>425</v>
      </c>
      <c r="B409" s="123"/>
      <c r="C409" s="3" t="s">
        <v>21</v>
      </c>
      <c r="D409" s="160"/>
      <c r="E409" s="6"/>
    </row>
    <row r="410" spans="1:5" ht="13">
      <c r="A410" s="6"/>
      <c r="B410" s="123"/>
      <c r="C410" s="3" t="s">
        <v>152</v>
      </c>
      <c r="D410" s="160"/>
      <c r="E410" s="6"/>
    </row>
    <row r="411" spans="1:5" ht="28">
      <c r="A411" s="6"/>
      <c r="B411" s="123"/>
      <c r="C411" s="2" t="s">
        <v>23</v>
      </c>
      <c r="D411" s="160"/>
      <c r="E411" s="6"/>
    </row>
    <row r="412" spans="1:5" ht="14">
      <c r="A412" s="6"/>
      <c r="B412" s="123"/>
      <c r="C412" s="2" t="s">
        <v>347</v>
      </c>
      <c r="D412" s="160"/>
      <c r="E412" s="6"/>
    </row>
    <row r="413" spans="1:5" ht="14">
      <c r="A413" s="6"/>
      <c r="B413" s="123"/>
      <c r="C413" s="2" t="s">
        <v>349</v>
      </c>
      <c r="D413" s="160"/>
      <c r="E413" s="6"/>
    </row>
    <row r="414" spans="1:5" ht="14">
      <c r="A414" s="6"/>
      <c r="B414" s="123"/>
      <c r="C414" s="2" t="s">
        <v>424</v>
      </c>
      <c r="D414" s="160"/>
      <c r="E414" s="6"/>
    </row>
    <row r="415" spans="1:5" ht="14">
      <c r="A415" s="6"/>
      <c r="B415" s="123"/>
      <c r="C415" s="2" t="s">
        <v>29</v>
      </c>
      <c r="D415" s="160"/>
      <c r="E415" s="6"/>
    </row>
    <row r="416" spans="1:5" ht="13">
      <c r="A416" s="6"/>
      <c r="B416" s="123"/>
      <c r="C416" s="135"/>
      <c r="D416" s="160"/>
      <c r="E416" s="6"/>
    </row>
    <row r="417" spans="1:5" ht="13">
      <c r="A417" s="6"/>
      <c r="B417" s="123"/>
      <c r="C417" s="135"/>
      <c r="D417" s="160"/>
      <c r="E417" s="6"/>
    </row>
    <row r="418" spans="1:5" ht="13">
      <c r="A418" s="6"/>
      <c r="B418" s="123"/>
      <c r="C418" s="135"/>
      <c r="D418" s="160"/>
      <c r="E418" s="6"/>
    </row>
    <row r="419" spans="1:5" ht="13">
      <c r="A419" s="6"/>
      <c r="B419" s="123"/>
      <c r="C419" s="135"/>
      <c r="D419" s="160"/>
      <c r="E419" s="6"/>
    </row>
    <row r="420" spans="1:5" ht="13">
      <c r="A420" s="6"/>
      <c r="B420" s="123"/>
      <c r="C420" s="135"/>
      <c r="D420" s="160"/>
      <c r="E420" s="6"/>
    </row>
    <row r="421" spans="1:5" ht="13">
      <c r="A421" s="6"/>
      <c r="B421" s="123"/>
      <c r="C421" s="135"/>
      <c r="D421" s="160"/>
      <c r="E421" s="6"/>
    </row>
    <row r="422" spans="1:5" ht="13">
      <c r="A422" s="6"/>
      <c r="B422" s="123"/>
      <c r="C422" s="135"/>
      <c r="D422" s="160"/>
      <c r="E422" s="6"/>
    </row>
    <row r="423" spans="1:5" ht="13">
      <c r="A423" s="6"/>
      <c r="B423" s="123"/>
      <c r="C423" s="135"/>
      <c r="D423" s="160"/>
      <c r="E423" s="6"/>
    </row>
    <row r="424" spans="1:5" ht="13">
      <c r="A424" s="6"/>
      <c r="B424" s="123"/>
      <c r="C424" s="135"/>
      <c r="D424" s="190" t="s">
        <v>421</v>
      </c>
      <c r="E424" s="1" t="s">
        <v>0</v>
      </c>
    </row>
    <row r="425" spans="1:5" ht="13">
      <c r="A425" s="6"/>
      <c r="B425" s="123"/>
      <c r="C425" s="135"/>
      <c r="D425" s="190" t="s">
        <v>1</v>
      </c>
      <c r="E425" s="1" t="s">
        <v>1</v>
      </c>
    </row>
    <row r="426" spans="1:5" ht="13">
      <c r="A426" s="6"/>
      <c r="B426" s="123"/>
      <c r="C426" s="135"/>
      <c r="D426" s="1" t="s">
        <v>2</v>
      </c>
      <c r="E426" s="1" t="s">
        <v>2</v>
      </c>
    </row>
    <row r="427" spans="1:5" ht="13">
      <c r="A427" s="6"/>
      <c r="B427" s="123"/>
      <c r="C427" s="135"/>
      <c r="D427" s="190" t="s">
        <v>3</v>
      </c>
      <c r="E427" s="1" t="s">
        <v>3</v>
      </c>
    </row>
    <row r="428" spans="1:5" ht="28">
      <c r="A428" s="6"/>
      <c r="B428" s="123"/>
      <c r="C428" s="135"/>
      <c r="D428" s="3" t="s">
        <v>4</v>
      </c>
      <c r="E428" s="2" t="s">
        <v>4</v>
      </c>
    </row>
    <row r="429" spans="1:5" ht="14">
      <c r="A429" s="6"/>
      <c r="B429" s="123"/>
      <c r="C429" s="135"/>
      <c r="D429" s="3" t="s">
        <v>337</v>
      </c>
      <c r="E429" s="2" t="s">
        <v>337</v>
      </c>
    </row>
    <row r="430" spans="1:5" ht="14">
      <c r="A430" s="6"/>
      <c r="B430" s="123"/>
      <c r="C430" s="135"/>
      <c r="D430" s="3" t="s">
        <v>339</v>
      </c>
      <c r="E430" s="2" t="s">
        <v>339</v>
      </c>
    </row>
    <row r="431" spans="1:5" ht="28">
      <c r="A431" s="6"/>
      <c r="B431" s="123"/>
      <c r="C431" s="135"/>
      <c r="D431" s="3" t="s">
        <v>7</v>
      </c>
      <c r="E431" s="2" t="s">
        <v>7</v>
      </c>
    </row>
    <row r="432" spans="1:5" ht="14">
      <c r="A432" s="6"/>
      <c r="B432" s="123"/>
      <c r="C432" s="135"/>
      <c r="D432" s="3" t="s">
        <v>8</v>
      </c>
      <c r="E432" s="2" t="s">
        <v>8</v>
      </c>
    </row>
    <row r="433" spans="1:5" ht="14">
      <c r="A433" s="6"/>
      <c r="B433" s="123"/>
      <c r="C433" s="135"/>
      <c r="D433" s="3" t="s">
        <v>60</v>
      </c>
      <c r="E433" s="2" t="s">
        <v>9</v>
      </c>
    </row>
    <row r="434" spans="1:5" ht="14">
      <c r="A434" s="6"/>
      <c r="B434" s="123"/>
      <c r="C434" s="135"/>
      <c r="D434" s="3" t="s">
        <v>61</v>
      </c>
      <c r="E434" s="2" t="s">
        <v>10</v>
      </c>
    </row>
    <row r="435" spans="1:5" ht="13">
      <c r="A435" s="6"/>
      <c r="B435" s="123"/>
      <c r="C435" s="135"/>
      <c r="D435" s="190" t="s">
        <v>11</v>
      </c>
      <c r="E435" s="1" t="s">
        <v>11</v>
      </c>
    </row>
    <row r="436" spans="1:5" ht="26">
      <c r="A436" s="6"/>
      <c r="B436" s="123"/>
      <c r="C436" s="2" t="s">
        <v>0</v>
      </c>
      <c r="D436" s="3" t="s">
        <v>12</v>
      </c>
      <c r="E436" s="3" t="s">
        <v>12</v>
      </c>
    </row>
    <row r="437" spans="1:5" ht="26">
      <c r="A437" s="6"/>
      <c r="B437" s="123"/>
      <c r="C437" s="2" t="s">
        <v>1</v>
      </c>
      <c r="D437" s="3" t="s">
        <v>13</v>
      </c>
      <c r="E437" s="3" t="s">
        <v>13</v>
      </c>
    </row>
    <row r="438" spans="1:5" ht="26">
      <c r="A438" s="6"/>
      <c r="B438" s="123"/>
      <c r="C438" s="100" t="s">
        <v>2</v>
      </c>
      <c r="D438" s="3" t="s">
        <v>14</v>
      </c>
      <c r="E438" s="3" t="s">
        <v>14</v>
      </c>
    </row>
    <row r="439" spans="1:5" ht="26">
      <c r="A439" s="6"/>
      <c r="B439" s="1" t="s">
        <v>0</v>
      </c>
      <c r="C439" s="2" t="s">
        <v>3</v>
      </c>
      <c r="D439" s="3" t="s">
        <v>15</v>
      </c>
      <c r="E439" s="3" t="s">
        <v>15</v>
      </c>
    </row>
    <row r="440" spans="1:5" ht="28">
      <c r="A440" s="6"/>
      <c r="B440" s="1" t="s">
        <v>1</v>
      </c>
      <c r="C440" s="2" t="s">
        <v>4</v>
      </c>
      <c r="D440" s="3" t="s">
        <v>64</v>
      </c>
      <c r="E440" s="3" t="s">
        <v>64</v>
      </c>
    </row>
    <row r="441" spans="1:5" ht="26">
      <c r="A441" s="6"/>
      <c r="B441" s="1" t="s">
        <v>2</v>
      </c>
      <c r="C441" s="2" t="s">
        <v>337</v>
      </c>
      <c r="D441" s="3" t="s">
        <v>65</v>
      </c>
      <c r="E441" s="3" t="s">
        <v>65</v>
      </c>
    </row>
    <row r="442" spans="1:5" ht="26">
      <c r="A442" s="6"/>
      <c r="B442" s="1" t="s">
        <v>3</v>
      </c>
      <c r="C442" s="2" t="s">
        <v>339</v>
      </c>
      <c r="D442" s="3" t="s">
        <v>422</v>
      </c>
      <c r="E442" s="3" t="s">
        <v>422</v>
      </c>
    </row>
    <row r="443" spans="1:5" ht="28">
      <c r="A443" s="6"/>
      <c r="B443" s="2" t="s">
        <v>4</v>
      </c>
      <c r="C443" s="2" t="s">
        <v>344</v>
      </c>
      <c r="D443" s="3" t="s">
        <v>423</v>
      </c>
      <c r="E443" s="3" t="s">
        <v>423</v>
      </c>
    </row>
    <row r="444" spans="1:5" ht="14">
      <c r="A444" s="6"/>
      <c r="B444" s="197" t="s">
        <v>337</v>
      </c>
      <c r="C444" s="2" t="s">
        <v>8</v>
      </c>
      <c r="D444" s="3" t="s">
        <v>151</v>
      </c>
      <c r="E444" s="3" t="s">
        <v>151</v>
      </c>
    </row>
    <row r="445" spans="1:5" ht="14">
      <c r="A445" s="1" t="s">
        <v>97</v>
      </c>
      <c r="B445" s="197" t="s">
        <v>339</v>
      </c>
      <c r="C445" s="2" t="s">
        <v>149</v>
      </c>
      <c r="D445" s="3" t="s">
        <v>21</v>
      </c>
      <c r="E445" s="3" t="s">
        <v>21</v>
      </c>
    </row>
    <row r="446" spans="1:5" ht="26">
      <c r="A446" s="1" t="s">
        <v>1</v>
      </c>
      <c r="B446" s="1" t="s">
        <v>344</v>
      </c>
      <c r="C446" s="2" t="s">
        <v>61</v>
      </c>
      <c r="D446" s="3" t="s">
        <v>152</v>
      </c>
      <c r="E446" s="3" t="s">
        <v>22</v>
      </c>
    </row>
    <row r="447" spans="1:5" ht="26">
      <c r="A447" s="1" t="s">
        <v>2</v>
      </c>
      <c r="B447" s="2" t="s">
        <v>8</v>
      </c>
      <c r="C447" s="2" t="s">
        <v>11</v>
      </c>
      <c r="D447" s="3" t="s">
        <v>23</v>
      </c>
      <c r="E447" s="3" t="s">
        <v>23</v>
      </c>
    </row>
    <row r="448" spans="1:5" ht="26">
      <c r="A448" s="1" t="s">
        <v>333</v>
      </c>
      <c r="B448" s="2" t="s">
        <v>60</v>
      </c>
      <c r="C448" s="3" t="s">
        <v>12</v>
      </c>
      <c r="D448" s="3" t="s">
        <v>72</v>
      </c>
      <c r="E448" s="2" t="s">
        <v>347</v>
      </c>
    </row>
    <row r="449" spans="1:5" ht="26">
      <c r="A449" s="1" t="s">
        <v>3</v>
      </c>
      <c r="B449" s="2" t="s">
        <v>61</v>
      </c>
      <c r="C449" s="3" t="s">
        <v>13</v>
      </c>
      <c r="D449" s="3" t="s">
        <v>73</v>
      </c>
      <c r="E449" s="2" t="s">
        <v>349</v>
      </c>
    </row>
    <row r="450" spans="1:5" ht="28">
      <c r="A450" s="2" t="s">
        <v>4</v>
      </c>
      <c r="B450" s="1" t="s">
        <v>11</v>
      </c>
      <c r="C450" s="3" t="s">
        <v>14</v>
      </c>
      <c r="D450" s="3" t="s">
        <v>420</v>
      </c>
      <c r="E450" s="3" t="s">
        <v>420</v>
      </c>
    </row>
    <row r="451" spans="1:5" ht="28">
      <c r="A451" s="197" t="s">
        <v>337</v>
      </c>
      <c r="B451" s="2" t="s">
        <v>12</v>
      </c>
      <c r="C451" s="3" t="s">
        <v>15</v>
      </c>
      <c r="D451" s="190" t="s">
        <v>29</v>
      </c>
      <c r="E451" s="2" t="s">
        <v>29</v>
      </c>
    </row>
    <row r="452" spans="1:5" ht="28">
      <c r="A452" s="197" t="s">
        <v>339</v>
      </c>
      <c r="B452" s="2" t="s">
        <v>13</v>
      </c>
      <c r="C452" s="3" t="s">
        <v>64</v>
      </c>
      <c r="D452" s="160"/>
      <c r="E452" s="6"/>
    </row>
    <row r="453" spans="1:5" ht="42">
      <c r="A453" s="1" t="s">
        <v>344</v>
      </c>
      <c r="B453" s="2" t="s">
        <v>62</v>
      </c>
      <c r="C453" s="3" t="s">
        <v>65</v>
      </c>
      <c r="D453" s="160"/>
      <c r="E453" s="6"/>
    </row>
    <row r="454" spans="1:5" ht="42">
      <c r="A454" s="2" t="s">
        <v>8</v>
      </c>
      <c r="B454" s="2" t="s">
        <v>63</v>
      </c>
      <c r="C454" s="3" t="s">
        <v>422</v>
      </c>
      <c r="D454" s="160"/>
      <c r="E454" s="6"/>
    </row>
    <row r="455" spans="1:5" ht="42">
      <c r="A455" s="2" t="s">
        <v>60</v>
      </c>
      <c r="B455" s="2" t="s">
        <v>117</v>
      </c>
      <c r="C455" s="3" t="s">
        <v>423</v>
      </c>
      <c r="D455" s="160"/>
      <c r="E455" s="6"/>
    </row>
    <row r="456" spans="1:5" ht="42">
      <c r="A456" s="2" t="s">
        <v>61</v>
      </c>
      <c r="B456" s="2" t="s">
        <v>118</v>
      </c>
      <c r="C456" s="3" t="s">
        <v>151</v>
      </c>
      <c r="D456" s="160"/>
      <c r="E456" s="6"/>
    </row>
    <row r="457" spans="1:5" ht="28">
      <c r="A457" s="1" t="s">
        <v>11</v>
      </c>
      <c r="B457" s="2" t="s">
        <v>66</v>
      </c>
      <c r="C457" s="3" t="s">
        <v>21</v>
      </c>
      <c r="D457" s="160"/>
      <c r="E457" s="6"/>
    </row>
    <row r="458" spans="1:5" ht="28">
      <c r="A458" s="2" t="s">
        <v>12</v>
      </c>
      <c r="B458" s="2" t="s">
        <v>67</v>
      </c>
      <c r="C458" s="3" t="s">
        <v>152</v>
      </c>
      <c r="D458" s="160"/>
      <c r="E458" s="6"/>
    </row>
    <row r="459" spans="1:5" ht="28">
      <c r="A459" s="2" t="s">
        <v>13</v>
      </c>
      <c r="B459" s="2" t="s">
        <v>68</v>
      </c>
      <c r="C459" s="2" t="s">
        <v>23</v>
      </c>
      <c r="D459" s="160"/>
      <c r="E459" s="6"/>
    </row>
    <row r="460" spans="1:5" ht="42">
      <c r="A460" s="2" t="s">
        <v>62</v>
      </c>
      <c r="B460" s="2" t="s">
        <v>119</v>
      </c>
      <c r="C460" s="2" t="s">
        <v>347</v>
      </c>
      <c r="D460" s="160"/>
      <c r="E460" s="6"/>
    </row>
    <row r="461" spans="1:5" ht="42">
      <c r="A461" s="2" t="s">
        <v>63</v>
      </c>
      <c r="B461" s="2" t="s">
        <v>120</v>
      </c>
      <c r="C461" s="2" t="s">
        <v>349</v>
      </c>
      <c r="D461" s="160"/>
      <c r="E461" s="6"/>
    </row>
    <row r="462" spans="1:5" ht="42">
      <c r="A462" s="2" t="s">
        <v>117</v>
      </c>
      <c r="B462" s="2" t="s">
        <v>72</v>
      </c>
      <c r="C462" s="2" t="s">
        <v>424</v>
      </c>
      <c r="D462" s="160"/>
      <c r="E462" s="6"/>
    </row>
    <row r="463" spans="1:5" ht="42">
      <c r="A463" s="2" t="s">
        <v>118</v>
      </c>
      <c r="B463" s="2" t="s">
        <v>73</v>
      </c>
      <c r="C463" s="2" t="s">
        <v>29</v>
      </c>
      <c r="D463" s="160"/>
      <c r="E463" s="6"/>
    </row>
    <row r="464" spans="1:5" ht="28">
      <c r="A464" s="2" t="s">
        <v>66</v>
      </c>
      <c r="B464" s="1" t="s">
        <v>29</v>
      </c>
      <c r="C464" s="135"/>
      <c r="D464" s="160"/>
      <c r="E464" s="6"/>
    </row>
    <row r="465" spans="1:5" ht="28">
      <c r="A465" s="2" t="s">
        <v>67</v>
      </c>
      <c r="B465" s="1"/>
      <c r="C465" s="135"/>
      <c r="D465" s="160"/>
      <c r="E465" s="6"/>
    </row>
    <row r="466" spans="1:5" ht="14">
      <c r="A466" s="2" t="s">
        <v>68</v>
      </c>
      <c r="B466" s="123"/>
      <c r="C466" s="135"/>
      <c r="D466" s="160"/>
      <c r="E466" s="6"/>
    </row>
    <row r="467" spans="1:5" ht="28">
      <c r="A467" s="2" t="s">
        <v>119</v>
      </c>
      <c r="B467" s="123"/>
      <c r="C467" s="135"/>
      <c r="D467" s="160"/>
      <c r="E467" s="6"/>
    </row>
    <row r="468" spans="1:5" ht="28">
      <c r="A468" s="2" t="s">
        <v>120</v>
      </c>
      <c r="B468" s="123"/>
      <c r="C468" s="135"/>
      <c r="D468" s="160"/>
      <c r="E468" s="6"/>
    </row>
    <row r="469" spans="1:5" ht="28">
      <c r="A469" s="2" t="s">
        <v>72</v>
      </c>
      <c r="B469" s="123"/>
      <c r="C469" s="135"/>
      <c r="D469" s="160"/>
      <c r="E469" s="6"/>
    </row>
    <row r="470" spans="1:5" ht="14">
      <c r="A470" s="2" t="s">
        <v>73</v>
      </c>
      <c r="B470" s="123"/>
      <c r="C470" s="135"/>
      <c r="D470" s="160"/>
      <c r="E470" s="6"/>
    </row>
    <row r="471" spans="1:5" ht="13">
      <c r="A471" s="1" t="s">
        <v>29</v>
      </c>
      <c r="B471" s="123"/>
      <c r="C471" s="135"/>
      <c r="D471" s="160"/>
      <c r="E471" s="6"/>
    </row>
    <row r="472" spans="1:5" ht="13">
      <c r="A472" s="1" t="s">
        <v>425</v>
      </c>
      <c r="B472" s="123"/>
      <c r="C472" s="135"/>
      <c r="D472" s="160"/>
      <c r="E472" s="6"/>
    </row>
    <row r="473" spans="1:5" ht="13">
      <c r="A473" s="6"/>
      <c r="B473" s="123"/>
      <c r="C473" s="135"/>
      <c r="D473" s="160"/>
      <c r="E473" s="6"/>
    </row>
    <row r="474" spans="1:5" ht="13">
      <c r="A474" s="6"/>
      <c r="B474" s="123"/>
      <c r="C474" s="135"/>
      <c r="D474" s="160"/>
      <c r="E474" s="6"/>
    </row>
    <row r="475" spans="1:5" ht="13">
      <c r="A475" s="6"/>
      <c r="B475" s="123"/>
      <c r="C475" s="135"/>
      <c r="D475" s="160"/>
      <c r="E475" s="6"/>
    </row>
    <row r="476" spans="1:5" ht="13">
      <c r="A476" s="6"/>
      <c r="B476" s="123"/>
      <c r="C476" s="135"/>
      <c r="D476" s="160"/>
      <c r="E476" s="6"/>
    </row>
    <row r="477" spans="1:5" ht="13">
      <c r="A477" s="6"/>
      <c r="B477" s="123"/>
      <c r="C477" s="135"/>
      <c r="D477" s="160"/>
      <c r="E477" s="6"/>
    </row>
    <row r="478" spans="1:5" ht="13">
      <c r="A478" s="6"/>
      <c r="B478" s="123"/>
      <c r="C478" s="135"/>
      <c r="D478" s="160"/>
      <c r="E478" s="6"/>
    </row>
    <row r="479" spans="1:5" ht="13">
      <c r="A479" s="6"/>
      <c r="B479" s="123"/>
      <c r="C479" s="135"/>
      <c r="D479" s="160"/>
      <c r="E479" s="6"/>
    </row>
    <row r="480" spans="1:5" ht="13">
      <c r="A480" s="6"/>
      <c r="B480" s="123"/>
      <c r="C480" s="135"/>
      <c r="D480" s="160"/>
      <c r="E480" s="6"/>
    </row>
    <row r="481" spans="1:5" ht="13">
      <c r="A481" s="6"/>
      <c r="B481" s="123"/>
      <c r="C481" s="135"/>
      <c r="D481" s="160"/>
      <c r="E481" s="6"/>
    </row>
    <row r="482" spans="1:5" ht="13">
      <c r="A482" s="6"/>
      <c r="B482" s="123"/>
      <c r="C482" s="135"/>
      <c r="D482" s="160"/>
      <c r="E482" s="6"/>
    </row>
    <row r="483" spans="1:5" ht="13">
      <c r="A483" s="6"/>
      <c r="B483" s="123"/>
      <c r="C483" s="135"/>
      <c r="D483" s="160"/>
      <c r="E483" s="6"/>
    </row>
    <row r="484" spans="1:5" ht="14">
      <c r="A484" s="6"/>
      <c r="B484" s="123"/>
      <c r="C484" s="2" t="s">
        <v>0</v>
      </c>
      <c r="D484" s="190" t="s">
        <v>421</v>
      </c>
      <c r="E484" s="1" t="s">
        <v>0</v>
      </c>
    </row>
    <row r="485" spans="1:5" ht="14">
      <c r="A485" s="6"/>
      <c r="B485" s="123"/>
      <c r="C485" s="2" t="s">
        <v>1</v>
      </c>
      <c r="D485" s="190" t="s">
        <v>1</v>
      </c>
      <c r="E485" s="1" t="s">
        <v>1</v>
      </c>
    </row>
    <row r="486" spans="1:5" ht="13">
      <c r="A486" s="6"/>
      <c r="B486" s="123"/>
      <c r="C486" s="100" t="s">
        <v>2</v>
      </c>
      <c r="D486" s="1" t="s">
        <v>2</v>
      </c>
      <c r="E486" s="1" t="s">
        <v>2</v>
      </c>
    </row>
    <row r="487" spans="1:5" ht="14">
      <c r="A487" s="6"/>
      <c r="B487" s="123"/>
      <c r="C487" s="2" t="s">
        <v>3</v>
      </c>
      <c r="D487" s="190" t="s">
        <v>3</v>
      </c>
      <c r="E487" s="1" t="s">
        <v>3</v>
      </c>
    </row>
    <row r="488" spans="1:5" ht="28">
      <c r="A488" s="6"/>
      <c r="B488" s="123"/>
      <c r="C488" s="2" t="s">
        <v>4</v>
      </c>
      <c r="D488" s="3" t="s">
        <v>4</v>
      </c>
      <c r="E488" s="2" t="s">
        <v>4</v>
      </c>
    </row>
    <row r="489" spans="1:5" ht="14">
      <c r="A489" s="6"/>
      <c r="B489" s="123"/>
      <c r="C489" s="2" t="s">
        <v>337</v>
      </c>
      <c r="D489" s="3" t="s">
        <v>337</v>
      </c>
      <c r="E489" s="2" t="s">
        <v>337</v>
      </c>
    </row>
    <row r="490" spans="1:5" ht="14">
      <c r="A490" s="6"/>
      <c r="B490" s="123"/>
      <c r="C490" s="2" t="s">
        <v>339</v>
      </c>
      <c r="D490" s="3" t="s">
        <v>339</v>
      </c>
      <c r="E490" s="2" t="s">
        <v>339</v>
      </c>
    </row>
    <row r="491" spans="1:5" ht="28">
      <c r="A491" s="6"/>
      <c r="B491" s="123"/>
      <c r="C491" s="2" t="s">
        <v>344</v>
      </c>
      <c r="D491" s="3" t="s">
        <v>7</v>
      </c>
      <c r="E491" s="2" t="s">
        <v>7</v>
      </c>
    </row>
    <row r="492" spans="1:5" ht="14">
      <c r="A492" s="6"/>
      <c r="B492" s="123"/>
      <c r="C492" s="2" t="s">
        <v>8</v>
      </c>
      <c r="D492" s="3" t="s">
        <v>8</v>
      </c>
      <c r="E492" s="2" t="s">
        <v>8</v>
      </c>
    </row>
    <row r="493" spans="1:5" ht="14">
      <c r="A493" s="6"/>
      <c r="B493" s="123"/>
      <c r="C493" s="2" t="s">
        <v>149</v>
      </c>
      <c r="D493" s="3" t="s">
        <v>60</v>
      </c>
      <c r="E493" s="2" t="s">
        <v>9</v>
      </c>
    </row>
    <row r="494" spans="1:5" ht="14">
      <c r="A494" s="6"/>
      <c r="B494" s="123"/>
      <c r="C494" s="2" t="s">
        <v>61</v>
      </c>
      <c r="D494" s="3" t="s">
        <v>61</v>
      </c>
      <c r="E494" s="2" t="s">
        <v>10</v>
      </c>
    </row>
    <row r="495" spans="1:5" ht="14">
      <c r="A495" s="6"/>
      <c r="B495" s="123"/>
      <c r="C495" s="2" t="s">
        <v>11</v>
      </c>
      <c r="D495" s="190" t="s">
        <v>11</v>
      </c>
      <c r="E495" s="1" t="s">
        <v>11</v>
      </c>
    </row>
    <row r="496" spans="1:5" ht="26">
      <c r="A496" s="6"/>
      <c r="B496" s="123"/>
      <c r="C496" s="3" t="s">
        <v>12</v>
      </c>
      <c r="D496" s="3" t="s">
        <v>12</v>
      </c>
      <c r="E496" s="3" t="s">
        <v>12</v>
      </c>
    </row>
    <row r="497" spans="1:5" ht="26">
      <c r="A497" s="6"/>
      <c r="B497" s="123"/>
      <c r="C497" s="3" t="s">
        <v>13</v>
      </c>
      <c r="D497" s="3" t="s">
        <v>13</v>
      </c>
      <c r="E497" s="3" t="s">
        <v>13</v>
      </c>
    </row>
    <row r="498" spans="1:5" ht="26">
      <c r="A498" s="6"/>
      <c r="B498" s="123"/>
      <c r="C498" s="3" t="s">
        <v>14</v>
      </c>
      <c r="D498" s="3" t="s">
        <v>14</v>
      </c>
      <c r="E498" s="3" t="s">
        <v>14</v>
      </c>
    </row>
    <row r="499" spans="1:5" ht="26">
      <c r="A499" s="6"/>
      <c r="B499" s="123"/>
      <c r="C499" s="3" t="s">
        <v>15</v>
      </c>
      <c r="D499" s="3" t="s">
        <v>15</v>
      </c>
      <c r="E499" s="3" t="s">
        <v>15</v>
      </c>
    </row>
    <row r="500" spans="1:5" ht="26">
      <c r="A500" s="6"/>
      <c r="B500" s="123"/>
      <c r="C500" s="3" t="s">
        <v>64</v>
      </c>
      <c r="D500" s="3" t="s">
        <v>64</v>
      </c>
      <c r="E500" s="3" t="s">
        <v>64</v>
      </c>
    </row>
    <row r="501" spans="1:5" ht="26">
      <c r="A501" s="6"/>
      <c r="B501" s="1" t="s">
        <v>0</v>
      </c>
      <c r="C501" s="3" t="s">
        <v>65</v>
      </c>
      <c r="D501" s="3" t="s">
        <v>65</v>
      </c>
      <c r="E501" s="3" t="s">
        <v>65</v>
      </c>
    </row>
    <row r="502" spans="1:5" ht="26">
      <c r="A502" s="6"/>
      <c r="B502" s="1" t="s">
        <v>1</v>
      </c>
      <c r="C502" s="3" t="s">
        <v>422</v>
      </c>
      <c r="D502" s="3" t="s">
        <v>422</v>
      </c>
      <c r="E502" s="3" t="s">
        <v>422</v>
      </c>
    </row>
    <row r="503" spans="1:5" ht="26">
      <c r="A503" s="6"/>
      <c r="B503" s="1" t="s">
        <v>2</v>
      </c>
      <c r="C503" s="3" t="s">
        <v>423</v>
      </c>
      <c r="D503" s="3" t="s">
        <v>423</v>
      </c>
      <c r="E503" s="3" t="s">
        <v>423</v>
      </c>
    </row>
    <row r="504" spans="1:5" ht="13">
      <c r="A504" s="6"/>
      <c r="B504" s="1" t="s">
        <v>3</v>
      </c>
      <c r="C504" s="3" t="s">
        <v>151</v>
      </c>
      <c r="D504" s="3" t="s">
        <v>151</v>
      </c>
      <c r="E504" s="3" t="s">
        <v>151</v>
      </c>
    </row>
    <row r="505" spans="1:5" ht="28">
      <c r="A505" s="6"/>
      <c r="B505" s="2" t="s">
        <v>4</v>
      </c>
      <c r="C505" s="3" t="s">
        <v>21</v>
      </c>
      <c r="D505" s="3" t="s">
        <v>21</v>
      </c>
      <c r="E505" s="3" t="s">
        <v>21</v>
      </c>
    </row>
    <row r="506" spans="1:5" ht="26">
      <c r="A506" s="6"/>
      <c r="B506" s="197" t="s">
        <v>337</v>
      </c>
      <c r="C506" s="3" t="s">
        <v>152</v>
      </c>
      <c r="D506" s="3" t="s">
        <v>152</v>
      </c>
      <c r="E506" s="3" t="s">
        <v>22</v>
      </c>
    </row>
    <row r="507" spans="1:5" ht="28">
      <c r="A507" s="6"/>
      <c r="B507" s="197" t="s">
        <v>339</v>
      </c>
      <c r="C507" s="2" t="s">
        <v>23</v>
      </c>
      <c r="D507" s="3" t="s">
        <v>23</v>
      </c>
      <c r="E507" s="3" t="s">
        <v>23</v>
      </c>
    </row>
    <row r="508" spans="1:5" ht="26">
      <c r="A508" s="1" t="s">
        <v>97</v>
      </c>
      <c r="B508" s="1" t="s">
        <v>344</v>
      </c>
      <c r="C508" s="2" t="s">
        <v>347</v>
      </c>
      <c r="D508" s="3" t="s">
        <v>72</v>
      </c>
      <c r="E508" s="2" t="s">
        <v>347</v>
      </c>
    </row>
    <row r="509" spans="1:5" ht="14">
      <c r="A509" s="1" t="s">
        <v>1</v>
      </c>
      <c r="B509" s="2" t="s">
        <v>8</v>
      </c>
      <c r="C509" s="2" t="s">
        <v>349</v>
      </c>
      <c r="D509" s="3" t="s">
        <v>73</v>
      </c>
      <c r="E509" s="2" t="s">
        <v>349</v>
      </c>
    </row>
    <row r="510" spans="1:5" ht="26">
      <c r="A510" s="1" t="s">
        <v>2</v>
      </c>
      <c r="B510" s="2" t="s">
        <v>60</v>
      </c>
      <c r="C510" s="2" t="s">
        <v>424</v>
      </c>
      <c r="D510" s="3" t="s">
        <v>420</v>
      </c>
      <c r="E510" s="3" t="s">
        <v>420</v>
      </c>
    </row>
    <row r="511" spans="1:5" ht="14">
      <c r="A511" s="1" t="s">
        <v>333</v>
      </c>
      <c r="B511" s="2" t="s">
        <v>61</v>
      </c>
      <c r="C511" s="2" t="s">
        <v>29</v>
      </c>
      <c r="D511" s="190" t="s">
        <v>29</v>
      </c>
      <c r="E511" s="2" t="s">
        <v>29</v>
      </c>
    </row>
    <row r="512" spans="1:5" ht="13">
      <c r="A512" s="1" t="s">
        <v>3</v>
      </c>
      <c r="B512" s="1" t="s">
        <v>11</v>
      </c>
      <c r="C512" s="135"/>
      <c r="D512" s="160"/>
      <c r="E512" s="6"/>
    </row>
    <row r="513" spans="1:5" ht="28">
      <c r="A513" s="2" t="s">
        <v>4</v>
      </c>
      <c r="B513" s="2" t="s">
        <v>12</v>
      </c>
      <c r="C513" s="135"/>
      <c r="D513" s="160"/>
      <c r="E513" s="6"/>
    </row>
    <row r="514" spans="1:5" ht="28">
      <c r="A514" s="197" t="s">
        <v>337</v>
      </c>
      <c r="B514" s="2" t="s">
        <v>13</v>
      </c>
      <c r="C514" s="135"/>
      <c r="D514" s="160"/>
      <c r="E514" s="6"/>
    </row>
    <row r="515" spans="1:5" ht="42">
      <c r="A515" s="197" t="s">
        <v>339</v>
      </c>
      <c r="B515" s="2" t="s">
        <v>62</v>
      </c>
      <c r="C515" s="135"/>
      <c r="D515" s="160"/>
      <c r="E515" s="6"/>
    </row>
    <row r="516" spans="1:5" ht="42">
      <c r="A516" s="1" t="s">
        <v>344</v>
      </c>
      <c r="B516" s="2" t="s">
        <v>63</v>
      </c>
      <c r="C516" s="135"/>
      <c r="D516" s="160"/>
      <c r="E516" s="6"/>
    </row>
    <row r="517" spans="1:5" ht="42">
      <c r="A517" s="2" t="s">
        <v>8</v>
      </c>
      <c r="B517" s="2" t="s">
        <v>117</v>
      </c>
      <c r="C517" s="135"/>
      <c r="D517" s="160"/>
      <c r="E517" s="6"/>
    </row>
    <row r="518" spans="1:5" ht="42">
      <c r="A518" s="2" t="s">
        <v>60</v>
      </c>
      <c r="B518" s="2" t="s">
        <v>118</v>
      </c>
      <c r="C518" s="135"/>
      <c r="D518" s="160"/>
      <c r="E518" s="6"/>
    </row>
    <row r="519" spans="1:5" ht="28">
      <c r="A519" s="2" t="s">
        <v>61</v>
      </c>
      <c r="B519" s="2" t="s">
        <v>66</v>
      </c>
      <c r="C519" s="135"/>
      <c r="D519" s="160"/>
      <c r="E519" s="6"/>
    </row>
    <row r="520" spans="1:5" ht="28">
      <c r="A520" s="1" t="s">
        <v>11</v>
      </c>
      <c r="B520" s="2" t="s">
        <v>67</v>
      </c>
      <c r="C520" s="135"/>
      <c r="D520" s="160"/>
      <c r="E520" s="6"/>
    </row>
    <row r="521" spans="1:5" ht="28">
      <c r="A521" s="2" t="s">
        <v>12</v>
      </c>
      <c r="B521" s="2" t="s">
        <v>68</v>
      </c>
      <c r="C521" s="135"/>
      <c r="D521" s="160"/>
      <c r="E521" s="6"/>
    </row>
    <row r="522" spans="1:5" ht="28">
      <c r="A522" s="2" t="s">
        <v>13</v>
      </c>
      <c r="B522" s="2" t="s">
        <v>119</v>
      </c>
      <c r="C522" s="135"/>
      <c r="D522" s="160"/>
      <c r="E522" s="6"/>
    </row>
    <row r="523" spans="1:5" ht="42">
      <c r="A523" s="2" t="s">
        <v>62</v>
      </c>
      <c r="B523" s="2" t="s">
        <v>120</v>
      </c>
      <c r="C523" s="135"/>
      <c r="D523" s="160"/>
      <c r="E523" s="6"/>
    </row>
    <row r="524" spans="1:5" ht="42">
      <c r="A524" s="2" t="s">
        <v>63</v>
      </c>
      <c r="B524" s="2" t="s">
        <v>72</v>
      </c>
      <c r="C524" s="135"/>
      <c r="D524" s="160"/>
      <c r="E524" s="6"/>
    </row>
    <row r="525" spans="1:5" ht="42">
      <c r="A525" s="2" t="s">
        <v>117</v>
      </c>
      <c r="B525" s="2" t="s">
        <v>73</v>
      </c>
      <c r="C525" s="135"/>
      <c r="D525" s="160"/>
      <c r="E525" s="6"/>
    </row>
    <row r="526" spans="1:5" ht="42">
      <c r="A526" s="2" t="s">
        <v>118</v>
      </c>
      <c r="B526" s="1" t="s">
        <v>29</v>
      </c>
      <c r="C526" s="135"/>
      <c r="D526" s="160"/>
      <c r="E526" s="6"/>
    </row>
    <row r="527" spans="1:5" ht="28">
      <c r="A527" s="2" t="s">
        <v>66</v>
      </c>
      <c r="B527" s="1"/>
      <c r="C527" s="135"/>
      <c r="D527" s="160"/>
      <c r="E527" s="6"/>
    </row>
    <row r="528" spans="1:5" ht="28">
      <c r="A528" s="2" t="s">
        <v>67</v>
      </c>
      <c r="B528" s="123"/>
      <c r="C528" s="135"/>
      <c r="D528" s="160"/>
      <c r="E528" s="6"/>
    </row>
    <row r="529" spans="1:5" ht="14">
      <c r="A529" s="2" t="s">
        <v>68</v>
      </c>
      <c r="B529" s="123"/>
      <c r="C529" s="135"/>
      <c r="D529" s="160"/>
      <c r="E529" s="6"/>
    </row>
    <row r="530" spans="1:5" ht="28">
      <c r="A530" s="2" t="s">
        <v>119</v>
      </c>
      <c r="B530" s="123"/>
      <c r="C530" s="135"/>
      <c r="D530" s="160"/>
      <c r="E530" s="6"/>
    </row>
    <row r="531" spans="1:5" ht="28">
      <c r="A531" s="2" t="s">
        <v>120</v>
      </c>
      <c r="B531" s="123"/>
      <c r="C531" s="135"/>
      <c r="D531" s="160"/>
      <c r="E531" s="6"/>
    </row>
    <row r="532" spans="1:5" ht="28">
      <c r="A532" s="2" t="s">
        <v>72</v>
      </c>
      <c r="B532" s="123"/>
      <c r="C532" s="2" t="s">
        <v>0</v>
      </c>
      <c r="D532" s="160"/>
      <c r="E532" s="6"/>
    </row>
    <row r="533" spans="1:5" ht="14">
      <c r="A533" s="2" t="s">
        <v>73</v>
      </c>
      <c r="B533" s="123"/>
      <c r="C533" s="2" t="s">
        <v>1</v>
      </c>
      <c r="D533" s="160"/>
      <c r="E533" s="6"/>
    </row>
    <row r="534" spans="1:5" ht="13">
      <c r="A534" s="1" t="s">
        <v>29</v>
      </c>
      <c r="B534" s="123"/>
      <c r="C534" s="100" t="s">
        <v>2</v>
      </c>
      <c r="D534" s="160"/>
      <c r="E534" s="6"/>
    </row>
    <row r="535" spans="1:5" ht="14">
      <c r="A535" s="1" t="s">
        <v>425</v>
      </c>
      <c r="B535" s="123"/>
      <c r="C535" s="2" t="s">
        <v>3</v>
      </c>
      <c r="D535" s="160"/>
      <c r="E535" s="6"/>
    </row>
    <row r="536" spans="1:5" ht="28">
      <c r="A536" s="6"/>
      <c r="B536" s="123"/>
      <c r="C536" s="2" t="s">
        <v>4</v>
      </c>
      <c r="D536" s="160"/>
      <c r="E536" s="6"/>
    </row>
    <row r="537" spans="1:5" ht="14">
      <c r="A537" s="6"/>
      <c r="B537" s="123"/>
      <c r="C537" s="2" t="s">
        <v>337</v>
      </c>
      <c r="D537" s="160"/>
      <c r="E537" s="6"/>
    </row>
    <row r="538" spans="1:5" ht="14">
      <c r="A538" s="6"/>
      <c r="B538" s="123"/>
      <c r="C538" s="2" t="s">
        <v>339</v>
      </c>
      <c r="D538" s="160"/>
      <c r="E538" s="6"/>
    </row>
    <row r="539" spans="1:5" ht="14">
      <c r="A539" s="6"/>
      <c r="B539" s="123"/>
      <c r="C539" s="2" t="s">
        <v>344</v>
      </c>
      <c r="D539" s="160"/>
      <c r="E539" s="6"/>
    </row>
    <row r="540" spans="1:5" ht="14">
      <c r="A540" s="6"/>
      <c r="B540" s="123"/>
      <c r="C540" s="2" t="s">
        <v>8</v>
      </c>
      <c r="D540" s="160"/>
      <c r="E540" s="6"/>
    </row>
    <row r="541" spans="1:5" ht="14">
      <c r="A541" s="6"/>
      <c r="B541" s="123"/>
      <c r="C541" s="2" t="s">
        <v>149</v>
      </c>
      <c r="D541" s="160"/>
      <c r="E541" s="6"/>
    </row>
    <row r="542" spans="1:5" ht="14">
      <c r="A542" s="6"/>
      <c r="B542" s="123"/>
      <c r="C542" s="2" t="s">
        <v>61</v>
      </c>
      <c r="D542" s="160"/>
      <c r="E542" s="6"/>
    </row>
    <row r="543" spans="1:5" ht="14">
      <c r="A543" s="6"/>
      <c r="B543" s="123"/>
      <c r="C543" s="2" t="s">
        <v>11</v>
      </c>
      <c r="D543" s="160"/>
      <c r="E543" s="6"/>
    </row>
    <row r="544" spans="1:5" ht="26">
      <c r="A544" s="6"/>
      <c r="B544" s="123"/>
      <c r="C544" s="3" t="s">
        <v>12</v>
      </c>
      <c r="D544" s="190" t="s">
        <v>421</v>
      </c>
      <c r="E544" s="1" t="s">
        <v>0</v>
      </c>
    </row>
    <row r="545" spans="1:5" ht="26">
      <c r="A545" s="6"/>
      <c r="B545" s="123"/>
      <c r="C545" s="3" t="s">
        <v>13</v>
      </c>
      <c r="D545" s="190" t="s">
        <v>1</v>
      </c>
      <c r="E545" s="1" t="s">
        <v>1</v>
      </c>
    </row>
    <row r="546" spans="1:5" ht="26">
      <c r="A546" s="6"/>
      <c r="B546" s="123"/>
      <c r="C546" s="3" t="s">
        <v>14</v>
      </c>
      <c r="D546" s="1" t="s">
        <v>2</v>
      </c>
      <c r="E546" s="1" t="s">
        <v>2</v>
      </c>
    </row>
    <row r="547" spans="1:5" ht="26">
      <c r="A547" s="6"/>
      <c r="B547" s="123"/>
      <c r="C547" s="3" t="s">
        <v>15</v>
      </c>
      <c r="D547" s="190" t="s">
        <v>3</v>
      </c>
      <c r="E547" s="1" t="s">
        <v>3</v>
      </c>
    </row>
    <row r="548" spans="1:5" ht="28">
      <c r="A548" s="6"/>
      <c r="B548" s="123"/>
      <c r="C548" s="3" t="s">
        <v>64</v>
      </c>
      <c r="D548" s="3" t="s">
        <v>4</v>
      </c>
      <c r="E548" s="2" t="s">
        <v>4</v>
      </c>
    </row>
    <row r="549" spans="1:5" ht="26">
      <c r="A549" s="6"/>
      <c r="B549" s="123"/>
      <c r="C549" s="3" t="s">
        <v>65</v>
      </c>
      <c r="D549" s="3" t="s">
        <v>337</v>
      </c>
      <c r="E549" s="2" t="s">
        <v>337</v>
      </c>
    </row>
    <row r="550" spans="1:5" ht="26">
      <c r="A550" s="6"/>
      <c r="B550" s="123"/>
      <c r="C550" s="3" t="s">
        <v>422</v>
      </c>
      <c r="D550" s="3" t="s">
        <v>339</v>
      </c>
      <c r="E550" s="2" t="s">
        <v>339</v>
      </c>
    </row>
    <row r="551" spans="1:5" ht="28">
      <c r="A551" s="6"/>
      <c r="B551" s="123"/>
      <c r="C551" s="3" t="s">
        <v>423</v>
      </c>
      <c r="D551" s="3" t="s">
        <v>7</v>
      </c>
      <c r="E551" s="2" t="s">
        <v>7</v>
      </c>
    </row>
    <row r="552" spans="1:5" ht="14">
      <c r="A552" s="6"/>
      <c r="B552" s="123"/>
      <c r="C552" s="3" t="s">
        <v>151</v>
      </c>
      <c r="D552" s="3" t="s">
        <v>8</v>
      </c>
      <c r="E552" s="2" t="s">
        <v>8</v>
      </c>
    </row>
    <row r="553" spans="1:5" ht="14">
      <c r="A553" s="6"/>
      <c r="B553" s="123"/>
      <c r="C553" s="3" t="s">
        <v>21</v>
      </c>
      <c r="D553" s="3" t="s">
        <v>60</v>
      </c>
      <c r="E553" s="2" t="s">
        <v>9</v>
      </c>
    </row>
    <row r="554" spans="1:5" ht="14">
      <c r="A554" s="6"/>
      <c r="B554" s="123"/>
      <c r="C554" s="3" t="s">
        <v>152</v>
      </c>
      <c r="D554" s="3" t="s">
        <v>61</v>
      </c>
      <c r="E554" s="2" t="s">
        <v>10</v>
      </c>
    </row>
    <row r="555" spans="1:5" ht="28">
      <c r="A555" s="6"/>
      <c r="B555" s="123"/>
      <c r="C555" s="2" t="s">
        <v>23</v>
      </c>
      <c r="D555" s="190" t="s">
        <v>11</v>
      </c>
      <c r="E555" s="1" t="s">
        <v>11</v>
      </c>
    </row>
    <row r="556" spans="1:5" ht="26">
      <c r="A556" s="6"/>
      <c r="B556" s="123"/>
      <c r="C556" s="2" t="s">
        <v>347</v>
      </c>
      <c r="D556" s="3" t="s">
        <v>12</v>
      </c>
      <c r="E556" s="3" t="s">
        <v>12</v>
      </c>
    </row>
    <row r="557" spans="1:5" ht="26">
      <c r="A557" s="6"/>
      <c r="B557" s="123"/>
      <c r="C557" s="2" t="s">
        <v>349</v>
      </c>
      <c r="D557" s="3" t="s">
        <v>13</v>
      </c>
      <c r="E557" s="3" t="s">
        <v>13</v>
      </c>
    </row>
    <row r="558" spans="1:5" ht="26">
      <c r="A558" s="6"/>
      <c r="B558" s="123"/>
      <c r="C558" s="2" t="s">
        <v>424</v>
      </c>
      <c r="D558" s="3" t="s">
        <v>14</v>
      </c>
      <c r="E558" s="3" t="s">
        <v>14</v>
      </c>
    </row>
    <row r="559" spans="1:5" ht="26">
      <c r="A559" s="6"/>
      <c r="B559" s="123"/>
      <c r="C559" s="2" t="s">
        <v>29</v>
      </c>
      <c r="D559" s="3" t="s">
        <v>15</v>
      </c>
      <c r="E559" s="3" t="s">
        <v>15</v>
      </c>
    </row>
    <row r="560" spans="1:5" ht="26">
      <c r="A560" s="6"/>
      <c r="B560" s="123"/>
      <c r="C560" s="135"/>
      <c r="D560" s="3" t="s">
        <v>64</v>
      </c>
      <c r="E560" s="3" t="s">
        <v>64</v>
      </c>
    </row>
    <row r="561" spans="1:5" ht="26">
      <c r="A561" s="6"/>
      <c r="B561" s="123"/>
      <c r="C561" s="135"/>
      <c r="D561" s="3" t="s">
        <v>65</v>
      </c>
      <c r="E561" s="3" t="s">
        <v>65</v>
      </c>
    </row>
    <row r="562" spans="1:5" ht="26">
      <c r="A562" s="6"/>
      <c r="B562" s="123"/>
      <c r="C562" s="135"/>
      <c r="D562" s="3" t="s">
        <v>422</v>
      </c>
      <c r="E562" s="3" t="s">
        <v>422</v>
      </c>
    </row>
    <row r="563" spans="1:5" ht="26">
      <c r="A563" s="6"/>
      <c r="B563" s="1" t="s">
        <v>0</v>
      </c>
      <c r="C563" s="135"/>
      <c r="D563" s="3" t="s">
        <v>423</v>
      </c>
      <c r="E563" s="3" t="s">
        <v>423</v>
      </c>
    </row>
    <row r="564" spans="1:5" ht="13">
      <c r="A564" s="6"/>
      <c r="B564" s="1" t="s">
        <v>1</v>
      </c>
      <c r="C564" s="135"/>
      <c r="D564" s="3" t="s">
        <v>151</v>
      </c>
      <c r="E564" s="3" t="s">
        <v>151</v>
      </c>
    </row>
    <row r="565" spans="1:5" ht="13">
      <c r="A565" s="6"/>
      <c r="B565" s="1" t="s">
        <v>2</v>
      </c>
      <c r="C565" s="135"/>
      <c r="D565" s="3" t="s">
        <v>21</v>
      </c>
      <c r="E565" s="3" t="s">
        <v>21</v>
      </c>
    </row>
    <row r="566" spans="1:5" ht="26">
      <c r="A566" s="6"/>
      <c r="B566" s="1" t="s">
        <v>3</v>
      </c>
      <c r="C566" s="135"/>
      <c r="D566" s="3" t="s">
        <v>152</v>
      </c>
      <c r="E566" s="3" t="s">
        <v>22</v>
      </c>
    </row>
    <row r="567" spans="1:5" ht="28">
      <c r="A567" s="6"/>
      <c r="B567" s="2" t="s">
        <v>4</v>
      </c>
      <c r="C567" s="135"/>
      <c r="D567" s="3" t="s">
        <v>23</v>
      </c>
      <c r="E567" s="3" t="s">
        <v>23</v>
      </c>
    </row>
    <row r="568" spans="1:5" ht="26">
      <c r="A568" s="6"/>
      <c r="B568" s="197" t="s">
        <v>337</v>
      </c>
      <c r="C568" s="135"/>
      <c r="D568" s="3" t="s">
        <v>72</v>
      </c>
      <c r="E568" s="2" t="s">
        <v>347</v>
      </c>
    </row>
    <row r="569" spans="1:5" ht="14">
      <c r="A569" s="6"/>
      <c r="B569" s="197" t="s">
        <v>339</v>
      </c>
      <c r="C569" s="135"/>
      <c r="D569" s="3" t="s">
        <v>73</v>
      </c>
      <c r="E569" s="2" t="s">
        <v>349</v>
      </c>
    </row>
    <row r="570" spans="1:5" ht="26">
      <c r="A570" s="6"/>
      <c r="B570" s="1" t="s">
        <v>344</v>
      </c>
      <c r="C570" s="135"/>
      <c r="D570" s="3" t="s">
        <v>420</v>
      </c>
      <c r="E570" s="3" t="s">
        <v>420</v>
      </c>
    </row>
    <row r="571" spans="1:5" ht="14">
      <c r="A571" s="1" t="s">
        <v>97</v>
      </c>
      <c r="B571" s="2" t="s">
        <v>8</v>
      </c>
      <c r="C571" s="135"/>
      <c r="D571" s="190" t="s">
        <v>29</v>
      </c>
      <c r="E571" s="2" t="s">
        <v>29</v>
      </c>
    </row>
    <row r="572" spans="1:5" ht="14">
      <c r="A572" s="1" t="s">
        <v>1</v>
      </c>
      <c r="B572" s="2" t="s">
        <v>60</v>
      </c>
      <c r="C572" s="135"/>
      <c r="D572" s="160"/>
      <c r="E572" s="6"/>
    </row>
    <row r="573" spans="1:5" ht="14">
      <c r="A573" s="1" t="s">
        <v>2</v>
      </c>
      <c r="B573" s="2" t="s">
        <v>61</v>
      </c>
      <c r="C573" s="135"/>
      <c r="D573" s="160"/>
      <c r="E573" s="6"/>
    </row>
    <row r="574" spans="1:5" ht="13">
      <c r="A574" s="1" t="s">
        <v>333</v>
      </c>
      <c r="B574" s="1" t="s">
        <v>11</v>
      </c>
      <c r="C574" s="135"/>
      <c r="D574" s="160"/>
      <c r="E574" s="6"/>
    </row>
    <row r="575" spans="1:5" ht="28">
      <c r="A575" s="1" t="s">
        <v>3</v>
      </c>
      <c r="B575" s="2" t="s">
        <v>12</v>
      </c>
      <c r="C575" s="135"/>
      <c r="D575" s="160"/>
      <c r="E575" s="6"/>
    </row>
    <row r="576" spans="1:5" ht="28">
      <c r="A576" s="2" t="s">
        <v>4</v>
      </c>
      <c r="B576" s="2" t="s">
        <v>13</v>
      </c>
      <c r="C576" s="135"/>
      <c r="D576" s="160"/>
      <c r="E576" s="6"/>
    </row>
    <row r="577" spans="1:5" ht="42">
      <c r="A577" s="197" t="s">
        <v>337</v>
      </c>
      <c r="B577" s="2" t="s">
        <v>62</v>
      </c>
      <c r="C577" s="135"/>
      <c r="D577" s="160"/>
      <c r="E577" s="6"/>
    </row>
    <row r="578" spans="1:5" ht="42">
      <c r="A578" s="197" t="s">
        <v>339</v>
      </c>
      <c r="B578" s="2" t="s">
        <v>63</v>
      </c>
      <c r="C578" s="135"/>
      <c r="D578" s="160"/>
      <c r="E578" s="6"/>
    </row>
    <row r="579" spans="1:5" ht="42">
      <c r="A579" s="1" t="s">
        <v>344</v>
      </c>
      <c r="B579" s="2" t="s">
        <v>117</v>
      </c>
      <c r="C579" s="135"/>
      <c r="D579" s="160"/>
      <c r="E579" s="6"/>
    </row>
    <row r="580" spans="1:5" ht="42">
      <c r="A580" s="2" t="s">
        <v>8</v>
      </c>
      <c r="B580" s="2" t="s">
        <v>118</v>
      </c>
      <c r="C580" s="2" t="s">
        <v>0</v>
      </c>
      <c r="D580" s="160"/>
      <c r="E580" s="6"/>
    </row>
    <row r="581" spans="1:5" ht="28">
      <c r="A581" s="2" t="s">
        <v>60</v>
      </c>
      <c r="B581" s="2" t="s">
        <v>66</v>
      </c>
      <c r="C581" s="2" t="s">
        <v>1</v>
      </c>
      <c r="D581" s="160"/>
      <c r="E581" s="6"/>
    </row>
    <row r="582" spans="1:5" ht="28">
      <c r="A582" s="2" t="s">
        <v>61</v>
      </c>
      <c r="B582" s="2" t="s">
        <v>67</v>
      </c>
      <c r="C582" s="100" t="s">
        <v>2</v>
      </c>
      <c r="D582" s="160"/>
      <c r="E582" s="6"/>
    </row>
    <row r="583" spans="1:5" ht="14">
      <c r="A583" s="1" t="s">
        <v>11</v>
      </c>
      <c r="B583" s="2" t="s">
        <v>68</v>
      </c>
      <c r="C583" s="2" t="s">
        <v>3</v>
      </c>
      <c r="D583" s="160"/>
      <c r="E583" s="6"/>
    </row>
    <row r="584" spans="1:5" ht="28">
      <c r="A584" s="2" t="s">
        <v>12</v>
      </c>
      <c r="B584" s="2" t="s">
        <v>119</v>
      </c>
      <c r="C584" s="2" t="s">
        <v>4</v>
      </c>
      <c r="D584" s="160"/>
      <c r="E584" s="6"/>
    </row>
    <row r="585" spans="1:5" ht="28">
      <c r="A585" s="2" t="s">
        <v>13</v>
      </c>
      <c r="B585" s="2" t="s">
        <v>120</v>
      </c>
      <c r="C585" s="2" t="s">
        <v>337</v>
      </c>
      <c r="D585" s="160"/>
      <c r="E585" s="6"/>
    </row>
    <row r="586" spans="1:5" ht="42">
      <c r="A586" s="2" t="s">
        <v>62</v>
      </c>
      <c r="B586" s="2" t="s">
        <v>72</v>
      </c>
      <c r="C586" s="2" t="s">
        <v>339</v>
      </c>
      <c r="D586" s="160"/>
      <c r="E586" s="6"/>
    </row>
    <row r="587" spans="1:5" ht="42">
      <c r="A587" s="2" t="s">
        <v>63</v>
      </c>
      <c r="B587" s="2" t="s">
        <v>73</v>
      </c>
      <c r="C587" s="2" t="s">
        <v>344</v>
      </c>
      <c r="D587" s="160"/>
      <c r="E587" s="6"/>
    </row>
    <row r="588" spans="1:5" ht="42">
      <c r="A588" s="2" t="s">
        <v>117</v>
      </c>
      <c r="B588" s="1" t="s">
        <v>29</v>
      </c>
      <c r="C588" s="2" t="s">
        <v>8</v>
      </c>
      <c r="D588" s="160"/>
      <c r="E588" s="6"/>
    </row>
    <row r="589" spans="1:5" ht="42">
      <c r="A589" s="2" t="s">
        <v>118</v>
      </c>
      <c r="B589" s="1"/>
      <c r="C589" s="2" t="s">
        <v>149</v>
      </c>
      <c r="D589" s="160"/>
      <c r="E589" s="6"/>
    </row>
    <row r="590" spans="1:5" ht="28">
      <c r="A590" s="2" t="s">
        <v>66</v>
      </c>
      <c r="B590" s="123"/>
      <c r="C590" s="2" t="s">
        <v>61</v>
      </c>
      <c r="D590" s="160"/>
      <c r="E590" s="6"/>
    </row>
    <row r="591" spans="1:5" ht="28">
      <c r="A591" s="2" t="s">
        <v>67</v>
      </c>
      <c r="B591" s="123"/>
      <c r="C591" s="2" t="s">
        <v>11</v>
      </c>
      <c r="D591" s="160"/>
      <c r="E591" s="6"/>
    </row>
    <row r="592" spans="1:5" ht="26">
      <c r="A592" s="2" t="s">
        <v>68</v>
      </c>
      <c r="B592" s="123"/>
      <c r="C592" s="3" t="s">
        <v>12</v>
      </c>
      <c r="D592" s="160"/>
      <c r="E592" s="6"/>
    </row>
    <row r="593" spans="1:5" ht="28">
      <c r="A593" s="2" t="s">
        <v>119</v>
      </c>
      <c r="B593" s="123"/>
      <c r="C593" s="3" t="s">
        <v>13</v>
      </c>
      <c r="D593" s="160"/>
      <c r="E593" s="6"/>
    </row>
    <row r="594" spans="1:5" ht="28">
      <c r="A594" s="2" t="s">
        <v>120</v>
      </c>
      <c r="B594" s="123"/>
      <c r="C594" s="3" t="s">
        <v>14</v>
      </c>
      <c r="D594" s="160"/>
      <c r="E594" s="6"/>
    </row>
    <row r="595" spans="1:5" ht="28">
      <c r="A595" s="2" t="s">
        <v>72</v>
      </c>
      <c r="B595" s="123"/>
      <c r="C595" s="3" t="s">
        <v>15</v>
      </c>
      <c r="D595" s="160"/>
      <c r="E595" s="6"/>
    </row>
    <row r="596" spans="1:5" ht="26">
      <c r="A596" s="2" t="s">
        <v>73</v>
      </c>
      <c r="B596" s="123"/>
      <c r="C596" s="3" t="s">
        <v>64</v>
      </c>
      <c r="D596" s="160"/>
      <c r="E596" s="6"/>
    </row>
    <row r="597" spans="1:5" ht="26">
      <c r="A597" s="1" t="s">
        <v>29</v>
      </c>
      <c r="B597" s="123"/>
      <c r="C597" s="3" t="s">
        <v>65</v>
      </c>
      <c r="D597" s="160"/>
      <c r="E597" s="6"/>
    </row>
    <row r="598" spans="1:5" ht="26">
      <c r="A598" s="1" t="s">
        <v>425</v>
      </c>
      <c r="B598" s="123"/>
      <c r="C598" s="3" t="s">
        <v>422</v>
      </c>
      <c r="D598" s="160"/>
      <c r="E598" s="6"/>
    </row>
    <row r="599" spans="1:5" ht="26">
      <c r="A599" s="6"/>
      <c r="B599" s="123"/>
      <c r="C599" s="3" t="s">
        <v>423</v>
      </c>
      <c r="D599" s="160"/>
      <c r="E599" s="6"/>
    </row>
    <row r="600" spans="1:5" ht="13">
      <c r="A600" s="6"/>
      <c r="B600" s="123"/>
      <c r="C600" s="3" t="s">
        <v>151</v>
      </c>
      <c r="D600" s="160"/>
      <c r="E600" s="6"/>
    </row>
    <row r="601" spans="1:5" ht="13">
      <c r="A601" s="6"/>
      <c r="B601" s="123"/>
      <c r="C601" s="3" t="s">
        <v>21</v>
      </c>
      <c r="D601" s="160"/>
      <c r="E601" s="6"/>
    </row>
    <row r="602" spans="1:5" ht="13">
      <c r="A602" s="6"/>
      <c r="B602" s="123"/>
      <c r="C602" s="3" t="s">
        <v>152</v>
      </c>
      <c r="D602" s="160"/>
      <c r="E602" s="6"/>
    </row>
    <row r="603" spans="1:5" ht="28">
      <c r="A603" s="6"/>
      <c r="B603" s="123"/>
      <c r="C603" s="2" t="s">
        <v>23</v>
      </c>
      <c r="D603" s="160"/>
      <c r="E603" s="6"/>
    </row>
    <row r="604" spans="1:5" ht="14">
      <c r="A604" s="6"/>
      <c r="B604" s="123"/>
      <c r="C604" s="2" t="s">
        <v>347</v>
      </c>
      <c r="D604" s="190" t="s">
        <v>421</v>
      </c>
      <c r="E604" s="1" t="s">
        <v>0</v>
      </c>
    </row>
    <row r="605" spans="1:5" ht="14">
      <c r="A605" s="6"/>
      <c r="B605" s="123"/>
      <c r="C605" s="2" t="s">
        <v>349</v>
      </c>
      <c r="D605" s="190" t="s">
        <v>1</v>
      </c>
      <c r="E605" s="1" t="s">
        <v>1</v>
      </c>
    </row>
    <row r="606" spans="1:5" ht="14">
      <c r="A606" s="6"/>
      <c r="B606" s="123"/>
      <c r="C606" s="2" t="s">
        <v>424</v>
      </c>
      <c r="D606" s="1" t="s">
        <v>2</v>
      </c>
      <c r="E606" s="1" t="s">
        <v>2</v>
      </c>
    </row>
    <row r="607" spans="1:5" ht="14">
      <c r="A607" s="6"/>
      <c r="B607" s="123"/>
      <c r="C607" s="2" t="s">
        <v>29</v>
      </c>
      <c r="D607" s="190" t="s">
        <v>3</v>
      </c>
      <c r="E607" s="1" t="s">
        <v>3</v>
      </c>
    </row>
    <row r="608" spans="1:5" ht="28">
      <c r="A608" s="6"/>
      <c r="B608" s="123"/>
      <c r="C608" s="135"/>
      <c r="D608" s="3" t="s">
        <v>4</v>
      </c>
      <c r="E608" s="2" t="s">
        <v>4</v>
      </c>
    </row>
    <row r="609" spans="1:5" ht="14">
      <c r="A609" s="6"/>
      <c r="B609" s="123"/>
      <c r="C609" s="135"/>
      <c r="D609" s="3" t="s">
        <v>337</v>
      </c>
      <c r="E609" s="2" t="s">
        <v>337</v>
      </c>
    </row>
    <row r="610" spans="1:5" ht="14">
      <c r="A610" s="6"/>
      <c r="B610" s="123"/>
      <c r="C610" s="135"/>
      <c r="D610" s="3" t="s">
        <v>339</v>
      </c>
      <c r="E610" s="2" t="s">
        <v>339</v>
      </c>
    </row>
    <row r="611" spans="1:5" ht="28">
      <c r="A611" s="6"/>
      <c r="B611" s="123"/>
      <c r="C611" s="135"/>
      <c r="D611" s="3" t="s">
        <v>7</v>
      </c>
      <c r="E611" s="2" t="s">
        <v>7</v>
      </c>
    </row>
    <row r="612" spans="1:5" ht="14">
      <c r="A612" s="6"/>
      <c r="B612" s="123"/>
      <c r="C612" s="135"/>
      <c r="D612" s="3" t="s">
        <v>8</v>
      </c>
      <c r="E612" s="2" t="s">
        <v>8</v>
      </c>
    </row>
    <row r="613" spans="1:5" ht="14">
      <c r="A613" s="6"/>
      <c r="B613" s="123"/>
      <c r="C613" s="135"/>
      <c r="D613" s="3" t="s">
        <v>60</v>
      </c>
      <c r="E613" s="2" t="s">
        <v>9</v>
      </c>
    </row>
    <row r="614" spans="1:5" ht="14">
      <c r="A614" s="6"/>
      <c r="B614" s="123"/>
      <c r="C614" s="135"/>
      <c r="D614" s="3" t="s">
        <v>61</v>
      </c>
      <c r="E614" s="2" t="s">
        <v>10</v>
      </c>
    </row>
    <row r="615" spans="1:5" ht="13">
      <c r="A615" s="6"/>
      <c r="B615" s="123"/>
      <c r="C615" s="135"/>
      <c r="D615" s="190" t="s">
        <v>11</v>
      </c>
      <c r="E615" s="1" t="s">
        <v>11</v>
      </c>
    </row>
    <row r="616" spans="1:5" ht="26">
      <c r="A616" s="6"/>
      <c r="B616" s="123"/>
      <c r="C616" s="135"/>
      <c r="D616" s="3" t="s">
        <v>12</v>
      </c>
      <c r="E616" s="3" t="s">
        <v>12</v>
      </c>
    </row>
    <row r="617" spans="1:5" ht="26">
      <c r="A617" s="6"/>
      <c r="B617" s="123"/>
      <c r="C617" s="135"/>
      <c r="D617" s="3" t="s">
        <v>13</v>
      </c>
      <c r="E617" s="3" t="s">
        <v>13</v>
      </c>
    </row>
    <row r="618" spans="1:5" ht="26">
      <c r="A618" s="6"/>
      <c r="B618" s="123"/>
      <c r="C618" s="135"/>
      <c r="D618" s="3" t="s">
        <v>14</v>
      </c>
      <c r="E618" s="3" t="s">
        <v>14</v>
      </c>
    </row>
    <row r="619" spans="1:5" ht="26">
      <c r="A619" s="6"/>
      <c r="B619" s="123"/>
      <c r="C619" s="135"/>
      <c r="D619" s="3" t="s">
        <v>15</v>
      </c>
      <c r="E619" s="3" t="s">
        <v>15</v>
      </c>
    </row>
    <row r="620" spans="1:5" ht="26">
      <c r="A620" s="6"/>
      <c r="B620" s="123"/>
      <c r="C620" s="135"/>
      <c r="D620" s="3" t="s">
        <v>64</v>
      </c>
      <c r="E620" s="3" t="s">
        <v>64</v>
      </c>
    </row>
    <row r="621" spans="1:5" ht="26">
      <c r="A621" s="6"/>
      <c r="B621" s="123"/>
      <c r="C621" s="135"/>
      <c r="D621" s="3" t="s">
        <v>65</v>
      </c>
      <c r="E621" s="3" t="s">
        <v>65</v>
      </c>
    </row>
    <row r="622" spans="1:5" ht="26">
      <c r="A622" s="6"/>
      <c r="B622" s="123"/>
      <c r="C622" s="135"/>
      <c r="D622" s="3" t="s">
        <v>422</v>
      </c>
      <c r="E622" s="3" t="s">
        <v>422</v>
      </c>
    </row>
    <row r="623" spans="1:5" ht="26">
      <c r="A623" s="6"/>
      <c r="B623" s="123"/>
      <c r="C623" s="135"/>
      <c r="D623" s="3" t="s">
        <v>423</v>
      </c>
      <c r="E623" s="3" t="s">
        <v>423</v>
      </c>
    </row>
    <row r="624" spans="1:5" ht="13">
      <c r="A624" s="6"/>
      <c r="B624" s="123"/>
      <c r="C624" s="135"/>
      <c r="D624" s="3" t="s">
        <v>151</v>
      </c>
      <c r="E624" s="3" t="s">
        <v>151</v>
      </c>
    </row>
    <row r="625" spans="1:5" ht="13">
      <c r="A625" s="6"/>
      <c r="B625" s="1" t="s">
        <v>0</v>
      </c>
      <c r="C625" s="135"/>
      <c r="D625" s="3" t="s">
        <v>21</v>
      </c>
      <c r="E625" s="3" t="s">
        <v>21</v>
      </c>
    </row>
    <row r="626" spans="1:5" ht="26">
      <c r="A626" s="6"/>
      <c r="B626" s="1" t="s">
        <v>1</v>
      </c>
      <c r="C626" s="135"/>
      <c r="D626" s="3" t="s">
        <v>152</v>
      </c>
      <c r="E626" s="3" t="s">
        <v>22</v>
      </c>
    </row>
    <row r="627" spans="1:5" ht="26">
      <c r="A627" s="6"/>
      <c r="B627" s="1" t="s">
        <v>2</v>
      </c>
      <c r="C627" s="135"/>
      <c r="D627" s="3" t="s">
        <v>23</v>
      </c>
      <c r="E627" s="3" t="s">
        <v>23</v>
      </c>
    </row>
    <row r="628" spans="1:5" ht="26">
      <c r="A628" s="6"/>
      <c r="B628" s="1" t="s">
        <v>3</v>
      </c>
      <c r="C628" s="2" t="s">
        <v>0</v>
      </c>
      <c r="D628" s="3" t="s">
        <v>72</v>
      </c>
      <c r="E628" s="2" t="s">
        <v>347</v>
      </c>
    </row>
    <row r="629" spans="1:5" ht="28">
      <c r="A629" s="6"/>
      <c r="B629" s="2" t="s">
        <v>4</v>
      </c>
      <c r="C629" s="2" t="s">
        <v>1</v>
      </c>
      <c r="D629" s="3" t="s">
        <v>73</v>
      </c>
      <c r="E629" s="2" t="s">
        <v>349</v>
      </c>
    </row>
    <row r="630" spans="1:5" ht="26">
      <c r="A630" s="6"/>
      <c r="B630" s="197" t="s">
        <v>337</v>
      </c>
      <c r="C630" s="100" t="s">
        <v>2</v>
      </c>
      <c r="D630" s="3" t="s">
        <v>420</v>
      </c>
      <c r="E630" s="3" t="s">
        <v>420</v>
      </c>
    </row>
    <row r="631" spans="1:5" ht="14">
      <c r="A631" s="6"/>
      <c r="B631" s="197" t="s">
        <v>339</v>
      </c>
      <c r="C631" s="2" t="s">
        <v>3</v>
      </c>
      <c r="D631" s="190" t="s">
        <v>29</v>
      </c>
      <c r="E631" s="2" t="s">
        <v>29</v>
      </c>
    </row>
    <row r="632" spans="1:5" ht="28">
      <c r="A632" s="6"/>
      <c r="B632" s="1" t="s">
        <v>344</v>
      </c>
      <c r="C632" s="2" t="s">
        <v>4</v>
      </c>
      <c r="D632" s="160"/>
      <c r="E632" s="6"/>
    </row>
    <row r="633" spans="1:5" ht="14">
      <c r="A633" s="6"/>
      <c r="B633" s="2" t="s">
        <v>8</v>
      </c>
      <c r="C633" s="2" t="s">
        <v>337</v>
      </c>
      <c r="D633" s="160"/>
      <c r="E633" s="6"/>
    </row>
    <row r="634" spans="1:5" ht="14">
      <c r="A634" s="1" t="s">
        <v>97</v>
      </c>
      <c r="B634" s="2" t="s">
        <v>60</v>
      </c>
      <c r="C634" s="2" t="s">
        <v>339</v>
      </c>
      <c r="D634" s="160"/>
      <c r="E634" s="6"/>
    </row>
    <row r="635" spans="1:5" ht="14">
      <c r="A635" s="1" t="s">
        <v>1</v>
      </c>
      <c r="B635" s="2" t="s">
        <v>61</v>
      </c>
      <c r="C635" s="2" t="s">
        <v>344</v>
      </c>
      <c r="D635" s="160"/>
      <c r="E635" s="6"/>
    </row>
    <row r="636" spans="1:5" ht="14">
      <c r="A636" s="1" t="s">
        <v>2</v>
      </c>
      <c r="B636" s="1" t="s">
        <v>11</v>
      </c>
      <c r="C636" s="2" t="s">
        <v>8</v>
      </c>
      <c r="D636" s="160"/>
      <c r="E636" s="6"/>
    </row>
    <row r="637" spans="1:5" ht="28">
      <c r="A637" s="1" t="s">
        <v>333</v>
      </c>
      <c r="B637" s="2" t="s">
        <v>12</v>
      </c>
      <c r="C637" s="2" t="s">
        <v>149</v>
      </c>
      <c r="D637" s="160"/>
      <c r="E637" s="6"/>
    </row>
    <row r="638" spans="1:5" ht="28">
      <c r="A638" s="1" t="s">
        <v>3</v>
      </c>
      <c r="B638" s="2" t="s">
        <v>13</v>
      </c>
      <c r="C638" s="2" t="s">
        <v>61</v>
      </c>
      <c r="D638" s="160"/>
      <c r="E638" s="6"/>
    </row>
    <row r="639" spans="1:5" ht="42">
      <c r="A639" s="2" t="s">
        <v>4</v>
      </c>
      <c r="B639" s="2" t="s">
        <v>62</v>
      </c>
      <c r="C639" s="2" t="s">
        <v>11</v>
      </c>
      <c r="D639" s="160"/>
      <c r="E639" s="6"/>
    </row>
    <row r="640" spans="1:5" ht="42">
      <c r="A640" s="197" t="s">
        <v>337</v>
      </c>
      <c r="B640" s="2" t="s">
        <v>63</v>
      </c>
      <c r="C640" s="3" t="s">
        <v>12</v>
      </c>
      <c r="D640" s="160"/>
      <c r="E640" s="6"/>
    </row>
    <row r="641" spans="1:5" ht="42">
      <c r="A641" s="197" t="s">
        <v>339</v>
      </c>
      <c r="B641" s="2" t="s">
        <v>117</v>
      </c>
      <c r="C641" s="3" t="s">
        <v>13</v>
      </c>
      <c r="D641" s="160"/>
      <c r="E641" s="6"/>
    </row>
    <row r="642" spans="1:5" ht="42">
      <c r="A642" s="1" t="s">
        <v>344</v>
      </c>
      <c r="B642" s="2" t="s">
        <v>118</v>
      </c>
      <c r="C642" s="3" t="s">
        <v>14</v>
      </c>
      <c r="D642" s="160"/>
      <c r="E642" s="6"/>
    </row>
    <row r="643" spans="1:5" ht="28">
      <c r="A643" s="2" t="s">
        <v>8</v>
      </c>
      <c r="B643" s="2" t="s">
        <v>66</v>
      </c>
      <c r="C643" s="3" t="s">
        <v>15</v>
      </c>
      <c r="D643" s="160"/>
      <c r="E643" s="6"/>
    </row>
    <row r="644" spans="1:5" ht="28">
      <c r="A644" s="2" t="s">
        <v>60</v>
      </c>
      <c r="B644" s="2" t="s">
        <v>67</v>
      </c>
      <c r="C644" s="3" t="s">
        <v>64</v>
      </c>
      <c r="D644" s="160"/>
      <c r="E644" s="6"/>
    </row>
    <row r="645" spans="1:5" ht="26">
      <c r="A645" s="2" t="s">
        <v>61</v>
      </c>
      <c r="B645" s="2" t="s">
        <v>68</v>
      </c>
      <c r="C645" s="3" t="s">
        <v>65</v>
      </c>
      <c r="D645" s="160"/>
      <c r="E645" s="6"/>
    </row>
    <row r="646" spans="1:5" ht="28">
      <c r="A646" s="1" t="s">
        <v>11</v>
      </c>
      <c r="B646" s="2" t="s">
        <v>119</v>
      </c>
      <c r="C646" s="3" t="s">
        <v>422</v>
      </c>
      <c r="D646" s="160"/>
      <c r="E646" s="6"/>
    </row>
    <row r="647" spans="1:5" ht="28">
      <c r="A647" s="2" t="s">
        <v>12</v>
      </c>
      <c r="B647" s="2" t="s">
        <v>120</v>
      </c>
      <c r="C647" s="3" t="s">
        <v>423</v>
      </c>
      <c r="D647" s="160"/>
      <c r="E647" s="6"/>
    </row>
    <row r="648" spans="1:5" ht="28">
      <c r="A648" s="2" t="s">
        <v>13</v>
      </c>
      <c r="B648" s="2" t="s">
        <v>72</v>
      </c>
      <c r="C648" s="3" t="s">
        <v>151</v>
      </c>
      <c r="D648" s="160"/>
      <c r="E648" s="6"/>
    </row>
    <row r="649" spans="1:5" ht="42">
      <c r="A649" s="2" t="s">
        <v>62</v>
      </c>
      <c r="B649" s="2" t="s">
        <v>73</v>
      </c>
      <c r="C649" s="3" t="s">
        <v>21</v>
      </c>
      <c r="D649" s="160"/>
      <c r="E649" s="6"/>
    </row>
    <row r="650" spans="1:5" ht="42">
      <c r="A650" s="2" t="s">
        <v>63</v>
      </c>
      <c r="B650" s="1" t="s">
        <v>29</v>
      </c>
      <c r="C650" s="3" t="s">
        <v>152</v>
      </c>
      <c r="D650" s="160"/>
      <c r="E650" s="6"/>
    </row>
    <row r="651" spans="1:5" ht="42">
      <c r="A651" s="2" t="s">
        <v>117</v>
      </c>
      <c r="B651" s="1"/>
      <c r="C651" s="2" t="s">
        <v>23</v>
      </c>
      <c r="D651" s="160"/>
      <c r="E651" s="6"/>
    </row>
    <row r="652" spans="1:5" ht="42">
      <c r="A652" s="2" t="s">
        <v>118</v>
      </c>
      <c r="B652" s="123"/>
      <c r="C652" s="2" t="s">
        <v>347</v>
      </c>
      <c r="D652" s="160"/>
      <c r="E652" s="6"/>
    </row>
    <row r="653" spans="1:5" ht="28">
      <c r="A653" s="2" t="s">
        <v>66</v>
      </c>
      <c r="B653" s="123"/>
      <c r="C653" s="2" t="s">
        <v>349</v>
      </c>
      <c r="D653" s="160"/>
      <c r="E653" s="6"/>
    </row>
    <row r="654" spans="1:5" ht="28">
      <c r="A654" s="2" t="s">
        <v>67</v>
      </c>
      <c r="B654" s="123"/>
      <c r="C654" s="2" t="s">
        <v>424</v>
      </c>
      <c r="D654" s="160"/>
      <c r="E654" s="6"/>
    </row>
    <row r="655" spans="1:5" ht="14">
      <c r="A655" s="2" t="s">
        <v>68</v>
      </c>
      <c r="B655" s="123"/>
      <c r="C655" s="2" t="s">
        <v>29</v>
      </c>
      <c r="D655" s="160"/>
      <c r="E655" s="6"/>
    </row>
    <row r="656" spans="1:5" ht="28">
      <c r="A656" s="2" t="s">
        <v>119</v>
      </c>
      <c r="B656" s="123"/>
      <c r="C656" s="135"/>
      <c r="D656" s="160"/>
      <c r="E656" s="6"/>
    </row>
    <row r="657" spans="1:5" ht="28">
      <c r="A657" s="2" t="s">
        <v>120</v>
      </c>
      <c r="B657" s="123"/>
      <c r="C657" s="135"/>
      <c r="D657" s="160"/>
      <c r="E657" s="6"/>
    </row>
    <row r="658" spans="1:5" ht="28">
      <c r="A658" s="2" t="s">
        <v>72</v>
      </c>
      <c r="B658" s="123"/>
      <c r="C658" s="135"/>
      <c r="D658" s="160"/>
      <c r="E658" s="6"/>
    </row>
    <row r="659" spans="1:5" ht="14">
      <c r="A659" s="2" t="s">
        <v>73</v>
      </c>
      <c r="B659" s="123"/>
      <c r="C659" s="135"/>
      <c r="D659" s="160"/>
      <c r="E659" s="6"/>
    </row>
    <row r="660" spans="1:5" ht="13">
      <c r="A660" s="1" t="s">
        <v>29</v>
      </c>
      <c r="B660" s="123"/>
      <c r="C660" s="135"/>
      <c r="D660" s="160"/>
      <c r="E660" s="6"/>
    </row>
    <row r="661" spans="1:5" ht="13">
      <c r="A661" s="1" t="s">
        <v>425</v>
      </c>
      <c r="B661" s="123"/>
      <c r="C661" s="135"/>
      <c r="D661" s="160"/>
      <c r="E661" s="6"/>
    </row>
    <row r="662" spans="1:5" ht="13">
      <c r="A662" s="6"/>
      <c r="B662" s="123"/>
      <c r="C662" s="135"/>
      <c r="D662" s="160"/>
      <c r="E662" s="6"/>
    </row>
    <row r="663" spans="1:5" ht="13">
      <c r="A663" s="6"/>
      <c r="B663" s="123"/>
      <c r="C663" s="135"/>
      <c r="D663" s="160"/>
      <c r="E663" s="6"/>
    </row>
    <row r="664" spans="1:5" ht="13">
      <c r="A664" s="6"/>
      <c r="B664" s="123"/>
      <c r="C664" s="135"/>
      <c r="D664" s="190" t="s">
        <v>421</v>
      </c>
      <c r="E664" s="1" t="s">
        <v>0</v>
      </c>
    </row>
    <row r="665" spans="1:5" ht="13">
      <c r="A665" s="6"/>
      <c r="B665" s="123"/>
      <c r="C665" s="135"/>
      <c r="D665" s="190" t="s">
        <v>1</v>
      </c>
      <c r="E665" s="1" t="s">
        <v>1</v>
      </c>
    </row>
    <row r="666" spans="1:5" ht="13">
      <c r="A666" s="6"/>
      <c r="B666" s="123"/>
      <c r="C666" s="135"/>
      <c r="D666" s="1" t="s">
        <v>2</v>
      </c>
      <c r="E666" s="1" t="s">
        <v>2</v>
      </c>
    </row>
    <row r="667" spans="1:5" ht="13">
      <c r="A667" s="6"/>
      <c r="B667" s="123"/>
      <c r="C667" s="135"/>
      <c r="D667" s="190" t="s">
        <v>3</v>
      </c>
      <c r="E667" s="1" t="s">
        <v>3</v>
      </c>
    </row>
    <row r="668" spans="1:5" ht="28">
      <c r="A668" s="6"/>
      <c r="B668" s="123"/>
      <c r="C668" s="135"/>
      <c r="D668" s="3" t="s">
        <v>4</v>
      </c>
      <c r="E668" s="2" t="s">
        <v>4</v>
      </c>
    </row>
    <row r="669" spans="1:5" ht="14">
      <c r="A669" s="6"/>
      <c r="B669" s="123"/>
      <c r="C669" s="135"/>
      <c r="D669" s="3" t="s">
        <v>337</v>
      </c>
      <c r="E669" s="2" t="s">
        <v>337</v>
      </c>
    </row>
    <row r="670" spans="1:5" ht="14">
      <c r="A670" s="6"/>
      <c r="B670" s="123"/>
      <c r="C670" s="135"/>
      <c r="D670" s="3" t="s">
        <v>339</v>
      </c>
      <c r="E670" s="2" t="s">
        <v>339</v>
      </c>
    </row>
    <row r="671" spans="1:5" ht="28">
      <c r="A671" s="6"/>
      <c r="B671" s="123"/>
      <c r="C671" s="135"/>
      <c r="D671" s="3" t="s">
        <v>7</v>
      </c>
      <c r="E671" s="2" t="s">
        <v>7</v>
      </c>
    </row>
    <row r="672" spans="1:5" ht="14">
      <c r="A672" s="6"/>
      <c r="B672" s="123"/>
      <c r="C672" s="135"/>
      <c r="D672" s="3" t="s">
        <v>8</v>
      </c>
      <c r="E672" s="2" t="s">
        <v>8</v>
      </c>
    </row>
    <row r="673" spans="1:5" ht="14">
      <c r="A673" s="6"/>
      <c r="B673" s="123"/>
      <c r="C673" s="135"/>
      <c r="D673" s="3" t="s">
        <v>60</v>
      </c>
      <c r="E673" s="2" t="s">
        <v>9</v>
      </c>
    </row>
    <row r="674" spans="1:5" ht="14">
      <c r="A674" s="6"/>
      <c r="B674" s="123"/>
      <c r="C674" s="135"/>
      <c r="D674" s="3" t="s">
        <v>61</v>
      </c>
      <c r="E674" s="2" t="s">
        <v>10</v>
      </c>
    </row>
    <row r="675" spans="1:5" ht="13">
      <c r="A675" s="6"/>
      <c r="B675" s="123"/>
      <c r="C675" s="135"/>
      <c r="D675" s="190" t="s">
        <v>11</v>
      </c>
      <c r="E675" s="1" t="s">
        <v>11</v>
      </c>
    </row>
    <row r="676" spans="1:5" ht="26">
      <c r="A676" s="6"/>
      <c r="B676" s="123"/>
      <c r="C676" s="2" t="s">
        <v>0</v>
      </c>
      <c r="D676" s="3" t="s">
        <v>12</v>
      </c>
      <c r="E676" s="3" t="s">
        <v>12</v>
      </c>
    </row>
    <row r="677" spans="1:5" ht="26">
      <c r="A677" s="6"/>
      <c r="B677" s="123"/>
      <c r="C677" s="2" t="s">
        <v>1</v>
      </c>
      <c r="D677" s="3" t="s">
        <v>13</v>
      </c>
      <c r="E677" s="3" t="s">
        <v>13</v>
      </c>
    </row>
    <row r="678" spans="1:5" ht="26">
      <c r="A678" s="6"/>
      <c r="B678" s="123"/>
      <c r="C678" s="100" t="s">
        <v>2</v>
      </c>
      <c r="D678" s="3" t="s">
        <v>14</v>
      </c>
      <c r="E678" s="3" t="s">
        <v>14</v>
      </c>
    </row>
    <row r="679" spans="1:5" ht="26">
      <c r="A679" s="6"/>
      <c r="B679" s="123"/>
      <c r="C679" s="2" t="s">
        <v>3</v>
      </c>
      <c r="D679" s="3" t="s">
        <v>15</v>
      </c>
      <c r="E679" s="3" t="s">
        <v>15</v>
      </c>
    </row>
    <row r="680" spans="1:5" ht="28">
      <c r="A680" s="6"/>
      <c r="B680" s="123"/>
      <c r="C680" s="2" t="s">
        <v>4</v>
      </c>
      <c r="D680" s="3" t="s">
        <v>64</v>
      </c>
      <c r="E680" s="3" t="s">
        <v>64</v>
      </c>
    </row>
    <row r="681" spans="1:5" ht="26">
      <c r="A681" s="6"/>
      <c r="B681" s="123"/>
      <c r="C681" s="2" t="s">
        <v>337</v>
      </c>
      <c r="D681" s="3" t="s">
        <v>65</v>
      </c>
      <c r="E681" s="3" t="s">
        <v>65</v>
      </c>
    </row>
    <row r="682" spans="1:5" ht="26">
      <c r="A682" s="6"/>
      <c r="B682" s="123"/>
      <c r="C682" s="2" t="s">
        <v>339</v>
      </c>
      <c r="D682" s="3" t="s">
        <v>422</v>
      </c>
      <c r="E682" s="3" t="s">
        <v>422</v>
      </c>
    </row>
    <row r="683" spans="1:5" ht="26">
      <c r="A683" s="6"/>
      <c r="B683" s="123"/>
      <c r="C683" s="2" t="s">
        <v>344</v>
      </c>
      <c r="D683" s="3" t="s">
        <v>423</v>
      </c>
      <c r="E683" s="3" t="s">
        <v>423</v>
      </c>
    </row>
    <row r="684" spans="1:5" ht="14">
      <c r="A684" s="6"/>
      <c r="B684" s="123"/>
      <c r="C684" s="2" t="s">
        <v>8</v>
      </c>
      <c r="D684" s="3" t="s">
        <v>151</v>
      </c>
      <c r="E684" s="3" t="s">
        <v>151</v>
      </c>
    </row>
    <row r="685" spans="1:5" ht="14">
      <c r="A685" s="6"/>
      <c r="B685" s="123"/>
      <c r="C685" s="2" t="s">
        <v>149</v>
      </c>
      <c r="D685" s="3" t="s">
        <v>21</v>
      </c>
      <c r="E685" s="3" t="s">
        <v>21</v>
      </c>
    </row>
    <row r="686" spans="1:5" ht="26">
      <c r="A686" s="6"/>
      <c r="B686" s="123"/>
      <c r="C686" s="2" t="s">
        <v>61</v>
      </c>
      <c r="D686" s="3" t="s">
        <v>152</v>
      </c>
      <c r="E686" s="3" t="s">
        <v>22</v>
      </c>
    </row>
    <row r="687" spans="1:5" ht="26">
      <c r="A687" s="6"/>
      <c r="B687" s="1" t="s">
        <v>0</v>
      </c>
      <c r="C687" s="2" t="s">
        <v>11</v>
      </c>
      <c r="D687" s="3" t="s">
        <v>23</v>
      </c>
      <c r="E687" s="3" t="s">
        <v>23</v>
      </c>
    </row>
    <row r="688" spans="1:5" ht="26">
      <c r="A688" s="6"/>
      <c r="B688" s="1" t="s">
        <v>1</v>
      </c>
      <c r="C688" s="3" t="s">
        <v>12</v>
      </c>
      <c r="D688" s="3" t="s">
        <v>72</v>
      </c>
      <c r="E688" s="2" t="s">
        <v>347</v>
      </c>
    </row>
    <row r="689" spans="1:5" ht="26">
      <c r="A689" s="6"/>
      <c r="B689" s="1" t="s">
        <v>2</v>
      </c>
      <c r="C689" s="3" t="s">
        <v>13</v>
      </c>
      <c r="D689" s="3" t="s">
        <v>73</v>
      </c>
      <c r="E689" s="2" t="s">
        <v>349</v>
      </c>
    </row>
    <row r="690" spans="1:5" ht="26">
      <c r="A690" s="6"/>
      <c r="B690" s="1" t="s">
        <v>3</v>
      </c>
      <c r="C690" s="3" t="s">
        <v>14</v>
      </c>
      <c r="D690" s="3" t="s">
        <v>420</v>
      </c>
      <c r="E690" s="3" t="s">
        <v>420</v>
      </c>
    </row>
    <row r="691" spans="1:5" ht="28">
      <c r="A691" s="6"/>
      <c r="B691" s="2" t="s">
        <v>4</v>
      </c>
      <c r="C691" s="3" t="s">
        <v>15</v>
      </c>
      <c r="D691" s="190" t="s">
        <v>29</v>
      </c>
      <c r="E691" s="2" t="s">
        <v>29</v>
      </c>
    </row>
    <row r="692" spans="1:5" ht="26">
      <c r="A692" s="6"/>
      <c r="B692" s="197" t="s">
        <v>337</v>
      </c>
      <c r="C692" s="3" t="s">
        <v>64</v>
      </c>
      <c r="D692" s="160"/>
      <c r="E692" s="6"/>
    </row>
    <row r="693" spans="1:5" ht="26">
      <c r="A693" s="6"/>
      <c r="B693" s="197" t="s">
        <v>339</v>
      </c>
      <c r="C693" s="3" t="s">
        <v>65</v>
      </c>
      <c r="D693" s="160"/>
      <c r="E693" s="6"/>
    </row>
    <row r="694" spans="1:5" ht="26">
      <c r="A694" s="6"/>
      <c r="B694" s="1" t="s">
        <v>344</v>
      </c>
      <c r="C694" s="3" t="s">
        <v>422</v>
      </c>
      <c r="D694" s="160"/>
      <c r="E694" s="6"/>
    </row>
    <row r="695" spans="1:5" ht="26">
      <c r="A695" s="6"/>
      <c r="B695" s="2" t="s">
        <v>8</v>
      </c>
      <c r="C695" s="3" t="s">
        <v>423</v>
      </c>
      <c r="D695" s="160"/>
      <c r="E695" s="6"/>
    </row>
    <row r="696" spans="1:5" ht="14">
      <c r="A696" s="6"/>
      <c r="B696" s="2" t="s">
        <v>60</v>
      </c>
      <c r="C696" s="3" t="s">
        <v>151</v>
      </c>
      <c r="D696" s="160"/>
      <c r="E696" s="6"/>
    </row>
    <row r="697" spans="1:5" ht="14">
      <c r="A697" s="1" t="s">
        <v>97</v>
      </c>
      <c r="B697" s="2" t="s">
        <v>61</v>
      </c>
      <c r="C697" s="3" t="s">
        <v>21</v>
      </c>
      <c r="D697" s="160"/>
      <c r="E697" s="6"/>
    </row>
    <row r="698" spans="1:5" ht="13">
      <c r="A698" s="1" t="s">
        <v>1</v>
      </c>
      <c r="B698" s="1" t="s">
        <v>11</v>
      </c>
      <c r="C698" s="3" t="s">
        <v>152</v>
      </c>
      <c r="D698" s="160"/>
      <c r="E698" s="6"/>
    </row>
    <row r="699" spans="1:5" ht="28">
      <c r="A699" s="1" t="s">
        <v>2</v>
      </c>
      <c r="B699" s="2" t="s">
        <v>12</v>
      </c>
      <c r="C699" s="2" t="s">
        <v>23</v>
      </c>
      <c r="D699" s="160"/>
      <c r="E699" s="6"/>
    </row>
    <row r="700" spans="1:5" ht="28">
      <c r="A700" s="1" t="s">
        <v>333</v>
      </c>
      <c r="B700" s="2" t="s">
        <v>13</v>
      </c>
      <c r="C700" s="2" t="s">
        <v>347</v>
      </c>
      <c r="D700" s="160"/>
      <c r="E700" s="6"/>
    </row>
    <row r="701" spans="1:5" ht="42">
      <c r="A701" s="1" t="s">
        <v>3</v>
      </c>
      <c r="B701" s="2" t="s">
        <v>62</v>
      </c>
      <c r="C701" s="2" t="s">
        <v>349</v>
      </c>
      <c r="D701" s="160"/>
      <c r="E701" s="6"/>
    </row>
    <row r="702" spans="1:5" ht="42">
      <c r="A702" s="2" t="s">
        <v>4</v>
      </c>
      <c r="B702" s="2" t="s">
        <v>63</v>
      </c>
      <c r="C702" s="2" t="s">
        <v>424</v>
      </c>
      <c r="D702" s="160"/>
      <c r="E702" s="6"/>
    </row>
    <row r="703" spans="1:5" ht="42">
      <c r="A703" s="197" t="s">
        <v>337</v>
      </c>
      <c r="B703" s="2" t="s">
        <v>117</v>
      </c>
      <c r="C703" s="2" t="s">
        <v>29</v>
      </c>
      <c r="D703" s="160"/>
      <c r="E703" s="6"/>
    </row>
    <row r="704" spans="1:5" ht="42">
      <c r="A704" s="197" t="s">
        <v>339</v>
      </c>
      <c r="B704" s="2" t="s">
        <v>118</v>
      </c>
      <c r="C704" s="135"/>
      <c r="D704" s="160"/>
      <c r="E704" s="6"/>
    </row>
    <row r="705" spans="1:5" ht="28">
      <c r="A705" s="1" t="s">
        <v>344</v>
      </c>
      <c r="B705" s="2" t="s">
        <v>66</v>
      </c>
      <c r="C705" s="135"/>
      <c r="D705" s="160"/>
      <c r="E705" s="6"/>
    </row>
    <row r="706" spans="1:5" ht="28">
      <c r="A706" s="2" t="s">
        <v>8</v>
      </c>
      <c r="B706" s="2" t="s">
        <v>67</v>
      </c>
      <c r="C706" s="135"/>
      <c r="D706" s="160"/>
      <c r="E706" s="6"/>
    </row>
    <row r="707" spans="1:5" ht="14">
      <c r="A707" s="2" t="s">
        <v>60</v>
      </c>
      <c r="B707" s="2" t="s">
        <v>68</v>
      </c>
      <c r="C707" s="135"/>
      <c r="D707" s="160"/>
      <c r="E707" s="6"/>
    </row>
    <row r="708" spans="1:5" ht="28">
      <c r="A708" s="2" t="s">
        <v>61</v>
      </c>
      <c r="B708" s="2" t="s">
        <v>119</v>
      </c>
      <c r="C708" s="135"/>
      <c r="D708" s="160"/>
      <c r="E708" s="6"/>
    </row>
    <row r="709" spans="1:5" ht="28">
      <c r="A709" s="1" t="s">
        <v>11</v>
      </c>
      <c r="B709" s="2" t="s">
        <v>120</v>
      </c>
      <c r="C709" s="135"/>
      <c r="D709" s="160"/>
      <c r="E709" s="6"/>
    </row>
    <row r="710" spans="1:5" ht="28">
      <c r="A710" s="2" t="s">
        <v>12</v>
      </c>
      <c r="B710" s="2" t="s">
        <v>72</v>
      </c>
      <c r="C710" s="135"/>
      <c r="D710" s="160"/>
      <c r="E710" s="6"/>
    </row>
    <row r="711" spans="1:5" ht="28">
      <c r="A711" s="2" t="s">
        <v>13</v>
      </c>
      <c r="B711" s="2" t="s">
        <v>73</v>
      </c>
      <c r="C711" s="135"/>
      <c r="D711" s="160"/>
      <c r="E711" s="6"/>
    </row>
    <row r="712" spans="1:5" ht="42">
      <c r="A712" s="2" t="s">
        <v>62</v>
      </c>
      <c r="B712" s="1" t="s">
        <v>29</v>
      </c>
      <c r="C712" s="135"/>
      <c r="D712" s="160"/>
      <c r="E712" s="6"/>
    </row>
    <row r="713" spans="1:5" ht="42">
      <c r="A713" s="2" t="s">
        <v>63</v>
      </c>
      <c r="B713" s="1"/>
      <c r="C713" s="135"/>
      <c r="D713" s="160"/>
      <c r="E713" s="6"/>
    </row>
    <row r="714" spans="1:5" ht="42">
      <c r="A714" s="2" t="s">
        <v>117</v>
      </c>
      <c r="B714" s="123"/>
      <c r="C714" s="135"/>
      <c r="D714" s="160"/>
      <c r="E714" s="6"/>
    </row>
    <row r="715" spans="1:5" ht="42">
      <c r="A715" s="2" t="s">
        <v>118</v>
      </c>
      <c r="B715" s="123"/>
      <c r="C715" s="135"/>
      <c r="D715" s="160"/>
      <c r="E715" s="6"/>
    </row>
    <row r="716" spans="1:5" ht="28">
      <c r="A716" s="2" t="s">
        <v>66</v>
      </c>
      <c r="B716" s="123"/>
      <c r="C716" s="135"/>
      <c r="D716" s="160"/>
      <c r="E716" s="6"/>
    </row>
    <row r="717" spans="1:5" ht="28">
      <c r="A717" s="2" t="s">
        <v>67</v>
      </c>
      <c r="B717" s="123"/>
      <c r="C717" s="135"/>
      <c r="D717" s="160"/>
      <c r="E717" s="6"/>
    </row>
    <row r="718" spans="1:5" ht="14">
      <c r="A718" s="2" t="s">
        <v>68</v>
      </c>
      <c r="B718" s="123"/>
      <c r="C718" s="135"/>
      <c r="D718" s="160"/>
      <c r="E718" s="6"/>
    </row>
    <row r="719" spans="1:5" ht="28">
      <c r="A719" s="2" t="s">
        <v>119</v>
      </c>
      <c r="B719" s="123"/>
      <c r="C719" s="135"/>
      <c r="D719" s="160"/>
      <c r="E719" s="6"/>
    </row>
    <row r="720" spans="1:5" ht="28">
      <c r="A720" s="2" t="s">
        <v>120</v>
      </c>
      <c r="B720" s="123"/>
      <c r="C720" s="135"/>
      <c r="D720" s="160"/>
      <c r="E720" s="6"/>
    </row>
    <row r="721" spans="1:5" ht="28">
      <c r="A721" s="2" t="s">
        <v>72</v>
      </c>
      <c r="B721" s="123"/>
      <c r="C721" s="135"/>
      <c r="D721" s="160"/>
      <c r="E721" s="6"/>
    </row>
    <row r="722" spans="1:5" ht="14">
      <c r="A722" s="2" t="s">
        <v>73</v>
      </c>
      <c r="B722" s="123"/>
      <c r="C722" s="135"/>
      <c r="D722" s="160"/>
      <c r="E722" s="6"/>
    </row>
    <row r="723" spans="1:5" ht="13">
      <c r="A723" s="1" t="s">
        <v>29</v>
      </c>
      <c r="B723" s="123"/>
      <c r="C723" s="135"/>
      <c r="D723" s="160"/>
      <c r="E723" s="6"/>
    </row>
    <row r="724" spans="1:5" ht="14">
      <c r="A724" s="1" t="s">
        <v>425</v>
      </c>
      <c r="B724" s="123"/>
      <c r="C724" s="2" t="s">
        <v>0</v>
      </c>
      <c r="D724" s="190" t="s">
        <v>421</v>
      </c>
      <c r="E724" s="1" t="s">
        <v>0</v>
      </c>
    </row>
    <row r="725" spans="1:5" ht="14">
      <c r="A725" s="6"/>
      <c r="B725" s="123"/>
      <c r="C725" s="2" t="s">
        <v>1</v>
      </c>
      <c r="D725" s="190" t="s">
        <v>1</v>
      </c>
      <c r="E725" s="1" t="s">
        <v>1</v>
      </c>
    </row>
    <row r="726" spans="1:5" ht="13">
      <c r="A726" s="6"/>
      <c r="B726" s="123"/>
      <c r="C726" s="100" t="s">
        <v>2</v>
      </c>
      <c r="D726" s="1" t="s">
        <v>2</v>
      </c>
      <c r="E726" s="1" t="s">
        <v>2</v>
      </c>
    </row>
    <row r="727" spans="1:5" ht="14">
      <c r="A727" s="6"/>
      <c r="B727" s="123"/>
      <c r="C727" s="2" t="s">
        <v>3</v>
      </c>
      <c r="D727" s="190" t="s">
        <v>3</v>
      </c>
      <c r="E727" s="1" t="s">
        <v>3</v>
      </c>
    </row>
    <row r="728" spans="1:5" ht="28">
      <c r="A728" s="6"/>
      <c r="B728" s="123"/>
      <c r="C728" s="2" t="s">
        <v>4</v>
      </c>
      <c r="D728" s="3" t="s">
        <v>4</v>
      </c>
      <c r="E728" s="2" t="s">
        <v>4</v>
      </c>
    </row>
    <row r="729" spans="1:5" ht="14">
      <c r="A729" s="6"/>
      <c r="B729" s="123"/>
      <c r="C729" s="2" t="s">
        <v>337</v>
      </c>
      <c r="D729" s="3" t="s">
        <v>337</v>
      </c>
      <c r="E729" s="2" t="s">
        <v>337</v>
      </c>
    </row>
    <row r="730" spans="1:5" ht="14">
      <c r="A730" s="6"/>
      <c r="B730" s="123"/>
      <c r="C730" s="2" t="s">
        <v>339</v>
      </c>
      <c r="D730" s="3" t="s">
        <v>339</v>
      </c>
      <c r="E730" s="2" t="s">
        <v>339</v>
      </c>
    </row>
    <row r="731" spans="1:5" ht="28">
      <c r="A731" s="6"/>
      <c r="B731" s="123"/>
      <c r="C731" s="2" t="s">
        <v>344</v>
      </c>
      <c r="D731" s="3" t="s">
        <v>7</v>
      </c>
      <c r="E731" s="2" t="s">
        <v>7</v>
      </c>
    </row>
    <row r="732" spans="1:5" ht="14">
      <c r="A732" s="6"/>
      <c r="B732" s="123"/>
      <c r="C732" s="2" t="s">
        <v>8</v>
      </c>
      <c r="D732" s="3" t="s">
        <v>8</v>
      </c>
      <c r="E732" s="2" t="s">
        <v>8</v>
      </c>
    </row>
    <row r="733" spans="1:5" ht="14">
      <c r="A733" s="6"/>
      <c r="B733" s="123"/>
      <c r="C733" s="2" t="s">
        <v>149</v>
      </c>
      <c r="D733" s="3" t="s">
        <v>60</v>
      </c>
      <c r="E733" s="2" t="s">
        <v>9</v>
      </c>
    </row>
    <row r="734" spans="1:5" ht="14">
      <c r="A734" s="6"/>
      <c r="B734" s="123"/>
      <c r="C734" s="2" t="s">
        <v>61</v>
      </c>
      <c r="D734" s="3" t="s">
        <v>61</v>
      </c>
      <c r="E734" s="2" t="s">
        <v>10</v>
      </c>
    </row>
    <row r="735" spans="1:5" ht="14">
      <c r="A735" s="6"/>
      <c r="B735" s="123"/>
      <c r="C735" s="2" t="s">
        <v>11</v>
      </c>
      <c r="D735" s="190" t="s">
        <v>11</v>
      </c>
      <c r="E735" s="1" t="s">
        <v>11</v>
      </c>
    </row>
    <row r="736" spans="1:5" ht="26">
      <c r="A736" s="6"/>
      <c r="B736" s="123"/>
      <c r="C736" s="3" t="s">
        <v>12</v>
      </c>
      <c r="D736" s="3" t="s">
        <v>12</v>
      </c>
      <c r="E736" s="3" t="s">
        <v>12</v>
      </c>
    </row>
    <row r="737" spans="1:5" ht="26">
      <c r="A737" s="6"/>
      <c r="B737" s="123"/>
      <c r="C737" s="3" t="s">
        <v>13</v>
      </c>
      <c r="D737" s="3" t="s">
        <v>13</v>
      </c>
      <c r="E737" s="3" t="s">
        <v>13</v>
      </c>
    </row>
    <row r="738" spans="1:5" ht="26">
      <c r="A738" s="6"/>
      <c r="B738" s="123"/>
      <c r="C738" s="3" t="s">
        <v>14</v>
      </c>
      <c r="D738" s="3" t="s">
        <v>14</v>
      </c>
      <c r="E738" s="3" t="s">
        <v>14</v>
      </c>
    </row>
    <row r="739" spans="1:5" ht="26">
      <c r="A739" s="6"/>
      <c r="B739" s="123"/>
      <c r="C739" s="3" t="s">
        <v>15</v>
      </c>
      <c r="D739" s="3" t="s">
        <v>15</v>
      </c>
      <c r="E739" s="3" t="s">
        <v>15</v>
      </c>
    </row>
    <row r="740" spans="1:5" ht="26">
      <c r="A740" s="6"/>
      <c r="B740" s="123"/>
      <c r="C740" s="3" t="s">
        <v>64</v>
      </c>
      <c r="D740" s="3" t="s">
        <v>64</v>
      </c>
      <c r="E740" s="3" t="s">
        <v>64</v>
      </c>
    </row>
    <row r="741" spans="1:5" ht="26">
      <c r="A741" s="6"/>
      <c r="B741" s="123"/>
      <c r="C741" s="3" t="s">
        <v>65</v>
      </c>
      <c r="D741" s="3" t="s">
        <v>65</v>
      </c>
      <c r="E741" s="3" t="s">
        <v>65</v>
      </c>
    </row>
    <row r="742" spans="1:5" ht="26">
      <c r="A742" s="6"/>
      <c r="B742" s="123"/>
      <c r="C742" s="3" t="s">
        <v>422</v>
      </c>
      <c r="D742" s="3" t="s">
        <v>422</v>
      </c>
      <c r="E742" s="3" t="s">
        <v>422</v>
      </c>
    </row>
    <row r="743" spans="1:5" ht="26">
      <c r="A743" s="6"/>
      <c r="B743" s="123"/>
      <c r="C743" s="3" t="s">
        <v>423</v>
      </c>
      <c r="D743" s="3" t="s">
        <v>423</v>
      </c>
      <c r="E743" s="3" t="s">
        <v>423</v>
      </c>
    </row>
    <row r="744" spans="1:5" ht="13">
      <c r="A744" s="6"/>
      <c r="B744" s="123"/>
      <c r="C744" s="3" t="s">
        <v>151</v>
      </c>
      <c r="D744" s="3" t="s">
        <v>151</v>
      </c>
      <c r="E744" s="3" t="s">
        <v>151</v>
      </c>
    </row>
    <row r="745" spans="1:5" ht="13">
      <c r="A745" s="6"/>
      <c r="B745" s="123"/>
      <c r="C745" s="3" t="s">
        <v>21</v>
      </c>
      <c r="D745" s="3" t="s">
        <v>21</v>
      </c>
      <c r="E745" s="3" t="s">
        <v>21</v>
      </c>
    </row>
    <row r="746" spans="1:5" ht="26">
      <c r="A746" s="6"/>
      <c r="B746" s="123"/>
      <c r="C746" s="3" t="s">
        <v>152</v>
      </c>
      <c r="D746" s="3" t="s">
        <v>152</v>
      </c>
      <c r="E746" s="3" t="s">
        <v>22</v>
      </c>
    </row>
    <row r="747" spans="1:5" ht="28">
      <c r="A747" s="6"/>
      <c r="B747" s="123"/>
      <c r="C747" s="2" t="s">
        <v>23</v>
      </c>
      <c r="D747" s="3" t="s">
        <v>23</v>
      </c>
      <c r="E747" s="3" t="s">
        <v>23</v>
      </c>
    </row>
    <row r="748" spans="1:5" ht="26">
      <c r="A748" s="6"/>
      <c r="B748" s="123"/>
      <c r="C748" s="2" t="s">
        <v>347</v>
      </c>
      <c r="D748" s="3" t="s">
        <v>72</v>
      </c>
      <c r="E748" s="2" t="s">
        <v>347</v>
      </c>
    </row>
    <row r="749" spans="1:5" ht="14">
      <c r="A749" s="6"/>
      <c r="B749" s="1" t="s">
        <v>0</v>
      </c>
      <c r="C749" s="2" t="s">
        <v>349</v>
      </c>
      <c r="D749" s="3" t="s">
        <v>73</v>
      </c>
      <c r="E749" s="2" t="s">
        <v>349</v>
      </c>
    </row>
    <row r="750" spans="1:5" ht="26">
      <c r="A750" s="6"/>
      <c r="B750" s="1" t="s">
        <v>1</v>
      </c>
      <c r="C750" s="2" t="s">
        <v>424</v>
      </c>
      <c r="D750" s="3" t="s">
        <v>420</v>
      </c>
      <c r="E750" s="3" t="s">
        <v>420</v>
      </c>
    </row>
    <row r="751" spans="1:5" ht="14">
      <c r="A751" s="6"/>
      <c r="B751" s="1" t="s">
        <v>2</v>
      </c>
      <c r="C751" s="2" t="s">
        <v>29</v>
      </c>
      <c r="D751" s="190" t="s">
        <v>29</v>
      </c>
      <c r="E751" s="2" t="s">
        <v>29</v>
      </c>
    </row>
    <row r="752" spans="1:5" ht="13">
      <c r="A752" s="6"/>
      <c r="B752" s="1" t="s">
        <v>3</v>
      </c>
      <c r="C752" s="135"/>
      <c r="D752" s="160"/>
      <c r="E752" s="6"/>
    </row>
    <row r="753" spans="1:5" ht="28">
      <c r="A753" s="6"/>
      <c r="B753" s="2" t="s">
        <v>4</v>
      </c>
      <c r="C753" s="135"/>
      <c r="D753" s="160"/>
      <c r="E753" s="6"/>
    </row>
    <row r="754" spans="1:5" ht="13">
      <c r="A754" s="6"/>
      <c r="B754" s="197" t="s">
        <v>337</v>
      </c>
      <c r="C754" s="135"/>
      <c r="D754" s="160"/>
      <c r="E754" s="6"/>
    </row>
    <row r="755" spans="1:5" ht="13">
      <c r="A755" s="6"/>
      <c r="B755" s="197" t="s">
        <v>339</v>
      </c>
      <c r="C755" s="135"/>
      <c r="D755" s="160"/>
      <c r="E755" s="6"/>
    </row>
    <row r="756" spans="1:5" ht="13">
      <c r="A756" s="6"/>
      <c r="B756" s="1" t="s">
        <v>344</v>
      </c>
      <c r="C756" s="135"/>
      <c r="D756" s="160"/>
      <c r="E756" s="6"/>
    </row>
    <row r="757" spans="1:5" ht="14">
      <c r="A757" s="6"/>
      <c r="B757" s="2" t="s">
        <v>8</v>
      </c>
      <c r="C757" s="135"/>
      <c r="D757" s="160"/>
      <c r="E757" s="6"/>
    </row>
    <row r="758" spans="1:5" ht="14">
      <c r="A758" s="6"/>
      <c r="B758" s="2" t="s">
        <v>60</v>
      </c>
      <c r="C758" s="135"/>
      <c r="D758" s="160"/>
      <c r="E758" s="6"/>
    </row>
    <row r="759" spans="1:5" ht="14">
      <c r="A759" s="6"/>
      <c r="B759" s="2" t="s">
        <v>61</v>
      </c>
      <c r="C759" s="135"/>
      <c r="D759" s="160"/>
      <c r="E759" s="6"/>
    </row>
    <row r="760" spans="1:5" ht="13">
      <c r="A760" s="1" t="s">
        <v>97</v>
      </c>
      <c r="B760" s="1" t="s">
        <v>11</v>
      </c>
      <c r="C760" s="135"/>
      <c r="D760" s="160"/>
      <c r="E760" s="6"/>
    </row>
    <row r="761" spans="1:5" ht="28">
      <c r="A761" s="1" t="s">
        <v>1</v>
      </c>
      <c r="B761" s="2" t="s">
        <v>12</v>
      </c>
      <c r="C761" s="135"/>
      <c r="D761" s="160"/>
      <c r="E761" s="6"/>
    </row>
    <row r="762" spans="1:5" ht="28">
      <c r="A762" s="1" t="s">
        <v>2</v>
      </c>
      <c r="B762" s="2" t="s">
        <v>13</v>
      </c>
      <c r="C762" s="135"/>
      <c r="D762" s="160"/>
      <c r="E762" s="6"/>
    </row>
    <row r="763" spans="1:5" ht="42">
      <c r="A763" s="1" t="s">
        <v>333</v>
      </c>
      <c r="B763" s="2" t="s">
        <v>62</v>
      </c>
      <c r="C763" s="135"/>
      <c r="D763" s="160"/>
      <c r="E763" s="6"/>
    </row>
    <row r="764" spans="1:5" ht="42">
      <c r="A764" s="1" t="s">
        <v>3</v>
      </c>
      <c r="B764" s="2" t="s">
        <v>63</v>
      </c>
      <c r="C764" s="135"/>
      <c r="D764" s="160"/>
      <c r="E764" s="6"/>
    </row>
    <row r="765" spans="1:5" ht="42">
      <c r="A765" s="2" t="s">
        <v>4</v>
      </c>
      <c r="B765" s="2" t="s">
        <v>117</v>
      </c>
      <c r="C765" s="135"/>
      <c r="D765" s="160"/>
      <c r="E765" s="6"/>
    </row>
    <row r="766" spans="1:5" ht="42">
      <c r="A766" s="197" t="s">
        <v>337</v>
      </c>
      <c r="B766" s="2" t="s">
        <v>118</v>
      </c>
      <c r="C766" s="135"/>
      <c r="D766" s="160"/>
      <c r="E766" s="6"/>
    </row>
    <row r="767" spans="1:5" ht="28">
      <c r="A767" s="197" t="s">
        <v>339</v>
      </c>
      <c r="B767" s="2" t="s">
        <v>66</v>
      </c>
      <c r="C767" s="135"/>
      <c r="D767" s="160"/>
      <c r="E767" s="6"/>
    </row>
    <row r="768" spans="1:5" ht="28">
      <c r="A768" s="1" t="s">
        <v>344</v>
      </c>
      <c r="B768" s="2" t="s">
        <v>67</v>
      </c>
      <c r="C768" s="135"/>
      <c r="D768" s="160"/>
      <c r="E768" s="6"/>
    </row>
    <row r="769" spans="1:5" ht="14">
      <c r="A769" s="2" t="s">
        <v>8</v>
      </c>
      <c r="B769" s="2" t="s">
        <v>68</v>
      </c>
      <c r="C769" s="135"/>
      <c r="D769" s="160"/>
      <c r="E769" s="6"/>
    </row>
    <row r="770" spans="1:5" ht="28">
      <c r="A770" s="2" t="s">
        <v>60</v>
      </c>
      <c r="B770" s="2" t="s">
        <v>119</v>
      </c>
      <c r="C770" s="135"/>
      <c r="D770" s="160"/>
      <c r="E770" s="6"/>
    </row>
    <row r="771" spans="1:5" ht="28">
      <c r="A771" s="2" t="s">
        <v>61</v>
      </c>
      <c r="B771" s="2" t="s">
        <v>120</v>
      </c>
      <c r="C771" s="135"/>
      <c r="D771" s="160"/>
      <c r="E771" s="6"/>
    </row>
    <row r="772" spans="1:5" ht="28">
      <c r="A772" s="1" t="s">
        <v>11</v>
      </c>
      <c r="B772" s="2" t="s">
        <v>72</v>
      </c>
      <c r="C772" s="2" t="s">
        <v>0</v>
      </c>
      <c r="D772" s="160"/>
      <c r="E772" s="6"/>
    </row>
    <row r="773" spans="1:5" ht="28">
      <c r="A773" s="2" t="s">
        <v>12</v>
      </c>
      <c r="B773" s="2" t="s">
        <v>73</v>
      </c>
      <c r="C773" s="2" t="s">
        <v>1</v>
      </c>
      <c r="D773" s="160"/>
      <c r="E773" s="6"/>
    </row>
    <row r="774" spans="1:5" ht="28">
      <c r="A774" s="2" t="s">
        <v>13</v>
      </c>
      <c r="B774" s="1" t="s">
        <v>29</v>
      </c>
      <c r="C774" s="100" t="s">
        <v>2</v>
      </c>
      <c r="D774" s="160"/>
      <c r="E774" s="6"/>
    </row>
    <row r="775" spans="1:5" ht="42">
      <c r="A775" s="2" t="s">
        <v>62</v>
      </c>
      <c r="B775" s="1"/>
      <c r="C775" s="2" t="s">
        <v>3</v>
      </c>
      <c r="D775" s="160"/>
      <c r="E775" s="6"/>
    </row>
    <row r="776" spans="1:5" ht="42">
      <c r="A776" s="2" t="s">
        <v>63</v>
      </c>
      <c r="B776" s="123"/>
      <c r="C776" s="2" t="s">
        <v>4</v>
      </c>
      <c r="D776" s="160"/>
      <c r="E776" s="6"/>
    </row>
    <row r="777" spans="1:5" ht="42">
      <c r="A777" s="2" t="s">
        <v>117</v>
      </c>
      <c r="B777" s="123"/>
      <c r="C777" s="2" t="s">
        <v>337</v>
      </c>
      <c r="D777" s="160"/>
      <c r="E777" s="6"/>
    </row>
    <row r="778" spans="1:5" ht="42">
      <c r="A778" s="2" t="s">
        <v>118</v>
      </c>
      <c r="B778" s="123"/>
      <c r="C778" s="2" t="s">
        <v>339</v>
      </c>
      <c r="D778" s="160"/>
      <c r="E778" s="6"/>
    </row>
    <row r="779" spans="1:5" ht="28">
      <c r="A779" s="2" t="s">
        <v>66</v>
      </c>
      <c r="B779" s="123"/>
      <c r="C779" s="2" t="s">
        <v>344</v>
      </c>
      <c r="D779" s="160"/>
      <c r="E779" s="6"/>
    </row>
    <row r="780" spans="1:5" ht="28">
      <c r="A780" s="2" t="s">
        <v>67</v>
      </c>
      <c r="B780" s="123"/>
      <c r="C780" s="2" t="s">
        <v>8</v>
      </c>
      <c r="D780" s="160"/>
      <c r="E780" s="6"/>
    </row>
    <row r="781" spans="1:5" ht="14">
      <c r="A781" s="2" t="s">
        <v>68</v>
      </c>
      <c r="B781" s="123"/>
      <c r="C781" s="2" t="s">
        <v>149</v>
      </c>
      <c r="D781" s="160"/>
      <c r="E781" s="6"/>
    </row>
    <row r="782" spans="1:5" ht="28">
      <c r="A782" s="2" t="s">
        <v>119</v>
      </c>
      <c r="B782" s="123"/>
      <c r="C782" s="2" t="s">
        <v>61</v>
      </c>
      <c r="D782" s="160"/>
      <c r="E782" s="6"/>
    </row>
    <row r="783" spans="1:5" ht="28">
      <c r="A783" s="2" t="s">
        <v>120</v>
      </c>
      <c r="B783" s="123"/>
      <c r="C783" s="2" t="s">
        <v>11</v>
      </c>
      <c r="D783" s="160"/>
      <c r="E783" s="6"/>
    </row>
    <row r="784" spans="1:5" ht="28">
      <c r="A784" s="2" t="s">
        <v>72</v>
      </c>
      <c r="B784" s="123"/>
      <c r="C784" s="3" t="s">
        <v>12</v>
      </c>
      <c r="D784" s="190" t="s">
        <v>421</v>
      </c>
      <c r="E784" s="1" t="s">
        <v>0</v>
      </c>
    </row>
    <row r="785" spans="1:5" ht="26">
      <c r="A785" s="2" t="s">
        <v>73</v>
      </c>
      <c r="B785" s="123"/>
      <c r="C785" s="3" t="s">
        <v>13</v>
      </c>
      <c r="D785" s="190" t="s">
        <v>1</v>
      </c>
      <c r="E785" s="1" t="s">
        <v>1</v>
      </c>
    </row>
    <row r="786" spans="1:5" ht="26">
      <c r="A786" s="1" t="s">
        <v>29</v>
      </c>
      <c r="B786" s="123"/>
      <c r="C786" s="3" t="s">
        <v>14</v>
      </c>
      <c r="D786" s="1" t="s">
        <v>2</v>
      </c>
      <c r="E786" s="1" t="s">
        <v>2</v>
      </c>
    </row>
    <row r="787" spans="1:5" ht="26">
      <c r="A787" s="1" t="s">
        <v>425</v>
      </c>
      <c r="B787" s="123"/>
      <c r="C787" s="3" t="s">
        <v>15</v>
      </c>
      <c r="D787" s="190" t="s">
        <v>3</v>
      </c>
      <c r="E787" s="1" t="s">
        <v>3</v>
      </c>
    </row>
    <row r="788" spans="1:5" ht="28">
      <c r="A788" s="6"/>
      <c r="B788" s="123"/>
      <c r="C788" s="3" t="s">
        <v>64</v>
      </c>
      <c r="D788" s="3" t="s">
        <v>4</v>
      </c>
      <c r="E788" s="2" t="s">
        <v>4</v>
      </c>
    </row>
    <row r="789" spans="1:5" ht="26">
      <c r="A789" s="6"/>
      <c r="B789" s="123"/>
      <c r="C789" s="3" t="s">
        <v>65</v>
      </c>
      <c r="D789" s="3" t="s">
        <v>337</v>
      </c>
      <c r="E789" s="2" t="s">
        <v>337</v>
      </c>
    </row>
    <row r="790" spans="1:5" ht="26">
      <c r="A790" s="6"/>
      <c r="B790" s="123"/>
      <c r="C790" s="3" t="s">
        <v>422</v>
      </c>
      <c r="D790" s="3" t="s">
        <v>339</v>
      </c>
      <c r="E790" s="2" t="s">
        <v>339</v>
      </c>
    </row>
    <row r="791" spans="1:5" ht="28">
      <c r="A791" s="6"/>
      <c r="B791" s="123"/>
      <c r="C791" s="3" t="s">
        <v>423</v>
      </c>
      <c r="D791" s="3" t="s">
        <v>7</v>
      </c>
      <c r="E791" s="2" t="s">
        <v>7</v>
      </c>
    </row>
    <row r="792" spans="1:5" ht="14">
      <c r="A792" s="6"/>
      <c r="B792" s="123"/>
      <c r="C792" s="3" t="s">
        <v>151</v>
      </c>
      <c r="D792" s="3" t="s">
        <v>8</v>
      </c>
      <c r="E792" s="2" t="s">
        <v>8</v>
      </c>
    </row>
    <row r="793" spans="1:5" ht="14">
      <c r="A793" s="6"/>
      <c r="B793" s="123"/>
      <c r="C793" s="3" t="s">
        <v>21</v>
      </c>
      <c r="D793" s="3" t="s">
        <v>60</v>
      </c>
      <c r="E793" s="2" t="s">
        <v>9</v>
      </c>
    </row>
    <row r="794" spans="1:5" ht="14">
      <c r="A794" s="6"/>
      <c r="B794" s="123"/>
      <c r="C794" s="3" t="s">
        <v>152</v>
      </c>
      <c r="D794" s="3" t="s">
        <v>61</v>
      </c>
      <c r="E794" s="2" t="s">
        <v>10</v>
      </c>
    </row>
    <row r="795" spans="1:5" ht="28">
      <c r="A795" s="6"/>
      <c r="B795" s="123"/>
      <c r="C795" s="2" t="s">
        <v>23</v>
      </c>
      <c r="D795" s="190" t="s">
        <v>11</v>
      </c>
      <c r="E795" s="1" t="s">
        <v>11</v>
      </c>
    </row>
    <row r="796" spans="1:5" ht="26">
      <c r="A796" s="6"/>
      <c r="B796" s="123"/>
      <c r="C796" s="2" t="s">
        <v>347</v>
      </c>
      <c r="D796" s="3" t="s">
        <v>12</v>
      </c>
      <c r="E796" s="3" t="s">
        <v>12</v>
      </c>
    </row>
    <row r="797" spans="1:5" ht="26">
      <c r="A797" s="6"/>
      <c r="B797" s="123"/>
      <c r="C797" s="2" t="s">
        <v>349</v>
      </c>
      <c r="D797" s="3" t="s">
        <v>13</v>
      </c>
      <c r="E797" s="3" t="s">
        <v>13</v>
      </c>
    </row>
    <row r="798" spans="1:5" ht="26">
      <c r="A798" s="6"/>
      <c r="B798" s="123"/>
      <c r="C798" s="2" t="s">
        <v>424</v>
      </c>
      <c r="D798" s="3" t="s">
        <v>14</v>
      </c>
      <c r="E798" s="3" t="s">
        <v>14</v>
      </c>
    </row>
    <row r="799" spans="1:5" ht="26">
      <c r="A799" s="6"/>
      <c r="B799" s="123"/>
      <c r="C799" s="2" t="s">
        <v>29</v>
      </c>
      <c r="D799" s="3" t="s">
        <v>15</v>
      </c>
      <c r="E799" s="3" t="s">
        <v>15</v>
      </c>
    </row>
    <row r="800" spans="1:5" ht="26">
      <c r="A800" s="6"/>
      <c r="B800" s="123"/>
      <c r="C800" s="135"/>
      <c r="D800" s="3" t="s">
        <v>64</v>
      </c>
      <c r="E800" s="3" t="s">
        <v>64</v>
      </c>
    </row>
    <row r="801" spans="1:5" ht="26">
      <c r="A801" s="6"/>
      <c r="B801" s="123"/>
      <c r="C801" s="135"/>
      <c r="D801" s="3" t="s">
        <v>65</v>
      </c>
      <c r="E801" s="3" t="s">
        <v>65</v>
      </c>
    </row>
    <row r="802" spans="1:5" ht="26">
      <c r="A802" s="6"/>
      <c r="B802" s="123"/>
      <c r="C802" s="135"/>
      <c r="D802" s="3" t="s">
        <v>422</v>
      </c>
      <c r="E802" s="3" t="s">
        <v>422</v>
      </c>
    </row>
    <row r="803" spans="1:5" ht="26">
      <c r="A803" s="6"/>
      <c r="B803" s="123"/>
      <c r="C803" s="135"/>
      <c r="D803" s="3" t="s">
        <v>423</v>
      </c>
      <c r="E803" s="3" t="s">
        <v>423</v>
      </c>
    </row>
    <row r="804" spans="1:5" ht="13">
      <c r="A804" s="6"/>
      <c r="B804" s="123"/>
      <c r="C804" s="135"/>
      <c r="D804" s="3" t="s">
        <v>151</v>
      </c>
      <c r="E804" s="3" t="s">
        <v>151</v>
      </c>
    </row>
    <row r="805" spans="1:5" ht="13">
      <c r="A805" s="6"/>
      <c r="B805" s="123"/>
      <c r="C805" s="135"/>
      <c r="D805" s="3" t="s">
        <v>21</v>
      </c>
      <c r="E805" s="3" t="s">
        <v>21</v>
      </c>
    </row>
    <row r="806" spans="1:5" ht="26">
      <c r="A806" s="6"/>
      <c r="B806" s="123"/>
      <c r="C806" s="135"/>
      <c r="D806" s="3" t="s">
        <v>152</v>
      </c>
      <c r="E806" s="3" t="s">
        <v>22</v>
      </c>
    </row>
    <row r="807" spans="1:5" ht="26">
      <c r="A807" s="6"/>
      <c r="B807" s="123"/>
      <c r="C807" s="135"/>
      <c r="D807" s="3" t="s">
        <v>23</v>
      </c>
      <c r="E807" s="3" t="s">
        <v>23</v>
      </c>
    </row>
    <row r="808" spans="1:5" ht="26">
      <c r="A808" s="6"/>
      <c r="B808" s="123"/>
      <c r="C808" s="135"/>
      <c r="D808" s="3" t="s">
        <v>72</v>
      </c>
      <c r="E808" s="2" t="s">
        <v>347</v>
      </c>
    </row>
    <row r="809" spans="1:5" ht="14">
      <c r="A809" s="6"/>
      <c r="B809" s="123"/>
      <c r="C809" s="135"/>
      <c r="D809" s="3" t="s">
        <v>73</v>
      </c>
      <c r="E809" s="2" t="s">
        <v>349</v>
      </c>
    </row>
    <row r="810" spans="1:5" ht="26">
      <c r="A810" s="6"/>
      <c r="B810" s="123"/>
      <c r="C810" s="135"/>
      <c r="D810" s="3" t="s">
        <v>420</v>
      </c>
      <c r="E810" s="3" t="s">
        <v>420</v>
      </c>
    </row>
    <row r="811" spans="1:5" ht="14">
      <c r="A811" s="6"/>
      <c r="B811" s="1" t="s">
        <v>0</v>
      </c>
      <c r="C811" s="135"/>
      <c r="D811" s="190" t="s">
        <v>29</v>
      </c>
      <c r="E811" s="2" t="s">
        <v>29</v>
      </c>
    </row>
    <row r="812" spans="1:5" ht="13">
      <c r="A812" s="6"/>
      <c r="B812" s="1" t="s">
        <v>1</v>
      </c>
      <c r="C812" s="135"/>
      <c r="D812" s="160"/>
      <c r="E812" s="6"/>
    </row>
    <row r="813" spans="1:5" ht="13">
      <c r="A813" s="6"/>
      <c r="B813" s="1" t="s">
        <v>2</v>
      </c>
      <c r="C813" s="135"/>
      <c r="D813" s="160"/>
      <c r="E813" s="6"/>
    </row>
    <row r="814" spans="1:5" ht="13">
      <c r="A814" s="6"/>
      <c r="B814" s="1" t="s">
        <v>3</v>
      </c>
      <c r="C814" s="135"/>
      <c r="D814" s="160"/>
      <c r="E814" s="6"/>
    </row>
    <row r="815" spans="1:5" ht="28">
      <c r="A815" s="6"/>
      <c r="B815" s="2" t="s">
        <v>4</v>
      </c>
      <c r="C815" s="135"/>
      <c r="D815" s="160"/>
      <c r="E815" s="6"/>
    </row>
    <row r="816" spans="1:5" ht="13">
      <c r="A816" s="6"/>
      <c r="B816" s="197" t="s">
        <v>337</v>
      </c>
      <c r="C816" s="135"/>
      <c r="D816" s="160"/>
      <c r="E816" s="6"/>
    </row>
    <row r="817" spans="1:5" ht="13">
      <c r="A817" s="6"/>
      <c r="B817" s="197" t="s">
        <v>339</v>
      </c>
      <c r="C817" s="135"/>
      <c r="D817" s="160"/>
      <c r="E817" s="6"/>
    </row>
    <row r="818" spans="1:5" ht="13">
      <c r="A818" s="6"/>
      <c r="B818" s="1" t="s">
        <v>344</v>
      </c>
      <c r="C818" s="135"/>
      <c r="D818" s="160"/>
      <c r="E818" s="6"/>
    </row>
    <row r="819" spans="1:5" ht="14">
      <c r="A819" s="6"/>
      <c r="B819" s="2" t="s">
        <v>8</v>
      </c>
      <c r="C819" s="135"/>
      <c r="D819" s="160"/>
      <c r="E819" s="6"/>
    </row>
    <row r="820" spans="1:5" ht="14">
      <c r="A820" s="6"/>
      <c r="B820" s="2" t="s">
        <v>60</v>
      </c>
      <c r="C820" s="2" t="s">
        <v>0</v>
      </c>
      <c r="D820" s="160"/>
      <c r="E820" s="6"/>
    </row>
    <row r="821" spans="1:5" ht="14">
      <c r="A821" s="6"/>
      <c r="B821" s="2" t="s">
        <v>61</v>
      </c>
      <c r="C821" s="2" t="s">
        <v>1</v>
      </c>
      <c r="D821" s="160"/>
      <c r="E821" s="6"/>
    </row>
    <row r="822" spans="1:5" ht="13">
      <c r="A822" s="6"/>
      <c r="B822" s="1" t="s">
        <v>11</v>
      </c>
      <c r="C822" s="100" t="s">
        <v>2</v>
      </c>
      <c r="D822" s="160"/>
      <c r="E822" s="6"/>
    </row>
    <row r="823" spans="1:5" ht="28">
      <c r="A823" s="1" t="s">
        <v>97</v>
      </c>
      <c r="B823" s="2" t="s">
        <v>12</v>
      </c>
      <c r="C823" s="2" t="s">
        <v>3</v>
      </c>
      <c r="D823" s="160"/>
      <c r="E823" s="6"/>
    </row>
    <row r="824" spans="1:5" ht="28">
      <c r="A824" s="1" t="s">
        <v>1</v>
      </c>
      <c r="B824" s="2" t="s">
        <v>13</v>
      </c>
      <c r="C824" s="2" t="s">
        <v>4</v>
      </c>
      <c r="D824" s="160"/>
      <c r="E824" s="6"/>
    </row>
    <row r="825" spans="1:5" ht="42">
      <c r="A825" s="1" t="s">
        <v>2</v>
      </c>
      <c r="B825" s="2" t="s">
        <v>62</v>
      </c>
      <c r="C825" s="2" t="s">
        <v>337</v>
      </c>
      <c r="D825" s="160"/>
      <c r="E825" s="6"/>
    </row>
    <row r="826" spans="1:5" ht="42">
      <c r="A826" s="1" t="s">
        <v>333</v>
      </c>
      <c r="B826" s="2" t="s">
        <v>63</v>
      </c>
      <c r="C826" s="2" t="s">
        <v>339</v>
      </c>
      <c r="D826" s="160"/>
      <c r="E826" s="6"/>
    </row>
    <row r="827" spans="1:5" ht="42">
      <c r="A827" s="1" t="s">
        <v>3</v>
      </c>
      <c r="B827" s="2" t="s">
        <v>117</v>
      </c>
      <c r="C827" s="2" t="s">
        <v>344</v>
      </c>
      <c r="D827" s="160"/>
      <c r="E827" s="6"/>
    </row>
    <row r="828" spans="1:5" ht="42">
      <c r="A828" s="2" t="s">
        <v>4</v>
      </c>
      <c r="B828" s="2" t="s">
        <v>118</v>
      </c>
      <c r="C828" s="2" t="s">
        <v>8</v>
      </c>
      <c r="D828" s="160"/>
      <c r="E828" s="6"/>
    </row>
    <row r="829" spans="1:5" ht="28">
      <c r="A829" s="197" t="s">
        <v>337</v>
      </c>
      <c r="B829" s="2" t="s">
        <v>66</v>
      </c>
      <c r="C829" s="2" t="s">
        <v>149</v>
      </c>
      <c r="D829" s="160"/>
      <c r="E829" s="6"/>
    </row>
    <row r="830" spans="1:5" ht="28">
      <c r="A830" s="197" t="s">
        <v>339</v>
      </c>
      <c r="B830" s="2" t="s">
        <v>67</v>
      </c>
      <c r="C830" s="2" t="s">
        <v>61</v>
      </c>
      <c r="D830" s="160"/>
      <c r="E830" s="6"/>
    </row>
    <row r="831" spans="1:5" ht="14">
      <c r="A831" s="1" t="s">
        <v>344</v>
      </c>
      <c r="B831" s="2" t="s">
        <v>68</v>
      </c>
      <c r="C831" s="2" t="s">
        <v>11</v>
      </c>
      <c r="D831" s="160"/>
      <c r="E831" s="6"/>
    </row>
    <row r="832" spans="1:5" ht="28">
      <c r="A832" s="2" t="s">
        <v>8</v>
      </c>
      <c r="B832" s="2" t="s">
        <v>119</v>
      </c>
      <c r="C832" s="3" t="s">
        <v>12</v>
      </c>
      <c r="D832" s="160"/>
      <c r="E832" s="6"/>
    </row>
    <row r="833" spans="1:5" ht="28">
      <c r="A833" s="2" t="s">
        <v>60</v>
      </c>
      <c r="B833" s="2" t="s">
        <v>120</v>
      </c>
      <c r="C833" s="3" t="s">
        <v>13</v>
      </c>
      <c r="D833" s="160"/>
      <c r="E833" s="6"/>
    </row>
    <row r="834" spans="1:5" ht="28">
      <c r="A834" s="2" t="s">
        <v>61</v>
      </c>
      <c r="B834" s="2" t="s">
        <v>72</v>
      </c>
      <c r="C834" s="3" t="s">
        <v>14</v>
      </c>
      <c r="D834" s="160"/>
      <c r="E834" s="6"/>
    </row>
    <row r="835" spans="1:5" ht="26">
      <c r="A835" s="1" t="s">
        <v>11</v>
      </c>
      <c r="B835" s="2" t="s">
        <v>73</v>
      </c>
      <c r="C835" s="3" t="s">
        <v>15</v>
      </c>
      <c r="D835" s="160"/>
      <c r="E835" s="6"/>
    </row>
    <row r="836" spans="1:5" ht="28">
      <c r="A836" s="2" t="s">
        <v>12</v>
      </c>
      <c r="B836" s="1" t="s">
        <v>29</v>
      </c>
      <c r="C836" s="3" t="s">
        <v>64</v>
      </c>
      <c r="D836" s="160"/>
      <c r="E836" s="6"/>
    </row>
    <row r="837" spans="1:5" ht="28">
      <c r="A837" s="2" t="s">
        <v>13</v>
      </c>
      <c r="B837" s="1"/>
      <c r="C837" s="3" t="s">
        <v>65</v>
      </c>
      <c r="D837" s="160"/>
      <c r="E837" s="6"/>
    </row>
    <row r="838" spans="1:5" ht="42">
      <c r="A838" s="2" t="s">
        <v>62</v>
      </c>
      <c r="B838" s="123"/>
      <c r="C838" s="3" t="s">
        <v>422</v>
      </c>
      <c r="D838" s="160"/>
      <c r="E838" s="6"/>
    </row>
    <row r="839" spans="1:5" ht="42">
      <c r="A839" s="2" t="s">
        <v>63</v>
      </c>
      <c r="B839" s="123"/>
      <c r="C839" s="3" t="s">
        <v>423</v>
      </c>
      <c r="D839" s="160"/>
      <c r="E839" s="6"/>
    </row>
    <row r="840" spans="1:5" ht="42">
      <c r="A840" s="2" t="s">
        <v>117</v>
      </c>
      <c r="B840" s="123"/>
      <c r="C840" s="3" t="s">
        <v>151</v>
      </c>
      <c r="D840" s="160"/>
      <c r="E840" s="6"/>
    </row>
    <row r="841" spans="1:5" ht="42">
      <c r="A841" s="2" t="s">
        <v>118</v>
      </c>
      <c r="B841" s="123"/>
      <c r="C841" s="3" t="s">
        <v>21</v>
      </c>
      <c r="D841" s="160"/>
      <c r="E841" s="6"/>
    </row>
    <row r="842" spans="1:5" ht="28">
      <c r="A842" s="2" t="s">
        <v>66</v>
      </c>
      <c r="B842" s="123"/>
      <c r="C842" s="3" t="s">
        <v>152</v>
      </c>
      <c r="D842" s="160"/>
      <c r="E842" s="6"/>
    </row>
    <row r="843" spans="1:5" ht="28">
      <c r="A843" s="2" t="s">
        <v>67</v>
      </c>
      <c r="B843" s="123"/>
      <c r="C843" s="2" t="s">
        <v>23</v>
      </c>
      <c r="D843" s="160"/>
      <c r="E843" s="6"/>
    </row>
    <row r="844" spans="1:5" ht="14">
      <c r="A844" s="2" t="s">
        <v>68</v>
      </c>
      <c r="B844" s="123"/>
      <c r="C844" s="2" t="s">
        <v>347</v>
      </c>
      <c r="D844" s="190" t="s">
        <v>421</v>
      </c>
      <c r="E844" s="1" t="s">
        <v>0</v>
      </c>
    </row>
    <row r="845" spans="1:5" ht="28">
      <c r="A845" s="2" t="s">
        <v>119</v>
      </c>
      <c r="B845" s="123"/>
      <c r="C845" s="2" t="s">
        <v>349</v>
      </c>
      <c r="D845" s="190" t="s">
        <v>1</v>
      </c>
      <c r="E845" s="1" t="s">
        <v>1</v>
      </c>
    </row>
    <row r="846" spans="1:5" ht="28">
      <c r="A846" s="2" t="s">
        <v>120</v>
      </c>
      <c r="B846" s="123"/>
      <c r="C846" s="2" t="s">
        <v>424</v>
      </c>
      <c r="D846" s="1" t="s">
        <v>2</v>
      </c>
      <c r="E846" s="1" t="s">
        <v>2</v>
      </c>
    </row>
    <row r="847" spans="1:5" ht="28">
      <c r="A847" s="2" t="s">
        <v>72</v>
      </c>
      <c r="B847" s="123"/>
      <c r="C847" s="2" t="s">
        <v>29</v>
      </c>
      <c r="D847" s="190" t="s">
        <v>3</v>
      </c>
      <c r="E847" s="1" t="s">
        <v>3</v>
      </c>
    </row>
    <row r="848" spans="1:5" ht="28">
      <c r="A848" s="2" t="s">
        <v>73</v>
      </c>
      <c r="B848" s="123"/>
      <c r="C848" s="135"/>
      <c r="D848" s="3" t="s">
        <v>4</v>
      </c>
      <c r="E848" s="2" t="s">
        <v>4</v>
      </c>
    </row>
    <row r="849" spans="1:5" ht="14">
      <c r="A849" s="1" t="s">
        <v>29</v>
      </c>
      <c r="B849" s="123"/>
      <c r="C849" s="135"/>
      <c r="D849" s="3" t="s">
        <v>337</v>
      </c>
      <c r="E849" s="2" t="s">
        <v>337</v>
      </c>
    </row>
    <row r="850" spans="1:5" ht="14">
      <c r="A850" s="1" t="s">
        <v>425</v>
      </c>
      <c r="B850" s="123"/>
      <c r="C850" s="135"/>
      <c r="D850" s="3" t="s">
        <v>339</v>
      </c>
      <c r="E850" s="2" t="s">
        <v>339</v>
      </c>
    </row>
    <row r="851" spans="1:5" ht="28">
      <c r="A851" s="6"/>
      <c r="B851" s="123"/>
      <c r="C851" s="135"/>
      <c r="D851" s="3" t="s">
        <v>7</v>
      </c>
      <c r="E851" s="2" t="s">
        <v>7</v>
      </c>
    </row>
    <row r="852" spans="1:5" ht="14">
      <c r="A852" s="6"/>
      <c r="B852" s="123"/>
      <c r="C852" s="135"/>
      <c r="D852" s="3" t="s">
        <v>8</v>
      </c>
      <c r="E852" s="2" t="s">
        <v>8</v>
      </c>
    </row>
    <row r="853" spans="1:5" ht="14">
      <c r="A853" s="6"/>
      <c r="B853" s="123"/>
      <c r="C853" s="135"/>
      <c r="D853" s="3" t="s">
        <v>60</v>
      </c>
      <c r="E853" s="2" t="s">
        <v>9</v>
      </c>
    </row>
    <row r="854" spans="1:5" ht="14">
      <c r="A854" s="6"/>
      <c r="B854" s="123"/>
      <c r="C854" s="135"/>
      <c r="D854" s="3" t="s">
        <v>61</v>
      </c>
      <c r="E854" s="2" t="s">
        <v>10</v>
      </c>
    </row>
    <row r="855" spans="1:5" ht="13">
      <c r="A855" s="6"/>
      <c r="B855" s="123"/>
      <c r="C855" s="135"/>
      <c r="D855" s="190" t="s">
        <v>11</v>
      </c>
      <c r="E855" s="1" t="s">
        <v>11</v>
      </c>
    </row>
    <row r="856" spans="1:5" ht="26">
      <c r="A856" s="6"/>
      <c r="B856" s="123"/>
      <c r="C856" s="135"/>
      <c r="D856" s="3" t="s">
        <v>12</v>
      </c>
      <c r="E856" s="3" t="s">
        <v>12</v>
      </c>
    </row>
    <row r="857" spans="1:5" ht="26">
      <c r="A857" s="6"/>
      <c r="B857" s="123"/>
      <c r="C857" s="135"/>
      <c r="D857" s="3" t="s">
        <v>13</v>
      </c>
      <c r="E857" s="3" t="s">
        <v>13</v>
      </c>
    </row>
    <row r="858" spans="1:5" ht="26">
      <c r="A858" s="6"/>
      <c r="B858" s="123"/>
      <c r="C858" s="135"/>
      <c r="D858" s="3" t="s">
        <v>14</v>
      </c>
      <c r="E858" s="3" t="s">
        <v>14</v>
      </c>
    </row>
    <row r="859" spans="1:5" ht="26">
      <c r="A859" s="6"/>
      <c r="B859" s="123"/>
      <c r="C859" s="135"/>
      <c r="D859" s="3" t="s">
        <v>15</v>
      </c>
      <c r="E859" s="3" t="s">
        <v>15</v>
      </c>
    </row>
    <row r="860" spans="1:5" ht="26">
      <c r="A860" s="6"/>
      <c r="B860" s="123"/>
      <c r="C860" s="135"/>
      <c r="D860" s="3" t="s">
        <v>64</v>
      </c>
      <c r="E860" s="3" t="s">
        <v>64</v>
      </c>
    </row>
    <row r="861" spans="1:5" ht="26">
      <c r="A861" s="6"/>
      <c r="B861" s="123"/>
      <c r="C861" s="135"/>
      <c r="D861" s="3" t="s">
        <v>65</v>
      </c>
      <c r="E861" s="3" t="s">
        <v>65</v>
      </c>
    </row>
    <row r="862" spans="1:5" ht="26">
      <c r="A862" s="6"/>
      <c r="B862" s="123"/>
      <c r="C862" s="135"/>
      <c r="D862" s="3" t="s">
        <v>422</v>
      </c>
      <c r="E862" s="3" t="s">
        <v>422</v>
      </c>
    </row>
    <row r="863" spans="1:5" ht="26">
      <c r="A863" s="6"/>
      <c r="B863" s="123"/>
      <c r="C863" s="135"/>
      <c r="D863" s="3" t="s">
        <v>423</v>
      </c>
      <c r="E863" s="3" t="s">
        <v>423</v>
      </c>
    </row>
    <row r="864" spans="1:5" ht="13">
      <c r="A864" s="6"/>
      <c r="B864" s="123"/>
      <c r="C864" s="135"/>
      <c r="D864" s="3" t="s">
        <v>151</v>
      </c>
      <c r="E864" s="3" t="s">
        <v>151</v>
      </c>
    </row>
    <row r="865" spans="1:5" ht="13">
      <c r="A865" s="6"/>
      <c r="B865" s="123"/>
      <c r="C865" s="135"/>
      <c r="D865" s="3" t="s">
        <v>21</v>
      </c>
      <c r="E865" s="3" t="s">
        <v>21</v>
      </c>
    </row>
    <row r="866" spans="1:5" ht="26">
      <c r="A866" s="6"/>
      <c r="B866" s="123"/>
      <c r="C866" s="135"/>
      <c r="D866" s="3" t="s">
        <v>152</v>
      </c>
      <c r="E866" s="3" t="s">
        <v>22</v>
      </c>
    </row>
    <row r="867" spans="1:5" ht="26">
      <c r="A867" s="6"/>
      <c r="B867" s="123"/>
      <c r="C867" s="135"/>
      <c r="D867" s="3" t="s">
        <v>23</v>
      </c>
      <c r="E867" s="3" t="s">
        <v>23</v>
      </c>
    </row>
    <row r="868" spans="1:5" ht="26">
      <c r="A868" s="6"/>
      <c r="B868" s="123"/>
      <c r="C868" s="2" t="s">
        <v>0</v>
      </c>
      <c r="D868" s="3" t="s">
        <v>72</v>
      </c>
      <c r="E868" s="2" t="s">
        <v>347</v>
      </c>
    </row>
    <row r="869" spans="1:5" ht="14">
      <c r="A869" s="6"/>
      <c r="B869" s="123"/>
      <c r="C869" s="2" t="s">
        <v>1</v>
      </c>
      <c r="D869" s="3" t="s">
        <v>73</v>
      </c>
      <c r="E869" s="2" t="s">
        <v>349</v>
      </c>
    </row>
    <row r="870" spans="1:5" ht="26">
      <c r="A870" s="6"/>
      <c r="B870" s="123"/>
      <c r="C870" s="100" t="s">
        <v>2</v>
      </c>
      <c r="D870" s="3" t="s">
        <v>420</v>
      </c>
      <c r="E870" s="3" t="s">
        <v>420</v>
      </c>
    </row>
    <row r="871" spans="1:5" ht="14">
      <c r="A871" s="6"/>
      <c r="B871" s="123"/>
      <c r="C871" s="2" t="s">
        <v>3</v>
      </c>
      <c r="D871" s="190" t="s">
        <v>29</v>
      </c>
      <c r="E871" s="2" t="s">
        <v>29</v>
      </c>
    </row>
    <row r="872" spans="1:5" ht="28">
      <c r="A872" s="6"/>
      <c r="B872" s="123"/>
      <c r="C872" s="2" t="s">
        <v>4</v>
      </c>
      <c r="D872" s="160"/>
      <c r="E872" s="6"/>
    </row>
    <row r="873" spans="1:5" ht="14">
      <c r="A873" s="6"/>
      <c r="B873" s="1" t="s">
        <v>0</v>
      </c>
      <c r="C873" s="2" t="s">
        <v>337</v>
      </c>
      <c r="D873" s="160"/>
      <c r="E873" s="6"/>
    </row>
    <row r="874" spans="1:5" ht="14">
      <c r="A874" s="6"/>
      <c r="B874" s="1" t="s">
        <v>1</v>
      </c>
      <c r="C874" s="2" t="s">
        <v>339</v>
      </c>
      <c r="D874" s="160"/>
      <c r="E874" s="6"/>
    </row>
    <row r="875" spans="1:5" ht="14">
      <c r="A875" s="6"/>
      <c r="B875" s="1" t="s">
        <v>2</v>
      </c>
      <c r="C875" s="2" t="s">
        <v>344</v>
      </c>
      <c r="D875" s="160"/>
      <c r="E875" s="6"/>
    </row>
    <row r="876" spans="1:5" ht="14">
      <c r="A876" s="6"/>
      <c r="B876" s="1" t="s">
        <v>3</v>
      </c>
      <c r="C876" s="2" t="s">
        <v>8</v>
      </c>
      <c r="D876" s="160"/>
      <c r="E876" s="6"/>
    </row>
    <row r="877" spans="1:5" ht="28">
      <c r="A877" s="6"/>
      <c r="B877" s="2" t="s">
        <v>4</v>
      </c>
      <c r="C877" s="2" t="s">
        <v>149</v>
      </c>
      <c r="D877" s="160"/>
      <c r="E877" s="6"/>
    </row>
    <row r="878" spans="1:5" ht="14">
      <c r="A878" s="6"/>
      <c r="B878" s="197" t="s">
        <v>337</v>
      </c>
      <c r="C878" s="2" t="s">
        <v>61</v>
      </c>
      <c r="D878" s="160"/>
      <c r="E878" s="6"/>
    </row>
    <row r="879" spans="1:5" ht="14">
      <c r="A879" s="6"/>
      <c r="B879" s="197" t="s">
        <v>339</v>
      </c>
      <c r="C879" s="2" t="s">
        <v>11</v>
      </c>
      <c r="D879" s="160"/>
      <c r="E879" s="6"/>
    </row>
    <row r="880" spans="1:5" ht="26">
      <c r="A880" s="6"/>
      <c r="B880" s="1" t="s">
        <v>344</v>
      </c>
      <c r="C880" s="3" t="s">
        <v>12</v>
      </c>
      <c r="D880" s="160"/>
      <c r="E880" s="6"/>
    </row>
    <row r="881" spans="1:5" ht="26">
      <c r="A881" s="6"/>
      <c r="B881" s="2" t="s">
        <v>8</v>
      </c>
      <c r="C881" s="3" t="s">
        <v>13</v>
      </c>
      <c r="D881" s="160"/>
      <c r="E881" s="6"/>
    </row>
    <row r="882" spans="1:5" ht="26">
      <c r="A882" s="6"/>
      <c r="B882" s="2" t="s">
        <v>60</v>
      </c>
      <c r="C882" s="3" t="s">
        <v>14</v>
      </c>
      <c r="D882" s="160"/>
      <c r="E882" s="6"/>
    </row>
    <row r="883" spans="1:5" ht="26">
      <c r="A883" s="6"/>
      <c r="B883" s="2" t="s">
        <v>61</v>
      </c>
      <c r="C883" s="3" t="s">
        <v>15</v>
      </c>
      <c r="D883" s="160"/>
      <c r="E883" s="6"/>
    </row>
    <row r="884" spans="1:5" ht="26">
      <c r="A884" s="6"/>
      <c r="B884" s="1" t="s">
        <v>11</v>
      </c>
      <c r="C884" s="3" t="s">
        <v>64</v>
      </c>
      <c r="D884" s="160"/>
      <c r="E884" s="6"/>
    </row>
    <row r="885" spans="1:5" ht="28">
      <c r="A885" s="6"/>
      <c r="B885" s="2" t="s">
        <v>12</v>
      </c>
      <c r="C885" s="3" t="s">
        <v>65</v>
      </c>
      <c r="D885" s="160"/>
      <c r="E885" s="6"/>
    </row>
    <row r="886" spans="1:5" ht="28">
      <c r="A886" s="1" t="s">
        <v>97</v>
      </c>
      <c r="B886" s="2" t="s">
        <v>13</v>
      </c>
      <c r="C886" s="3" t="s">
        <v>422</v>
      </c>
      <c r="D886" s="160"/>
      <c r="E886" s="6"/>
    </row>
    <row r="887" spans="1:5" ht="42">
      <c r="A887" s="1" t="s">
        <v>1</v>
      </c>
      <c r="B887" s="2" t="s">
        <v>62</v>
      </c>
      <c r="C887" s="3" t="s">
        <v>423</v>
      </c>
      <c r="D887" s="160"/>
      <c r="E887" s="6"/>
    </row>
    <row r="888" spans="1:5" ht="42">
      <c r="A888" s="1" t="s">
        <v>2</v>
      </c>
      <c r="B888" s="2" t="s">
        <v>63</v>
      </c>
      <c r="C888" s="3" t="s">
        <v>151</v>
      </c>
      <c r="D888" s="160"/>
      <c r="E888" s="6"/>
    </row>
    <row r="889" spans="1:5" ht="42">
      <c r="A889" s="1" t="s">
        <v>333</v>
      </c>
      <c r="B889" s="2" t="s">
        <v>117</v>
      </c>
      <c r="C889" s="3" t="s">
        <v>21</v>
      </c>
      <c r="D889" s="160"/>
      <c r="E889" s="6"/>
    </row>
    <row r="890" spans="1:5" ht="42">
      <c r="A890" s="1" t="s">
        <v>3</v>
      </c>
      <c r="B890" s="2" t="s">
        <v>118</v>
      </c>
      <c r="C890" s="3" t="s">
        <v>152</v>
      </c>
      <c r="D890" s="160"/>
      <c r="E890" s="6"/>
    </row>
    <row r="891" spans="1:5" ht="28">
      <c r="A891" s="2" t="s">
        <v>4</v>
      </c>
      <c r="B891" s="2" t="s">
        <v>66</v>
      </c>
      <c r="C891" s="2" t="s">
        <v>23</v>
      </c>
      <c r="D891" s="160"/>
      <c r="E891" s="6"/>
    </row>
    <row r="892" spans="1:5" ht="28">
      <c r="A892" s="197" t="s">
        <v>337</v>
      </c>
      <c r="B892" s="2" t="s">
        <v>67</v>
      </c>
      <c r="C892" s="2" t="s">
        <v>347</v>
      </c>
      <c r="D892" s="160"/>
      <c r="E892" s="6"/>
    </row>
    <row r="893" spans="1:5" ht="14">
      <c r="A893" s="197" t="s">
        <v>339</v>
      </c>
      <c r="B893" s="2" t="s">
        <v>68</v>
      </c>
      <c r="C893" s="2" t="s">
        <v>349</v>
      </c>
      <c r="D893" s="160"/>
      <c r="E893" s="6"/>
    </row>
    <row r="894" spans="1:5" ht="28">
      <c r="A894" s="1" t="s">
        <v>344</v>
      </c>
      <c r="B894" s="2" t="s">
        <v>119</v>
      </c>
      <c r="C894" s="2" t="s">
        <v>424</v>
      </c>
      <c r="D894" s="160"/>
      <c r="E894" s="6"/>
    </row>
    <row r="895" spans="1:5" ht="28">
      <c r="A895" s="2" t="s">
        <v>8</v>
      </c>
      <c r="B895" s="2" t="s">
        <v>120</v>
      </c>
      <c r="C895" s="2" t="s">
        <v>29</v>
      </c>
      <c r="D895" s="160"/>
      <c r="E895" s="6"/>
    </row>
    <row r="896" spans="1:5" ht="28">
      <c r="A896" s="2" t="s">
        <v>60</v>
      </c>
      <c r="B896" s="2" t="s">
        <v>72</v>
      </c>
      <c r="C896" s="135"/>
      <c r="D896" s="160"/>
      <c r="E896" s="6"/>
    </row>
    <row r="897" spans="1:5" ht="14">
      <c r="A897" s="2" t="s">
        <v>61</v>
      </c>
      <c r="B897" s="2" t="s">
        <v>73</v>
      </c>
      <c r="C897" s="135"/>
      <c r="D897" s="160"/>
      <c r="E897" s="6"/>
    </row>
    <row r="898" spans="1:5" ht="13">
      <c r="A898" s="1" t="s">
        <v>11</v>
      </c>
      <c r="B898" s="1" t="s">
        <v>29</v>
      </c>
      <c r="C898" s="135"/>
      <c r="D898" s="160"/>
      <c r="E898" s="6"/>
    </row>
    <row r="899" spans="1:5" ht="28">
      <c r="A899" s="2" t="s">
        <v>12</v>
      </c>
      <c r="B899" s="1"/>
      <c r="C899" s="135"/>
      <c r="D899" s="160"/>
      <c r="E899" s="6"/>
    </row>
    <row r="900" spans="1:5" ht="28">
      <c r="A900" s="2" t="s">
        <v>13</v>
      </c>
      <c r="B900" s="123"/>
      <c r="C900" s="135"/>
      <c r="D900" s="160"/>
      <c r="E900" s="6"/>
    </row>
    <row r="901" spans="1:5" ht="42">
      <c r="A901" s="2" t="s">
        <v>62</v>
      </c>
      <c r="B901" s="123"/>
      <c r="C901" s="135"/>
      <c r="D901" s="160"/>
      <c r="E901" s="6"/>
    </row>
    <row r="902" spans="1:5" ht="42">
      <c r="A902" s="2" t="s">
        <v>63</v>
      </c>
      <c r="B902" s="123"/>
      <c r="C902" s="135"/>
      <c r="D902" s="160"/>
      <c r="E902" s="6"/>
    </row>
    <row r="903" spans="1:5" ht="42">
      <c r="A903" s="2" t="s">
        <v>117</v>
      </c>
      <c r="B903" s="123"/>
      <c r="C903" s="135"/>
      <c r="D903" s="160"/>
      <c r="E903" s="6"/>
    </row>
    <row r="904" spans="1:5" ht="42">
      <c r="A904" s="2" t="s">
        <v>118</v>
      </c>
      <c r="B904" s="123"/>
      <c r="C904" s="135"/>
      <c r="D904" s="190" t="s">
        <v>421</v>
      </c>
      <c r="E904" s="1" t="s">
        <v>0</v>
      </c>
    </row>
    <row r="905" spans="1:5" ht="28">
      <c r="A905" s="2" t="s">
        <v>66</v>
      </c>
      <c r="B905" s="123"/>
      <c r="C905" s="135"/>
      <c r="D905" s="190" t="s">
        <v>1</v>
      </c>
      <c r="E905" s="1" t="s">
        <v>1</v>
      </c>
    </row>
    <row r="906" spans="1:5" ht="28">
      <c r="A906" s="2" t="s">
        <v>67</v>
      </c>
      <c r="B906" s="123"/>
      <c r="C906" s="135"/>
      <c r="D906" s="1" t="s">
        <v>2</v>
      </c>
      <c r="E906" s="1" t="s">
        <v>2</v>
      </c>
    </row>
    <row r="907" spans="1:5" ht="14">
      <c r="A907" s="2" t="s">
        <v>68</v>
      </c>
      <c r="B907" s="123"/>
      <c r="C907" s="135"/>
      <c r="D907" s="190" t="s">
        <v>3</v>
      </c>
      <c r="E907" s="1" t="s">
        <v>3</v>
      </c>
    </row>
    <row r="908" spans="1:5" ht="28">
      <c r="A908" s="2" t="s">
        <v>119</v>
      </c>
      <c r="B908" s="123"/>
      <c r="C908" s="135"/>
      <c r="D908" s="3" t="s">
        <v>4</v>
      </c>
      <c r="E908" s="2" t="s">
        <v>4</v>
      </c>
    </row>
    <row r="909" spans="1:5" ht="28">
      <c r="A909" s="2" t="s">
        <v>120</v>
      </c>
      <c r="B909" s="123"/>
      <c r="C909" s="135"/>
      <c r="D909" s="3" t="s">
        <v>337</v>
      </c>
      <c r="E909" s="2" t="s">
        <v>337</v>
      </c>
    </row>
    <row r="910" spans="1:5" ht="28">
      <c r="A910" s="2" t="s">
        <v>72</v>
      </c>
      <c r="B910" s="123"/>
      <c r="C910" s="135"/>
      <c r="D910" s="3" t="s">
        <v>339</v>
      </c>
      <c r="E910" s="2" t="s">
        <v>339</v>
      </c>
    </row>
    <row r="911" spans="1:5" ht="28">
      <c r="A911" s="2" t="s">
        <v>73</v>
      </c>
      <c r="B911" s="123"/>
      <c r="C911" s="135"/>
      <c r="D911" s="3" t="s">
        <v>7</v>
      </c>
      <c r="E911" s="2" t="s">
        <v>7</v>
      </c>
    </row>
    <row r="912" spans="1:5" ht="14">
      <c r="A912" s="1" t="s">
        <v>29</v>
      </c>
      <c r="B912" s="123"/>
      <c r="C912" s="135"/>
      <c r="D912" s="3" t="s">
        <v>8</v>
      </c>
      <c r="E912" s="2" t="s">
        <v>8</v>
      </c>
    </row>
    <row r="913" spans="1:5" ht="14">
      <c r="A913" s="1" t="s">
        <v>425</v>
      </c>
      <c r="B913" s="123"/>
      <c r="C913" s="135"/>
      <c r="D913" s="3" t="s">
        <v>60</v>
      </c>
      <c r="E913" s="2" t="s">
        <v>9</v>
      </c>
    </row>
    <row r="914" spans="1:5" ht="14">
      <c r="A914" s="6"/>
      <c r="B914" s="123"/>
      <c r="C914" s="135"/>
      <c r="D914" s="3" t="s">
        <v>61</v>
      </c>
      <c r="E914" s="2" t="s">
        <v>10</v>
      </c>
    </row>
    <row r="915" spans="1:5" ht="13">
      <c r="A915" s="6"/>
      <c r="B915" s="123"/>
      <c r="C915" s="135"/>
      <c r="D915" s="190" t="s">
        <v>11</v>
      </c>
      <c r="E915" s="1" t="s">
        <v>11</v>
      </c>
    </row>
    <row r="916" spans="1:5" ht="26">
      <c r="A916" s="6"/>
      <c r="B916" s="123"/>
      <c r="C916" s="2" t="s">
        <v>0</v>
      </c>
      <c r="D916" s="3" t="s">
        <v>12</v>
      </c>
      <c r="E916" s="3" t="s">
        <v>12</v>
      </c>
    </row>
    <row r="917" spans="1:5" ht="26">
      <c r="A917" s="6"/>
      <c r="B917" s="123"/>
      <c r="C917" s="2" t="s">
        <v>1</v>
      </c>
      <c r="D917" s="3" t="s">
        <v>13</v>
      </c>
      <c r="E917" s="3" t="s">
        <v>13</v>
      </c>
    </row>
    <row r="918" spans="1:5" ht="26">
      <c r="A918" s="6"/>
      <c r="B918" s="123"/>
      <c r="C918" s="100" t="s">
        <v>2</v>
      </c>
      <c r="D918" s="3" t="s">
        <v>14</v>
      </c>
      <c r="E918" s="3" t="s">
        <v>14</v>
      </c>
    </row>
    <row r="919" spans="1:5" ht="26">
      <c r="A919" s="6"/>
      <c r="B919" s="123"/>
      <c r="C919" s="2" t="s">
        <v>3</v>
      </c>
      <c r="D919" s="3" t="s">
        <v>15</v>
      </c>
      <c r="E919" s="3" t="s">
        <v>15</v>
      </c>
    </row>
    <row r="920" spans="1:5" ht="28">
      <c r="A920" s="6"/>
      <c r="B920" s="123"/>
      <c r="C920" s="2" t="s">
        <v>4</v>
      </c>
      <c r="D920" s="3" t="s">
        <v>64</v>
      </c>
      <c r="E920" s="3" t="s">
        <v>64</v>
      </c>
    </row>
    <row r="921" spans="1:5" ht="26">
      <c r="A921" s="6"/>
      <c r="B921" s="123"/>
      <c r="C921" s="2" t="s">
        <v>337</v>
      </c>
      <c r="D921" s="3" t="s">
        <v>65</v>
      </c>
      <c r="E921" s="3" t="s">
        <v>65</v>
      </c>
    </row>
    <row r="922" spans="1:5" ht="26">
      <c r="A922" s="6"/>
      <c r="B922" s="123"/>
      <c r="C922" s="2" t="s">
        <v>339</v>
      </c>
      <c r="D922" s="3" t="s">
        <v>422</v>
      </c>
      <c r="E922" s="3" t="s">
        <v>422</v>
      </c>
    </row>
    <row r="923" spans="1:5" ht="26">
      <c r="A923" s="6"/>
      <c r="B923" s="123"/>
      <c r="C923" s="2" t="s">
        <v>344</v>
      </c>
      <c r="D923" s="3" t="s">
        <v>423</v>
      </c>
      <c r="E923" s="3" t="s">
        <v>423</v>
      </c>
    </row>
    <row r="924" spans="1:5" ht="14">
      <c r="A924" s="6"/>
      <c r="B924" s="123"/>
      <c r="C924" s="2" t="s">
        <v>8</v>
      </c>
      <c r="D924" s="3" t="s">
        <v>151</v>
      </c>
      <c r="E924" s="3" t="s">
        <v>151</v>
      </c>
    </row>
    <row r="925" spans="1:5" ht="14">
      <c r="A925" s="6"/>
      <c r="B925" s="123"/>
      <c r="C925" s="2" t="s">
        <v>149</v>
      </c>
      <c r="D925" s="3" t="s">
        <v>21</v>
      </c>
      <c r="E925" s="3" t="s">
        <v>21</v>
      </c>
    </row>
    <row r="926" spans="1:5" ht="26">
      <c r="A926" s="6"/>
      <c r="B926" s="123"/>
      <c r="C926" s="2" t="s">
        <v>61</v>
      </c>
      <c r="D926" s="3" t="s">
        <v>152</v>
      </c>
      <c r="E926" s="3" t="s">
        <v>22</v>
      </c>
    </row>
    <row r="927" spans="1:5" ht="26">
      <c r="A927" s="6"/>
      <c r="B927" s="123"/>
      <c r="C927" s="2" t="s">
        <v>11</v>
      </c>
      <c r="D927" s="3" t="s">
        <v>23</v>
      </c>
      <c r="E927" s="3" t="s">
        <v>23</v>
      </c>
    </row>
    <row r="928" spans="1:5" ht="26">
      <c r="A928" s="6"/>
      <c r="B928" s="123"/>
      <c r="C928" s="3" t="s">
        <v>12</v>
      </c>
      <c r="D928" s="3" t="s">
        <v>72</v>
      </c>
      <c r="E928" s="2" t="s">
        <v>347</v>
      </c>
    </row>
    <row r="929" spans="1:5" ht="26">
      <c r="A929" s="6"/>
      <c r="B929" s="123"/>
      <c r="C929" s="3" t="s">
        <v>13</v>
      </c>
      <c r="D929" s="3" t="s">
        <v>73</v>
      </c>
      <c r="E929" s="2" t="s">
        <v>349</v>
      </c>
    </row>
    <row r="930" spans="1:5" ht="26">
      <c r="A930" s="6"/>
      <c r="B930" s="123"/>
      <c r="C930" s="3" t="s">
        <v>14</v>
      </c>
      <c r="D930" s="3" t="s">
        <v>420</v>
      </c>
      <c r="E930" s="3" t="s">
        <v>420</v>
      </c>
    </row>
    <row r="931" spans="1:5" ht="26">
      <c r="A931" s="6"/>
      <c r="B931" s="123"/>
      <c r="C931" s="3" t="s">
        <v>15</v>
      </c>
      <c r="D931" s="190" t="s">
        <v>29</v>
      </c>
      <c r="E931" s="2" t="s">
        <v>29</v>
      </c>
    </row>
    <row r="932" spans="1:5" ht="26">
      <c r="A932" s="6"/>
      <c r="B932" s="123"/>
      <c r="C932" s="3" t="s">
        <v>64</v>
      </c>
      <c r="D932" s="160"/>
      <c r="E932" s="6"/>
    </row>
    <row r="933" spans="1:5" ht="26">
      <c r="A933" s="6"/>
      <c r="B933" s="123"/>
      <c r="C933" s="3" t="s">
        <v>65</v>
      </c>
      <c r="D933" s="160"/>
      <c r="E933" s="6"/>
    </row>
    <row r="934" spans="1:5" ht="26">
      <c r="A934" s="6"/>
      <c r="B934" s="123"/>
      <c r="C934" s="3" t="s">
        <v>422</v>
      </c>
      <c r="D934" s="160"/>
      <c r="E934" s="6"/>
    </row>
    <row r="935" spans="1:5" ht="26">
      <c r="A935" s="6"/>
      <c r="B935" s="1" t="s">
        <v>0</v>
      </c>
      <c r="C935" s="3" t="s">
        <v>423</v>
      </c>
      <c r="D935" s="160"/>
      <c r="E935" s="6"/>
    </row>
    <row r="936" spans="1:5" ht="13">
      <c r="A936" s="6"/>
      <c r="B936" s="1" t="s">
        <v>1</v>
      </c>
      <c r="C936" s="3" t="s">
        <v>151</v>
      </c>
      <c r="D936" s="160"/>
      <c r="E936" s="6"/>
    </row>
    <row r="937" spans="1:5" ht="13">
      <c r="A937" s="6"/>
      <c r="B937" s="1" t="s">
        <v>2</v>
      </c>
      <c r="C937" s="3" t="s">
        <v>21</v>
      </c>
      <c r="D937" s="160"/>
      <c r="E937" s="6"/>
    </row>
    <row r="938" spans="1:5" ht="13">
      <c r="A938" s="6"/>
      <c r="B938" s="1" t="s">
        <v>3</v>
      </c>
      <c r="C938" s="3" t="s">
        <v>152</v>
      </c>
      <c r="D938" s="160"/>
      <c r="E938" s="6"/>
    </row>
    <row r="939" spans="1:5" ht="28">
      <c r="A939" s="6"/>
      <c r="B939" s="2" t="s">
        <v>4</v>
      </c>
      <c r="C939" s="2" t="s">
        <v>23</v>
      </c>
      <c r="D939" s="160"/>
      <c r="E939" s="6"/>
    </row>
    <row r="940" spans="1:5" ht="14">
      <c r="A940" s="6"/>
      <c r="B940" s="197" t="s">
        <v>337</v>
      </c>
      <c r="C940" s="2" t="s">
        <v>347</v>
      </c>
      <c r="D940" s="160"/>
      <c r="E940" s="6"/>
    </row>
    <row r="941" spans="1:5" ht="14">
      <c r="A941" s="6"/>
      <c r="B941" s="197" t="s">
        <v>339</v>
      </c>
      <c r="C941" s="2" t="s">
        <v>349</v>
      </c>
      <c r="D941" s="160"/>
      <c r="E941" s="6"/>
    </row>
    <row r="942" spans="1:5" ht="14">
      <c r="A942" s="6"/>
      <c r="B942" s="1" t="s">
        <v>344</v>
      </c>
      <c r="C942" s="2" t="s">
        <v>424</v>
      </c>
      <c r="D942" s="160"/>
      <c r="E942" s="6"/>
    </row>
    <row r="943" spans="1:5" ht="14">
      <c r="A943" s="6"/>
      <c r="B943" s="2" t="s">
        <v>8</v>
      </c>
      <c r="C943" s="2" t="s">
        <v>29</v>
      </c>
      <c r="D943" s="160"/>
      <c r="E943" s="6"/>
    </row>
    <row r="944" spans="1:5" ht="14">
      <c r="A944" s="6"/>
      <c r="B944" s="2" t="s">
        <v>60</v>
      </c>
      <c r="C944" s="135"/>
      <c r="D944" s="160"/>
      <c r="E944" s="6"/>
    </row>
    <row r="945" spans="1:5" ht="14">
      <c r="A945" s="6"/>
      <c r="B945" s="2" t="s">
        <v>61</v>
      </c>
      <c r="C945" s="135"/>
      <c r="D945" s="160"/>
      <c r="E945" s="6"/>
    </row>
    <row r="946" spans="1:5" ht="13">
      <c r="A946" s="6"/>
      <c r="B946" s="1" t="s">
        <v>11</v>
      </c>
      <c r="C946" s="135"/>
      <c r="D946" s="160"/>
      <c r="E946" s="6"/>
    </row>
    <row r="947" spans="1:5" ht="28">
      <c r="A947" s="6"/>
      <c r="B947" s="2" t="s">
        <v>12</v>
      </c>
      <c r="C947" s="135"/>
      <c r="D947" s="160"/>
      <c r="E947" s="6"/>
    </row>
    <row r="948" spans="1:5" ht="28">
      <c r="A948" s="6"/>
      <c r="B948" s="2" t="s">
        <v>13</v>
      </c>
      <c r="C948" s="135"/>
      <c r="D948" s="160"/>
      <c r="E948" s="6"/>
    </row>
    <row r="949" spans="1:5" ht="42">
      <c r="B949" s="2" t="s">
        <v>62</v>
      </c>
      <c r="C949" s="135"/>
      <c r="D949" s="160"/>
      <c r="E949" s="6"/>
    </row>
    <row r="950" spans="1:5" ht="42">
      <c r="B950" s="2" t="s">
        <v>63</v>
      </c>
      <c r="C950" s="135"/>
      <c r="D950" s="160"/>
      <c r="E950" s="6"/>
    </row>
    <row r="951" spans="1:5" ht="42">
      <c r="B951" s="2" t="s">
        <v>117</v>
      </c>
      <c r="C951" s="135"/>
      <c r="D951" s="160"/>
      <c r="E951" s="6"/>
    </row>
    <row r="952" spans="1:5" ht="42">
      <c r="B952" s="2" t="s">
        <v>118</v>
      </c>
      <c r="C952" s="135"/>
      <c r="D952" s="160"/>
      <c r="E952" s="6"/>
    </row>
    <row r="953" spans="1:5" ht="28">
      <c r="B953" s="2" t="s">
        <v>66</v>
      </c>
      <c r="C953" s="135"/>
      <c r="D953" s="160"/>
      <c r="E953" s="6"/>
    </row>
    <row r="954" spans="1:5" ht="28">
      <c r="B954" s="2" t="s">
        <v>67</v>
      </c>
      <c r="C954" s="135"/>
      <c r="D954" s="160"/>
      <c r="E954" s="6"/>
    </row>
    <row r="955" spans="1:5" ht="14">
      <c r="B955" s="2" t="s">
        <v>68</v>
      </c>
      <c r="C955" s="135"/>
      <c r="D955" s="160"/>
      <c r="E955" s="6"/>
    </row>
    <row r="956" spans="1:5" ht="28">
      <c r="B956" s="2" t="s">
        <v>119</v>
      </c>
      <c r="C956" s="135"/>
      <c r="D956" s="160"/>
      <c r="E956" s="6"/>
    </row>
    <row r="957" spans="1:5" ht="28">
      <c r="B957" s="2" t="s">
        <v>120</v>
      </c>
      <c r="C957" s="135"/>
      <c r="D957" s="160"/>
      <c r="E957" s="6"/>
    </row>
    <row r="958" spans="1:5" ht="28">
      <c r="B958" s="2" t="s">
        <v>72</v>
      </c>
      <c r="C958" s="135"/>
      <c r="D958" s="160"/>
      <c r="E958" s="6"/>
    </row>
    <row r="959" spans="1:5" ht="14">
      <c r="B959" s="2" t="s">
        <v>73</v>
      </c>
      <c r="C959" s="135"/>
      <c r="D959" s="160"/>
      <c r="E959" s="6"/>
    </row>
    <row r="960" spans="1:5" ht="13">
      <c r="B960" s="1" t="s">
        <v>29</v>
      </c>
      <c r="C960" s="135"/>
      <c r="D960" s="160"/>
      <c r="E960" s="6"/>
    </row>
    <row r="961" spans="2:5" ht="13">
      <c r="B961" s="1"/>
      <c r="C961" s="135"/>
      <c r="D961" s="160"/>
      <c r="E961" s="6"/>
    </row>
    <row r="962" spans="2:5" ht="13">
      <c r="B962" s="123"/>
      <c r="C962" s="135"/>
      <c r="D962" s="160"/>
      <c r="E962" s="6"/>
    </row>
    <row r="963" spans="2:5" ht="13">
      <c r="B963" s="123"/>
      <c r="C963" s="135"/>
      <c r="D963" s="160"/>
      <c r="E963" s="6"/>
    </row>
    <row r="964" spans="2:5" ht="13">
      <c r="B964" s="123"/>
    </row>
    <row r="965" spans="2:5" ht="13">
      <c r="B965" s="123"/>
    </row>
    <row r="966" spans="2:5" ht="13">
      <c r="B966" s="123"/>
    </row>
    <row r="967" spans="2:5" ht="13">
      <c r="B967" s="123"/>
    </row>
    <row r="968" spans="2:5" ht="13">
      <c r="B968" s="123"/>
    </row>
    <row r="969" spans="2:5" ht="13">
      <c r="B969" s="123"/>
    </row>
    <row r="970" spans="2:5" ht="13">
      <c r="B970" s="123"/>
    </row>
    <row r="971" spans="2:5" ht="13">
      <c r="B971" s="123"/>
    </row>
    <row r="972" spans="2:5" ht="13">
      <c r="B972" s="123"/>
    </row>
    <row r="973" spans="2:5" ht="13">
      <c r="B973" s="123"/>
    </row>
    <row r="974" spans="2:5" ht="13">
      <c r="B974" s="123"/>
    </row>
    <row r="975" spans="2:5" ht="13">
      <c r="B975" s="123"/>
    </row>
    <row r="976" spans="2:5" ht="13">
      <c r="B976" s="123"/>
    </row>
    <row r="977" spans="2:2" ht="13">
      <c r="B977" s="123"/>
    </row>
    <row r="978" spans="2:2" ht="13">
      <c r="B978" s="123"/>
    </row>
    <row r="979" spans="2:2" ht="13">
      <c r="B979" s="123"/>
    </row>
    <row r="980" spans="2:2" ht="13">
      <c r="B980" s="123"/>
    </row>
    <row r="981" spans="2:2" ht="13">
      <c r="B981" s="123"/>
    </row>
    <row r="982" spans="2:2" ht="13">
      <c r="B982" s="123"/>
    </row>
    <row r="983" spans="2:2" ht="13">
      <c r="B983" s="123"/>
    </row>
    <row r="984" spans="2:2" ht="13">
      <c r="B984" s="123"/>
    </row>
    <row r="985" spans="2:2" ht="13">
      <c r="B985" s="123"/>
    </row>
    <row r="986" spans="2:2" ht="13">
      <c r="B986" s="123"/>
    </row>
    <row r="987" spans="2:2" ht="13">
      <c r="B987" s="123"/>
    </row>
    <row r="988" spans="2:2" ht="13">
      <c r="B988" s="123"/>
    </row>
    <row r="989" spans="2:2" ht="13">
      <c r="B989" s="123"/>
    </row>
    <row r="990" spans="2:2" ht="13">
      <c r="B990" s="123"/>
    </row>
    <row r="991" spans="2:2" ht="13">
      <c r="B991" s="123"/>
    </row>
    <row r="992" spans="2:2" ht="13">
      <c r="B992" s="123"/>
    </row>
    <row r="993" spans="2:2" ht="13">
      <c r="B993" s="123"/>
    </row>
    <row r="994" spans="2:2" ht="13">
      <c r="B994" s="123"/>
    </row>
    <row r="995" spans="2:2" ht="13">
      <c r="B995" s="123"/>
    </row>
    <row r="996" spans="2:2" ht="13">
      <c r="B996" s="1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20</vt:i4>
      </vt:variant>
    </vt:vector>
  </HeadingPairs>
  <TitlesOfParts>
    <vt:vector size="32" baseType="lpstr">
      <vt:lpstr>April 2018</vt:lpstr>
      <vt:lpstr>Sheet22</vt:lpstr>
      <vt:lpstr>November 2017</vt:lpstr>
      <vt:lpstr>December 2017</vt:lpstr>
      <vt:lpstr>January 2018</vt:lpstr>
      <vt:lpstr>February 2018</vt:lpstr>
      <vt:lpstr>March 2018</vt:lpstr>
      <vt:lpstr> sunrisesunset</vt:lpstr>
      <vt:lpstr>moon phases 2018</vt:lpstr>
      <vt:lpstr>moon phases 2017</vt:lpstr>
      <vt:lpstr>Legend</vt:lpstr>
      <vt:lpstr>column labels</vt:lpstr>
      <vt:lpstr>dec_tot_down</vt:lpstr>
      <vt:lpstr>dec_tot_hrs</vt:lpstr>
      <vt:lpstr>dec_tot_up</vt:lpstr>
      <vt:lpstr>feb_tot_down</vt:lpstr>
      <vt:lpstr>feb_tot_hrs</vt:lpstr>
      <vt:lpstr>feb_tot_up</vt:lpstr>
      <vt:lpstr>jan_tot_down</vt:lpstr>
      <vt:lpstr>jan_tot_hrs</vt:lpstr>
      <vt:lpstr>jan_tot_up</vt:lpstr>
      <vt:lpstr>'April 2018'!MAR_F_A_DN</vt:lpstr>
      <vt:lpstr>MAR_F_A_DN</vt:lpstr>
      <vt:lpstr>'April 2018'!mar_tot_down</vt:lpstr>
      <vt:lpstr>mar_tot_down</vt:lpstr>
      <vt:lpstr>'April 2018'!mar_tot_hrs</vt:lpstr>
      <vt:lpstr>mar_tot_hrs</vt:lpstr>
      <vt:lpstr>'April 2018'!mar_tot_up</vt:lpstr>
      <vt:lpstr>mar_tot_up</vt:lpstr>
      <vt:lpstr>nov_tot_down</vt:lpstr>
      <vt:lpstr>nov_tot_hrs</vt:lpstr>
      <vt:lpstr>nov_tot_up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2026-04-14T20:05:00Z</dcterms:modified>
</cp:coreProperties>
</file>